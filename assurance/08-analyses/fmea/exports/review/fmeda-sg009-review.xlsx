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Title_Page" sheetId="1" state="visible" r:id="rId3"/>
    <sheet name="01_Document_Control" sheetId="2" state="visible" r:id="rId4"/>
    <sheet name="02_Assumptions" sheetId="3" state="visible" r:id="rId5"/>
    <sheet name="03_HW_Element_Catalog" sheetId="4" state="visible" r:id="rId6"/>
    <sheet name="05_Safety_Mechanisms_From_TSC" sheetId="5" state="visible" r:id="rId7"/>
    <sheet name="06_FMEDA_Worksheet" sheetId="6" state="visible" r:id="rId8"/>
    <sheet name="06b_Per_Goal_Rows" sheetId="7" state="visible" r:id="rId9"/>
    <sheet name="07_SPFM_Calculation" sheetId="8" state="visible" r:id="rId10"/>
    <sheet name="08_LFM_Calculation" sheetId="9" state="visible" r:id="rId11"/>
    <sheet name="09_PMHF_Calculation" sheetId="10" state="visible" r:id="rId12"/>
    <sheet name="10_Metrics_Dashboard" sheetId="11" state="visible" r:id="rId13"/>
    <sheet name="11_Open_Items" sheetId="12" state="visible" r:id="rId14"/>
    <sheet name="12_Reference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<sst xmlns="http://schemas.openxmlformats.org/spreadsheetml/2006/main" count="684" uniqueCount="362">
  <si>
    <t xml:space="preserve">FMEDA — SG-009 stock AEB availability (relay and forwarding path), generic failure rates</t>
  </si>
  <si>
    <t xml:space="preserve">Project</t>
  </si>
  <si>
    <t xml:space="preserve">LionDriver: openpilot fork, reference configuration Corolla E210 · ZRE212 · US (CFG-001 / AC-001), model years 2020–2022</t>
  </si>
  <si>
    <t xml:space="preserve">Document ID</t>
  </si>
  <si>
    <t xml:space="preserve">LD-FMD-SG-009</t>
  </si>
  <si>
    <t xml:space="preserve">Revision</t>
  </si>
  <si>
    <t xml:space="preserve">0.8</t>
  </si>
  <si>
    <t xml:space="preserve">Status</t>
  </si>
  <si>
    <t xml:space="preserve">Draft</t>
  </si>
  <si>
    <t xml:space="preserve">Baseline</t>
  </si>
  <si>
    <t xml:space="preserve">BL-002</t>
  </si>
  <si>
    <t xml:space="preserve">Targets (WP-H-04 §4)</t>
  </si>
  <si>
    <t xml:space="preserve">SG-07 ASIL B</t>
  </si>
  <si>
    <t xml:space="preserve">LD-HARA-001 goal</t>
  </si>
  <si>
    <t xml:space="preserve">SG-009 ASIL B (reference only; the targets above are used)</t>
  </si>
  <si>
    <t xml:space="preserve">Author</t>
  </si>
  <si>
    <t xml:space="preserve">Claude (AI-assisted draft)</t>
  </si>
  <si>
    <t xml:space="preserve">Approver</t>
  </si>
  <si>
    <t xml:space="preserve">Jherrod Thomas (project maintainer); not yet reviewed</t>
  </si>
  <si>
    <t xml:space="preserve">Source</t>
  </si>
  <si>
    <t xml:space="preserve">assurance/08-analyses/fmea/analyses/fmeda-sg009.yaml (generated by tools/safety/export_fmeda_xlsx.py; do not edit)</t>
  </si>
  <si>
    <t xml:space="preserve">Scope</t>
  </si>
  <si>
    <t xml:space="preserve">Random hardware faults of the panda section and harness that can keep the stock camera's PCS messages from reaching the car (LD-HARA-001 SG-009, ASIL B; assurance WP-C-03 SG-07, ASIL B). Reference device at BL-002</t>
  </si>
  <si>
    <t xml:space="preserve">Date</t>
  </si>
  <si>
    <t xml:space="preserve">Description of change</t>
  </si>
  <si>
    <t xml:space="preserve">0.1</t>
  </si>
  <si>
    <t xml:space="preserve">2026-10-10</t>
  </si>
  <si>
    <t xml:space="preserve">Stub without components</t>
  </si>
  <si>
    <t xml:space="preserve">0.2</t>
  </si>
  <si>
    <t xml:space="preserve">2026-10-12</t>
  </si>
  <si>
    <t xml:space="preserve">First quantitative FMEDA at BL-002 with generic failure rates</t>
  </si>
  <si>
    <t xml:space="preserve">0.3</t>
  </si>
  <si>
    <t xml:space="preserve">2026-10-15</t>
  </si>
  <si>
    <t xml:space="preserve">Relay re-based to the harness box v3 analog switches U1/U2 and its pull-down, supply and clamps (RR-2026-010)</t>
  </si>
  <si>
    <t xml:space="preserve">0.4</t>
  </si>
  <si>
    <t xml:space="preserve">2026-10-16</t>
  </si>
  <si>
    <t xml:space="preserve">U1/U2 at the SN 29500-2 reference value, 2 × 25 FIT (secondary quote); box discretes keep generic rates with their SN 29500 class named</t>
  </si>
  <si>
    <t xml:space="preserve">0.5</t>
  </si>
  <si>
    <t xml:space="preserve">2026-10-18</t>
  </si>
  <si>
    <t xml:space="preserve">Rows that stop actuation noted for SG-02 and SG-06 (DQ-362 A); their metric is the shared SG-01 estimate; no metric change</t>
  </si>
  <si>
    <t xml:space="preserve">0.6</t>
  </si>
  <si>
    <t xml:space="preserve">2026-10-20</t>
  </si>
  <si>
    <t xml:space="preserve">Wire-end IDs of the WireViz drawings added; no rate, classification or metric change</t>
  </si>
  <si>
    <t xml:space="preserve">0.7</t>
  </si>
  <si>
    <t xml:space="preserve">Format review: target as data, rate kind and wire ends as fields; no rate, classification or metric change</t>
  </si>
  <si>
    <t xml:space="preserve">2026-10-27</t>
  </si>
  <si>
    <t xml:space="preserve">FMD-033 note: harness box SPICE pilot predictions per short path (PR #510); whole mode stays single-point; no rate, classification or metric change</t>
  </si>
  <si>
    <t xml:space="preserve">Mission profile</t>
  </si>
  <si>
    <t xml:space="preserve">Passenger car, windscreen-mounted device: ambient up to +85 °C in the sun-loaded enclosure, Tj up to about +105 °C; about 500 operating h/year for 15 years (7,500 h). Failure rates in FIT (1e-9/h); transient (soft-error) rates included where noted. PMHF here is only λSPF + λRF; the dual-point term is not computed (rating-tables §6.3)</t>
  </si>
  <si>
    <t xml:space="preserve">FIT source</t>
  </si>
  <si>
    <t xml:space="preserve">13 components: 12 generic, 1 handbook; 0 converted to the mission profile (IEC 61709). Handbook set approved by the lead (WP-H-03 §2.3, DQ-068); per-part source in 03_HW_Element_Catalog. Generic rates are order-of-magnitude estimates, not evidence</t>
  </si>
  <si>
    <t xml:space="preserve">Environmental class</t>
  </si>
  <si>
    <t xml:space="preserve">Passenger compartment, windscreen mount (sun-loaded)</t>
  </si>
  <si>
    <t xml:space="preserve">Classification rules</t>
  </si>
  <si>
    <t xml:space="preserve">rating-tables.md §6.1 (ISO 26262-5 §8-9): direct violation without mechanism = SPF; with mechanism = RF for (1-DC); multiple-point latent part = λ(1-DC latent); others safe. Non-safety-related elements not counted. Rows classify for the file's own goal; where another goal differs, 06b_Per_Goal_Rows gives that goal's classification</t>
  </si>
  <si>
    <t xml:space="preserve">Out of scope</t>
  </si>
  <si>
    <t xml:space="preserve">SoC and its software (QM; their faults are the first fault of a dual-point pair); Vehicle ECUs (EPS, PCM, stock camera): external measures; Faults that only stop item actuation (they do not touch the stock path)</t>
  </si>
  <si>
    <t xml:space="preserve">Element ID</t>
  </si>
  <si>
    <t xml:space="preserve">Name</t>
  </si>
  <si>
    <t xml:space="preserve">Ref. des.</t>
  </si>
  <si>
    <t xml:space="preserve">FIT</t>
  </si>
  <si>
    <t xml:space="preserve">Safety related</t>
  </si>
  <si>
    <t xml:space="preserve">DFMEA element</t>
  </si>
  <si>
    <t xml:space="preserve">Rate kind</t>
  </si>
  <si>
    <t xml:space="preserve">Handbook reference</t>
  </si>
  <si>
    <t xml:space="preserve">Ref. temp. (°C)</t>
  </si>
  <si>
    <t xml:space="preserve">Converted to mission profile</t>
  </si>
  <si>
    <t xml:space="preserve">Failure rate source</t>
  </si>
  <si>
    <t xml:space="preserve">Wire ends (wiring/wire-ends.tsv)</t>
  </si>
  <si>
    <t xml:space="preserve">FMD-C-001</t>
  </si>
  <si>
    <t xml:space="preserve">STM32H725 CPU core, bus matrix, interrupt controller and peripherals</t>
  </si>
  <si>
    <t xml:space="preserve">block</t>
  </si>
  <si>
    <t xml:space="preserve">Yes</t>
  </si>
  <si>
    <t xml:space="preserve">DFM-SE-002</t>
  </si>
  <si>
    <t xml:space="preserve">generic</t>
  </si>
  <si>
    <t xml:space="preserve">No</t>
  </si>
  <si>
    <t xml:space="preserve">Generic estimate, order of magnitude of handbook values (SN 29500 / IEC TR 62380 class) for this part type at the mission profile below; not looked up for the actual part. No BOM or supplier data available (WP-H-02 UK-02)</t>
  </si>
  <si>
    <t xml:space="preserve">FMD-C-002</t>
  </si>
  <si>
    <t xml:space="preserve">Embedded flash 1 MB</t>
  </si>
  <si>
    <t xml:space="preserve">FMD-C-003</t>
  </si>
  <si>
    <t xml:space="preserve">SRAM regions holding forwarding state and CAN queues (about 64 KB)</t>
  </si>
  <si>
    <t xml:space="preserve">FMD-C-004</t>
  </si>
  <si>
    <t xml:space="preserve">Clock: 25 MHz HSE crystal and PLL</t>
  </si>
  <si>
    <t xml:space="preserve">DFM-SE-003</t>
  </si>
  <si>
    <t xml:space="preserve">FMD-C-005</t>
  </si>
  <si>
    <t xml:space="preserve">MCU supply</t>
  </si>
  <si>
    <t xml:space="preserve">DFM-SE-004</t>
  </si>
  <si>
    <t xml:space="preserve">FMD-C-006</t>
  </si>
  <si>
    <t xml:space="preserve">Camera-side and car-side CAN transceivers (XCVR3, XCVR1)</t>
  </si>
  <si>
    <t xml:space="preserve">DFM-SE-005</t>
  </si>
  <si>
    <t xml:space="preserve">FMD-C-007</t>
  </si>
  <si>
    <t xml:space="preserve">Intercept switch: 2 × DG419LE CMOS analog SPDT (harness box)</t>
  </si>
  <si>
    <t xml:space="preserve">U1, U2 (harness box)</t>
  </si>
  <si>
    <t xml:space="preserve">DFM-SE-006</t>
  </si>
  <si>
    <t xml:space="preserve">handbook</t>
  </si>
  <si>
    <t xml:space="preserve">SN 29500-2 Table 5, CMOS/BiCMOS analog and mixed-signal ICs (quoted from TI functional-safety reports; standard not read)</t>
  </si>
  <si>
    <t xml:space="preserve">SN 29500-2 reference value for CMOS/BiCMOS analog and mixed-signal ICs (Table 5, supply up to 50 V): 25 FIT per IC at a virtual junction temperature of 55 °C, as quoted in TI functional-safety FIT reports (TPS1663 SFFS110, LM73605 SFFS410, LMR36015-Q1 SNVA922); other TI reports (OPA991-Q1, TPS22965-Q1) quote 20 FIT, and the higher value is used. 2 × 25 FIT. Secondary source: the standard itself was not read (not reachable from the analysis environment), and no temperature or stress conversion to the mission profile is applied. Part number DG419LE from the harness box v3 drawing (RR-2026-010 HB-01); shipped parts unconfirmed (VS-HW-02)</t>
  </si>
  <si>
    <t xml:space="preserve">HB.U1.6-J3.A8, HB.U2.6-J3.A8, HB.J1.4-U1.2, HB.J1.6-U2.1, HB.J1.16-U1.1, HB.J1.18-U2.2</t>
  </si>
  <si>
    <t xml:space="preserve">FMD-C-010</t>
  </si>
  <si>
    <t xml:space="preserve">SBU1 drive circuit in the comma device</t>
  </si>
  <si>
    <t xml:space="preserve">Device side (unknown, UK-06)</t>
  </si>
  <si>
    <t xml:space="preserve">Generic estimate for a small-signal driver stage; circuit unknown (WP-H-02 UK-01, UK-06)</t>
  </si>
  <si>
    <t xml:space="preserve">OC.W1.11</t>
  </si>
  <si>
    <t xml:space="preserve">FMD-C-011</t>
  </si>
  <si>
    <t xml:space="preserve">SBU1 pull-down: 2 × 120 Ω thick-film resistor in series</t>
  </si>
  <si>
    <t xml:space="preserve">R2, R3 (harness box)</t>
  </si>
  <si>
    <t xml:space="preserve">Generic estimate (SMD thick-film chip resistor, 2 × about 0.2 FIT). Part class known from the harness box v3 drawing (RR-2026-010 HB-02); maps to the SN 29500 passive-component class, but no reference value could be obtained (standard not reachable, 2026-10-16). Stays generic until the source is confirmed (WP-H-03 OI-2); shipped parts unconfirmed (VS-HW-02)</t>
  </si>
  <si>
    <t xml:space="preserve">HB.R2/R3.1-J3.A8</t>
  </si>
  <si>
    <t xml:space="preserve">FMD-C-012</t>
  </si>
  <si>
    <t xml:space="preserve">Box supply: D1 Schottky STPS2H100ZFY from ignition, D4 TVS SMF16A</t>
  </si>
  <si>
    <t xml:space="preserve">D1, D4 (harness box)</t>
  </si>
  <si>
    <t xml:space="preserve">Generic estimate (power Schottky rectifier STPS2H100ZFY about 2 FIT; TVS diode SMF16A about 1 FIT). The part is known from the harness box v3 drawing (RR-2026-010 HB-01..HB-06) and maps to the SN 29500 discrete-semiconductor class, but no reference value could be obtained: the standard and the vendor FIT reports were not reachable from the analysis environment (2026-10-16). Stays generic until the safety manager confirms the source (WP-H-03 OI-2) and the value is looked up; shipped parts unconfirmed (VS-HW-02)</t>
  </si>
  <si>
    <t xml:space="preserve">HB.J1.2-D1.A, HB.D1.K-J3.A4, HB.J2.4-J3.A4</t>
  </si>
  <si>
    <t xml:space="preserve">FMD-C-013</t>
  </si>
  <si>
    <t xml:space="preserve">Bus clamps: 2 × BAS40SDW Schottky pairs on CAN0 and CAN2</t>
  </si>
  <si>
    <t xml:space="preserve">D2, D3 (harness box)</t>
  </si>
  <si>
    <t xml:space="preserve">Generic estimate (small-signal Schottky diode array BAS40SDW, 2 × about 1 FIT). The part is known from the harness box v3 drawing (RR-2026-010 HB-01..HB-06) and maps to the SN 29500 discrete-semiconductor class, but no reference value could be obtained: the standard and the vendor FIT reports were not reachable from the analysis environment (2026-10-16). Stays generic until the safety manager confirms the source (WP-H-03 OI-2) and the value is looked up; shipped parts unconfirmed (VS-HW-02)</t>
  </si>
  <si>
    <t xml:space="preserve">FMD-C-008</t>
  </si>
  <si>
    <t xml:space="preserve">Harness connector and harness-box wiring in the stock path</t>
  </si>
  <si>
    <t xml:space="preserve">Harness and box wiring</t>
  </si>
  <si>
    <t xml:space="preserve">DFM-SE-007</t>
  </si>
  <si>
    <t xml:space="preserve">TA.W1.1, TA.W1.2, TA.W2.1, TA.W2.2, HB.J1.4-U1.2, HB.J1.6-U2.1, HB.J1.16-U1.1, HB.J1.18-U2.2, OC.W1.1, OC.W1.2, OC.W1.3, OC.W1.4, OC.W1.5, OC.W1.6, OC.W1.7, OC.W1.8, OC.W1.9, OC.W1.10, OC.W1.11, OC.W1.12</t>
  </si>
  <si>
    <t xml:space="preserve">FMD-C-009</t>
  </si>
  <si>
    <t xml:space="preserve">Independent watchdog: LSI oscillator and IWDG</t>
  </si>
  <si>
    <t xml:space="preserve">Mechanism ID</t>
  </si>
  <si>
    <t xml:space="preserve">Description</t>
  </si>
  <si>
    <t xml:space="preserve">DC % (highest claimed)</t>
  </si>
  <si>
    <t xml:space="preserve">DC basis</t>
  </si>
  <si>
    <t xml:space="preserve">Requirement</t>
  </si>
  <si>
    <t xml:space="preserve">Implementation</t>
  </si>
  <si>
    <t xml:space="preserve">FMD-SM-001</t>
  </si>
  <si>
    <t xml:space="preserve">Flash ECC (single-error correction in silicon; corrected rea</t>
  </si>
  <si>
    <t xml:space="preserve">Flash ECC (single-error correction in silicon; corrected reads are transparent)</t>
  </si>
  <si>
    <t xml:space="preserve">ISO 26262-5 Annex D, Table D.6 (memory): ECC, high for single-bit faults</t>
  </si>
  <si>
    <t xml:space="preserve">STM32H7 flash ECC (RM0468); always on</t>
  </si>
  <si>
    <t xml:space="preserve">FMD-SM-002</t>
  </si>
  <si>
    <t xml:space="preserve">SRAM ECC (single-error correction in silicon); double errors</t>
  </si>
  <si>
    <t xml:space="preserve">SRAM ECC (single-error correction in silicon); double errors flagged but not handled at BL-002</t>
  </si>
  <si>
    <t xml:space="preserve">ISO 26262-5 Annex D, Table D.6: ECC, high for single-bit faults; double errors not credited</t>
  </si>
  <si>
    <t xml:space="preserve">TSR-503</t>
  </si>
  <si>
    <t xml:space="preserve">STM32H7 RAM ECC (RM0468); RAMECC monitors not configured</t>
  </si>
  <si>
    <t xml:space="preserve">FMD-SM-003</t>
  </si>
  <si>
    <t xml:space="preserve">Bootstub signature check of the application image at every p</t>
  </si>
  <si>
    <t xml:space="preserve">Bootstub signature check of the application image at every power-up</t>
  </si>
  <si>
    <t xml:space="preserve">Annex D, Table D.6: memory signature at start-up; credited for latent permanent faults only (once per drive cycle)</t>
  </si>
  <si>
    <t xml:space="preserve">panda/board/bootstub.c</t>
  </si>
  <si>
    <t xml:space="preserve">FMD-SM-005</t>
  </si>
  <si>
    <t xml:space="preserve">Clock security system on HSE loss</t>
  </si>
  <si>
    <t xml:space="preserve">Clock security system on HSE loss: NMI and reset</t>
  </si>
  <si>
    <t xml:space="preserve">Annex D, Table D.9 (clock): CSS for clock loss, high for stop; does not detect drift</t>
  </si>
  <si>
    <t xml:space="preserve">TSR-504</t>
  </si>
  <si>
    <t xml:space="preserve">panda/board/stm32h7/clock.h</t>
  </si>
  <si>
    <t xml:space="preserve">FMD-SM-007</t>
  </si>
  <si>
    <t xml:space="preserve">Independent window watchdog (IWDG from LSI), 90 ms, fed only</t>
  </si>
  <si>
    <t xml:space="preserve">Independent window watchdog (IWDG from LSI), 90 ms, fed only after safety-task and main-loop progress; reset releases the relay</t>
  </si>
  <si>
    <t xml:space="preserve">Annex D, Table D.10 (processing units): watchdog with separate time base and time window, medium; HIL not run. Credit provisional: the lead accepts it in place of the interim residuals once an independent reviewer checks it and the LSI tolerance (DQ-114); HIL fault injection deferred with the bench (DQ-049)</t>
  </si>
  <si>
    <t xml:space="preserve">TSR-501</t>
  </si>
  <si>
    <t xml:space="preserve">panda/board/drivers/hw_watchdog.h</t>
  </si>
  <si>
    <t xml:space="preserve">HW Element</t>
  </si>
  <si>
    <t xml:space="preserve">Part</t>
  </si>
  <si>
    <t xml:space="preserve">Element FIT</t>
  </si>
  <si>
    <t xml:space="preserve">Row ID</t>
  </si>
  <si>
    <t xml:space="preserve">Failure mode</t>
  </si>
  <si>
    <t xml:space="preserve">Distribution %</t>
  </si>
  <si>
    <t xml:space="preserve">Lambda (FIT)</t>
  </si>
  <si>
    <t xml:space="preserve">Violates SG directly</t>
  </si>
  <si>
    <t xml:space="preserve">MPF potential</t>
  </si>
  <si>
    <t xml:space="preserve">Safety mechanism</t>
  </si>
  <si>
    <t xml:space="preserve">DC %</t>
  </si>
  <si>
    <t xml:space="preserve">Coverage for</t>
  </si>
  <si>
    <t xml:space="preserve">Lambda S</t>
  </si>
  <si>
    <t xml:space="preserve">Lambda SPF</t>
  </si>
  <si>
    <t xml:space="preserve">Lambda RF</t>
  </si>
  <si>
    <t xml:space="preserve">Lambda MPF_L</t>
  </si>
  <si>
    <t xml:space="preserve">Classification</t>
  </si>
  <si>
    <t xml:space="preserve">DFMEA ref</t>
  </si>
  <si>
    <t xml:space="preserve">Other goals</t>
  </si>
  <si>
    <t xml:space="preserve">Notes</t>
  </si>
  <si>
    <t xml:space="preserve">FMD-001</t>
  </si>
  <si>
    <t xml:space="preserve">Hang or unexpected exception with the relay driven (forwarding stops)</t>
  </si>
  <si>
    <t xml:space="preserve">single-point</t>
  </si>
  <si>
    <t xml:space="preserve">DFM-004</t>
  </si>
  <si>
    <t xml:space="preserve">Watchdog reset releases the relay (if the drive circuit is de-energise-to-safe, UK-06). For SG-02/SG-06 (DQ-362): actuation lost, warning from the host (FTA BE-2.06)</t>
  </si>
  <si>
    <t xml:space="preserve">FMD-002</t>
  </si>
  <si>
    <t xml:space="preserve">Wrong forwarding decision (stock PCS frame dropped while forwarding runs)</t>
  </si>
  <si>
    <t xml:space="preserve">DFM-001</t>
  </si>
  <si>
    <t xml:space="preserve">No mechanism compares forwarded with received frames</t>
  </si>
  <si>
    <t xml:space="preserve">FMD-003</t>
  </si>
  <si>
    <t xml:space="preserve">Other faults without effect on forwarding</t>
  </si>
  <si>
    <t xml:space="preserve">FMD-004</t>
  </si>
  <si>
    <t xml:space="preserve">Single-bit error</t>
  </si>
  <si>
    <t xml:space="preserve">latent</t>
  </si>
  <si>
    <t xml:space="preserve">DFM-002</t>
  </si>
  <si>
    <t xml:space="preserve">FMD-005</t>
  </si>
  <si>
    <t xml:space="preserve">Multi-bit error causing a hang with the relay driven</t>
  </si>
  <si>
    <t xml:space="preserve">FMD-006</t>
  </si>
  <si>
    <t xml:space="preserve">Multi-bit error in the forwarding table or code</t>
  </si>
  <si>
    <t xml:space="preserve">Wrong blocking of a PCS message; boot signature finds permanent faults at the next power-up</t>
  </si>
  <si>
    <t xml:space="preserve">FMD-007</t>
  </si>
  <si>
    <t xml:space="preserve">Single-bit upset</t>
  </si>
  <si>
    <t xml:space="preserve">DFM-003</t>
  </si>
  <si>
    <t xml:space="preserve">FMD-008</t>
  </si>
  <si>
    <t xml:space="preserve">Multi-bit upset leading to a hang with the relay driven</t>
  </si>
  <si>
    <t xml:space="preserve">FMD-009</t>
  </si>
  <si>
    <t xml:space="preserve">Multi-bit upset elsewhere (single dropped frame)</t>
  </si>
  <si>
    <t xml:space="preserve">PCS messages repeat; one lost frame is tolerated</t>
  </si>
  <si>
    <t xml:space="preserve">FMD-010</t>
  </si>
  <si>
    <t xml:space="preserve">Oscillation stops</t>
  </si>
  <si>
    <t xml:space="preserve">DFM-005</t>
  </si>
  <si>
    <t xml:space="preserve">CSS reset releases the relay</t>
  </si>
  <si>
    <t xml:space="preserve">FMD-011</t>
  </si>
  <si>
    <t xml:space="preserve">Frequency drift beyond CAN bit-timing tolerance (forwarding fails with the relay driven)</t>
  </si>
  <si>
    <t xml:space="preserve">FMD-012</t>
  </si>
  <si>
    <t xml:space="preserve">Small drift without effect</t>
  </si>
  <si>
    <t xml:space="preserve">FMD-013</t>
  </si>
  <si>
    <t xml:space="preserve">Loss of supply</t>
  </si>
  <si>
    <t xml:space="preserve">DFM-007</t>
  </si>
  <si>
    <t xml:space="preserve">Relay de-energises (stock path restored), if de-energise-to-safe (UK-03)</t>
  </si>
  <si>
    <t xml:space="preserve">FMD-014</t>
  </si>
  <si>
    <t xml:space="preserve">Brown-out zone or over-voltage with the relay driven</t>
  </si>
  <si>
    <t xml:space="preserve">Watchdog catches a resulting hang, not wrong forwarding</t>
  </si>
  <si>
    <t xml:space="preserve">FMD-015</t>
  </si>
  <si>
    <t xml:space="preserve">Ripple or noise</t>
  </si>
  <si>
    <t xml:space="preserve">FMD-016</t>
  </si>
  <si>
    <t xml:space="preserve">TX stuck dominant (blocks the joined bus when the relay is released)</t>
  </si>
  <si>
    <t xml:space="preserve">DFM-008</t>
  </si>
  <si>
    <t xml:space="preserve">No mechanism; a stuck transceiver also disturbs the stock path (WP-H-03 FM-CAN-03)</t>
  </si>
  <si>
    <t xml:space="preserve">FMD-017</t>
  </si>
  <si>
    <t xml:space="preserve">RX open (camera frames not received for forwarding)</t>
  </si>
  <si>
    <t xml:space="preserve">DFM-009</t>
  </si>
  <si>
    <t xml:space="preserve">With the relay driven, camera messages are lost; RX checks cover car-side messages only</t>
  </si>
  <si>
    <t xml:space="preserve">FMD-018</t>
  </si>
  <si>
    <t xml:space="preserve">Other</t>
  </si>
  <si>
    <t xml:space="preserve">FMD-019</t>
  </si>
  <si>
    <t xml:space="preserve">Stuck in intercept, or IN input damaged high</t>
  </si>
  <si>
    <t xml:space="preserve">DFM-010</t>
  </si>
  <si>
    <t xml:space="preserve">No readback (TSR-506, DFM-ACT-007)</t>
  </si>
  <si>
    <t xml:space="preserve">FMD-021</t>
  </si>
  <si>
    <t xml:space="preserve">Stuck in pass-through</t>
  </si>
  <si>
    <t xml:space="preserve">DFM-011</t>
  </si>
  <si>
    <t xml:space="preserve">Stock path stays connected: safe for SG-009</t>
  </si>
  <si>
    <t xml:space="preserve">FMD-022</t>
  </si>
  <si>
    <t xml:space="preserve">Channel open, increased on-resistance, leakage or latch-up in the stock path</t>
  </si>
  <si>
    <t xml:space="preserve">DFM-013</t>
  </si>
  <si>
    <t xml:space="preserve">Installation check only (DFM-ACT-008); no in-field detection of the stock path</t>
  </si>
  <si>
    <t xml:space="preserve">FMD-020</t>
  </si>
  <si>
    <t xml:space="preserve">Driver stuck on (SBU1 held high)</t>
  </si>
  <si>
    <t xml:space="preserve">No readback; a watchdog reset does not release a shorted driver</t>
  </si>
  <si>
    <t xml:space="preserve">FMD-027</t>
  </si>
  <si>
    <t xml:space="preserve">Driver open (SBU1 undriven)</t>
  </si>
  <si>
    <t xml:space="preserve">Pull-down selects pass-through: safe for SG-009</t>
  </si>
  <si>
    <t xml:space="preserve">FMD-028</t>
  </si>
  <si>
    <t xml:space="preserve">Open (IN floats when SBU1 is undriven)</t>
  </si>
  <si>
    <t xml:space="preserve">Latent: violates SG-009 only together with a device that stops driving SBU1 while intercepting (reset, hang); no check (HWSR-506e)</t>
  </si>
  <si>
    <t xml:space="preserve">FMD-029</t>
  </si>
  <si>
    <t xml:space="preserve">Short (SBU1 held low)</t>
  </si>
  <si>
    <t xml:space="preserve">Pass-through: safe for SG-009</t>
  </si>
  <si>
    <t xml:space="preserve">FMD-030</t>
  </si>
  <si>
    <t xml:space="preserve">D1 open: box unpowered without comma power</t>
  </si>
  <si>
    <t xml:space="preserve">DFM-020</t>
  </si>
  <si>
    <t xml:space="preserve">Switch unpowered, pass-through not guaranteed (RR-2026-010 F-02, to confirm on the bench). The device loses power with the box, so for SG-02/SG-06 (DQ-362) actuation is lost and only the host can warn (FTA BE-2.07, DFM-020)</t>
  </si>
  <si>
    <t xml:space="preserve">FMD-031</t>
  </si>
  <si>
    <t xml:space="preserve">D4 short: box VIN to ground</t>
  </si>
  <si>
    <t xml:space="preserve">As FMD-030</t>
  </si>
  <si>
    <t xml:space="preserve">FMD-032</t>
  </si>
  <si>
    <t xml:space="preserve">Other (D1 short, D4 open: protection lost)</t>
  </si>
  <si>
    <t xml:space="preserve">Latent loss of reverse or transient protection</t>
  </si>
  <si>
    <t xml:space="preserve">FMD-033</t>
  </si>
  <si>
    <t xml:space="preserve">Short or leakage on a CAN line</t>
  </si>
  <si>
    <t xml:space="preserve">DFM-021</t>
  </si>
  <si>
    <t xml:space="preserve">Car or camera bus loaded in either switch state (RR-2026-010 F-07). The harness box SPICE pilot (PR #510; idealised model, generic transceivers; a prediction, no credit) splits the mode: a lower-diode short to GND on CAN_H loses dominant bits; an upper-diode short to VIN holds the line near 13 V, outside the receiver common-mode range; CAN_L to GND and 1 kOhm leakage leave readable levels. A D3 short on camera CAN_H to GND also stops the joined stock bus in pass-through. The whole mode stays single-point until VS-HW-24 (d) measures the split on a real box</t>
  </si>
  <si>
    <t xml:space="preserve">FMD-034</t>
  </si>
  <si>
    <t xml:space="preserve">Open (clamp lost)</t>
  </si>
  <si>
    <t xml:space="preserve">Latent loss of bus protection</t>
  </si>
  <si>
    <t xml:space="preserve">FMD-023</t>
  </si>
  <si>
    <t xml:space="preserve">Open in the stock camera path</t>
  </si>
  <si>
    <t xml:space="preserve">Installation check only (DFM-ACT-008)</t>
  </si>
  <si>
    <t xml:space="preserve">FMD-024</t>
  </si>
  <si>
    <t xml:space="preserve">Connector loose (whole device off the bus)</t>
  </si>
  <si>
    <t xml:space="preserve">DFM-012</t>
  </si>
  <si>
    <t xml:space="preserve">SBU1 undriven, the pull-down selects pass-through and the stock path is restored, if the box stays powered</t>
  </si>
  <si>
    <t xml:space="preserve">FMD-025</t>
  </si>
  <si>
    <t xml:space="preserve">Watchdog does not expire (LSI stopped, IWDG fault)</t>
  </si>
  <si>
    <t xml:space="preserve">DFM-006</t>
  </si>
  <si>
    <t xml:space="preserve">Latent until a hang occurs; no periodic proof of the reset path</t>
  </si>
  <si>
    <t xml:space="preserve">FMD-026</t>
  </si>
  <si>
    <t xml:space="preserve">Spurious early reset</t>
  </si>
  <si>
    <t xml:space="preserve">Releases the relay: safe for SG-009 (SG-003 effect, SW FMEA SWF-019)</t>
  </si>
  <si>
    <t xml:space="preserve">Goal</t>
  </si>
  <si>
    <t xml:space="preserve">Own SPF</t>
  </si>
  <si>
    <t xml:space="preserve">Own RF</t>
  </si>
  <si>
    <t xml:space="preserve">Own MPF_L</t>
  </si>
  <si>
    <t xml:space="preserve">Reason</t>
  </si>
  <si>
    <t xml:space="preserve">(none: every row classifies the same for every target goal)</t>
  </si>
  <si>
    <t xml:space="preserve">Safety goal</t>
  </si>
  <si>
    <t xml:space="preserve">ASIL</t>
  </si>
  <si>
    <t xml:space="preserve">Σ(λ_SPF + λ_RF) FIT</t>
  </si>
  <si>
    <t xml:space="preserve">Σ(λ_safety_related) FIT</t>
  </si>
  <si>
    <t xml:space="preserve">SPFM</t>
  </si>
  <si>
    <t xml:space="preserve">Target</t>
  </si>
  <si>
    <t xml:space="preserve">SG-07</t>
  </si>
  <si>
    <t xml:space="preserve">B</t>
  </si>
  <si>
    <t xml:space="preserve">Σ(λ_MPF_L) FIT</t>
  </si>
  <si>
    <t xml:space="preserve">Σλ − Σ(λ_SPF + λ_RF) FIT</t>
  </si>
  <si>
    <t xml:space="preserve">LFM</t>
  </si>
  <si>
    <t xml:space="preserve">λ_SPF + λ_RF (FIT)</t>
  </si>
  <si>
    <t xml:space="preserve">Target (FIT, below)</t>
  </si>
  <si>
    <t xml:space="preserve">Note</t>
  </si>
  <si>
    <t xml:space="preserve">Single-point and residual part only; the dual-point term (λ_MPF_L × exposure) is not included</t>
  </si>
  <si>
    <t xml:space="preserve">Metrics per goal (FMEDA — SG-009 stock AEB availability (relay and forwarding path), generic failure rates); generic failure rates, not evidence of compliance</t>
  </si>
  <si>
    <t xml:space="preserve">SPFM target</t>
  </si>
  <si>
    <t xml:space="preserve">LFM target</t>
  </si>
  <si>
    <t xml:space="preserve">PMHF target (FIT)</t>
  </si>
  <si>
    <t xml:space="preserve">Total FIT (safety related)</t>
  </si>
  <si>
    <t xml:space="preserve">Item</t>
  </si>
  <si>
    <t xml:space="preserve">OI-1</t>
  </si>
  <si>
    <t xml:space="preserve">FMD-002 (FMD-C-001): single-point fault without a safety mechanism: Wrong forwarding decision (stock PCS frame dropped while forwarding runs)</t>
  </si>
  <si>
    <t xml:space="preserve">Open</t>
  </si>
  <si>
    <t xml:space="preserve">OI-2</t>
  </si>
  <si>
    <t xml:space="preserve">FMD-011 (FMD-C-004): single-point fault without a safety mechanism: Frequency drift beyond CAN bit-timing tolerance (forwarding fails with the relay driven)</t>
  </si>
  <si>
    <t xml:space="preserve">OI-3</t>
  </si>
  <si>
    <t xml:space="preserve">FMD-016 (FMD-C-006): single-point fault without a safety mechanism: TX stuck dominant (blocks the joined bus when the relay is released)</t>
  </si>
  <si>
    <t xml:space="preserve">OI-4</t>
  </si>
  <si>
    <t xml:space="preserve">FMD-017 (FMD-C-006): single-point fault without a safety mechanism: RX open (camera frames not received for forwarding)</t>
  </si>
  <si>
    <t xml:space="preserve">OI-5</t>
  </si>
  <si>
    <t xml:space="preserve">FMD-019 (FMD-C-007): single-point fault without a safety mechanism: Stuck in intercept, or IN input damaged high</t>
  </si>
  <si>
    <t xml:space="preserve">OI-6</t>
  </si>
  <si>
    <t xml:space="preserve">FMD-022 (FMD-C-007): single-point fault without a safety mechanism: Channel open, increased on-resistance, leakage or latch-up in the stock path</t>
  </si>
  <si>
    <t xml:space="preserve">OI-7</t>
  </si>
  <si>
    <t xml:space="preserve">FMD-020 (FMD-C-010): single-point fault without a safety mechanism: Driver stuck on (SBU1 held high)</t>
  </si>
  <si>
    <t xml:space="preserve">OI-8</t>
  </si>
  <si>
    <t xml:space="preserve">FMD-028 (FMD-C-011): latent fault without coverage: Open (IN floats when SBU1 is undriven)</t>
  </si>
  <si>
    <t xml:space="preserve">OI-9</t>
  </si>
  <si>
    <t xml:space="preserve">FMD-030 (FMD-C-012): single-point fault without a safety mechanism: D1 open: box unpowered without comma power</t>
  </si>
  <si>
    <t xml:space="preserve">OI-10</t>
  </si>
  <si>
    <t xml:space="preserve">FMD-031 (FMD-C-012): single-point fault without a safety mechanism: D4 short: box VIN to ground</t>
  </si>
  <si>
    <t xml:space="preserve">OI-11</t>
  </si>
  <si>
    <t xml:space="preserve">FMD-032 (FMD-C-012): latent fault without coverage: Other (D1 short, D4 open: protection lost)</t>
  </si>
  <si>
    <t xml:space="preserve">OI-12</t>
  </si>
  <si>
    <t xml:space="preserve">FMD-033 (FMD-C-013): single-point fault without a safety mechanism: Short or leakage on a CAN line</t>
  </si>
  <si>
    <t xml:space="preserve">OI-13</t>
  </si>
  <si>
    <t xml:space="preserve">FMD-034 (FMD-C-013): latent fault without coverage: Open (clamp lost)</t>
  </si>
  <si>
    <t xml:space="preserve">OI-14</t>
  </si>
  <si>
    <t xml:space="preserve">FMD-023 (FMD-C-008): single-point fault without a safety mechanism: Open in the stock camera path</t>
  </si>
  <si>
    <t xml:space="preserve">OI-15</t>
  </si>
  <si>
    <t xml:space="preserve">FMD-025 (FMD-C-009): latent fault without coverage: Watchdog does not expire (LSI stopped, IWDG fault)</t>
  </si>
  <si>
    <t xml:space="preserve">OI-16</t>
  </si>
  <si>
    <t xml:space="preserve">12 of 13 failure rates are generic estimates: replace with handbook or supplier values per part (WP-H-03 §2.3, OI-10)</t>
  </si>
  <si>
    <t xml:space="preserve">OI-17</t>
  </si>
  <si>
    <t xml:space="preserve">No rate is converted to the mission profile (IEC 61709)</t>
  </si>
  <si>
    <t xml:space="preserve">OI-18</t>
  </si>
  <si>
    <t xml:space="preserve">Dual-point PMHF term not computed</t>
  </si>
  <si>
    <t xml:space="preserve">Reference</t>
  </si>
  <si>
    <t xml:space="preserve">Use</t>
  </si>
  <si>
    <t xml:space="preserve">assurance/04-hardware/WP-H-02-hardware-design.md</t>
  </si>
  <si>
    <t xml:space="preserve">Basis</t>
  </si>
  <si>
    <t xml:space="preserve">assurance/04-hardware/WP-H-03-hardware-safety-analysis-fmeda.md</t>
  </si>
  <si>
    <t xml:space="preserve">assurance/08-analyses/fmea/analyses/dfmea.yaml</t>
  </si>
  <si>
    <t xml:space="preserve">assurance/08-analyses/fmea/rating-tables.md</t>
  </si>
  <si>
    <t xml:space="preserve">ISO 26262-5:2018 §8-9 and Annex D; ISO 26262-11:2018 §4.6 (semiconductors)</t>
  </si>
  <si>
    <t xml:space="preserve">assurance/08-analyses/fmea/analyses/fmeda-sg009.yaml</t>
  </si>
  <si>
    <t xml:space="preserve">Source of truth</t>
  </si>
</sst>
</file>

<file path=xl/styles.xml><?xml version="1.0" encoding="utf-8"?>
<styleSheet xmlns="http://schemas.openxmlformats.org/spreadsheetml/2006/main">
  <numFmts count="2">
    <numFmt numFmtId="164" formatCode="General"/>
    <numFmt numFmtId="165" formatCode="General"/>
  </numFmts>
  <fonts count="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28"/>
    <col collapsed="false" customWidth="true" hidden="false" outlineLevel="0" max="3" min="3" style="0" width="110"/>
  </cols>
  <sheetData>
    <row r="1" customFormat="false" ht="17.35" hidden="false" customHeight="false" outlineLevel="0" collapsed="false">
      <c r="A1" s="1" t="s">
        <v>0</v>
      </c>
    </row>
    <row r="3" customFormat="false" ht="15" hidden="false" customHeight="false" outlineLevel="0" collapsed="false">
      <c r="B3" s="2" t="s">
        <v>1</v>
      </c>
      <c r="C3" s="3" t="s">
        <v>2</v>
      </c>
    </row>
    <row r="4" customFormat="false" ht="15" hidden="false" customHeight="false" outlineLevel="0" collapsed="false">
      <c r="B4" s="2" t="s">
        <v>3</v>
      </c>
      <c r="C4" s="3" t="s">
        <v>4</v>
      </c>
    </row>
    <row r="5" customFormat="false" ht="15" hidden="false" customHeight="false" outlineLevel="0" collapsed="false">
      <c r="B5" s="2" t="s">
        <v>5</v>
      </c>
      <c r="C5" s="3" t="s">
        <v>6</v>
      </c>
    </row>
    <row r="6" customFormat="false" ht="15" hidden="false" customHeight="false" outlineLevel="0" collapsed="false">
      <c r="B6" s="2" t="s">
        <v>7</v>
      </c>
      <c r="C6" s="3" t="s">
        <v>8</v>
      </c>
    </row>
    <row r="7" customFormat="false" ht="15" hidden="false" customHeight="false" outlineLevel="0" collapsed="false">
      <c r="B7" s="2" t="s">
        <v>9</v>
      </c>
      <c r="C7" s="3" t="s">
        <v>10</v>
      </c>
    </row>
    <row r="8" customFormat="false" ht="15" hidden="false" customHeight="false" outlineLevel="0" collapsed="false">
      <c r="B8" s="2" t="s">
        <v>11</v>
      </c>
      <c r="C8" s="3" t="s">
        <v>12</v>
      </c>
    </row>
    <row r="9" customFormat="false" ht="15" hidden="false" customHeight="false" outlineLevel="0" collapsed="false">
      <c r="B9" s="2" t="s">
        <v>13</v>
      </c>
      <c r="C9" s="3" t="s">
        <v>14</v>
      </c>
    </row>
    <row r="10" customFormat="false" ht="15" hidden="false" customHeight="false" outlineLevel="0" collapsed="false">
      <c r="B10" s="2" t="s">
        <v>15</v>
      </c>
      <c r="C10" s="3" t="s">
        <v>16</v>
      </c>
    </row>
    <row r="11" customFormat="false" ht="15" hidden="false" customHeight="false" outlineLevel="0" collapsed="false">
      <c r="B11" s="2" t="s">
        <v>17</v>
      </c>
      <c r="C11" s="3" t="s">
        <v>18</v>
      </c>
    </row>
    <row r="12" customFormat="false" ht="15" hidden="false" customHeight="false" outlineLevel="0" collapsed="false">
      <c r="B12" s="2" t="s">
        <v>19</v>
      </c>
      <c r="C12" s="3" t="s">
        <v>20</v>
      </c>
    </row>
    <row r="13" customFormat="false" ht="28.35" hidden="false" customHeight="false" outlineLevel="0" collapsed="false">
      <c r="B13" s="2" t="s">
        <v>21</v>
      </c>
      <c r="C13"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4" min="4" style="0" width="100"/>
  </cols>
  <sheetData>
    <row r="1" customFormat="false" ht="15" hidden="false" customHeight="false" outlineLevel="0" collapsed="false">
      <c r="A1" s="4" t="s">
        <v>5</v>
      </c>
      <c r="B1" s="4" t="s">
        <v>23</v>
      </c>
      <c r="C1" s="4" t="s">
        <v>15</v>
      </c>
      <c r="D1" s="4" t="s">
        <v>24</v>
      </c>
    </row>
    <row r="2" customFormat="false" ht="55.2" hidden="false" customHeight="false" outlineLevel="0" collapsed="false">
      <c r="A2" s="3" t="s">
        <v>25</v>
      </c>
      <c r="B2" s="3" t="s">
        <v>26</v>
      </c>
      <c r="C2" s="3" t="s">
        <v>16</v>
      </c>
      <c r="D2" s="3" t="s">
        <v>27</v>
      </c>
    </row>
    <row r="3" customFormat="false" ht="55.2" hidden="false" customHeight="false" outlineLevel="0" collapsed="false">
      <c r="A3" s="3" t="s">
        <v>28</v>
      </c>
      <c r="B3" s="3" t="s">
        <v>29</v>
      </c>
      <c r="C3" s="3" t="s">
        <v>16</v>
      </c>
      <c r="D3" s="3" t="s">
        <v>30</v>
      </c>
    </row>
    <row r="4" customFormat="false" ht="55.2" hidden="false" customHeight="false" outlineLevel="0" collapsed="false">
      <c r="A4" s="3" t="s">
        <v>31</v>
      </c>
      <c r="B4" s="3" t="s">
        <v>32</v>
      </c>
      <c r="C4" s="3" t="s">
        <v>16</v>
      </c>
      <c r="D4" s="3" t="s">
        <v>33</v>
      </c>
    </row>
    <row r="5" customFormat="false" ht="55.2" hidden="false" customHeight="false" outlineLevel="0" collapsed="false">
      <c r="A5" s="3" t="s">
        <v>34</v>
      </c>
      <c r="B5" s="3" t="s">
        <v>35</v>
      </c>
      <c r="C5" s="3" t="s">
        <v>16</v>
      </c>
      <c r="D5" s="3" t="s">
        <v>36</v>
      </c>
    </row>
    <row r="6" customFormat="false" ht="55.2" hidden="false" customHeight="false" outlineLevel="0" collapsed="false">
      <c r="A6" s="3" t="s">
        <v>37</v>
      </c>
      <c r="B6" s="3" t="s">
        <v>38</v>
      </c>
      <c r="C6" s="3" t="s">
        <v>16</v>
      </c>
      <c r="D6" s="3" t="s">
        <v>39</v>
      </c>
    </row>
    <row r="7" customFormat="false" ht="55.2" hidden="false" customHeight="false" outlineLevel="0" collapsed="false">
      <c r="A7" s="3" t="s">
        <v>40</v>
      </c>
      <c r="B7" s="3" t="s">
        <v>41</v>
      </c>
      <c r="C7" s="3" t="s">
        <v>16</v>
      </c>
      <c r="D7" s="3" t="s">
        <v>42</v>
      </c>
    </row>
    <row r="8" customFormat="false" ht="55.2" hidden="false" customHeight="false" outlineLevel="0" collapsed="false">
      <c r="A8" s="3" t="s">
        <v>43</v>
      </c>
      <c r="B8" s="3" t="s">
        <v>41</v>
      </c>
      <c r="C8" s="3" t="s">
        <v>16</v>
      </c>
      <c r="D8" s="3" t="s">
        <v>44</v>
      </c>
    </row>
    <row r="9" customFormat="false" ht="55.2" hidden="false" customHeight="false" outlineLevel="0" collapsed="false">
      <c r="A9" s="3" t="s">
        <v>6</v>
      </c>
      <c r="B9" s="3" t="s">
        <v>45</v>
      </c>
      <c r="C9" s="3" t="s">
        <v>16</v>
      </c>
      <c r="D9" s="3" t="s">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28"/>
    <col collapsed="false" customWidth="true" hidden="false" outlineLevel="0" max="3" min="3" style="0" width="110"/>
  </cols>
  <sheetData>
    <row r="1" customFormat="false" ht="41.75" hidden="false" customHeight="false" outlineLevel="0" collapsed="false">
      <c r="B1" s="2" t="s">
        <v>47</v>
      </c>
      <c r="C1" s="3" t="s">
        <v>48</v>
      </c>
    </row>
    <row r="2" customFormat="false" ht="41.75" hidden="false" customHeight="false" outlineLevel="0" collapsed="false">
      <c r="B2" s="2" t="s">
        <v>49</v>
      </c>
      <c r="C2" s="3" t="s">
        <v>50</v>
      </c>
    </row>
    <row r="3" customFormat="false" ht="15" hidden="false" customHeight="false" outlineLevel="0" collapsed="false">
      <c r="B3" s="2" t="s">
        <v>51</v>
      </c>
      <c r="C3" s="3" t="s">
        <v>52</v>
      </c>
    </row>
    <row r="4" customFormat="false" ht="41.75" hidden="false" customHeight="false" outlineLevel="0" collapsed="false">
      <c r="B4" s="2" t="s">
        <v>53</v>
      </c>
      <c r="C4" s="3" t="s">
        <v>54</v>
      </c>
    </row>
    <row r="5" customFormat="false" ht="28.35" hidden="false" customHeight="false" outlineLevel="0" collapsed="false">
      <c r="B5" s="2" t="s">
        <v>55</v>
      </c>
      <c r="C5" s="3" t="s">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0"/>
    <col collapsed="false" customWidth="true" hidden="false" outlineLevel="0" max="3" min="3" style="0" width="18"/>
    <col collapsed="false" customWidth="true" hidden="false" outlineLevel="0" max="4" min="4" style="0" width="8"/>
    <col collapsed="false" customWidth="true" hidden="false" outlineLevel="0" max="5" min="5" style="0" width="10"/>
    <col collapsed="false" customWidth="true" hidden="false" outlineLevel="0" max="6" min="6" style="0" width="14"/>
    <col collapsed="false" customWidth="true" hidden="false" outlineLevel="0" max="7" min="7" style="0" width="11"/>
    <col collapsed="false" customWidth="true" hidden="false" outlineLevel="0" max="8" min="8" style="0" width="36"/>
    <col collapsed="false" customWidth="true" hidden="false" outlineLevel="0" max="9" min="9" style="0" width="10"/>
    <col collapsed="false" customWidth="true" hidden="false" outlineLevel="0" max="10" min="10" style="0" width="12"/>
    <col collapsed="false" customWidth="true" hidden="false" outlineLevel="0" max="11" min="11" style="0" width="70"/>
    <col collapsed="false" customWidth="true" hidden="false" outlineLevel="0" max="12" min="12" style="0" width="40"/>
  </cols>
  <sheetData>
    <row r="1" customFormat="false" ht="41.75" hidden="false" customHeight="false" outlineLevel="0" collapsed="false">
      <c r="A1" s="4" t="s">
        <v>57</v>
      </c>
      <c r="B1" s="4" t="s">
        <v>58</v>
      </c>
      <c r="C1" s="4" t="s">
        <v>59</v>
      </c>
      <c r="D1" s="4" t="s">
        <v>60</v>
      </c>
      <c r="E1" s="4" t="s">
        <v>61</v>
      </c>
      <c r="F1" s="4" t="s">
        <v>62</v>
      </c>
      <c r="G1" s="4" t="s">
        <v>63</v>
      </c>
      <c r="H1" s="4" t="s">
        <v>64</v>
      </c>
      <c r="I1" s="4" t="s">
        <v>65</v>
      </c>
      <c r="J1" s="4" t="s">
        <v>66</v>
      </c>
      <c r="K1" s="4" t="s">
        <v>67</v>
      </c>
      <c r="L1" s="4" t="s">
        <v>68</v>
      </c>
    </row>
    <row r="2" customFormat="false" ht="41.75" hidden="false" customHeight="false" outlineLevel="0" collapsed="false">
      <c r="A2" s="3" t="s">
        <v>69</v>
      </c>
      <c r="B2" s="3" t="s">
        <v>70</v>
      </c>
      <c r="C2" s="3" t="s">
        <v>71</v>
      </c>
      <c r="D2" s="3" t="n">
        <v>50</v>
      </c>
      <c r="E2" s="3" t="s">
        <v>72</v>
      </c>
      <c r="F2" s="3" t="s">
        <v>73</v>
      </c>
      <c r="G2" s="3" t="s">
        <v>74</v>
      </c>
      <c r="H2" s="3"/>
      <c r="I2" s="3"/>
      <c r="J2" s="3" t="s">
        <v>75</v>
      </c>
      <c r="K2" s="3" t="s">
        <v>76</v>
      </c>
      <c r="L2" s="3"/>
    </row>
    <row r="3" customFormat="false" ht="41.75" hidden="false" customHeight="false" outlineLevel="0" collapsed="false">
      <c r="A3" s="3" t="s">
        <v>77</v>
      </c>
      <c r="B3" s="3" t="s">
        <v>78</v>
      </c>
      <c r="C3" s="3" t="s">
        <v>71</v>
      </c>
      <c r="D3" s="3" t="n">
        <v>20</v>
      </c>
      <c r="E3" s="3" t="s">
        <v>72</v>
      </c>
      <c r="F3" s="3" t="s">
        <v>73</v>
      </c>
      <c r="G3" s="3" t="s">
        <v>74</v>
      </c>
      <c r="H3" s="3"/>
      <c r="I3" s="3"/>
      <c r="J3" s="3" t="s">
        <v>75</v>
      </c>
      <c r="K3" s="3" t="s">
        <v>76</v>
      </c>
      <c r="L3" s="3"/>
    </row>
    <row r="4" customFormat="false" ht="41.75" hidden="false" customHeight="false" outlineLevel="0" collapsed="false">
      <c r="A4" s="3" t="s">
        <v>79</v>
      </c>
      <c r="B4" s="3" t="s">
        <v>80</v>
      </c>
      <c r="C4" s="3" t="s">
        <v>71</v>
      </c>
      <c r="D4" s="3" t="n">
        <v>100</v>
      </c>
      <c r="E4" s="3" t="s">
        <v>72</v>
      </c>
      <c r="F4" s="3" t="s">
        <v>73</v>
      </c>
      <c r="G4" s="3" t="s">
        <v>74</v>
      </c>
      <c r="H4" s="3"/>
      <c r="I4" s="3"/>
      <c r="J4" s="3" t="s">
        <v>75</v>
      </c>
      <c r="K4" s="3" t="s">
        <v>76</v>
      </c>
      <c r="L4" s="3"/>
    </row>
    <row r="5" customFormat="false" ht="41.75" hidden="false" customHeight="false" outlineLevel="0" collapsed="false">
      <c r="A5" s="3" t="s">
        <v>81</v>
      </c>
      <c r="B5" s="3" t="s">
        <v>82</v>
      </c>
      <c r="C5" s="3" t="s">
        <v>71</v>
      </c>
      <c r="D5" s="3" t="n">
        <v>10</v>
      </c>
      <c r="E5" s="3" t="s">
        <v>72</v>
      </c>
      <c r="F5" s="3" t="s">
        <v>83</v>
      </c>
      <c r="G5" s="3" t="s">
        <v>74</v>
      </c>
      <c r="H5" s="3"/>
      <c r="I5" s="3"/>
      <c r="J5" s="3" t="s">
        <v>75</v>
      </c>
      <c r="K5" s="3" t="s">
        <v>76</v>
      </c>
      <c r="L5" s="3"/>
    </row>
    <row r="6" customFormat="false" ht="41.75" hidden="false" customHeight="false" outlineLevel="0" collapsed="false">
      <c r="A6" s="3" t="s">
        <v>84</v>
      </c>
      <c r="B6" s="3" t="s">
        <v>85</v>
      </c>
      <c r="C6" s="3" t="s">
        <v>71</v>
      </c>
      <c r="D6" s="3" t="n">
        <v>15</v>
      </c>
      <c r="E6" s="3" t="s">
        <v>72</v>
      </c>
      <c r="F6" s="3" t="s">
        <v>86</v>
      </c>
      <c r="G6" s="3" t="s">
        <v>74</v>
      </c>
      <c r="H6" s="3"/>
      <c r="I6" s="3"/>
      <c r="J6" s="3" t="s">
        <v>75</v>
      </c>
      <c r="K6" s="3" t="s">
        <v>76</v>
      </c>
      <c r="L6" s="3"/>
    </row>
    <row r="7" customFormat="false" ht="41.75" hidden="false" customHeight="false" outlineLevel="0" collapsed="false">
      <c r="A7" s="3" t="s">
        <v>87</v>
      </c>
      <c r="B7" s="3" t="s">
        <v>88</v>
      </c>
      <c r="C7" s="3" t="s">
        <v>71</v>
      </c>
      <c r="D7" s="3" t="n">
        <v>20</v>
      </c>
      <c r="E7" s="3" t="s">
        <v>72</v>
      </c>
      <c r="F7" s="3" t="s">
        <v>89</v>
      </c>
      <c r="G7" s="3" t="s">
        <v>74</v>
      </c>
      <c r="H7" s="3"/>
      <c r="I7" s="3"/>
      <c r="J7" s="3" t="s">
        <v>75</v>
      </c>
      <c r="K7" s="3" t="s">
        <v>76</v>
      </c>
      <c r="L7" s="3"/>
    </row>
    <row r="8" customFormat="false" ht="122.35" hidden="false" customHeight="false" outlineLevel="0" collapsed="false">
      <c r="A8" s="3" t="s">
        <v>90</v>
      </c>
      <c r="B8" s="3" t="s">
        <v>91</v>
      </c>
      <c r="C8" s="3" t="s">
        <v>92</v>
      </c>
      <c r="D8" s="3" t="n">
        <v>50</v>
      </c>
      <c r="E8" s="3" t="s">
        <v>72</v>
      </c>
      <c r="F8" s="3" t="s">
        <v>93</v>
      </c>
      <c r="G8" s="3" t="s">
        <v>94</v>
      </c>
      <c r="H8" s="3" t="s">
        <v>95</v>
      </c>
      <c r="I8" s="3" t="n">
        <v>55</v>
      </c>
      <c r="J8" s="3" t="s">
        <v>75</v>
      </c>
      <c r="K8" s="3" t="s">
        <v>96</v>
      </c>
      <c r="L8" s="3" t="s">
        <v>97</v>
      </c>
    </row>
    <row r="9" customFormat="false" ht="28.35" hidden="false" customHeight="false" outlineLevel="0" collapsed="false">
      <c r="A9" s="3" t="s">
        <v>98</v>
      </c>
      <c r="B9" s="3" t="s">
        <v>99</v>
      </c>
      <c r="C9" s="3" t="s">
        <v>100</v>
      </c>
      <c r="D9" s="3" t="n">
        <v>5</v>
      </c>
      <c r="E9" s="3" t="s">
        <v>72</v>
      </c>
      <c r="F9" s="3" t="s">
        <v>93</v>
      </c>
      <c r="G9" s="3" t="s">
        <v>74</v>
      </c>
      <c r="H9" s="3"/>
      <c r="I9" s="3"/>
      <c r="J9" s="3" t="s">
        <v>75</v>
      </c>
      <c r="K9" s="3" t="s">
        <v>101</v>
      </c>
      <c r="L9" s="3" t="s">
        <v>102</v>
      </c>
    </row>
    <row r="10" customFormat="false" ht="68.65" hidden="false" customHeight="false" outlineLevel="0" collapsed="false">
      <c r="A10" s="3" t="s">
        <v>103</v>
      </c>
      <c r="B10" s="3" t="s">
        <v>104</v>
      </c>
      <c r="C10" s="3" t="s">
        <v>105</v>
      </c>
      <c r="D10" s="3" t="n">
        <v>0.4</v>
      </c>
      <c r="E10" s="3" t="s">
        <v>72</v>
      </c>
      <c r="F10" s="3" t="s">
        <v>93</v>
      </c>
      <c r="G10" s="3" t="s">
        <v>74</v>
      </c>
      <c r="H10" s="3"/>
      <c r="I10" s="3"/>
      <c r="J10" s="3" t="s">
        <v>75</v>
      </c>
      <c r="K10" s="3" t="s">
        <v>106</v>
      </c>
      <c r="L10" s="3" t="s">
        <v>107</v>
      </c>
    </row>
    <row r="11" customFormat="false" ht="95.5" hidden="false" customHeight="false" outlineLevel="0" collapsed="false">
      <c r="A11" s="3" t="s">
        <v>108</v>
      </c>
      <c r="B11" s="3" t="s">
        <v>109</v>
      </c>
      <c r="C11" s="3" t="s">
        <v>110</v>
      </c>
      <c r="D11" s="3" t="n">
        <v>3</v>
      </c>
      <c r="E11" s="3" t="s">
        <v>72</v>
      </c>
      <c r="F11" s="3" t="s">
        <v>93</v>
      </c>
      <c r="G11" s="3" t="s">
        <v>74</v>
      </c>
      <c r="H11" s="3"/>
      <c r="I11" s="3"/>
      <c r="J11" s="3" t="s">
        <v>75</v>
      </c>
      <c r="K11" s="3" t="s">
        <v>111</v>
      </c>
      <c r="L11" s="3" t="s">
        <v>112</v>
      </c>
    </row>
    <row r="12" customFormat="false" ht="95.5" hidden="false" customHeight="false" outlineLevel="0" collapsed="false">
      <c r="A12" s="3" t="s">
        <v>113</v>
      </c>
      <c r="B12" s="3" t="s">
        <v>114</v>
      </c>
      <c r="C12" s="3" t="s">
        <v>115</v>
      </c>
      <c r="D12" s="3" t="n">
        <v>2</v>
      </c>
      <c r="E12" s="3" t="s">
        <v>72</v>
      </c>
      <c r="F12" s="3" t="s">
        <v>93</v>
      </c>
      <c r="G12" s="3" t="s">
        <v>74</v>
      </c>
      <c r="H12" s="3"/>
      <c r="I12" s="3"/>
      <c r="J12" s="3" t="s">
        <v>75</v>
      </c>
      <c r="K12" s="3" t="s">
        <v>116</v>
      </c>
      <c r="L12" s="3"/>
    </row>
    <row r="13" customFormat="false" ht="82.05" hidden="false" customHeight="false" outlineLevel="0" collapsed="false">
      <c r="A13" s="3" t="s">
        <v>117</v>
      </c>
      <c r="B13" s="3" t="s">
        <v>118</v>
      </c>
      <c r="C13" s="3" t="s">
        <v>119</v>
      </c>
      <c r="D13" s="3" t="n">
        <v>10</v>
      </c>
      <c r="E13" s="3" t="s">
        <v>72</v>
      </c>
      <c r="F13" s="3" t="s">
        <v>120</v>
      </c>
      <c r="G13" s="3" t="s">
        <v>74</v>
      </c>
      <c r="H13" s="3"/>
      <c r="I13" s="3"/>
      <c r="J13" s="3" t="s">
        <v>75</v>
      </c>
      <c r="K13" s="3" t="s">
        <v>76</v>
      </c>
      <c r="L13" s="3" t="s">
        <v>121</v>
      </c>
    </row>
    <row r="14" customFormat="false" ht="41.75" hidden="false" customHeight="false" outlineLevel="0" collapsed="false">
      <c r="A14" s="3" t="s">
        <v>122</v>
      </c>
      <c r="B14" s="3" t="s">
        <v>123</v>
      </c>
      <c r="C14" s="3" t="s">
        <v>71</v>
      </c>
      <c r="D14" s="3" t="n">
        <v>2</v>
      </c>
      <c r="E14" s="3" t="s">
        <v>72</v>
      </c>
      <c r="F14" s="3" t="s">
        <v>83</v>
      </c>
      <c r="G14" s="3" t="s">
        <v>74</v>
      </c>
      <c r="H14" s="3"/>
      <c r="I14" s="3"/>
      <c r="J14" s="3" t="s">
        <v>75</v>
      </c>
      <c r="K14" s="3" t="s">
        <v>76</v>
      </c>
      <c r="L14"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0"/>
    <col collapsed="false" customWidth="true" hidden="false" outlineLevel="0" max="3" min="3" style="0" width="70"/>
    <col collapsed="false" customWidth="true" hidden="false" outlineLevel="0" max="4" min="4" style="0" width="12"/>
    <col collapsed="false" customWidth="true" hidden="false" outlineLevel="0" max="5" min="5" style="0" width="70"/>
    <col collapsed="false" customWidth="true" hidden="false" outlineLevel="0" max="6" min="6" style="0" width="12"/>
    <col collapsed="false" customWidth="true" hidden="false" outlineLevel="0" max="7" min="7" style="0" width="40"/>
  </cols>
  <sheetData>
    <row r="1" customFormat="false" ht="41.75" hidden="false" customHeight="false" outlineLevel="0" collapsed="false">
      <c r="A1" s="4" t="s">
        <v>124</v>
      </c>
      <c r="B1" s="4" t="s">
        <v>58</v>
      </c>
      <c r="C1" s="4" t="s">
        <v>125</v>
      </c>
      <c r="D1" s="4" t="s">
        <v>126</v>
      </c>
      <c r="E1" s="4" t="s">
        <v>127</v>
      </c>
      <c r="F1" s="4" t="s">
        <v>128</v>
      </c>
      <c r="G1" s="4" t="s">
        <v>129</v>
      </c>
    </row>
    <row r="2" customFormat="false" ht="28.35" hidden="false" customHeight="false" outlineLevel="0" collapsed="false">
      <c r="A2" s="3" t="s">
        <v>130</v>
      </c>
      <c r="B2" s="3" t="s">
        <v>131</v>
      </c>
      <c r="C2" s="3" t="s">
        <v>132</v>
      </c>
      <c r="D2" s="3" t="n">
        <v>99</v>
      </c>
      <c r="E2" s="3" t="s">
        <v>133</v>
      </c>
      <c r="F2" s="3"/>
      <c r="G2" s="3" t="s">
        <v>134</v>
      </c>
    </row>
    <row r="3" customFormat="false" ht="28.35" hidden="false" customHeight="false" outlineLevel="0" collapsed="false">
      <c r="A3" s="3" t="s">
        <v>135</v>
      </c>
      <c r="B3" s="3" t="s">
        <v>136</v>
      </c>
      <c r="C3" s="3" t="s">
        <v>137</v>
      </c>
      <c r="D3" s="3" t="n">
        <v>99</v>
      </c>
      <c r="E3" s="3" t="s">
        <v>138</v>
      </c>
      <c r="F3" s="3" t="s">
        <v>139</v>
      </c>
      <c r="G3" s="3" t="s">
        <v>140</v>
      </c>
    </row>
    <row r="4" customFormat="false" ht="28.35" hidden="false" customHeight="false" outlineLevel="0" collapsed="false">
      <c r="A4" s="3" t="s">
        <v>141</v>
      </c>
      <c r="B4" s="3" t="s">
        <v>142</v>
      </c>
      <c r="C4" s="3" t="s">
        <v>143</v>
      </c>
      <c r="D4" s="3" t="n">
        <v>90</v>
      </c>
      <c r="E4" s="3" t="s">
        <v>144</v>
      </c>
      <c r="F4" s="3"/>
      <c r="G4" s="3" t="s">
        <v>145</v>
      </c>
    </row>
    <row r="5" customFormat="false" ht="15" hidden="false" customHeight="false" outlineLevel="0" collapsed="false">
      <c r="A5" s="3" t="s">
        <v>146</v>
      </c>
      <c r="B5" s="3" t="s">
        <v>147</v>
      </c>
      <c r="C5" s="3" t="s">
        <v>148</v>
      </c>
      <c r="D5" s="3" t="n">
        <v>99</v>
      </c>
      <c r="E5" s="3" t="s">
        <v>149</v>
      </c>
      <c r="F5" s="3" t="s">
        <v>150</v>
      </c>
      <c r="G5" s="3" t="s">
        <v>151</v>
      </c>
    </row>
    <row r="6" customFormat="false" ht="55.2" hidden="false" customHeight="false" outlineLevel="0" collapsed="false">
      <c r="A6" s="3" t="s">
        <v>152</v>
      </c>
      <c r="B6" s="3" t="s">
        <v>153</v>
      </c>
      <c r="C6" s="3" t="s">
        <v>154</v>
      </c>
      <c r="D6" s="3" t="n">
        <v>90</v>
      </c>
      <c r="E6" s="3" t="s">
        <v>155</v>
      </c>
      <c r="F6" s="3" t="s">
        <v>156</v>
      </c>
      <c r="G6" s="3" t="s">
        <v>157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2" style="0" width="34"/>
    <col collapsed="false" customWidth="true" hidden="false" outlineLevel="0" max="6" min="6" style="0" width="46"/>
    <col collapsed="false" customWidth="true" hidden="false" outlineLevel="0" max="18" min="18" style="0" width="14"/>
    <col collapsed="false" customWidth="true" hidden="false" outlineLevel="0" max="20" min="20" style="0" width="40"/>
    <col collapsed="false" customWidth="true" hidden="false" outlineLevel="0" max="21" min="21" style="0" width="60"/>
  </cols>
  <sheetData>
    <row r="1" customFormat="false" ht="41.75" hidden="false" customHeight="false" outlineLevel="0" collapsed="false">
      <c r="A1" s="4" t="s">
        <v>158</v>
      </c>
      <c r="B1" s="4" t="s">
        <v>159</v>
      </c>
      <c r="C1" s="4" t="s">
        <v>160</v>
      </c>
      <c r="D1" s="4" t="s">
        <v>61</v>
      </c>
      <c r="E1" s="4" t="s">
        <v>161</v>
      </c>
      <c r="F1" s="4" t="s">
        <v>162</v>
      </c>
      <c r="G1" s="4" t="s">
        <v>163</v>
      </c>
      <c r="H1" s="4" t="s">
        <v>164</v>
      </c>
      <c r="I1" s="4" t="s">
        <v>165</v>
      </c>
      <c r="J1" s="4" t="s">
        <v>166</v>
      </c>
      <c r="K1" s="4" t="s">
        <v>167</v>
      </c>
      <c r="L1" s="4" t="s">
        <v>168</v>
      </c>
      <c r="M1" s="4" t="s">
        <v>169</v>
      </c>
      <c r="N1" s="4" t="s">
        <v>170</v>
      </c>
      <c r="O1" s="4" t="s">
        <v>171</v>
      </c>
      <c r="P1" s="4" t="s">
        <v>172</v>
      </c>
      <c r="Q1" s="4" t="s">
        <v>173</v>
      </c>
      <c r="R1" s="4" t="s">
        <v>174</v>
      </c>
      <c r="S1" s="4" t="s">
        <v>175</v>
      </c>
      <c r="T1" s="4" t="s">
        <v>176</v>
      </c>
      <c r="U1" s="4" t="s">
        <v>177</v>
      </c>
    </row>
    <row r="2" customFormat="false" ht="41.75" hidden="false" customHeight="false" outlineLevel="0" collapsed="false">
      <c r="A2" s="3" t="s">
        <v>69</v>
      </c>
      <c r="B2" s="3" t="s">
        <v>70</v>
      </c>
      <c r="C2" s="3" t="n">
        <v>50</v>
      </c>
      <c r="D2" s="3" t="s">
        <v>72</v>
      </c>
      <c r="E2" s="3" t="s">
        <v>178</v>
      </c>
      <c r="F2" s="3" t="s">
        <v>179</v>
      </c>
      <c r="G2" s="3" t="n">
        <v>40</v>
      </c>
      <c r="H2" s="3" t="n">
        <f aca="false">C2*G2/100</f>
        <v>20</v>
      </c>
      <c r="I2" s="3" t="s">
        <v>72</v>
      </c>
      <c r="J2" s="3" t="s">
        <v>75</v>
      </c>
      <c r="K2" s="3" t="s">
        <v>152</v>
      </c>
      <c r="L2" s="3" t="n">
        <v>90</v>
      </c>
      <c r="M2" s="3" t="s">
        <v>180</v>
      </c>
      <c r="N2" s="3" t="n">
        <f aca="false">IF(D2="No",0,IF(AND(I2="No",J2="No"),H2,0))</f>
        <v>0</v>
      </c>
      <c r="O2" s="3" t="n">
        <f aca="false">IF(D2="No",0,IF(AND(I2="Yes",L2=0),H2,0))</f>
        <v>0</v>
      </c>
      <c r="P2" s="3" t="n">
        <f aca="false">IF(D2="No",0,IF(AND(I2="Yes",L2&gt;0),H2*(1-L2/100),0))</f>
        <v>2</v>
      </c>
      <c r="Q2" s="3" t="n">
        <f aca="false">IF(D2="No",0,IF(AND(I2="No",J2="Yes"),H2*(1-L2/100),0))</f>
        <v>0</v>
      </c>
      <c r="R2" s="3" t="str">
        <f aca="false">IF(D2="No","Safe",IF(I2="Yes",IF(L2=0,"SPF","RF"),IF(J2="Yes",IF(L2=0,"MPF_L","MPF_D"),"Safe")))</f>
        <v>RF</v>
      </c>
      <c r="S2" s="3" t="s">
        <v>181</v>
      </c>
      <c r="T2" s="3"/>
      <c r="U2" s="3" t="s">
        <v>182</v>
      </c>
    </row>
    <row r="3" customFormat="false" ht="28.35" hidden="false" customHeight="false" outlineLevel="0" collapsed="false">
      <c r="A3" s="3" t="s">
        <v>69</v>
      </c>
      <c r="B3" s="3" t="s">
        <v>70</v>
      </c>
      <c r="C3" s="3" t="n">
        <v>50</v>
      </c>
      <c r="D3" s="3" t="s">
        <v>72</v>
      </c>
      <c r="E3" s="3" t="s">
        <v>183</v>
      </c>
      <c r="F3" s="3" t="s">
        <v>184</v>
      </c>
      <c r="G3" s="3" t="n">
        <v>5</v>
      </c>
      <c r="H3" s="3" t="n">
        <f aca="false">C3*G3/100</f>
        <v>2.5</v>
      </c>
      <c r="I3" s="3" t="s">
        <v>72</v>
      </c>
      <c r="J3" s="3" t="s">
        <v>75</v>
      </c>
      <c r="K3" s="3"/>
      <c r="L3" s="3" t="n">
        <v>0</v>
      </c>
      <c r="M3" s="3"/>
      <c r="N3" s="3" t="n">
        <f aca="false">IF(D3="No",0,IF(AND(I3="No",J3="No"),H3,0))</f>
        <v>0</v>
      </c>
      <c r="O3" s="3" t="n">
        <f aca="false">IF(D3="No",0,IF(AND(I3="Yes",L3=0),H3,0))</f>
        <v>2.5</v>
      </c>
      <c r="P3" s="3" t="n">
        <f aca="false">IF(D3="No",0,IF(AND(I3="Yes",L3&gt;0),H3*(1-L3/100),0))</f>
        <v>0</v>
      </c>
      <c r="Q3" s="3" t="n">
        <f aca="false">IF(D3="No",0,IF(AND(I3="No",J3="Yes"),H3*(1-L3/100),0))</f>
        <v>0</v>
      </c>
      <c r="R3" s="3" t="str">
        <f aca="false">IF(D3="No","Safe",IF(I3="Yes",IF(L3=0,"SPF","RF"),IF(J3="Yes",IF(L3=0,"MPF_L","MPF_D"),"Safe")))</f>
        <v>SPF</v>
      </c>
      <c r="S3" s="3" t="s">
        <v>185</v>
      </c>
      <c r="T3" s="3"/>
      <c r="U3" s="3" t="s">
        <v>186</v>
      </c>
    </row>
    <row r="4" customFormat="false" ht="28.35" hidden="false" customHeight="false" outlineLevel="0" collapsed="false">
      <c r="A4" s="3" t="s">
        <v>69</v>
      </c>
      <c r="B4" s="3" t="s">
        <v>70</v>
      </c>
      <c r="C4" s="3" t="n">
        <v>50</v>
      </c>
      <c r="D4" s="3" t="s">
        <v>72</v>
      </c>
      <c r="E4" s="3" t="s">
        <v>187</v>
      </c>
      <c r="F4" s="3" t="s">
        <v>188</v>
      </c>
      <c r="G4" s="3" t="n">
        <v>55</v>
      </c>
      <c r="H4" s="3" t="n">
        <f aca="false">C4*G4/100</f>
        <v>27.5</v>
      </c>
      <c r="I4" s="3" t="s">
        <v>75</v>
      </c>
      <c r="J4" s="3" t="s">
        <v>75</v>
      </c>
      <c r="K4" s="3"/>
      <c r="L4" s="3" t="n">
        <v>0</v>
      </c>
      <c r="M4" s="3"/>
      <c r="N4" s="3" t="n">
        <f aca="false">IF(D4="No",0,IF(AND(I4="No",J4="No"),H4,0))</f>
        <v>27.5</v>
      </c>
      <c r="O4" s="3" t="n">
        <f aca="false">IF(D4="No",0,IF(AND(I4="Yes",L4=0),H4,0))</f>
        <v>0</v>
      </c>
      <c r="P4" s="3" t="n">
        <f aca="false">IF(D4="No",0,IF(AND(I4="Yes",L4&gt;0),H4*(1-L4/100),0))</f>
        <v>0</v>
      </c>
      <c r="Q4" s="3" t="n">
        <f aca="false">IF(D4="No",0,IF(AND(I4="No",J4="Yes"),H4*(1-L4/100),0))</f>
        <v>0</v>
      </c>
      <c r="R4" s="3" t="str">
        <f aca="false">IF(D4="No","Safe",IF(I4="Yes",IF(L4=0,"SPF","RF"),IF(J4="Yes",IF(L4=0,"MPF_L","MPF_D"),"Safe")))</f>
        <v>Safe</v>
      </c>
      <c r="S4" s="3"/>
      <c r="T4" s="3"/>
      <c r="U4" s="3"/>
    </row>
    <row r="5" customFormat="false" ht="28.35" hidden="false" customHeight="false" outlineLevel="0" collapsed="false">
      <c r="A5" s="3" t="s">
        <v>77</v>
      </c>
      <c r="B5" s="3" t="s">
        <v>78</v>
      </c>
      <c r="C5" s="3" t="n">
        <v>20</v>
      </c>
      <c r="D5" s="3" t="s">
        <v>72</v>
      </c>
      <c r="E5" s="3" t="s">
        <v>189</v>
      </c>
      <c r="F5" s="3" t="s">
        <v>190</v>
      </c>
      <c r="G5" s="3" t="n">
        <v>80</v>
      </c>
      <c r="H5" s="3" t="n">
        <f aca="false">C5*G5/100</f>
        <v>16</v>
      </c>
      <c r="I5" s="3" t="s">
        <v>75</v>
      </c>
      <c r="J5" s="3" t="s">
        <v>72</v>
      </c>
      <c r="K5" s="3" t="s">
        <v>130</v>
      </c>
      <c r="L5" s="3" t="n">
        <v>99</v>
      </c>
      <c r="M5" s="3" t="s">
        <v>191</v>
      </c>
      <c r="N5" s="3" t="n">
        <f aca="false">IF(D5="No",0,IF(AND(I5="No",J5="No"),H5,0))</f>
        <v>0</v>
      </c>
      <c r="O5" s="3" t="n">
        <f aca="false">IF(D5="No",0,IF(AND(I5="Yes",L5=0),H5,0))</f>
        <v>0</v>
      </c>
      <c r="P5" s="3" t="n">
        <f aca="false">IF(D5="No",0,IF(AND(I5="Yes",L5&gt;0),H5*(1-L5/100),0))</f>
        <v>0</v>
      </c>
      <c r="Q5" s="3" t="n">
        <f aca="false">IF(D5="No",0,IF(AND(I5="No",J5="Yes"),H5*(1-L5/100),0))</f>
        <v>0.16</v>
      </c>
      <c r="R5" s="3" t="str">
        <f aca="false">IF(D5="No","Safe",IF(I5="Yes",IF(L5=0,"SPF","RF"),IF(J5="Yes",IF(L5=0,"MPF_L","MPF_D"),"Safe")))</f>
        <v>MPF_D</v>
      </c>
      <c r="S5" s="3" t="s">
        <v>192</v>
      </c>
      <c r="T5" s="3"/>
      <c r="U5" s="3"/>
    </row>
    <row r="6" customFormat="false" ht="28.35" hidden="false" customHeight="false" outlineLevel="0" collapsed="false">
      <c r="A6" s="3" t="s">
        <v>77</v>
      </c>
      <c r="B6" s="3" t="s">
        <v>78</v>
      </c>
      <c r="C6" s="3" t="n">
        <v>20</v>
      </c>
      <c r="D6" s="3" t="s">
        <v>72</v>
      </c>
      <c r="E6" s="3" t="s">
        <v>193</v>
      </c>
      <c r="F6" s="3" t="s">
        <v>194</v>
      </c>
      <c r="G6" s="3" t="n">
        <v>10</v>
      </c>
      <c r="H6" s="3" t="n">
        <f aca="false">C6*G6/100</f>
        <v>2</v>
      </c>
      <c r="I6" s="3" t="s">
        <v>72</v>
      </c>
      <c r="J6" s="3" t="s">
        <v>75</v>
      </c>
      <c r="K6" s="3" t="s">
        <v>152</v>
      </c>
      <c r="L6" s="3" t="n">
        <v>90</v>
      </c>
      <c r="M6" s="3" t="s">
        <v>180</v>
      </c>
      <c r="N6" s="3" t="n">
        <f aca="false">IF(D6="No",0,IF(AND(I6="No",J6="No"),H6,0))</f>
        <v>0</v>
      </c>
      <c r="O6" s="3" t="n">
        <f aca="false">IF(D6="No",0,IF(AND(I6="Yes",L6=0),H6,0))</f>
        <v>0</v>
      </c>
      <c r="P6" s="3" t="n">
        <f aca="false">IF(D6="No",0,IF(AND(I6="Yes",L6&gt;0),H6*(1-L6/100),0))</f>
        <v>0.2</v>
      </c>
      <c r="Q6" s="3" t="n">
        <f aca="false">IF(D6="No",0,IF(AND(I6="No",J6="Yes"),H6*(1-L6/100),0))</f>
        <v>0</v>
      </c>
      <c r="R6" s="3" t="str">
        <f aca="false">IF(D6="No","Safe",IF(I6="Yes",IF(L6=0,"SPF","RF"),IF(J6="Yes",IF(L6=0,"MPF_L","MPF_D"),"Safe")))</f>
        <v>RF</v>
      </c>
      <c r="S6" s="3" t="s">
        <v>192</v>
      </c>
      <c r="T6" s="3"/>
      <c r="U6" s="3"/>
    </row>
    <row r="7" customFormat="false" ht="28.35" hidden="false" customHeight="false" outlineLevel="0" collapsed="false">
      <c r="A7" s="3" t="s">
        <v>77</v>
      </c>
      <c r="B7" s="3" t="s">
        <v>78</v>
      </c>
      <c r="C7" s="3" t="n">
        <v>20</v>
      </c>
      <c r="D7" s="3" t="s">
        <v>72</v>
      </c>
      <c r="E7" s="3" t="s">
        <v>195</v>
      </c>
      <c r="F7" s="3" t="s">
        <v>196</v>
      </c>
      <c r="G7" s="3" t="n">
        <v>10</v>
      </c>
      <c r="H7" s="3" t="n">
        <f aca="false">C7*G7/100</f>
        <v>2</v>
      </c>
      <c r="I7" s="3" t="s">
        <v>75</v>
      </c>
      <c r="J7" s="3" t="s">
        <v>72</v>
      </c>
      <c r="K7" s="3" t="s">
        <v>141</v>
      </c>
      <c r="L7" s="3" t="n">
        <v>90</v>
      </c>
      <c r="M7" s="3" t="s">
        <v>191</v>
      </c>
      <c r="N7" s="3" t="n">
        <f aca="false">IF(D7="No",0,IF(AND(I7="No",J7="No"),H7,0))</f>
        <v>0</v>
      </c>
      <c r="O7" s="3" t="n">
        <f aca="false">IF(D7="No",0,IF(AND(I7="Yes",L7=0),H7,0))</f>
        <v>0</v>
      </c>
      <c r="P7" s="3" t="n">
        <f aca="false">IF(D7="No",0,IF(AND(I7="Yes",L7&gt;0),H7*(1-L7/100),0))</f>
        <v>0</v>
      </c>
      <c r="Q7" s="3" t="n">
        <f aca="false">IF(D7="No",0,IF(AND(I7="No",J7="Yes"),H7*(1-L7/100),0))</f>
        <v>0.2</v>
      </c>
      <c r="R7" s="3" t="str">
        <f aca="false">IF(D7="No","Safe",IF(I7="Yes",IF(L7=0,"SPF","RF"),IF(J7="Yes",IF(L7=0,"MPF_L","MPF_D"),"Safe")))</f>
        <v>MPF_D</v>
      </c>
      <c r="S7" s="3" t="s">
        <v>192</v>
      </c>
      <c r="T7" s="3"/>
      <c r="U7" s="3" t="s">
        <v>197</v>
      </c>
    </row>
    <row r="8" customFormat="false" ht="28.35" hidden="false" customHeight="false" outlineLevel="0" collapsed="false">
      <c r="A8" s="3" t="s">
        <v>79</v>
      </c>
      <c r="B8" s="3" t="s">
        <v>80</v>
      </c>
      <c r="C8" s="3" t="n">
        <v>100</v>
      </c>
      <c r="D8" s="3" t="s">
        <v>72</v>
      </c>
      <c r="E8" s="3" t="s">
        <v>198</v>
      </c>
      <c r="F8" s="3" t="s">
        <v>199</v>
      </c>
      <c r="G8" s="3" t="n">
        <v>90</v>
      </c>
      <c r="H8" s="3" t="n">
        <f aca="false">C8*G8/100</f>
        <v>90</v>
      </c>
      <c r="I8" s="3" t="s">
        <v>75</v>
      </c>
      <c r="J8" s="3" t="s">
        <v>72</v>
      </c>
      <c r="K8" s="3" t="s">
        <v>135</v>
      </c>
      <c r="L8" s="3" t="n">
        <v>99</v>
      </c>
      <c r="M8" s="3" t="s">
        <v>191</v>
      </c>
      <c r="N8" s="3" t="n">
        <f aca="false">IF(D8="No",0,IF(AND(I8="No",J8="No"),H8,0))</f>
        <v>0</v>
      </c>
      <c r="O8" s="3" t="n">
        <f aca="false">IF(D8="No",0,IF(AND(I8="Yes",L8=0),H8,0))</f>
        <v>0</v>
      </c>
      <c r="P8" s="3" t="n">
        <f aca="false">IF(D8="No",0,IF(AND(I8="Yes",L8&gt;0),H8*(1-L8/100),0))</f>
        <v>0</v>
      </c>
      <c r="Q8" s="3" t="n">
        <f aca="false">IF(D8="No",0,IF(AND(I8="No",J8="Yes"),H8*(1-L8/100),0))</f>
        <v>0.900000000000001</v>
      </c>
      <c r="R8" s="3" t="str">
        <f aca="false">IF(D8="No","Safe",IF(I8="Yes",IF(L8=0,"SPF","RF"),IF(J8="Yes",IF(L8=0,"MPF_L","MPF_D"),"Safe")))</f>
        <v>MPF_D</v>
      </c>
      <c r="S8" s="3" t="s">
        <v>200</v>
      </c>
      <c r="T8" s="3"/>
      <c r="U8" s="3"/>
    </row>
    <row r="9" customFormat="false" ht="28.35" hidden="false" customHeight="false" outlineLevel="0" collapsed="false">
      <c r="A9" s="3" t="s">
        <v>79</v>
      </c>
      <c r="B9" s="3" t="s">
        <v>80</v>
      </c>
      <c r="C9" s="3" t="n">
        <v>100</v>
      </c>
      <c r="D9" s="3" t="s">
        <v>72</v>
      </c>
      <c r="E9" s="3" t="s">
        <v>201</v>
      </c>
      <c r="F9" s="3" t="s">
        <v>202</v>
      </c>
      <c r="G9" s="3" t="n">
        <v>5</v>
      </c>
      <c r="H9" s="3" t="n">
        <f aca="false">C9*G9/100</f>
        <v>5</v>
      </c>
      <c r="I9" s="3" t="s">
        <v>72</v>
      </c>
      <c r="J9" s="3" t="s">
        <v>75</v>
      </c>
      <c r="K9" s="3" t="s">
        <v>152</v>
      </c>
      <c r="L9" s="3" t="n">
        <v>90</v>
      </c>
      <c r="M9" s="3" t="s">
        <v>180</v>
      </c>
      <c r="N9" s="3" t="n">
        <f aca="false">IF(D9="No",0,IF(AND(I9="No",J9="No"),H9,0))</f>
        <v>0</v>
      </c>
      <c r="O9" s="3" t="n">
        <f aca="false">IF(D9="No",0,IF(AND(I9="Yes",L9=0),H9,0))</f>
        <v>0</v>
      </c>
      <c r="P9" s="3" t="n">
        <f aca="false">IF(D9="No",0,IF(AND(I9="Yes",L9&gt;0),H9*(1-L9/100),0))</f>
        <v>0.5</v>
      </c>
      <c r="Q9" s="3" t="n">
        <f aca="false">IF(D9="No",0,IF(AND(I9="No",J9="Yes"),H9*(1-L9/100),0))</f>
        <v>0</v>
      </c>
      <c r="R9" s="3" t="str">
        <f aca="false">IF(D9="No","Safe",IF(I9="Yes",IF(L9=0,"SPF","RF"),IF(J9="Yes",IF(L9=0,"MPF_L","MPF_D"),"Safe")))</f>
        <v>RF</v>
      </c>
      <c r="S9" s="3" t="s">
        <v>200</v>
      </c>
      <c r="T9" s="3"/>
      <c r="U9" s="3"/>
    </row>
    <row r="10" customFormat="false" ht="28.35" hidden="false" customHeight="false" outlineLevel="0" collapsed="false">
      <c r="A10" s="3" t="s">
        <v>79</v>
      </c>
      <c r="B10" s="3" t="s">
        <v>80</v>
      </c>
      <c r="C10" s="3" t="n">
        <v>100</v>
      </c>
      <c r="D10" s="3" t="s">
        <v>72</v>
      </c>
      <c r="E10" s="3" t="s">
        <v>203</v>
      </c>
      <c r="F10" s="3" t="s">
        <v>204</v>
      </c>
      <c r="G10" s="3" t="n">
        <v>5</v>
      </c>
      <c r="H10" s="3" t="n">
        <f aca="false">C10*G10/100</f>
        <v>5</v>
      </c>
      <c r="I10" s="3" t="s">
        <v>75</v>
      </c>
      <c r="J10" s="3" t="s">
        <v>75</v>
      </c>
      <c r="K10" s="3"/>
      <c r="L10" s="3" t="n">
        <v>0</v>
      </c>
      <c r="M10" s="3"/>
      <c r="N10" s="3" t="n">
        <f aca="false">IF(D10="No",0,IF(AND(I10="No",J10="No"),H10,0))</f>
        <v>5</v>
      </c>
      <c r="O10" s="3" t="n">
        <f aca="false">IF(D10="No",0,IF(AND(I10="Yes",L10=0),H10,0))</f>
        <v>0</v>
      </c>
      <c r="P10" s="3" t="n">
        <f aca="false">IF(D10="No",0,IF(AND(I10="Yes",L10&gt;0),H10*(1-L10/100),0))</f>
        <v>0</v>
      </c>
      <c r="Q10" s="3" t="n">
        <f aca="false">IF(D10="No",0,IF(AND(I10="No",J10="Yes"),H10*(1-L10/100),0))</f>
        <v>0</v>
      </c>
      <c r="R10" s="3" t="str">
        <f aca="false">IF(D10="No","Safe",IF(I10="Yes",IF(L10=0,"SPF","RF"),IF(J10="Yes",IF(L10=0,"MPF_L","MPF_D"),"Safe")))</f>
        <v>Safe</v>
      </c>
      <c r="S10" s="3" t="s">
        <v>200</v>
      </c>
      <c r="T10" s="3"/>
      <c r="U10" s="3" t="s">
        <v>205</v>
      </c>
    </row>
    <row r="11" customFormat="false" ht="28.35" hidden="false" customHeight="false" outlineLevel="0" collapsed="false">
      <c r="A11" s="3" t="s">
        <v>81</v>
      </c>
      <c r="B11" s="3" t="s">
        <v>82</v>
      </c>
      <c r="C11" s="3" t="n">
        <v>10</v>
      </c>
      <c r="D11" s="3" t="s">
        <v>72</v>
      </c>
      <c r="E11" s="3" t="s">
        <v>206</v>
      </c>
      <c r="F11" s="3" t="s">
        <v>207</v>
      </c>
      <c r="G11" s="3" t="n">
        <v>50</v>
      </c>
      <c r="H11" s="3" t="n">
        <f aca="false">C11*G11/100</f>
        <v>5</v>
      </c>
      <c r="I11" s="3" t="s">
        <v>75</v>
      </c>
      <c r="J11" s="3" t="s">
        <v>72</v>
      </c>
      <c r="K11" s="3" t="s">
        <v>146</v>
      </c>
      <c r="L11" s="3" t="n">
        <v>99</v>
      </c>
      <c r="M11" s="3" t="s">
        <v>191</v>
      </c>
      <c r="N11" s="3" t="n">
        <f aca="false">IF(D11="No",0,IF(AND(I11="No",J11="No"),H11,0))</f>
        <v>0</v>
      </c>
      <c r="O11" s="3" t="n">
        <f aca="false">IF(D11="No",0,IF(AND(I11="Yes",L11=0),H11,0))</f>
        <v>0</v>
      </c>
      <c r="P11" s="3" t="n">
        <f aca="false">IF(D11="No",0,IF(AND(I11="Yes",L11&gt;0),H11*(1-L11/100),0))</f>
        <v>0</v>
      </c>
      <c r="Q11" s="3" t="n">
        <f aca="false">IF(D11="No",0,IF(AND(I11="No",J11="Yes"),H11*(1-L11/100),0))</f>
        <v>0.05</v>
      </c>
      <c r="R11" s="3" t="str">
        <f aca="false">IF(D11="No","Safe",IF(I11="Yes",IF(L11=0,"SPF","RF"),IF(J11="Yes",IF(L11=0,"MPF_L","MPF_D"),"Safe")))</f>
        <v>MPF_D</v>
      </c>
      <c r="S11" s="3" t="s">
        <v>208</v>
      </c>
      <c r="T11" s="3"/>
      <c r="U11" s="3" t="s">
        <v>209</v>
      </c>
    </row>
    <row r="12" customFormat="false" ht="28.35" hidden="false" customHeight="false" outlineLevel="0" collapsed="false">
      <c r="A12" s="3" t="s">
        <v>81</v>
      </c>
      <c r="B12" s="3" t="s">
        <v>82</v>
      </c>
      <c r="C12" s="3" t="n">
        <v>10</v>
      </c>
      <c r="D12" s="3" t="s">
        <v>72</v>
      </c>
      <c r="E12" s="3" t="s">
        <v>210</v>
      </c>
      <c r="F12" s="3" t="s">
        <v>211</v>
      </c>
      <c r="G12" s="3" t="n">
        <v>10</v>
      </c>
      <c r="H12" s="3" t="n">
        <f aca="false">C12*G12/100</f>
        <v>1</v>
      </c>
      <c r="I12" s="3" t="s">
        <v>72</v>
      </c>
      <c r="J12" s="3" t="s">
        <v>75</v>
      </c>
      <c r="K12" s="3"/>
      <c r="L12" s="3" t="n">
        <v>0</v>
      </c>
      <c r="M12" s="3"/>
      <c r="N12" s="3" t="n">
        <f aca="false">IF(D12="No",0,IF(AND(I12="No",J12="No"),H12,0))</f>
        <v>0</v>
      </c>
      <c r="O12" s="3" t="n">
        <f aca="false">IF(D12="No",0,IF(AND(I12="Yes",L12=0),H12,0))</f>
        <v>1</v>
      </c>
      <c r="P12" s="3" t="n">
        <f aca="false">IF(D12="No",0,IF(AND(I12="Yes",L12&gt;0),H12*(1-L12/100),0))</f>
        <v>0</v>
      </c>
      <c r="Q12" s="3" t="n">
        <f aca="false">IF(D12="No",0,IF(AND(I12="No",J12="Yes"),H12*(1-L12/100),0))</f>
        <v>0</v>
      </c>
      <c r="R12" s="3" t="str">
        <f aca="false">IF(D12="No","Safe",IF(I12="Yes",IF(L12=0,"SPF","RF"),IF(J12="Yes",IF(L12=0,"MPF_L","MPF_D"),"Safe")))</f>
        <v>SPF</v>
      </c>
      <c r="S12" s="3" t="s">
        <v>208</v>
      </c>
      <c r="T12" s="3"/>
      <c r="U12" s="3"/>
    </row>
    <row r="13" customFormat="false" ht="28.35" hidden="false" customHeight="false" outlineLevel="0" collapsed="false">
      <c r="A13" s="3" t="s">
        <v>81</v>
      </c>
      <c r="B13" s="3" t="s">
        <v>82</v>
      </c>
      <c r="C13" s="3" t="n">
        <v>10</v>
      </c>
      <c r="D13" s="3" t="s">
        <v>72</v>
      </c>
      <c r="E13" s="3" t="s">
        <v>212</v>
      </c>
      <c r="F13" s="3" t="s">
        <v>213</v>
      </c>
      <c r="G13" s="3" t="n">
        <v>40</v>
      </c>
      <c r="H13" s="3" t="n">
        <f aca="false">C13*G13/100</f>
        <v>4</v>
      </c>
      <c r="I13" s="3" t="s">
        <v>75</v>
      </c>
      <c r="J13" s="3" t="s">
        <v>75</v>
      </c>
      <c r="K13" s="3"/>
      <c r="L13" s="3" t="n">
        <v>0</v>
      </c>
      <c r="M13" s="3"/>
      <c r="N13" s="3" t="n">
        <f aca="false">IF(D13="No",0,IF(AND(I13="No",J13="No"),H13,0))</f>
        <v>4</v>
      </c>
      <c r="O13" s="3" t="n">
        <f aca="false">IF(D13="No",0,IF(AND(I13="Yes",L13=0),H13,0))</f>
        <v>0</v>
      </c>
      <c r="P13" s="3" t="n">
        <f aca="false">IF(D13="No",0,IF(AND(I13="Yes",L13&gt;0),H13*(1-L13/100),0))</f>
        <v>0</v>
      </c>
      <c r="Q13" s="3" t="n">
        <f aca="false">IF(D13="No",0,IF(AND(I13="No",J13="Yes"),H13*(1-L13/100),0))</f>
        <v>0</v>
      </c>
      <c r="R13" s="3" t="str">
        <f aca="false">IF(D13="No","Safe",IF(I13="Yes",IF(L13=0,"SPF","RF"),IF(J13="Yes",IF(L13=0,"MPF_L","MPF_D"),"Safe")))</f>
        <v>Safe</v>
      </c>
      <c r="S13" s="3" t="s">
        <v>208</v>
      </c>
      <c r="T13" s="3"/>
      <c r="U13" s="3"/>
    </row>
    <row r="14" customFormat="false" ht="28.35" hidden="false" customHeight="false" outlineLevel="0" collapsed="false">
      <c r="A14" s="3" t="s">
        <v>84</v>
      </c>
      <c r="B14" s="3" t="s">
        <v>85</v>
      </c>
      <c r="C14" s="3" t="n">
        <v>15</v>
      </c>
      <c r="D14" s="3" t="s">
        <v>72</v>
      </c>
      <c r="E14" s="3" t="s">
        <v>214</v>
      </c>
      <c r="F14" s="3" t="s">
        <v>215</v>
      </c>
      <c r="G14" s="3" t="n">
        <v>50</v>
      </c>
      <c r="H14" s="3" t="n">
        <f aca="false">C14*G14/100</f>
        <v>7.5</v>
      </c>
      <c r="I14" s="3" t="s">
        <v>75</v>
      </c>
      <c r="J14" s="3" t="s">
        <v>75</v>
      </c>
      <c r="K14" s="3"/>
      <c r="L14" s="3" t="n">
        <v>0</v>
      </c>
      <c r="M14" s="3"/>
      <c r="N14" s="3" t="n">
        <f aca="false">IF(D14="No",0,IF(AND(I14="No",J14="No"),H14,0))</f>
        <v>7.5</v>
      </c>
      <c r="O14" s="3" t="n">
        <f aca="false">IF(D14="No",0,IF(AND(I14="Yes",L14=0),H14,0))</f>
        <v>0</v>
      </c>
      <c r="P14" s="3" t="n">
        <f aca="false">IF(D14="No",0,IF(AND(I14="Yes",L14&gt;0),H14*(1-L14/100),0))</f>
        <v>0</v>
      </c>
      <c r="Q14" s="3" t="n">
        <f aca="false">IF(D14="No",0,IF(AND(I14="No",J14="Yes"),H14*(1-L14/100),0))</f>
        <v>0</v>
      </c>
      <c r="R14" s="3" t="str">
        <f aca="false">IF(D14="No","Safe",IF(I14="Yes",IF(L14=0,"SPF","RF"),IF(J14="Yes",IF(L14=0,"MPF_L","MPF_D"),"Safe")))</f>
        <v>Safe</v>
      </c>
      <c r="S14" s="3" t="s">
        <v>216</v>
      </c>
      <c r="T14" s="3"/>
      <c r="U14" s="3" t="s">
        <v>217</v>
      </c>
    </row>
    <row r="15" customFormat="false" ht="28.35" hidden="false" customHeight="false" outlineLevel="0" collapsed="false">
      <c r="A15" s="3" t="s">
        <v>84</v>
      </c>
      <c r="B15" s="3" t="s">
        <v>85</v>
      </c>
      <c r="C15" s="3" t="n">
        <v>15</v>
      </c>
      <c r="D15" s="3" t="s">
        <v>72</v>
      </c>
      <c r="E15" s="3" t="s">
        <v>218</v>
      </c>
      <c r="F15" s="3" t="s">
        <v>219</v>
      </c>
      <c r="G15" s="3" t="n">
        <v>30</v>
      </c>
      <c r="H15" s="3" t="n">
        <f aca="false">C15*G15/100</f>
        <v>4.5</v>
      </c>
      <c r="I15" s="3" t="s">
        <v>72</v>
      </c>
      <c r="J15" s="3" t="s">
        <v>75</v>
      </c>
      <c r="K15" s="3" t="s">
        <v>152</v>
      </c>
      <c r="L15" s="3" t="n">
        <v>60</v>
      </c>
      <c r="M15" s="3" t="s">
        <v>180</v>
      </c>
      <c r="N15" s="3" t="n">
        <f aca="false">IF(D15="No",0,IF(AND(I15="No",J15="No"),H15,0))</f>
        <v>0</v>
      </c>
      <c r="O15" s="3" t="n">
        <f aca="false">IF(D15="No",0,IF(AND(I15="Yes",L15=0),H15,0))</f>
        <v>0</v>
      </c>
      <c r="P15" s="3" t="n">
        <f aca="false">IF(D15="No",0,IF(AND(I15="Yes",L15&gt;0),H15*(1-L15/100),0))</f>
        <v>1.8</v>
      </c>
      <c r="Q15" s="3" t="n">
        <f aca="false">IF(D15="No",0,IF(AND(I15="No",J15="Yes"),H15*(1-L15/100),0))</f>
        <v>0</v>
      </c>
      <c r="R15" s="3" t="str">
        <f aca="false">IF(D15="No","Safe",IF(I15="Yes",IF(L15=0,"SPF","RF"),IF(J15="Yes",IF(L15=0,"MPF_L","MPF_D"),"Safe")))</f>
        <v>RF</v>
      </c>
      <c r="S15" s="3" t="s">
        <v>216</v>
      </c>
      <c r="T15" s="3"/>
      <c r="U15" s="3" t="s">
        <v>220</v>
      </c>
    </row>
    <row r="16" customFormat="false" ht="28.35" hidden="false" customHeight="false" outlineLevel="0" collapsed="false">
      <c r="A16" s="3" t="s">
        <v>84</v>
      </c>
      <c r="B16" s="3" t="s">
        <v>85</v>
      </c>
      <c r="C16" s="3" t="n">
        <v>15</v>
      </c>
      <c r="D16" s="3" t="s">
        <v>72</v>
      </c>
      <c r="E16" s="3" t="s">
        <v>221</v>
      </c>
      <c r="F16" s="3" t="s">
        <v>222</v>
      </c>
      <c r="G16" s="3" t="n">
        <v>20</v>
      </c>
      <c r="H16" s="3" t="n">
        <f aca="false">C16*G16/100</f>
        <v>3</v>
      </c>
      <c r="I16" s="3" t="s">
        <v>75</v>
      </c>
      <c r="J16" s="3" t="s">
        <v>75</v>
      </c>
      <c r="K16" s="3"/>
      <c r="L16" s="3" t="n">
        <v>0</v>
      </c>
      <c r="M16" s="3"/>
      <c r="N16" s="3" t="n">
        <f aca="false">IF(D16="No",0,IF(AND(I16="No",J16="No"),H16,0))</f>
        <v>3</v>
      </c>
      <c r="O16" s="3" t="n">
        <f aca="false">IF(D16="No",0,IF(AND(I16="Yes",L16=0),H16,0))</f>
        <v>0</v>
      </c>
      <c r="P16" s="3" t="n">
        <f aca="false">IF(D16="No",0,IF(AND(I16="Yes",L16&gt;0),H16*(1-L16/100),0))</f>
        <v>0</v>
      </c>
      <c r="Q16" s="3" t="n">
        <f aca="false">IF(D16="No",0,IF(AND(I16="No",J16="Yes"),H16*(1-L16/100),0))</f>
        <v>0</v>
      </c>
      <c r="R16" s="3" t="str">
        <f aca="false">IF(D16="No","Safe",IF(I16="Yes",IF(L16=0,"SPF","RF"),IF(J16="Yes",IF(L16=0,"MPF_L","MPF_D"),"Safe")))</f>
        <v>Safe</v>
      </c>
      <c r="S16" s="3" t="s">
        <v>216</v>
      </c>
      <c r="T16" s="3"/>
      <c r="U16" s="3"/>
    </row>
    <row r="17" customFormat="false" ht="28.35" hidden="false" customHeight="false" outlineLevel="0" collapsed="false">
      <c r="A17" s="3" t="s">
        <v>87</v>
      </c>
      <c r="B17" s="3" t="s">
        <v>88</v>
      </c>
      <c r="C17" s="3" t="n">
        <v>20</v>
      </c>
      <c r="D17" s="3" t="s">
        <v>72</v>
      </c>
      <c r="E17" s="3" t="s">
        <v>223</v>
      </c>
      <c r="F17" s="3" t="s">
        <v>224</v>
      </c>
      <c r="G17" s="3" t="n">
        <v>30</v>
      </c>
      <c r="H17" s="3" t="n">
        <f aca="false">C17*G17/100</f>
        <v>6</v>
      </c>
      <c r="I17" s="3" t="s">
        <v>72</v>
      </c>
      <c r="J17" s="3" t="s">
        <v>75</v>
      </c>
      <c r="K17" s="3"/>
      <c r="L17" s="3" t="n">
        <v>0</v>
      </c>
      <c r="M17" s="3"/>
      <c r="N17" s="3" t="n">
        <f aca="false">IF(D17="No",0,IF(AND(I17="No",J17="No"),H17,0))</f>
        <v>0</v>
      </c>
      <c r="O17" s="3" t="n">
        <f aca="false">IF(D17="No",0,IF(AND(I17="Yes",L17=0),H17,0))</f>
        <v>6</v>
      </c>
      <c r="P17" s="3" t="n">
        <f aca="false">IF(D17="No",0,IF(AND(I17="Yes",L17&gt;0),H17*(1-L17/100),0))</f>
        <v>0</v>
      </c>
      <c r="Q17" s="3" t="n">
        <f aca="false">IF(D17="No",0,IF(AND(I17="No",J17="Yes"),H17*(1-L17/100),0))</f>
        <v>0</v>
      </c>
      <c r="R17" s="3" t="str">
        <f aca="false">IF(D17="No","Safe",IF(I17="Yes",IF(L17=0,"SPF","RF"),IF(J17="Yes",IF(L17=0,"MPF_L","MPF_D"),"Safe")))</f>
        <v>SPF</v>
      </c>
      <c r="S17" s="3" t="s">
        <v>225</v>
      </c>
      <c r="T17" s="3"/>
      <c r="U17" s="3" t="s">
        <v>226</v>
      </c>
    </row>
    <row r="18" customFormat="false" ht="28.35" hidden="false" customHeight="false" outlineLevel="0" collapsed="false">
      <c r="A18" s="3" t="s">
        <v>87</v>
      </c>
      <c r="B18" s="3" t="s">
        <v>88</v>
      </c>
      <c r="C18" s="3" t="n">
        <v>20</v>
      </c>
      <c r="D18" s="3" t="s">
        <v>72</v>
      </c>
      <c r="E18" s="3" t="s">
        <v>227</v>
      </c>
      <c r="F18" s="3" t="s">
        <v>228</v>
      </c>
      <c r="G18" s="3" t="n">
        <v>30</v>
      </c>
      <c r="H18" s="3" t="n">
        <f aca="false">C18*G18/100</f>
        <v>6</v>
      </c>
      <c r="I18" s="3" t="s">
        <v>72</v>
      </c>
      <c r="J18" s="3" t="s">
        <v>75</v>
      </c>
      <c r="K18" s="3"/>
      <c r="L18" s="3" t="n">
        <v>0</v>
      </c>
      <c r="M18" s="3"/>
      <c r="N18" s="3" t="n">
        <f aca="false">IF(D18="No",0,IF(AND(I18="No",J18="No"),H18,0))</f>
        <v>0</v>
      </c>
      <c r="O18" s="3" t="n">
        <f aca="false">IF(D18="No",0,IF(AND(I18="Yes",L18=0),H18,0))</f>
        <v>6</v>
      </c>
      <c r="P18" s="3" t="n">
        <f aca="false">IF(D18="No",0,IF(AND(I18="Yes",L18&gt;0),H18*(1-L18/100),0))</f>
        <v>0</v>
      </c>
      <c r="Q18" s="3" t="n">
        <f aca="false">IF(D18="No",0,IF(AND(I18="No",J18="Yes"),H18*(1-L18/100),0))</f>
        <v>0</v>
      </c>
      <c r="R18" s="3" t="str">
        <f aca="false">IF(D18="No","Safe",IF(I18="Yes",IF(L18=0,"SPF","RF"),IF(J18="Yes",IF(L18=0,"MPF_L","MPF_D"),"Safe")))</f>
        <v>SPF</v>
      </c>
      <c r="S18" s="3" t="s">
        <v>229</v>
      </c>
      <c r="T18" s="3"/>
      <c r="U18" s="3" t="s">
        <v>230</v>
      </c>
    </row>
    <row r="19" customFormat="false" ht="28.35" hidden="false" customHeight="false" outlineLevel="0" collapsed="false">
      <c r="A19" s="3" t="s">
        <v>87</v>
      </c>
      <c r="B19" s="3" t="s">
        <v>88</v>
      </c>
      <c r="C19" s="3" t="n">
        <v>20</v>
      </c>
      <c r="D19" s="3" t="s">
        <v>72</v>
      </c>
      <c r="E19" s="3" t="s">
        <v>231</v>
      </c>
      <c r="F19" s="3" t="s">
        <v>232</v>
      </c>
      <c r="G19" s="3" t="n">
        <v>40</v>
      </c>
      <c r="H19" s="3" t="n">
        <f aca="false">C19*G19/100</f>
        <v>8</v>
      </c>
      <c r="I19" s="3" t="s">
        <v>75</v>
      </c>
      <c r="J19" s="3" t="s">
        <v>75</v>
      </c>
      <c r="K19" s="3"/>
      <c r="L19" s="3" t="n">
        <v>0</v>
      </c>
      <c r="M19" s="3"/>
      <c r="N19" s="3" t="n">
        <f aca="false">IF(D19="No",0,IF(AND(I19="No",J19="No"),H19,0))</f>
        <v>8</v>
      </c>
      <c r="O19" s="3" t="n">
        <f aca="false">IF(D19="No",0,IF(AND(I19="Yes",L19=0),H19,0))</f>
        <v>0</v>
      </c>
      <c r="P19" s="3" t="n">
        <f aca="false">IF(D19="No",0,IF(AND(I19="Yes",L19&gt;0),H19*(1-L19/100),0))</f>
        <v>0</v>
      </c>
      <c r="Q19" s="3" t="n">
        <f aca="false">IF(D19="No",0,IF(AND(I19="No",J19="Yes"),H19*(1-L19/100),0))</f>
        <v>0</v>
      </c>
      <c r="R19" s="3" t="str">
        <f aca="false">IF(D19="No","Safe",IF(I19="Yes",IF(L19=0,"SPF","RF"),IF(J19="Yes",IF(L19=0,"MPF_L","MPF_D"),"Safe")))</f>
        <v>Safe</v>
      </c>
      <c r="S19" s="3"/>
      <c r="T19" s="3"/>
      <c r="U19" s="3"/>
    </row>
    <row r="20" customFormat="false" ht="28.35" hidden="false" customHeight="false" outlineLevel="0" collapsed="false">
      <c r="A20" s="3" t="s">
        <v>90</v>
      </c>
      <c r="B20" s="3" t="s">
        <v>91</v>
      </c>
      <c r="C20" s="3" t="n">
        <v>50</v>
      </c>
      <c r="D20" s="3" t="s">
        <v>72</v>
      </c>
      <c r="E20" s="3" t="s">
        <v>233</v>
      </c>
      <c r="F20" s="3" t="s">
        <v>234</v>
      </c>
      <c r="G20" s="3" t="n">
        <v>30</v>
      </c>
      <c r="H20" s="3" t="n">
        <f aca="false">C20*G20/100</f>
        <v>15</v>
      </c>
      <c r="I20" s="3" t="s">
        <v>72</v>
      </c>
      <c r="J20" s="3" t="s">
        <v>75</v>
      </c>
      <c r="K20" s="3"/>
      <c r="L20" s="3" t="n">
        <v>0</v>
      </c>
      <c r="M20" s="3"/>
      <c r="N20" s="3" t="n">
        <f aca="false">IF(D20="No",0,IF(AND(I20="No",J20="No"),H20,0))</f>
        <v>0</v>
      </c>
      <c r="O20" s="3" t="n">
        <f aca="false">IF(D20="No",0,IF(AND(I20="Yes",L20=0),H20,0))</f>
        <v>15</v>
      </c>
      <c r="P20" s="3" t="n">
        <f aca="false">IF(D20="No",0,IF(AND(I20="Yes",L20&gt;0),H20*(1-L20/100),0))</f>
        <v>0</v>
      </c>
      <c r="Q20" s="3" t="n">
        <f aca="false">IF(D20="No",0,IF(AND(I20="No",J20="Yes"),H20*(1-L20/100),0))</f>
        <v>0</v>
      </c>
      <c r="R20" s="3" t="str">
        <f aca="false">IF(D20="No","Safe",IF(I20="Yes",IF(L20=0,"SPF","RF"),IF(J20="Yes",IF(L20=0,"MPF_L","MPF_D"),"Safe")))</f>
        <v>SPF</v>
      </c>
      <c r="S20" s="3" t="s">
        <v>235</v>
      </c>
      <c r="T20" s="3"/>
      <c r="U20" s="3" t="s">
        <v>236</v>
      </c>
    </row>
    <row r="21" customFormat="false" ht="28.35" hidden="false" customHeight="false" outlineLevel="0" collapsed="false">
      <c r="A21" s="3" t="s">
        <v>90</v>
      </c>
      <c r="B21" s="3" t="s">
        <v>91</v>
      </c>
      <c r="C21" s="3" t="n">
        <v>50</v>
      </c>
      <c r="D21" s="3" t="s">
        <v>72</v>
      </c>
      <c r="E21" s="3" t="s">
        <v>237</v>
      </c>
      <c r="F21" s="3" t="s">
        <v>238</v>
      </c>
      <c r="G21" s="3" t="n">
        <v>30</v>
      </c>
      <c r="H21" s="3" t="n">
        <f aca="false">C21*G21/100</f>
        <v>15</v>
      </c>
      <c r="I21" s="3" t="s">
        <v>75</v>
      </c>
      <c r="J21" s="3" t="s">
        <v>75</v>
      </c>
      <c r="K21" s="3"/>
      <c r="L21" s="3" t="n">
        <v>0</v>
      </c>
      <c r="M21" s="3"/>
      <c r="N21" s="3" t="n">
        <f aca="false">IF(D21="No",0,IF(AND(I21="No",J21="No"),H21,0))</f>
        <v>15</v>
      </c>
      <c r="O21" s="3" t="n">
        <f aca="false">IF(D21="No",0,IF(AND(I21="Yes",L21=0),H21,0))</f>
        <v>0</v>
      </c>
      <c r="P21" s="3" t="n">
        <f aca="false">IF(D21="No",0,IF(AND(I21="Yes",L21&gt;0),H21*(1-L21/100),0))</f>
        <v>0</v>
      </c>
      <c r="Q21" s="3" t="n">
        <f aca="false">IF(D21="No",0,IF(AND(I21="No",J21="Yes"),H21*(1-L21/100),0))</f>
        <v>0</v>
      </c>
      <c r="R21" s="3" t="str">
        <f aca="false">IF(D21="No","Safe",IF(I21="Yes",IF(L21=0,"SPF","RF"),IF(J21="Yes",IF(L21=0,"MPF_L","MPF_D"),"Safe")))</f>
        <v>Safe</v>
      </c>
      <c r="S21" s="3" t="s">
        <v>239</v>
      </c>
      <c r="T21" s="3"/>
      <c r="U21" s="3" t="s">
        <v>240</v>
      </c>
    </row>
    <row r="22" customFormat="false" ht="28.35" hidden="false" customHeight="false" outlineLevel="0" collapsed="false">
      <c r="A22" s="3" t="s">
        <v>90</v>
      </c>
      <c r="B22" s="3" t="s">
        <v>91</v>
      </c>
      <c r="C22" s="3" t="n">
        <v>50</v>
      </c>
      <c r="D22" s="3" t="s">
        <v>72</v>
      </c>
      <c r="E22" s="3" t="s">
        <v>241</v>
      </c>
      <c r="F22" s="3" t="s">
        <v>242</v>
      </c>
      <c r="G22" s="3" t="n">
        <v>40</v>
      </c>
      <c r="H22" s="3" t="n">
        <f aca="false">C22*G22/100</f>
        <v>20</v>
      </c>
      <c r="I22" s="3" t="s">
        <v>72</v>
      </c>
      <c r="J22" s="3" t="s">
        <v>75</v>
      </c>
      <c r="K22" s="3"/>
      <c r="L22" s="3" t="n">
        <v>0</v>
      </c>
      <c r="M22" s="3"/>
      <c r="N22" s="3" t="n">
        <f aca="false">IF(D22="No",0,IF(AND(I22="No",J22="No"),H22,0))</f>
        <v>0</v>
      </c>
      <c r="O22" s="3" t="n">
        <f aca="false">IF(D22="No",0,IF(AND(I22="Yes",L22=0),H22,0))</f>
        <v>20</v>
      </c>
      <c r="P22" s="3" t="n">
        <f aca="false">IF(D22="No",0,IF(AND(I22="Yes",L22&gt;0),H22*(1-L22/100),0))</f>
        <v>0</v>
      </c>
      <c r="Q22" s="3" t="n">
        <f aca="false">IF(D22="No",0,IF(AND(I22="No",J22="Yes"),H22*(1-L22/100),0))</f>
        <v>0</v>
      </c>
      <c r="R22" s="3" t="str">
        <f aca="false">IF(D22="No","Safe",IF(I22="Yes",IF(L22=0,"SPF","RF"),IF(J22="Yes",IF(L22=0,"MPF_L","MPF_D"),"Safe")))</f>
        <v>SPF</v>
      </c>
      <c r="S22" s="3" t="s">
        <v>243</v>
      </c>
      <c r="T22" s="3"/>
      <c r="U22" s="3" t="s">
        <v>244</v>
      </c>
    </row>
    <row r="23" customFormat="false" ht="28.35" hidden="false" customHeight="false" outlineLevel="0" collapsed="false">
      <c r="A23" s="3" t="s">
        <v>98</v>
      </c>
      <c r="B23" s="3" t="s">
        <v>99</v>
      </c>
      <c r="C23" s="3" t="n">
        <v>5</v>
      </c>
      <c r="D23" s="3" t="s">
        <v>72</v>
      </c>
      <c r="E23" s="3" t="s">
        <v>245</v>
      </c>
      <c r="F23" s="3" t="s">
        <v>246</v>
      </c>
      <c r="G23" s="3" t="n">
        <v>50</v>
      </c>
      <c r="H23" s="3" t="n">
        <f aca="false">C23*G23/100</f>
        <v>2.5</v>
      </c>
      <c r="I23" s="3" t="s">
        <v>72</v>
      </c>
      <c r="J23" s="3" t="s">
        <v>75</v>
      </c>
      <c r="K23" s="3"/>
      <c r="L23" s="3" t="n">
        <v>0</v>
      </c>
      <c r="M23" s="3"/>
      <c r="N23" s="3" t="n">
        <f aca="false">IF(D23="No",0,IF(AND(I23="No",J23="No"),H23,0))</f>
        <v>0</v>
      </c>
      <c r="O23" s="3" t="n">
        <f aca="false">IF(D23="No",0,IF(AND(I23="Yes",L23=0),H23,0))</f>
        <v>2.5</v>
      </c>
      <c r="P23" s="3" t="n">
        <f aca="false">IF(D23="No",0,IF(AND(I23="Yes",L23&gt;0),H23*(1-L23/100),0))</f>
        <v>0</v>
      </c>
      <c r="Q23" s="3" t="n">
        <f aca="false">IF(D23="No",0,IF(AND(I23="No",J23="Yes"),H23*(1-L23/100),0))</f>
        <v>0</v>
      </c>
      <c r="R23" s="3" t="str">
        <f aca="false">IF(D23="No","Safe",IF(I23="Yes",IF(L23=0,"SPF","RF"),IF(J23="Yes",IF(L23=0,"MPF_L","MPF_D"),"Safe")))</f>
        <v>SPF</v>
      </c>
      <c r="S23" s="3" t="s">
        <v>235</v>
      </c>
      <c r="T23" s="3"/>
      <c r="U23" s="3" t="s">
        <v>247</v>
      </c>
    </row>
    <row r="24" customFormat="false" ht="28.35" hidden="false" customHeight="false" outlineLevel="0" collapsed="false">
      <c r="A24" s="3" t="s">
        <v>98</v>
      </c>
      <c r="B24" s="3" t="s">
        <v>99</v>
      </c>
      <c r="C24" s="3" t="n">
        <v>5</v>
      </c>
      <c r="D24" s="3" t="s">
        <v>72</v>
      </c>
      <c r="E24" s="3" t="s">
        <v>248</v>
      </c>
      <c r="F24" s="3" t="s">
        <v>249</v>
      </c>
      <c r="G24" s="3" t="n">
        <v>50</v>
      </c>
      <c r="H24" s="3" t="n">
        <f aca="false">C24*G24/100</f>
        <v>2.5</v>
      </c>
      <c r="I24" s="3" t="s">
        <v>75</v>
      </c>
      <c r="J24" s="3" t="s">
        <v>75</v>
      </c>
      <c r="K24" s="3"/>
      <c r="L24" s="3" t="n">
        <v>0</v>
      </c>
      <c r="M24" s="3"/>
      <c r="N24" s="3" t="n">
        <f aca="false">IF(D24="No",0,IF(AND(I24="No",J24="No"),H24,0))</f>
        <v>2.5</v>
      </c>
      <c r="O24" s="3" t="n">
        <f aca="false">IF(D24="No",0,IF(AND(I24="Yes",L24=0),H24,0))</f>
        <v>0</v>
      </c>
      <c r="P24" s="3" t="n">
        <f aca="false">IF(D24="No",0,IF(AND(I24="Yes",L24&gt;0),H24*(1-L24/100),0))</f>
        <v>0</v>
      </c>
      <c r="Q24" s="3" t="n">
        <f aca="false">IF(D24="No",0,IF(AND(I24="No",J24="Yes"),H24*(1-L24/100),0))</f>
        <v>0</v>
      </c>
      <c r="R24" s="3" t="str">
        <f aca="false">IF(D24="No","Safe",IF(I24="Yes",IF(L24=0,"SPF","RF"),IF(J24="Yes",IF(L24=0,"MPF_L","MPF_D"),"Safe")))</f>
        <v>Safe</v>
      </c>
      <c r="S24" s="3" t="s">
        <v>239</v>
      </c>
      <c r="T24" s="3"/>
      <c r="U24" s="3" t="s">
        <v>250</v>
      </c>
    </row>
    <row r="25" customFormat="false" ht="28.35" hidden="false" customHeight="false" outlineLevel="0" collapsed="false">
      <c r="A25" s="3" t="s">
        <v>103</v>
      </c>
      <c r="B25" s="3" t="s">
        <v>104</v>
      </c>
      <c r="C25" s="3" t="n">
        <v>0.4</v>
      </c>
      <c r="D25" s="3" t="s">
        <v>72</v>
      </c>
      <c r="E25" s="3" t="s">
        <v>251</v>
      </c>
      <c r="F25" s="3" t="s">
        <v>252</v>
      </c>
      <c r="G25" s="3" t="n">
        <v>60</v>
      </c>
      <c r="H25" s="3" t="n">
        <f aca="false">C25*G25/100</f>
        <v>0.24</v>
      </c>
      <c r="I25" s="3" t="s">
        <v>75</v>
      </c>
      <c r="J25" s="3" t="s">
        <v>72</v>
      </c>
      <c r="K25" s="3"/>
      <c r="L25" s="3" t="n">
        <v>0</v>
      </c>
      <c r="M25" s="3"/>
      <c r="N25" s="3" t="n">
        <f aca="false">IF(D25="No",0,IF(AND(I25="No",J25="No"),H25,0))</f>
        <v>0</v>
      </c>
      <c r="O25" s="3" t="n">
        <f aca="false">IF(D25="No",0,IF(AND(I25="Yes",L25=0),H25,0))</f>
        <v>0</v>
      </c>
      <c r="P25" s="3" t="n">
        <f aca="false">IF(D25="No",0,IF(AND(I25="Yes",L25&gt;0),H25*(1-L25/100),0))</f>
        <v>0</v>
      </c>
      <c r="Q25" s="3" t="n">
        <f aca="false">IF(D25="No",0,IF(AND(I25="No",J25="Yes"),H25*(1-L25/100),0))</f>
        <v>0.24</v>
      </c>
      <c r="R25" s="3" t="str">
        <f aca="false">IF(D25="No","Safe",IF(I25="Yes",IF(L25=0,"SPF","RF"),IF(J25="Yes",IF(L25=0,"MPF_L","MPF_D"),"Safe")))</f>
        <v>MPF_L</v>
      </c>
      <c r="S25" s="3" t="s">
        <v>235</v>
      </c>
      <c r="T25" s="3"/>
      <c r="U25" s="3" t="s">
        <v>253</v>
      </c>
    </row>
    <row r="26" customFormat="false" ht="28.35" hidden="false" customHeight="false" outlineLevel="0" collapsed="false">
      <c r="A26" s="3" t="s">
        <v>103</v>
      </c>
      <c r="B26" s="3" t="s">
        <v>104</v>
      </c>
      <c r="C26" s="3" t="n">
        <v>0.4</v>
      </c>
      <c r="D26" s="3" t="s">
        <v>72</v>
      </c>
      <c r="E26" s="3" t="s">
        <v>254</v>
      </c>
      <c r="F26" s="3" t="s">
        <v>255</v>
      </c>
      <c r="G26" s="3" t="n">
        <v>40</v>
      </c>
      <c r="H26" s="3" t="n">
        <f aca="false">C26*G26/100</f>
        <v>0.16</v>
      </c>
      <c r="I26" s="3" t="s">
        <v>75</v>
      </c>
      <c r="J26" s="3" t="s">
        <v>75</v>
      </c>
      <c r="K26" s="3"/>
      <c r="L26" s="3" t="n">
        <v>0</v>
      </c>
      <c r="M26" s="3"/>
      <c r="N26" s="3" t="n">
        <f aca="false">IF(D26="No",0,IF(AND(I26="No",J26="No"),H26,0))</f>
        <v>0.16</v>
      </c>
      <c r="O26" s="3" t="n">
        <f aca="false">IF(D26="No",0,IF(AND(I26="Yes",L26=0),H26,0))</f>
        <v>0</v>
      </c>
      <c r="P26" s="3" t="n">
        <f aca="false">IF(D26="No",0,IF(AND(I26="Yes",L26&gt;0),H26*(1-L26/100),0))</f>
        <v>0</v>
      </c>
      <c r="Q26" s="3" t="n">
        <f aca="false">IF(D26="No",0,IF(AND(I26="No",J26="Yes"),H26*(1-L26/100),0))</f>
        <v>0</v>
      </c>
      <c r="R26" s="3" t="str">
        <f aca="false">IF(D26="No","Safe",IF(I26="Yes",IF(L26=0,"SPF","RF"),IF(J26="Yes",IF(L26=0,"MPF_L","MPF_D"),"Safe")))</f>
        <v>Safe</v>
      </c>
      <c r="S26" s="3" t="s">
        <v>239</v>
      </c>
      <c r="T26" s="3"/>
      <c r="U26" s="3" t="s">
        <v>256</v>
      </c>
    </row>
    <row r="27" customFormat="false" ht="55.2" hidden="false" customHeight="false" outlineLevel="0" collapsed="false">
      <c r="A27" s="3" t="s">
        <v>108</v>
      </c>
      <c r="B27" s="3" t="s">
        <v>109</v>
      </c>
      <c r="C27" s="3" t="n">
        <v>3</v>
      </c>
      <c r="D27" s="3" t="s">
        <v>72</v>
      </c>
      <c r="E27" s="3" t="s">
        <v>257</v>
      </c>
      <c r="F27" s="3" t="s">
        <v>258</v>
      </c>
      <c r="G27" s="3" t="n">
        <v>40</v>
      </c>
      <c r="H27" s="3" t="n">
        <f aca="false">C27*G27/100</f>
        <v>1.2</v>
      </c>
      <c r="I27" s="3" t="s">
        <v>72</v>
      </c>
      <c r="J27" s="3" t="s">
        <v>75</v>
      </c>
      <c r="K27" s="3"/>
      <c r="L27" s="3" t="n">
        <v>0</v>
      </c>
      <c r="M27" s="3"/>
      <c r="N27" s="3" t="n">
        <f aca="false">IF(D27="No",0,IF(AND(I27="No",J27="No"),H27,0))</f>
        <v>0</v>
      </c>
      <c r="O27" s="3" t="n">
        <f aca="false">IF(D27="No",0,IF(AND(I27="Yes",L27=0),H27,0))</f>
        <v>1.2</v>
      </c>
      <c r="P27" s="3" t="n">
        <f aca="false">IF(D27="No",0,IF(AND(I27="Yes",L27&gt;0),H27*(1-L27/100),0))</f>
        <v>0</v>
      </c>
      <c r="Q27" s="3" t="n">
        <f aca="false">IF(D27="No",0,IF(AND(I27="No",J27="Yes"),H27*(1-L27/100),0))</f>
        <v>0</v>
      </c>
      <c r="R27" s="3" t="str">
        <f aca="false">IF(D27="No","Safe",IF(I27="Yes",IF(L27=0,"SPF","RF"),IF(J27="Yes",IF(L27=0,"MPF_L","MPF_D"),"Safe")))</f>
        <v>SPF</v>
      </c>
      <c r="S27" s="3" t="s">
        <v>259</v>
      </c>
      <c r="T27" s="3"/>
      <c r="U27" s="3" t="s">
        <v>260</v>
      </c>
    </row>
    <row r="28" customFormat="false" ht="28.35" hidden="false" customHeight="false" outlineLevel="0" collapsed="false">
      <c r="A28" s="3" t="s">
        <v>108</v>
      </c>
      <c r="B28" s="3" t="s">
        <v>109</v>
      </c>
      <c r="C28" s="3" t="n">
        <v>3</v>
      </c>
      <c r="D28" s="3" t="s">
        <v>72</v>
      </c>
      <c r="E28" s="3" t="s">
        <v>261</v>
      </c>
      <c r="F28" s="3" t="s">
        <v>262</v>
      </c>
      <c r="G28" s="3" t="n">
        <v>20</v>
      </c>
      <c r="H28" s="3" t="n">
        <f aca="false">C28*G28/100</f>
        <v>0.6</v>
      </c>
      <c r="I28" s="3" t="s">
        <v>72</v>
      </c>
      <c r="J28" s="3" t="s">
        <v>75</v>
      </c>
      <c r="K28" s="3"/>
      <c r="L28" s="3" t="n">
        <v>0</v>
      </c>
      <c r="M28" s="3"/>
      <c r="N28" s="3" t="n">
        <f aca="false">IF(D28="No",0,IF(AND(I28="No",J28="No"),H28,0))</f>
        <v>0</v>
      </c>
      <c r="O28" s="3" t="n">
        <f aca="false">IF(D28="No",0,IF(AND(I28="Yes",L28=0),H28,0))</f>
        <v>0.6</v>
      </c>
      <c r="P28" s="3" t="n">
        <f aca="false">IF(D28="No",0,IF(AND(I28="Yes",L28&gt;0),H28*(1-L28/100),0))</f>
        <v>0</v>
      </c>
      <c r="Q28" s="3" t="n">
        <f aca="false">IF(D28="No",0,IF(AND(I28="No",J28="Yes"),H28*(1-L28/100),0))</f>
        <v>0</v>
      </c>
      <c r="R28" s="3" t="str">
        <f aca="false">IF(D28="No","Safe",IF(I28="Yes",IF(L28=0,"SPF","RF"),IF(J28="Yes",IF(L28=0,"MPF_L","MPF_D"),"Safe")))</f>
        <v>SPF</v>
      </c>
      <c r="S28" s="3" t="s">
        <v>259</v>
      </c>
      <c r="T28" s="3"/>
      <c r="U28" s="3" t="s">
        <v>263</v>
      </c>
    </row>
    <row r="29" customFormat="false" ht="28.35" hidden="false" customHeight="false" outlineLevel="0" collapsed="false">
      <c r="A29" s="3" t="s">
        <v>108</v>
      </c>
      <c r="B29" s="3" t="s">
        <v>109</v>
      </c>
      <c r="C29" s="3" t="n">
        <v>3</v>
      </c>
      <c r="D29" s="3" t="s">
        <v>72</v>
      </c>
      <c r="E29" s="3" t="s">
        <v>264</v>
      </c>
      <c r="F29" s="3" t="s">
        <v>265</v>
      </c>
      <c r="G29" s="3" t="n">
        <v>40</v>
      </c>
      <c r="H29" s="3" t="n">
        <f aca="false">C29*G29/100</f>
        <v>1.2</v>
      </c>
      <c r="I29" s="3" t="s">
        <v>75</v>
      </c>
      <c r="J29" s="3" t="s">
        <v>72</v>
      </c>
      <c r="K29" s="3"/>
      <c r="L29" s="3" t="n">
        <v>0</v>
      </c>
      <c r="M29" s="3"/>
      <c r="N29" s="3" t="n">
        <f aca="false">IF(D29="No",0,IF(AND(I29="No",J29="No"),H29,0))</f>
        <v>0</v>
      </c>
      <c r="O29" s="3" t="n">
        <f aca="false">IF(D29="No",0,IF(AND(I29="Yes",L29=0),H29,0))</f>
        <v>0</v>
      </c>
      <c r="P29" s="3" t="n">
        <f aca="false">IF(D29="No",0,IF(AND(I29="Yes",L29&gt;0),H29*(1-L29/100),0))</f>
        <v>0</v>
      </c>
      <c r="Q29" s="3" t="n">
        <f aca="false">IF(D29="No",0,IF(AND(I29="No",J29="Yes"),H29*(1-L29/100),0))</f>
        <v>1.2</v>
      </c>
      <c r="R29" s="3" t="str">
        <f aca="false">IF(D29="No","Safe",IF(I29="Yes",IF(L29=0,"SPF","RF"),IF(J29="Yes",IF(L29=0,"MPF_L","MPF_D"),"Safe")))</f>
        <v>MPF_L</v>
      </c>
      <c r="S29" s="3" t="s">
        <v>259</v>
      </c>
      <c r="T29" s="3"/>
      <c r="U29" s="3" t="s">
        <v>266</v>
      </c>
    </row>
    <row r="30" customFormat="false" ht="122.35" hidden="false" customHeight="false" outlineLevel="0" collapsed="false">
      <c r="A30" s="3" t="s">
        <v>113</v>
      </c>
      <c r="B30" s="3" t="s">
        <v>114</v>
      </c>
      <c r="C30" s="3" t="n">
        <v>2</v>
      </c>
      <c r="D30" s="3" t="s">
        <v>72</v>
      </c>
      <c r="E30" s="3" t="s">
        <v>267</v>
      </c>
      <c r="F30" s="3" t="s">
        <v>268</v>
      </c>
      <c r="G30" s="3" t="n">
        <v>30</v>
      </c>
      <c r="H30" s="3" t="n">
        <f aca="false">C30*G30/100</f>
        <v>0.6</v>
      </c>
      <c r="I30" s="3" t="s">
        <v>72</v>
      </c>
      <c r="J30" s="3" t="s">
        <v>75</v>
      </c>
      <c r="K30" s="3"/>
      <c r="L30" s="3" t="n">
        <v>0</v>
      </c>
      <c r="M30" s="3"/>
      <c r="N30" s="3" t="n">
        <f aca="false">IF(D30="No",0,IF(AND(I30="No",J30="No"),H30,0))</f>
        <v>0</v>
      </c>
      <c r="O30" s="3" t="n">
        <f aca="false">IF(D30="No",0,IF(AND(I30="Yes",L30=0),H30,0))</f>
        <v>0.6</v>
      </c>
      <c r="P30" s="3" t="n">
        <f aca="false">IF(D30="No",0,IF(AND(I30="Yes",L30&gt;0),H30*(1-L30/100),0))</f>
        <v>0</v>
      </c>
      <c r="Q30" s="3" t="n">
        <f aca="false">IF(D30="No",0,IF(AND(I30="No",J30="Yes"),H30*(1-L30/100),0))</f>
        <v>0</v>
      </c>
      <c r="R30" s="3" t="str">
        <f aca="false">IF(D30="No","Safe",IF(I30="Yes",IF(L30=0,"SPF","RF"),IF(J30="Yes",IF(L30=0,"MPF_L","MPF_D"),"Safe")))</f>
        <v>SPF</v>
      </c>
      <c r="S30" s="3" t="s">
        <v>269</v>
      </c>
      <c r="T30" s="3"/>
      <c r="U30" s="3" t="s">
        <v>270</v>
      </c>
    </row>
    <row r="31" customFormat="false" ht="28.35" hidden="false" customHeight="false" outlineLevel="0" collapsed="false">
      <c r="A31" s="3" t="s">
        <v>113</v>
      </c>
      <c r="B31" s="3" t="s">
        <v>114</v>
      </c>
      <c r="C31" s="3" t="n">
        <v>2</v>
      </c>
      <c r="D31" s="3" t="s">
        <v>72</v>
      </c>
      <c r="E31" s="3" t="s">
        <v>271</v>
      </c>
      <c r="F31" s="3" t="s">
        <v>272</v>
      </c>
      <c r="G31" s="3" t="n">
        <v>70</v>
      </c>
      <c r="H31" s="3" t="n">
        <f aca="false">C31*G31/100</f>
        <v>1.4</v>
      </c>
      <c r="I31" s="3" t="s">
        <v>75</v>
      </c>
      <c r="J31" s="3" t="s">
        <v>72</v>
      </c>
      <c r="K31" s="3"/>
      <c r="L31" s="3" t="n">
        <v>0</v>
      </c>
      <c r="M31" s="3"/>
      <c r="N31" s="3" t="n">
        <f aca="false">IF(D31="No",0,IF(AND(I31="No",J31="No"),H31,0))</f>
        <v>0</v>
      </c>
      <c r="O31" s="3" t="n">
        <f aca="false">IF(D31="No",0,IF(AND(I31="Yes",L31=0),H31,0))</f>
        <v>0</v>
      </c>
      <c r="P31" s="3" t="n">
        <f aca="false">IF(D31="No",0,IF(AND(I31="Yes",L31&gt;0),H31*(1-L31/100),0))</f>
        <v>0</v>
      </c>
      <c r="Q31" s="3" t="n">
        <f aca="false">IF(D31="No",0,IF(AND(I31="No",J31="Yes"),H31*(1-L31/100),0))</f>
        <v>1.4</v>
      </c>
      <c r="R31" s="3" t="str">
        <f aca="false">IF(D31="No","Safe",IF(I31="Yes",IF(L31=0,"SPF","RF"),IF(J31="Yes",IF(L31=0,"MPF_L","MPF_D"),"Safe")))</f>
        <v>MPF_L</v>
      </c>
      <c r="S31" s="3" t="s">
        <v>269</v>
      </c>
      <c r="T31" s="3"/>
      <c r="U31" s="3" t="s">
        <v>273</v>
      </c>
    </row>
    <row r="32" customFormat="false" ht="28.35" hidden="false" customHeight="false" outlineLevel="0" collapsed="false">
      <c r="A32" s="3" t="s">
        <v>117</v>
      </c>
      <c r="B32" s="3" t="s">
        <v>118</v>
      </c>
      <c r="C32" s="3" t="n">
        <v>10</v>
      </c>
      <c r="D32" s="3" t="s">
        <v>72</v>
      </c>
      <c r="E32" s="3" t="s">
        <v>274</v>
      </c>
      <c r="F32" s="3" t="s">
        <v>275</v>
      </c>
      <c r="G32" s="3" t="n">
        <v>30</v>
      </c>
      <c r="H32" s="3" t="n">
        <f aca="false">C32*G32/100</f>
        <v>3</v>
      </c>
      <c r="I32" s="3" t="s">
        <v>72</v>
      </c>
      <c r="J32" s="3" t="s">
        <v>75</v>
      </c>
      <c r="K32" s="3"/>
      <c r="L32" s="3" t="n">
        <v>0</v>
      </c>
      <c r="M32" s="3"/>
      <c r="N32" s="3" t="n">
        <f aca="false">IF(D32="No",0,IF(AND(I32="No",J32="No"),H32,0))</f>
        <v>0</v>
      </c>
      <c r="O32" s="3" t="n">
        <f aca="false">IF(D32="No",0,IF(AND(I32="Yes",L32=0),H32,0))</f>
        <v>3</v>
      </c>
      <c r="P32" s="3" t="n">
        <f aca="false">IF(D32="No",0,IF(AND(I32="Yes",L32&gt;0),H32*(1-L32/100),0))</f>
        <v>0</v>
      </c>
      <c r="Q32" s="3" t="n">
        <f aca="false">IF(D32="No",0,IF(AND(I32="No",J32="Yes"),H32*(1-L32/100),0))</f>
        <v>0</v>
      </c>
      <c r="R32" s="3" t="str">
        <f aca="false">IF(D32="No","Safe",IF(I32="Yes",IF(L32=0,"SPF","RF"),IF(J32="Yes",IF(L32=0,"MPF_L","MPF_D"),"Safe")))</f>
        <v>SPF</v>
      </c>
      <c r="S32" s="3" t="s">
        <v>243</v>
      </c>
      <c r="T32" s="3"/>
      <c r="U32" s="3" t="s">
        <v>276</v>
      </c>
    </row>
    <row r="33" customFormat="false" ht="28.35" hidden="false" customHeight="false" outlineLevel="0" collapsed="false">
      <c r="A33" s="3" t="s">
        <v>117</v>
      </c>
      <c r="B33" s="3" t="s">
        <v>118</v>
      </c>
      <c r="C33" s="3" t="n">
        <v>10</v>
      </c>
      <c r="D33" s="3" t="s">
        <v>72</v>
      </c>
      <c r="E33" s="3" t="s">
        <v>277</v>
      </c>
      <c r="F33" s="3" t="s">
        <v>278</v>
      </c>
      <c r="G33" s="3" t="n">
        <v>70</v>
      </c>
      <c r="H33" s="3" t="n">
        <f aca="false">C33*G33/100</f>
        <v>7</v>
      </c>
      <c r="I33" s="3" t="s">
        <v>75</v>
      </c>
      <c r="J33" s="3" t="s">
        <v>75</v>
      </c>
      <c r="K33" s="3"/>
      <c r="L33" s="3" t="n">
        <v>0</v>
      </c>
      <c r="M33" s="3"/>
      <c r="N33" s="3" t="n">
        <f aca="false">IF(D33="No",0,IF(AND(I33="No",J33="No"),H33,0))</f>
        <v>7</v>
      </c>
      <c r="O33" s="3" t="n">
        <f aca="false">IF(D33="No",0,IF(AND(I33="Yes",L33=0),H33,0))</f>
        <v>0</v>
      </c>
      <c r="P33" s="3" t="n">
        <f aca="false">IF(D33="No",0,IF(AND(I33="Yes",L33&gt;0),H33*(1-L33/100),0))</f>
        <v>0</v>
      </c>
      <c r="Q33" s="3" t="n">
        <f aca="false">IF(D33="No",0,IF(AND(I33="No",J33="Yes"),H33*(1-L33/100),0))</f>
        <v>0</v>
      </c>
      <c r="R33" s="3" t="str">
        <f aca="false">IF(D33="No","Safe",IF(I33="Yes",IF(L33=0,"SPF","RF"),IF(J33="Yes",IF(L33=0,"MPF_L","MPF_D"),"Safe")))</f>
        <v>Safe</v>
      </c>
      <c r="S33" s="3" t="s">
        <v>279</v>
      </c>
      <c r="T33" s="3"/>
      <c r="U33" s="3" t="s">
        <v>280</v>
      </c>
    </row>
    <row r="34" customFormat="false" ht="28.35" hidden="false" customHeight="false" outlineLevel="0" collapsed="false">
      <c r="A34" s="3" t="s">
        <v>122</v>
      </c>
      <c r="B34" s="3" t="s">
        <v>123</v>
      </c>
      <c r="C34" s="3" t="n">
        <v>2</v>
      </c>
      <c r="D34" s="3" t="s">
        <v>72</v>
      </c>
      <c r="E34" s="3" t="s">
        <v>281</v>
      </c>
      <c r="F34" s="3" t="s">
        <v>282</v>
      </c>
      <c r="G34" s="3" t="n">
        <v>50</v>
      </c>
      <c r="H34" s="3" t="n">
        <f aca="false">C34*G34/100</f>
        <v>1</v>
      </c>
      <c r="I34" s="3" t="s">
        <v>75</v>
      </c>
      <c r="J34" s="3" t="s">
        <v>72</v>
      </c>
      <c r="K34" s="3"/>
      <c r="L34" s="3" t="n">
        <v>0</v>
      </c>
      <c r="M34" s="3"/>
      <c r="N34" s="3" t="n">
        <f aca="false">IF(D34="No",0,IF(AND(I34="No",J34="No"),H34,0))</f>
        <v>0</v>
      </c>
      <c r="O34" s="3" t="n">
        <f aca="false">IF(D34="No",0,IF(AND(I34="Yes",L34=0),H34,0))</f>
        <v>0</v>
      </c>
      <c r="P34" s="3" t="n">
        <f aca="false">IF(D34="No",0,IF(AND(I34="Yes",L34&gt;0),H34*(1-L34/100),0))</f>
        <v>0</v>
      </c>
      <c r="Q34" s="3" t="n">
        <f aca="false">IF(D34="No",0,IF(AND(I34="No",J34="Yes"),H34*(1-L34/100),0))</f>
        <v>1</v>
      </c>
      <c r="R34" s="3" t="str">
        <f aca="false">IF(D34="No","Safe",IF(I34="Yes",IF(L34=0,"SPF","RF"),IF(J34="Yes",IF(L34=0,"MPF_L","MPF_D"),"Safe")))</f>
        <v>MPF_L</v>
      </c>
      <c r="S34" s="3" t="s">
        <v>283</v>
      </c>
      <c r="T34" s="3"/>
      <c r="U34" s="3" t="s">
        <v>284</v>
      </c>
    </row>
    <row r="35" customFormat="false" ht="28.35" hidden="false" customHeight="false" outlineLevel="0" collapsed="false">
      <c r="A35" s="3" t="s">
        <v>122</v>
      </c>
      <c r="B35" s="3" t="s">
        <v>123</v>
      </c>
      <c r="C35" s="3" t="n">
        <v>2</v>
      </c>
      <c r="D35" s="3" t="s">
        <v>72</v>
      </c>
      <c r="E35" s="3" t="s">
        <v>285</v>
      </c>
      <c r="F35" s="3" t="s">
        <v>286</v>
      </c>
      <c r="G35" s="3" t="n">
        <v>50</v>
      </c>
      <c r="H35" s="3" t="n">
        <f aca="false">C35*G35/100</f>
        <v>1</v>
      </c>
      <c r="I35" s="3" t="s">
        <v>75</v>
      </c>
      <c r="J35" s="3" t="s">
        <v>75</v>
      </c>
      <c r="K35" s="3"/>
      <c r="L35" s="3" t="n">
        <v>0</v>
      </c>
      <c r="M35" s="3"/>
      <c r="N35" s="3" t="n">
        <f aca="false">IF(D35="No",0,IF(AND(I35="No",J35="No"),H35,0))</f>
        <v>1</v>
      </c>
      <c r="O35" s="3" t="n">
        <f aca="false">IF(D35="No",0,IF(AND(I35="Yes",L35=0),H35,0))</f>
        <v>0</v>
      </c>
      <c r="P35" s="3" t="n">
        <f aca="false">IF(D35="No",0,IF(AND(I35="Yes",L35&gt;0),H35*(1-L35/100),0))</f>
        <v>0</v>
      </c>
      <c r="Q35" s="3" t="n">
        <f aca="false">IF(D35="No",0,IF(AND(I35="No",J35="Yes"),H35*(1-L35/100),0))</f>
        <v>0</v>
      </c>
      <c r="R35" s="3" t="str">
        <f aca="false">IF(D35="No","Safe",IF(I35="Yes",IF(L35=0,"SPF","RF"),IF(J35="Yes",IF(L35=0,"MPF_L","MPF_D"),"Safe")))</f>
        <v>Safe</v>
      </c>
      <c r="S35" s="3" t="s">
        <v>283</v>
      </c>
      <c r="T35" s="3"/>
      <c r="U35" s="3" t="s">
        <v>287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6" style="0" width="70"/>
  </cols>
  <sheetData>
    <row r="1" customFormat="false" ht="41.75" hidden="false" customHeight="false" outlineLevel="0" collapsed="false">
      <c r="A1" s="4" t="s">
        <v>288</v>
      </c>
      <c r="B1" s="4" t="s">
        <v>161</v>
      </c>
      <c r="C1" s="4" t="s">
        <v>164</v>
      </c>
      <c r="D1" s="4" t="s">
        <v>61</v>
      </c>
      <c r="E1" s="4" t="s">
        <v>289</v>
      </c>
      <c r="F1" s="4" t="s">
        <v>290</v>
      </c>
      <c r="G1" s="4" t="s">
        <v>291</v>
      </c>
      <c r="H1" s="4" t="s">
        <v>165</v>
      </c>
      <c r="I1" s="4" t="s">
        <v>166</v>
      </c>
      <c r="J1" s="4" t="s">
        <v>167</v>
      </c>
      <c r="K1" s="4" t="s">
        <v>168</v>
      </c>
      <c r="L1" s="4" t="s">
        <v>170</v>
      </c>
      <c r="M1" s="4" t="s">
        <v>171</v>
      </c>
      <c r="N1" s="4" t="s">
        <v>172</v>
      </c>
      <c r="O1" s="4" t="s">
        <v>173</v>
      </c>
      <c r="P1" s="4" t="s">
        <v>292</v>
      </c>
    </row>
    <row r="2" customFormat="false" ht="15" hidden="false" customHeight="false" outlineLevel="0" collapsed="false">
      <c r="A2" s="0" t="s">
        <v>293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28.35" hidden="false" customHeight="false" outlineLevel="0" collapsed="false">
      <c r="A1" s="4" t="s">
        <v>294</v>
      </c>
      <c r="B1" s="4" t="s">
        <v>295</v>
      </c>
      <c r="C1" s="4" t="s">
        <v>296</v>
      </c>
      <c r="D1" s="4" t="s">
        <v>297</v>
      </c>
      <c r="E1" s="4" t="s">
        <v>298</v>
      </c>
      <c r="F1" s="4" t="s">
        <v>299</v>
      </c>
      <c r="G1" s="4" t="s">
        <v>7</v>
      </c>
    </row>
    <row r="2" customFormat="false" ht="15" hidden="false" customHeight="false" outlineLevel="0" collapsed="false">
      <c r="A2" s="0" t="s">
        <v>300</v>
      </c>
      <c r="B2" s="0" t="s">
        <v>301</v>
      </c>
      <c r="C2" s="0" t="n">
        <f aca="false">SUM(06_FMEDA_Worksheet!O2:O35)+(SUMIF(06b_Per_Goal_Rows!$A$2:$A$2,"SG-07",06b_Per_Goal_Rows!$M$2:$M$2)-SUMIF(06b_Per_Goal_Rows!$A$2:$A$2,"SG-07",06b_Per_Goal_Rows!$E$2:$E$2))+SUM(06_FMEDA_Worksheet!P2:P35)+(SUMIF(06b_Per_Goal_Rows!$A$2:$A$2,"SG-07",06b_Per_Goal_Rows!$N$2:$N$2)-SUMIF(06b_Per_Goal_Rows!$A$2:$A$2,"SG-07",06b_Per_Goal_Rows!$F$2:$F$2))</f>
        <v>62.9</v>
      </c>
      <c r="D2" s="0" t="n">
        <f aca="false">SUMIF(06_FMEDA_Worksheet!D2:D35,"Yes",06_FMEDA_Worksheet!H2:H35)</f>
        <v>287.4</v>
      </c>
      <c r="E2" s="0" t="n">
        <f aca="false">1-C2/D2</f>
        <v>0.781141266527488</v>
      </c>
      <c r="F2" s="0" t="n">
        <v>0.9</v>
      </c>
      <c r="G2" s="0" t="str">
        <f aca="false">IF(E2&gt;=F2,"PASS","FAIL")</f>
        <v>FAIL</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28.35" hidden="false" customHeight="false" outlineLevel="0" collapsed="false">
      <c r="A1" s="4" t="s">
        <v>294</v>
      </c>
      <c r="B1" s="4" t="s">
        <v>295</v>
      </c>
      <c r="C1" s="4" t="s">
        <v>302</v>
      </c>
      <c r="D1" s="4" t="s">
        <v>303</v>
      </c>
      <c r="E1" s="4" t="s">
        <v>304</v>
      </c>
      <c r="F1" s="4" t="s">
        <v>299</v>
      </c>
      <c r="G1" s="4" t="s">
        <v>7</v>
      </c>
    </row>
    <row r="2" customFormat="false" ht="15" hidden="false" customHeight="false" outlineLevel="0" collapsed="false">
      <c r="A2" s="0" t="s">
        <v>300</v>
      </c>
      <c r="B2" s="0" t="s">
        <v>301</v>
      </c>
      <c r="C2" s="0" t="n">
        <f aca="false">SUM(06_FMEDA_Worksheet!Q2:Q35)+(SUMIF(06b_Per_Goal_Rows!$A$2:$A$2,"SG-07",06b_Per_Goal_Rows!$O$2:$O$2)-SUMIF(06b_Per_Goal_Rows!$A$2:$A$2,"SG-07",06b_Per_Goal_Rows!$G$2:$G$2))</f>
        <v>5.15</v>
      </c>
      <c r="D2" s="0" t="n">
        <f aca="false">SUMIF(06_FMEDA_Worksheet!D2:D35,"Yes",06_FMEDA_Worksheet!H2:H35)-(SUM(06_FMEDA_Worksheet!O2:O35)+(SUMIF(06b_Per_Goal_Rows!$A$2:$A$2,"SG-07",06b_Per_Goal_Rows!$M$2:$M$2)-SUMIF(06b_Per_Goal_Rows!$A$2:$A$2,"SG-07",06b_Per_Goal_Rows!$E$2:$E$2))+SUM(06_FMEDA_Worksheet!P2:P35)+(SUMIF(06b_Per_Goal_Rows!$A$2:$A$2,"SG-07",06b_Per_Goal_Rows!$N$2:$N$2)-SUMIF(06b_Per_Goal_Rows!$A$2:$A$2,"SG-07",06b_Per_Goal_Rows!$F$2:$F$2)))</f>
        <v>224.5</v>
      </c>
      <c r="E2" s="0" t="n">
        <f aca="false">IF(D2=0,1,1-C2/D2)</f>
        <v>0.97706013363029</v>
      </c>
      <c r="F2" s="0" t="n">
        <v>0.6</v>
      </c>
      <c r="G2" s="0" t="str">
        <f aca="false">IF(E2&gt;=F2,"PASS","FAIL")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4" min="3" style="0" width="22"/>
    <col collapsed="false" customWidth="true" hidden="false" outlineLevel="0" max="6" min="5" style="0" width="10"/>
  </cols>
  <sheetData>
    <row r="1" customFormat="false" ht="15" hidden="false" customHeight="false" outlineLevel="0" collapsed="false">
      <c r="A1" s="4" t="s">
        <v>294</v>
      </c>
      <c r="B1" s="4" t="s">
        <v>295</v>
      </c>
      <c r="C1" s="4" t="s">
        <v>305</v>
      </c>
      <c r="D1" s="4" t="s">
        <v>306</v>
      </c>
      <c r="E1" s="4" t="s">
        <v>7</v>
      </c>
      <c r="F1" s="4" t="s">
        <v>307</v>
      </c>
    </row>
    <row r="2" customFormat="false" ht="15" hidden="false" customHeight="false" outlineLevel="0" collapsed="false">
      <c r="A2" s="0" t="s">
        <v>300</v>
      </c>
      <c r="B2" s="0" t="s">
        <v>301</v>
      </c>
      <c r="C2" s="0" t="n">
        <f aca="false">SUM(06_FMEDA_Worksheet!O2:O35)+(SUMIF(06b_Per_Goal_Rows!$A$2:$A$2,"SG-07",06b_Per_Goal_Rows!$M$2:$M$2)-SUMIF(06b_Per_Goal_Rows!$A$2:$A$2,"SG-07",06b_Per_Goal_Rows!$E$2:$E$2))+SUM(06_FMEDA_Worksheet!P2:P35)+(SUMIF(06b_Per_Goal_Rows!$A$2:$A$2,"SG-07",06b_Per_Goal_Rows!$N$2:$N$2)-SUMIF(06b_Per_Goal_Rows!$A$2:$A$2,"SG-07",06b_Per_Goal_Rows!$F$2:$F$2))</f>
        <v>62.9</v>
      </c>
      <c r="D2" s="0" t="n">
        <v>100</v>
      </c>
      <c r="E2" s="0" t="str">
        <f aca="false">IF(C2&lt;D2,"PASS","FAIL")</f>
        <v>PASS</v>
      </c>
      <c r="F2" s="0" t="s">
        <v>308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8" min="7" style="0" width="18"/>
    <col collapsed="false" customWidth="true" hidden="false" outlineLevel="0" max="9" min="9" style="0" width="10"/>
  </cols>
  <sheetData>
    <row r="1" customFormat="false" ht="15" hidden="false" customHeight="false" outlineLevel="0" collapsed="false">
      <c r="A1" s="2" t="s">
        <v>309</v>
      </c>
    </row>
    <row r="3" customFormat="false" ht="28.35" hidden="false" customHeight="false" outlineLevel="0" collapsed="false">
      <c r="A3" s="4" t="s">
        <v>294</v>
      </c>
      <c r="B3" s="4" t="s">
        <v>295</v>
      </c>
      <c r="C3" s="4" t="s">
        <v>298</v>
      </c>
      <c r="D3" s="4" t="s">
        <v>310</v>
      </c>
      <c r="E3" s="4" t="s">
        <v>304</v>
      </c>
      <c r="F3" s="4" t="s">
        <v>311</v>
      </c>
      <c r="G3" s="4" t="s">
        <v>305</v>
      </c>
      <c r="H3" s="4" t="s">
        <v>312</v>
      </c>
      <c r="I3" s="4" t="s">
        <v>7</v>
      </c>
    </row>
    <row r="4" customFormat="false" ht="15" hidden="false" customHeight="false" outlineLevel="0" collapsed="false">
      <c r="A4" s="0" t="str">
        <f aca="false">07_SPFM_Calculation!A2</f>
        <v>SG-07</v>
      </c>
      <c r="B4" s="0" t="str">
        <f aca="false">07_SPFM_Calculation!B2</f>
        <v>B</v>
      </c>
      <c r="C4" s="0" t="n">
        <f aca="false">07_SPFM_Calculation!E2</f>
        <v>0.781141266527488</v>
      </c>
      <c r="D4" s="0" t="n">
        <f aca="false">07_SPFM_Calculation!F2</f>
        <v>0.9</v>
      </c>
      <c r="E4" s="0" t="n">
        <f aca="false">08_LFM_Calculation!E2</f>
        <v>0.97706013363029</v>
      </c>
      <c r="F4" s="0" t="n">
        <f aca="false">08_LFM_Calculation!F2</f>
        <v>0.6</v>
      </c>
      <c r="G4" s="0" t="n">
        <f aca="false">09_PMHF_Calculation!C2</f>
        <v>62.9</v>
      </c>
      <c r="H4" s="0" t="n">
        <f aca="false">09_PMHF_Calculation!D2</f>
        <v>100</v>
      </c>
      <c r="I4" s="0" t="str">
        <f aca="false">IF(AND(07_SPFM_Calculation!G2="PASS",08_LFM_Calculation!G2="PASS",09_PMHF_Calculation!E2="PASS"),"PASS","FAIL")</f>
        <v>FAIL</v>
      </c>
    </row>
    <row r="6" customFormat="false" ht="15" hidden="false" customHeight="false" outlineLevel="0" collapsed="false">
      <c r="A6" s="2" t="s">
        <v>313</v>
      </c>
      <c r="C6" s="5" t="n">
        <f aca="false">07_SPFM_Calculation!D2</f>
        <v>287.4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10"/>
  </cols>
  <sheetData>
    <row r="1" customFormat="false" ht="15" hidden="false" customHeight="false" outlineLevel="0" collapsed="false">
      <c r="A1" s="4" t="s">
        <v>314</v>
      </c>
      <c r="B1" s="4" t="s">
        <v>125</v>
      </c>
      <c r="C1" s="4" t="s">
        <v>7</v>
      </c>
    </row>
    <row r="2" customFormat="false" ht="28.35" hidden="false" customHeight="false" outlineLevel="0" collapsed="false">
      <c r="A2" s="0" t="s">
        <v>315</v>
      </c>
      <c r="B2" s="3" t="s">
        <v>316</v>
      </c>
      <c r="C2" s="5" t="s">
        <v>317</v>
      </c>
    </row>
    <row r="3" customFormat="false" ht="28.35" hidden="false" customHeight="false" outlineLevel="0" collapsed="false">
      <c r="A3" s="0" t="s">
        <v>318</v>
      </c>
      <c r="B3" s="3" t="s">
        <v>319</v>
      </c>
      <c r="C3" s="5" t="s">
        <v>317</v>
      </c>
    </row>
    <row r="4" customFormat="false" ht="28.35" hidden="false" customHeight="false" outlineLevel="0" collapsed="false">
      <c r="A4" s="0" t="s">
        <v>320</v>
      </c>
      <c r="B4" s="3" t="s">
        <v>321</v>
      </c>
      <c r="C4" s="5" t="s">
        <v>317</v>
      </c>
    </row>
    <row r="5" customFormat="false" ht="15" hidden="false" customHeight="false" outlineLevel="0" collapsed="false">
      <c r="A5" s="0" t="s">
        <v>322</v>
      </c>
      <c r="B5" s="3" t="s">
        <v>323</v>
      </c>
      <c r="C5" s="5" t="s">
        <v>317</v>
      </c>
    </row>
    <row r="6" customFormat="false" ht="15" hidden="false" customHeight="false" outlineLevel="0" collapsed="false">
      <c r="A6" s="0" t="s">
        <v>324</v>
      </c>
      <c r="B6" s="3" t="s">
        <v>325</v>
      </c>
      <c r="C6" s="5" t="s">
        <v>317</v>
      </c>
    </row>
    <row r="7" customFormat="false" ht="28.35" hidden="false" customHeight="false" outlineLevel="0" collapsed="false">
      <c r="A7" s="0" t="s">
        <v>326</v>
      </c>
      <c r="B7" s="3" t="s">
        <v>327</v>
      </c>
      <c r="C7" s="5" t="s">
        <v>317</v>
      </c>
    </row>
    <row r="8" customFormat="false" ht="15" hidden="false" customHeight="false" outlineLevel="0" collapsed="false">
      <c r="A8" s="0" t="s">
        <v>328</v>
      </c>
      <c r="B8" s="3" t="s">
        <v>329</v>
      </c>
      <c r="C8" s="5" t="s">
        <v>317</v>
      </c>
    </row>
    <row r="9" customFormat="false" ht="15" hidden="false" customHeight="false" outlineLevel="0" collapsed="false">
      <c r="A9" s="0" t="s">
        <v>330</v>
      </c>
      <c r="B9" s="3" t="s">
        <v>331</v>
      </c>
      <c r="C9" s="5" t="s">
        <v>317</v>
      </c>
    </row>
    <row r="10" customFormat="false" ht="15" hidden="false" customHeight="false" outlineLevel="0" collapsed="false">
      <c r="A10" s="0" t="s">
        <v>332</v>
      </c>
      <c r="B10" s="3" t="s">
        <v>333</v>
      </c>
      <c r="C10" s="5" t="s">
        <v>317</v>
      </c>
    </row>
    <row r="11" customFormat="false" ht="15" hidden="false" customHeight="false" outlineLevel="0" collapsed="false">
      <c r="A11" s="0" t="s">
        <v>334</v>
      </c>
      <c r="B11" s="3" t="s">
        <v>335</v>
      </c>
      <c r="C11" s="5" t="s">
        <v>317</v>
      </c>
    </row>
    <row r="12" customFormat="false" ht="15" hidden="false" customHeight="false" outlineLevel="0" collapsed="false">
      <c r="A12" s="0" t="s">
        <v>336</v>
      </c>
      <c r="B12" s="3" t="s">
        <v>337</v>
      </c>
      <c r="C12" s="5" t="s">
        <v>317</v>
      </c>
    </row>
    <row r="13" customFormat="false" ht="15" hidden="false" customHeight="false" outlineLevel="0" collapsed="false">
      <c r="A13" s="0" t="s">
        <v>338</v>
      </c>
      <c r="B13" s="3" t="s">
        <v>339</v>
      </c>
      <c r="C13" s="5" t="s">
        <v>317</v>
      </c>
    </row>
    <row r="14" customFormat="false" ht="15" hidden="false" customHeight="false" outlineLevel="0" collapsed="false">
      <c r="A14" s="0" t="s">
        <v>340</v>
      </c>
      <c r="B14" s="3" t="s">
        <v>341</v>
      </c>
      <c r="C14" s="5" t="s">
        <v>317</v>
      </c>
    </row>
    <row r="15" customFormat="false" ht="15" hidden="false" customHeight="false" outlineLevel="0" collapsed="false">
      <c r="A15" s="0" t="s">
        <v>342</v>
      </c>
      <c r="B15" s="3" t="s">
        <v>343</v>
      </c>
      <c r="C15" s="5" t="s">
        <v>317</v>
      </c>
    </row>
    <row r="16" customFormat="false" ht="15" hidden="false" customHeight="false" outlineLevel="0" collapsed="false">
      <c r="A16" s="0" t="s">
        <v>344</v>
      </c>
      <c r="B16" s="3" t="s">
        <v>345</v>
      </c>
      <c r="C16" s="5" t="s">
        <v>317</v>
      </c>
    </row>
    <row r="17" customFormat="false" ht="15" hidden="false" customHeight="false" outlineLevel="0" collapsed="false">
      <c r="A17" s="0" t="s">
        <v>346</v>
      </c>
      <c r="B17" s="3" t="s">
        <v>347</v>
      </c>
      <c r="C17" s="5" t="s">
        <v>317</v>
      </c>
    </row>
    <row r="18" customFormat="false" ht="15" hidden="false" customHeight="false" outlineLevel="0" collapsed="false">
      <c r="A18" s="0" t="s">
        <v>348</v>
      </c>
      <c r="B18" s="3" t="s">
        <v>349</v>
      </c>
      <c r="C18" s="5" t="s">
        <v>317</v>
      </c>
    </row>
    <row r="19" customFormat="false" ht="15" hidden="false" customHeight="false" outlineLevel="0" collapsed="false">
      <c r="A19" s="0" t="s">
        <v>350</v>
      </c>
      <c r="B19" s="3" t="s">
        <v>351</v>
      </c>
      <c r="C19" s="5" t="s">
        <v>317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5" hidden="false" customHeight="false" outlineLevel="0" collapsed="false">
      <c r="A1" s="4" t="s">
        <v>352</v>
      </c>
      <c r="B1" s="4" t="s">
        <v>353</v>
      </c>
    </row>
    <row r="2" customFormat="false" ht="15" hidden="false" customHeight="false" outlineLevel="0" collapsed="false">
      <c r="A2" s="0" t="s">
        <v>354</v>
      </c>
      <c r="B2" s="0" t="s">
        <v>355</v>
      </c>
    </row>
    <row r="3" customFormat="false" ht="15" hidden="false" customHeight="false" outlineLevel="0" collapsed="false">
      <c r="A3" s="0" t="s">
        <v>356</v>
      </c>
      <c r="B3" s="0" t="s">
        <v>355</v>
      </c>
    </row>
    <row r="4" customFormat="false" ht="15" hidden="false" customHeight="false" outlineLevel="0" collapsed="false">
      <c r="A4" s="0" t="s">
        <v>357</v>
      </c>
      <c r="B4" s="0" t="s">
        <v>355</v>
      </c>
    </row>
    <row r="5" customFormat="false" ht="15" hidden="false" customHeight="false" outlineLevel="0" collapsed="false">
      <c r="A5" s="0" t="s">
        <v>358</v>
      </c>
      <c r="B5" s="0" t="s">
        <v>355</v>
      </c>
    </row>
    <row r="6" customFormat="false" ht="15" hidden="false" customHeight="false" outlineLevel="0" collapsed="false">
      <c r="A6" s="0" t="s">
        <v>359</v>
      </c>
      <c r="B6" s="0" t="s">
        <v>355</v>
      </c>
    </row>
    <row r="7" customFormat="false" ht="15" hidden="false" customHeight="false" outlineLevel="0" collapsed="false">
      <c r="A7" s="0" t="s">
        <v>360</v>
      </c>
      <c r="B7" s="0" t="s">
        <v>361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2026-10-27T00:00:00Z</dcterms:created>
  <dc:creator>tools/safety/export_fmeda_xlsx.py</dc:creator>
  <dc:description/>
  <dc:language>en-US</dc:language>
  <cp:lastModifiedBy/>
  <dcterms:modified xsi:type="dcterms:W3CDTF">2026-10-27T02:54:34Z</dcterms:modified>
  <cp:revision>0</cp:revision>
  <dc:subject/>
  <dc:title>FMEDA — SG-009 stock AEB availability (relay and forwarding path), generic failure rates</dc:title>
</cp:coreProperties>
</file>

<file path=docProps/custom.xml><?xml version="1.0" encoding="utf-8"?>
<Properties xmlns="http://schemas.openxmlformats.org/officeDocument/2006/custom-properties" xmlns:vt="http://schemas.openxmlformats.org/officeDocument/2006/docPropsVTypes"/>
</file>