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'Worksheet'!$A$2:$S$142</definedName>
    <definedName name="_xlnm.Print_Titles" localSheetId="1">'Worksheet'!$1:$2</definedName>
    <definedName name="_xlnm._FilterDatabase" localSheetId="2" hidden="1">'Actions'!$A$1:$I$71</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1.4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2026-10-17</t>
        </is>
      </c>
    </row>
    <row r="10" ht="210" customHeight="1">
      <c r="B10" s="4" t="inlineStr">
        <is>
          <t>Scope</t>
        </is>
      </c>
      <c r="C10" s="5" t="inlineStr">
        <is>
          <t>P1 elements for AC-001 at BL-006 (proposed; liondriver-dev c61e31b, panda 0a7da85, opendbc 62b89a3; the LIONDRIVER_REFERENCE build is the default; rows of code unchanged since BL-005 keep their BL-005 ratings):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90</v>
      </c>
    </row>
    <row r="15">
      <c r="B15" s="7" t="inlineStr">
        <is>
          <t>Rated causes</t>
        </is>
      </c>
      <c r="C15" s="8" t="n">
        <v>140</v>
      </c>
    </row>
    <row r="16">
      <c r="B16" s="9" t="inlineStr">
        <is>
          <t>AP High</t>
        </is>
      </c>
      <c r="C16" s="8" t="n">
        <v>129</v>
      </c>
    </row>
    <row r="17">
      <c r="B17" s="10" t="inlineStr">
        <is>
          <t>AP Medium</t>
        </is>
      </c>
      <c r="C17" s="8" t="n">
        <v>1</v>
      </c>
    </row>
    <row r="18">
      <c r="B18" s="11" t="inlineStr">
        <is>
          <t>AP Low</t>
        </is>
      </c>
      <c r="C18" s="8" t="n">
        <v>10</v>
      </c>
    </row>
    <row r="19">
      <c r="B19" s="7" t="inlineStr">
        <is>
          <t>Actions (open)</t>
        </is>
      </c>
      <c r="C19" s="8" t="inlineStr">
        <is>
          <t>70 (64)</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4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54.5"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5"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5" s="45" t="n">
        <v>3</v>
      </c>
      <c r="K85"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5" s="45" t="n">
        <v>4</v>
      </c>
      <c r="M85" s="46" t="inlineStr">
        <is>
          <t>L</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47" t="inlineStr">
        <is>
          <t>completed</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6"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6" s="45" t="n">
        <v>3</v>
      </c>
      <c r="K86"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54.5"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The SG-010 safe state is decided (DQ-365 A, which absorbed DQ-220; TSR-633) as stop in lane, stay stopped and held, re-engagement locked out until the driver responds. The code does not hold at standstill or lock out until a later disengagement (TSR-633 not met)</t>
          </r>
        </is>
      </c>
      <c r="I99" s="44" t="inlineStr">
        <is>
          <r>
            <rPr>
              <rFont val="Calibri"/>
              <color rgb="001B2430"/>
              <sz val="10"/>
            </rPr>
            <t>• Upstream design; the safe state is now defined (TSR-633, DQ-365 A) but not implemented.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99" s="53" t="inlineStr">
        <is>
          <t>open</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195"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8" s="38" t="inlineStr">
        <is>
          <t>open
open</t>
        </is>
      </c>
      <c r="P128" s="33" t="inlineStr"/>
      <c r="Q128" s="33" t="inlineStr"/>
      <c r="R128" s="39" t="inlineStr"/>
      <c r="S128" s="39" t="inlineStr"/>
    </row>
    <row r="129" ht="195"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53" t="inlineStr">
        <is>
          <t>open
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(policy.py:261),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policy.py:431-440)</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4" s="38" t="inlineStr">
        <is>
          <t>open
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54.5"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6" s="38" t="inlineStr">
        <is>
          <t>open</t>
        </is>
      </c>
      <c r="P136" s="33" t="inlineStr"/>
      <c r="Q136" s="33" t="inlineStr"/>
      <c r="R136" s="39" t="inlineStr"/>
      <c r="S136" s="39" t="inlineStr"/>
    </row>
    <row r="137" ht="262.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53" t="inlineStr">
        <is>
          <t>open
open</t>
        </is>
      </c>
      <c r="P137" s="43" t="inlineStr"/>
      <c r="Q137" s="43" t="inlineStr"/>
      <c r="R137" s="48" t="inlineStr"/>
      <c r="S137" s="48" t="inlineStr"/>
    </row>
    <row r="138" ht="208.5" customHeight="1">
      <c r="A138" s="49" t="inlineStr">
        <is>
          <r>
            <rPr>
              <rFont val="Calibri"/>
              <b val="1"/>
              <color rgb="001F4E8C"/>
              <sz val="9"/>
            </rPr>
            <t xml:space="preserve">SWF-SE-006
</t>
          </r>
          <r>
            <rPr>
              <rFont val="Calibri"/>
              <color rgb="001B2430"/>
              <sz val="10"/>
            </rPr>
            <t>Steering torque checks</t>
          </r>
        </is>
      </c>
      <c r="B138"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8"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8" s="50" t="inlineStr">
        <is>
          <t>HZ-009</t>
        </is>
      </c>
      <c r="E138" s="51" t="n">
        <v>10</v>
      </c>
      <c r="F138"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8" s="43" t="inlineStr">
        <is>
          <t>C1</t>
        </is>
      </c>
      <c r="H138"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8"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8" s="45" t="n">
        <v>8</v>
      </c>
      <c r="K138" s="44" t="inlineStr">
        <is>
          <r>
            <rPr>
              <rFont val="Calibri"/>
              <color rgb="008A5A00"/>
              <sz val="10"/>
            </rPr>
            <t>• test_toyota.py tests the measured-torque limit (MotorTorqueSteeringSafetyTest, MAX_TORQUE_ERROR 350); no test of torque opposing the driver on the LKA path</t>
          </r>
        </is>
      </c>
      <c r="L138" s="54" t="n">
        <v>10</v>
      </c>
      <c r="M138" s="52" t="inlineStr">
        <is>
          <t>H</t>
        </is>
      </c>
      <c r="N138"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8" s="53" t="inlineStr">
        <is>
          <t>open</t>
        </is>
      </c>
      <c r="P138" s="43" t="inlineStr"/>
      <c r="Q138" s="43" t="inlineStr"/>
      <c r="R138" s="48" t="inlineStr"/>
      <c r="S138" s="48" t="inlineStr"/>
    </row>
    <row r="139" ht="249" customHeight="1">
      <c r="A139" s="30" t="inlineStr">
        <is>
          <r>
            <rPr>
              <rFont val="Calibri"/>
              <b val="1"/>
              <color rgb="001F4E8C"/>
              <sz val="9"/>
            </rPr>
            <t xml:space="preserve">SWF-SE-054
</t>
          </r>
          <r>
            <rPr>
              <rFont val="Calibri"/>
              <color rgb="001B2430"/>
              <sz val="10"/>
            </rPr>
            <t>card main loop and stock AEB interlock</t>
          </r>
        </is>
      </c>
      <c r="B139"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39"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39" s="31" t="inlineStr">
        <is>
          <t>HZ-004</t>
        </is>
      </c>
      <c r="E139" s="32" t="n">
        <v>10</v>
      </c>
      <c r="F139"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39" s="33" t="inlineStr">
        <is>
          <t>C1</t>
        </is>
      </c>
      <c r="H139"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39"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39" s="35" t="n">
        <v>5</v>
      </c>
      <c r="K139" s="34" t="inlineStr">
        <is>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39" s="35" t="n">
        <v>8</v>
      </c>
      <c r="M139" s="37" t="inlineStr">
        <is>
          <t>H</t>
        </is>
      </c>
      <c r="N139"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39" s="56" t="inlineStr">
        <is>
          <t>completed
open</t>
        </is>
      </c>
      <c r="P139" s="33" t="inlineStr">
        <is>
          <t>10/5/8
10/5/4</t>
        </is>
      </c>
      <c r="Q139" s="33" t="inlineStr">
        <is>
          <t>H
H</t>
        </is>
      </c>
      <c r="R139" s="39" t="inlineStr"/>
      <c r="S139" s="39" t="inlineStr"/>
    </row>
    <row r="140" ht="249" customHeight="1">
      <c r="A140" s="42" t="n"/>
      <c r="B140" s="42" t="n"/>
      <c r="C140" s="42" t="n"/>
      <c r="D140" s="42" t="n"/>
      <c r="E140" s="42" t="n"/>
      <c r="F140" s="42" t="n"/>
      <c r="G140" s="43" t="inlineStr">
        <is>
          <t>C2</t>
        </is>
      </c>
      <c r="H140"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0"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0" s="45" t="n">
        <v>5</v>
      </c>
      <c r="K140" s="44" t="inlineStr">
        <is>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0" s="45" t="n">
        <v>8</v>
      </c>
      <c r="M140" s="52" t="inlineStr">
        <is>
          <t>H</t>
        </is>
      </c>
      <c r="N140"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0" s="47" t="inlineStr">
        <is>
          <t>completed
open</t>
        </is>
      </c>
      <c r="P140" s="43" t="inlineStr">
        <is>
          <t>10/5/8
10/5/4</t>
        </is>
      </c>
      <c r="Q140" s="43" t="inlineStr">
        <is>
          <t>H
H</t>
        </is>
      </c>
      <c r="R140" s="48" t="inlineStr"/>
      <c r="S140" s="48" t="inlineStr"/>
    </row>
    <row r="141" ht="154.5" customHeight="1">
      <c r="A141" s="49" t="inlineStr">
        <is>
          <r>
            <rPr>
              <rFont val="Calibri"/>
              <b val="1"/>
              <color rgb="001F4E8C"/>
              <sz val="9"/>
            </rPr>
            <t xml:space="preserve">SWF-SE-005
</t>
          </r>
          <r>
            <rPr>
              <rFont val="Calibri"/>
              <color rgb="001B2430"/>
              <sz val="10"/>
            </rPr>
            <t>Controls-allowed logic</t>
          </r>
        </is>
      </c>
      <c r="B141"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1"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1" s="50" t="inlineStr">
        <is>
          <t>HZ-010</t>
        </is>
      </c>
      <c r="E141" s="51" t="n">
        <v>10</v>
      </c>
      <c r="F141"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1" s="43" t="inlineStr">
        <is>
          <t>C1</t>
        </is>
      </c>
      <c r="H141"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1"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1" s="45" t="n">
        <v>3</v>
      </c>
      <c r="K141"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1" s="45" t="n">
        <v>4</v>
      </c>
      <c r="M141" s="46" t="inlineStr">
        <is>
          <t>L</t>
        </is>
      </c>
      <c r="N141" s="44" t="inlineStr"/>
      <c r="O141" s="44" t="inlineStr"/>
      <c r="P141" s="43" t="inlineStr"/>
      <c r="Q141" s="43" t="inlineStr"/>
      <c r="R141" s="48" t="inlineStr"/>
      <c r="S141" s="48" t="inlineStr"/>
    </row>
    <row r="142" ht="195" customHeight="1">
      <c r="A142" s="49" t="inlineStr">
        <is>
          <r>
            <rPr>
              <rFont val="Calibri"/>
              <b val="1"/>
              <color rgb="001F4E8C"/>
              <sz val="9"/>
            </rPr>
            <t xml:space="preserve">SWF-SE-009
</t>
          </r>
          <r>
            <rPr>
              <rFont val="Calibri"/>
              <color rgb="001B2430"/>
              <sz val="10"/>
            </rPr>
            <t>Relay malfunction detection</t>
          </r>
        </is>
      </c>
      <c r="B142" s="49" t="inlineStr">
        <is>
          <r>
            <rPr>
              <rFont val="Calibri"/>
              <b val="1"/>
              <color rgb="001F4E8C"/>
              <sz val="9"/>
            </rPr>
            <t xml:space="preserve">SWF-FN-008
</t>
          </r>
          <r>
            <rPr>
              <rFont val="Calibri"/>
              <color rgb="001B2430"/>
              <sz val="10"/>
            </rPr>
            <t>Detect a relay malfunction and block all item transmission</t>
          </r>
        </is>
      </c>
      <c r="C142"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2" s="50" t="inlineStr">
        <is>
          <t>HZ-002
HZ-006</t>
        </is>
      </c>
      <c r="E142" s="51" t="n">
        <v>10</v>
      </c>
      <c r="F142"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2" s="43" t="inlineStr">
        <is>
          <t>C1</t>
        </is>
      </c>
      <c r="H142"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2"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2" s="45" t="n">
        <v>3</v>
      </c>
      <c r="K142"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2" s="45" t="n">
        <v>4</v>
      </c>
      <c r="M142" s="46" t="inlineStr">
        <is>
          <t>L</t>
        </is>
      </c>
      <c r="N142" s="44" t="inlineStr"/>
      <c r="O142" s="44" t="inlineStr"/>
      <c r="P142" s="43" t="inlineStr"/>
      <c r="Q142" s="43" t="inlineStr"/>
      <c r="R142" s="48" t="inlineStr"/>
      <c r="S142" s="48" t="inlineStr"/>
    </row>
  </sheetData>
  <autoFilter ref="A2:S142"/>
  <mergeCells count="232">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D139:D140"/>
    <mergeCell ref="E128:E129"/>
    <mergeCell ref="C100:C101"/>
    <mergeCell ref="F116:F118"/>
    <mergeCell ref="F35:F36"/>
    <mergeCell ref="A74:A75"/>
    <mergeCell ref="C47:C48"/>
    <mergeCell ref="A96:A98"/>
    <mergeCell ref="C96:C98"/>
    <mergeCell ref="F22:F23"/>
    <mergeCell ref="A139:A140"/>
    <mergeCell ref="B60:B61"/>
    <mergeCell ref="C139:C140"/>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F139:F140"/>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E139:E140"/>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B139:B140"/>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1.4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1"/>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87"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in progress</t>
        </is>
      </c>
      <c r="F47" s="61" t="inlineStr">
        <is>
          <t>SWF-034.C1</t>
        </is>
      </c>
      <c r="G47" s="61" t="inlineStr"/>
      <c r="H47" s="61" t="inlineStr"/>
      <c r="I47" s="61"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2" t="inlineStr">
        <is>
          <t>completed</t>
        </is>
      </c>
      <c r="F48" s="61" t="inlineStr">
        <is>
          <t>SWF-054.C1
SWF-055.C1</t>
        </is>
      </c>
      <c r="G48" s="61" t="inlineStr">
        <is>
          <t>10/3/4</t>
        </is>
      </c>
      <c r="H48" s="64" t="inlineStr">
        <is>
          <t>L</t>
        </is>
      </c>
      <c r="I48" s="61" t="inlineStr">
        <is>
          <t>Pinned at 515b9a2 (change-2026-10-16-pin-515b9a2), now 62b89a3 in BL-006; impact records change-2026-10-13-tx-rate-reengagement and change-2026-10-14-mode-set-regrant Integrated 2026-10-16; SWF-054.C1 and SWF-055.C1 re-rated at BL-006 (rev 1.4)</t>
        </is>
      </c>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1" t="inlineStr">
        <is>
          <t>Jherrod Thomas</t>
        </is>
      </c>
      <c r="E51" s="61" t="inlineStr">
        <is>
          <t>open</t>
        </is>
      </c>
      <c r="F51" s="61" t="inlineStr">
        <is>
          <t>SWF-061.C1
SWF-061.C2
SWF-061.C3
SWF-063.C1
SWF-063.C2
SWF-064.C1</t>
        </is>
      </c>
      <c r="G51" s="61" t="inlineStr"/>
      <c r="H51" s="61" t="inlineStr"/>
      <c r="I51" s="61" t="inlineStr"/>
    </row>
    <row r="52" ht="73.5" customHeight="1">
      <c r="A52" s="61" t="inlineStr">
        <is>
          <t>SWF-ACT-059</t>
        </is>
      </c>
      <c r="B52" s="61" t="inlineStr">
        <is>
          <t>design change</t>
        </is>
      </c>
      <c r="C52" s="61"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1" t="inlineStr">
        <is>
          <t>Jherrod Thomas</t>
        </is>
      </c>
      <c r="E52" s="61" t="inlineStr">
        <is>
          <t>open</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 WP-A-03 DFI-25</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87"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1" t="inlineStr">
        <is>
          <t>Jherrod Thomas</t>
        </is>
      </c>
      <c r="E66" s="61" t="inlineStr">
        <is>
          <t>open</t>
        </is>
      </c>
      <c r="F66" s="61" t="inlineStr">
        <is>
          <t>SWF-086.C1
SWF-086.C2</t>
        </is>
      </c>
      <c r="G66" s="61" t="inlineStr"/>
      <c r="H66" s="61" t="inlineStr"/>
      <c r="I66" s="61" t="inlineStr"/>
    </row>
    <row r="67" ht="73.5" customHeight="1">
      <c r="A67" s="61" t="inlineStr">
        <is>
          <t>SWF-ACT-075</t>
        </is>
      </c>
      <c r="B67" s="61" t="inlineStr">
        <is>
          <t>design change</t>
        </is>
      </c>
      <c r="C67" s="61"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1" t="inlineStr">
        <is>
          <t>Jherrod Thomas</t>
        </is>
      </c>
      <c r="E67" s="61" t="inlineStr">
        <is>
          <t>open</t>
        </is>
      </c>
      <c r="F67" s="61" t="inlineStr">
        <is>
          <t>SWF-080.C1
SWF-080.C2</t>
        </is>
      </c>
      <c r="G67" s="61" t="inlineStr"/>
      <c r="H67" s="61" t="inlineStr"/>
      <c r="I67" s="61" t="inlineStr"/>
    </row>
    <row r="68" ht="46.5" customHeight="1">
      <c r="A68" s="61" t="inlineStr">
        <is>
          <t>SWF-ACT-076</t>
        </is>
      </c>
      <c r="B68" s="61" t="inlineStr">
        <is>
          <t>design change</t>
        </is>
      </c>
      <c r="C68" s="61" t="inlineStr">
        <is>
          <t>One publisher per control topic, enforced at subscribe time (WP-A-03 DFI-31): the comma four cabin-camera dialog must not publish selfdriveState, and the dialog is closed before the item goes onroad</t>
        </is>
      </c>
      <c r="D68" s="61" t="inlineStr">
        <is>
          <t>Jherrod Thomas</t>
        </is>
      </c>
      <c r="E68" s="61" t="inlineStr">
        <is>
          <t>open</t>
        </is>
      </c>
      <c r="F68" s="61" t="inlineStr">
        <is>
          <t>SWF-085.C1</t>
        </is>
      </c>
      <c r="G68" s="61" t="inlineStr"/>
      <c r="H68" s="61" t="inlineStr"/>
      <c r="I68" s="61" t="inlineStr"/>
    </row>
    <row r="69" ht="87" customHeight="1">
      <c r="A69" s="61" t="inlineStr">
        <is>
          <t>SWF-ACT-074</t>
        </is>
      </c>
      <c r="B69" s="61" t="inlineStr">
        <is>
          <t>design change</t>
        </is>
      </c>
      <c r="C69"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1" t="inlineStr">
        <is>
          <t>Jherrod Thomas</t>
        </is>
      </c>
      <c r="E69" s="61" t="inlineStr">
        <is>
          <t>open</t>
        </is>
      </c>
      <c r="F69" s="61" t="inlineStr">
        <is>
          <t>SWF-087.C1</t>
        </is>
      </c>
      <c r="G69" s="61" t="inlineStr"/>
      <c r="H69" s="61" t="inlineStr"/>
      <c r="I69" s="61" t="inlineStr"/>
    </row>
    <row r="70" ht="114" customHeight="1">
      <c r="A70" s="61" t="inlineStr">
        <is>
          <t>SWF-ACT-077</t>
        </is>
      </c>
      <c r="B70" s="61" t="inlineStr">
        <is>
          <t>design change</t>
        </is>
      </c>
      <c r="C70" s="61"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1" t="inlineStr">
        <is>
          <t>Jherrod Thomas</t>
        </is>
      </c>
      <c r="E70" s="62" t="inlineStr">
        <is>
          <t>completed</t>
        </is>
      </c>
      <c r="F70" s="61" t="inlineStr">
        <is>
          <t>SWF-088.C1
SWF-088.C2</t>
        </is>
      </c>
      <c r="G70" s="61" t="inlineStr">
        <is>
          <t>10/5/8</t>
        </is>
      </c>
      <c r="H70" s="63" t="inlineStr">
        <is>
          <t>H</t>
        </is>
      </c>
      <c r="I70" s="61"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73.5" customHeight="1">
      <c r="A71" s="61" t="inlineStr">
        <is>
          <t>SWF-ACT-078</t>
        </is>
      </c>
      <c r="B71" s="61" t="inlineStr">
        <is>
          <t>detection</t>
        </is>
      </c>
      <c r="C71" s="61"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1" t="inlineStr">
        <is>
          <t>Jherrod Thomas</t>
        </is>
      </c>
      <c r="E71" s="61" t="inlineStr">
        <is>
          <t>open</t>
        </is>
      </c>
      <c r="F71" s="61" t="inlineStr">
        <is>
          <t>SWF-088.C1
SWF-088.C2</t>
        </is>
      </c>
      <c r="G71" s="61" t="inlineStr">
        <is>
          <t>10/5/4</t>
        </is>
      </c>
      <c r="H71" s="63" t="inlineStr">
        <is>
          <t>H</t>
        </is>
      </c>
      <c r="I71" s="61" t="inlineStr"/>
    </row>
  </sheetData>
  <autoFilter ref="A1:I7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73.5"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2026-10-17T04:23:52Z</dcterms:modified>
</cp:coreProperties>
</file>