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'Worksheet'!$A$2:$S$93</definedName>
    <definedName name="_xlnm.Print_Titles" localSheetId="1">'Worksheet'!$1:$2</definedName>
    <definedName name="_xlnm._FilterDatabase" localSheetId="2" hidden="1">'Actions'!$A$1:$I$23</definedName>
    <definedName name="_xlnm._FilterDatabase" localSheetId="3" hidden="1">'Structure'!$A$1:$E$20</definedName>
    <definedName name="_xlnm._FilterDatabase" localSheetId="4" hidden="1">'MSR'!$A$2:$P$76</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0.24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91</v>
      </c>
    </row>
    <row r="16">
      <c r="B16" s="9" t="inlineStr">
        <is>
          <t>AP High</t>
        </is>
      </c>
      <c r="C16" s="8" t="n">
        <v>89</v>
      </c>
    </row>
    <row r="17">
      <c r="B17" s="10" t="inlineStr">
        <is>
          <t>AP Medium</t>
        </is>
      </c>
      <c r="C17" s="8" t="n">
        <v>1</v>
      </c>
    </row>
    <row r="18">
      <c r="B18" s="11" t="inlineStr">
        <is>
          <t>AP Low</t>
        </is>
      </c>
      <c r="C18" s="8" t="n">
        <v>1</v>
      </c>
    </row>
    <row r="19">
      <c r="B19" s="7" t="inlineStr">
        <is>
          <t>Actions (open)</t>
        </is>
      </c>
      <c r="C19" s="8" t="inlineStr">
        <is>
          <t>22 (20)</t>
        </is>
      </c>
    </row>
    <row r="20">
      <c r="B20" s="7" t="inlineStr">
        <is>
          <t>FMEA-MSR (msr: complete)</t>
        </is>
      </c>
      <c r="C20" s="8" t="inlineStr">
        <is>
          <t>67 rated, 7 exempt; MSR AP H 67, M 0, L 0 (provisional table)</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235.5"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r>
            <rPr>
              <rFont val="Calibri"/>
              <color rgb="005B6676"/>
              <sz val="8"/>
            </rPr>
            <t xml:space="preserve">
linked: SWF-057</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3" t="n">
        <v>9</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
HZ-008</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95" customHeight="1">
      <c r="A58" s="38" t="n"/>
      <c r="B58" s="38" t="n"/>
      <c r="C58" s="38" t="n"/>
      <c r="D58" s="38" t="n"/>
      <c r="E58" s="38" t="n"/>
      <c r="F58" s="38" t="n"/>
      <c r="G58" s="33" t="inlineStr">
        <is>
          <t>C2</t>
        </is>
      </c>
      <c r="H58" s="34" t="inlineStr">
        <is>
          <r>
            <rPr>
              <rFont val="Calibri"/>
              <color rgb="001B2430"/>
              <sz val="10"/>
            </rPr>
            <t>Pose thresholds/calibration wrong for driver or mount</t>
          </r>
          <r>
            <rPr>
              <rFont val="Calibri"/>
              <color rgb="005B6676"/>
              <sz val="8"/>
            </rPr>
            <t xml:space="preserve">
linked: SWF-061</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9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r>
            <rPr>
              <rFont val="Calibri"/>
              <color rgb="005B6676"/>
              <sz val="8"/>
            </rPr>
            <t xml:space="preserve">
linked: SWF-061</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81.5" customHeight="1">
      <c r="A61" s="39" t="n"/>
      <c r="B61" s="39" t="n"/>
      <c r="C61" s="39" t="n"/>
      <c r="D61" s="39" t="n"/>
      <c r="E61" s="39" t="n"/>
      <c r="F61" s="39" t="n"/>
      <c r="G61" s="40" t="inlineStr">
        <is>
          <t>C2</t>
        </is>
      </c>
      <c r="H61" s="41" t="inlineStr">
        <is>
          <r>
            <rPr>
              <rFont val="Calibri"/>
              <color rgb="001B2430"/>
              <sz val="10"/>
            </rPr>
            <t>Low-speed or always-on exemption applied incorrectly</t>
          </r>
          <r>
            <rPr>
              <rFont val="Calibri"/>
              <color rgb="005B6676"/>
              <sz val="8"/>
            </rPr>
            <t xml:space="preserve">
linked: SWF-061</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3" t="n">
        <v>9</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249"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r>
            <rPr>
              <rFont val="Calibri"/>
              <color rgb="005B6676"/>
              <sz val="8"/>
            </rPr>
            <t xml:space="preserve">
linked: SWF-062</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9</v>
      </c>
      <c r="M63" s="44" t="inlineStr">
        <is>
          <t>H</t>
        </is>
      </c>
      <c r="N63"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3" s="48" t="inlineStr">
        <is>
          <t>open</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
HZ-013</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
HZ-013</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
HZ-008</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114"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1" s="35" t="n">
        <v>3</v>
      </c>
      <c r="K71"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1" s="35" t="n">
        <v>4</v>
      </c>
      <c r="M71" s="57" t="inlineStr">
        <is>
          <t>L</t>
        </is>
      </c>
      <c r="N71"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r>
            <rPr>
              <rFont val="Calibri"/>
              <color rgb="005B6676"/>
              <sz val="8"/>
            </rPr>
            <t xml:space="preserve">
linked: SWF-058</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4</v>
      </c>
      <c r="K78"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8" s="43" t="n">
        <v>9</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
HZ-005</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42.5"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8"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row r="88" ht="100.5" customHeight="1">
      <c r="A88" s="30" t="inlineStr">
        <is>
          <r>
            <rPr>
              <rFont val="Calibri"/>
              <b val="1"/>
              <color rgb="001F4E8C"/>
              <sz val="9"/>
            </rPr>
            <t xml:space="preserve">SFM-SE-001
</t>
          </r>
          <r>
            <rPr>
              <rFont val="Calibri"/>
              <color rgb="001B2430"/>
              <sz val="10"/>
            </rPr>
            <t>LionDriver item (L2 ACC + ALC + driver monitoring)</t>
          </r>
        </is>
      </c>
      <c r="B88"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8"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8" s="31" t="inlineStr">
        <is>
          <t>HZ-005
HZ-007</t>
        </is>
      </c>
      <c r="E88" s="32" t="n">
        <v>10</v>
      </c>
      <c r="F88" s="30" t="inlineStr">
        <is>
          <r>
            <rPr>
              <rFont val="Calibri"/>
              <b val="1"/>
              <color rgb="001F4E8C"/>
              <sz val="9"/>
            </rPr>
            <t xml:space="preserve">SFM-037 · stuck
</t>
          </r>
          <r>
            <rPr>
              <rFont val="Calibri"/>
              <b val="1"/>
              <color rgb="001B2430"/>
              <sz val="10"/>
            </rPr>
            <t>Longitudinal command frozen at last value</t>
          </r>
        </is>
      </c>
      <c r="G88" s="33" t="inlineStr">
        <is>
          <t>C1</t>
        </is>
      </c>
      <c r="H88" s="34" t="inlineStr">
        <is>
          <r>
            <rPr>
              <rFont val="Calibri"/>
              <color rgb="001B2430"/>
              <sz val="10"/>
            </rPr>
            <t>controlsd hangs while card keeps sending the last carControl</t>
          </r>
          <r>
            <rPr>
              <rFont val="Calibri"/>
              <color rgb="005B6676"/>
              <sz val="8"/>
            </rPr>
            <t xml:space="preserve">
linked: SWF-047</t>
          </r>
        </is>
      </c>
      <c r="I88" s="34" t="inlineStr">
        <is>
          <r>
            <rPr>
              <rFont val="Calibri"/>
              <color rgb="001B2430"/>
              <sz val="10"/>
            </rPr>
            <t>• Upstream review, ruff, ty; rated in the SW FMEA</t>
          </r>
          <r>
            <rPr>
              <rFont val="Calibri"/>
              <color rgb="005B6676"/>
              <sz val="8"/>
            </rPr>
            <t xml:space="preserve">
   assurance/08-analyses/fmea/analyses/sw-fmea.yaml</t>
          </r>
        </is>
      </c>
      <c r="J88" s="35" t="n">
        <v>6</v>
      </c>
      <c r="K88" s="34" t="inlineStr">
        <is>
          <r>
            <rPr>
              <rFont val="Calibri"/>
              <color rgb="008A5A00"/>
              <sz val="10"/>
            </rPr>
            <t>• As rated in the SW FMEA (SWF-047.C1, D 10 at BL-005): no test injects the exception that stops controlsd</t>
          </r>
        </is>
      </c>
      <c r="L88" s="46" t="n">
        <v>10</v>
      </c>
      <c r="M88" s="36" t="inlineStr">
        <is>
          <t>H</t>
        </is>
      </c>
      <c r="N88"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8" s="47" t="inlineStr">
        <is>
          <t>open</t>
        </is>
      </c>
      <c r="P88" s="33" t="inlineStr"/>
      <c r="Q88" s="33" t="inlineStr"/>
      <c r="R88" s="37" t="inlineStr"/>
      <c r="S88" s="37" t="inlineStr"/>
    </row>
    <row r="89" ht="100.5" customHeight="1">
      <c r="A89" s="38" t="n"/>
      <c r="B89" s="38" t="n"/>
      <c r="C89" s="38" t="n"/>
      <c r="D89" s="38" t="n"/>
      <c r="E89" s="38" t="n"/>
      <c r="F89" s="38" t="n"/>
      <c r="G89" s="33" t="inlineStr">
        <is>
          <t>C2</t>
        </is>
      </c>
      <c r="H89" s="34" t="inlineStr">
        <is>
          <r>
            <rPr>
              <rFont val="Calibri"/>
              <color rgb="001B2430"/>
              <sz val="10"/>
            </rPr>
            <t>plannerd stops or runs late while engaged, so controlsd keeps using the last longitudinalPlan</t>
          </r>
          <r>
            <rPr>
              <rFont val="Calibri"/>
              <color rgb="005B6676"/>
              <sz val="8"/>
            </rPr>
            <t xml:space="preserve">
linked: SWF-068</t>
          </r>
        </is>
      </c>
      <c r="I89" s="34" t="inlineStr">
        <is>
          <r>
            <rPr>
              <rFont val="Calibri"/>
              <color rgb="001B2430"/>
              <sz val="10"/>
            </rPr>
            <t>• Upstream openpilot code with upstream review; rated in the SW FMEA</t>
          </r>
          <r>
            <rPr>
              <rFont val="Calibri"/>
              <color rgb="005B6676"/>
              <sz val="8"/>
            </rPr>
            <t xml:space="preserve">
   assurance/08-analyses/fmea/analyses/sw-fmea.yaml</t>
          </r>
        </is>
      </c>
      <c r="J89" s="35" t="n">
        <v>4</v>
      </c>
      <c r="K89" s="34" t="inlineStr">
        <is>
          <r>
            <rPr>
              <rFont val="Calibri"/>
              <color rgb="008A5A00"/>
              <sz val="10"/>
            </rPr>
            <t>• As rated in the SW FMEA (SWF-068.C1, D 9 at BL-005): no test targets an exception in the planner loop</t>
          </r>
        </is>
      </c>
      <c r="L89" s="46" t="n">
        <v>9</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9" t="n"/>
      <c r="B90" s="39" t="n"/>
      <c r="C90" s="39" t="n"/>
      <c r="D90" s="39" t="n"/>
      <c r="E90" s="39" t="n"/>
      <c r="F90" s="39" t="n"/>
      <c r="G90" s="40" t="inlineStr">
        <is>
          <t>C3</t>
        </is>
      </c>
      <c r="H90" s="41" t="inlineStr">
        <is>
          <r>
            <rPr>
              <rFont val="Calibri"/>
              <color rgb="001B2430"/>
              <sz val="10"/>
            </rPr>
            <t>Messaging delivers a stale longitudinal plan or command with fresh timestamps</t>
          </r>
        </is>
      </c>
      <c r="I90"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0" s="42" t="n">
        <v>5</v>
      </c>
      <c r="K90" s="41" t="inlineStr">
        <is>
          <r>
            <rPr>
              <rFont val="Calibri"/>
              <color rgb="008A5A00"/>
              <sz val="10"/>
            </rPr>
            <t>• No pre-release test targets this cause</t>
          </r>
        </is>
      </c>
      <c r="L90" s="43" t="n">
        <v>10</v>
      </c>
      <c r="M90" s="44" t="inlineStr">
        <is>
          <t>H</t>
        </is>
      </c>
      <c r="N90"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8" t="inlineStr">
        <is>
          <t>open</t>
        </is>
      </c>
      <c r="P90" s="40" t="inlineStr"/>
      <c r="Q90" s="40" t="inlineStr"/>
      <c r="R90" s="45" t="inlineStr"/>
      <c r="S90" s="45" t="inlineStr"/>
    </row>
    <row r="91" ht="168" customHeight="1">
      <c r="A91" s="30" t="inlineStr">
        <is>
          <r>
            <rPr>
              <rFont val="Calibri"/>
              <b val="1"/>
              <color rgb="001F4E8C"/>
              <sz val="9"/>
            </rPr>
            <t xml:space="preserve">SFM-SE-001
</t>
          </r>
          <r>
            <rPr>
              <rFont val="Calibri"/>
              <color rgb="001B2430"/>
              <sz val="10"/>
            </rPr>
            <t>LionDriver item (L2 ACC + ALC + driver monitoring)</t>
          </r>
        </is>
      </c>
      <c r="B91" s="30" t="inlineStr">
        <is>
          <r>
            <rPr>
              <rFont val="Calibri"/>
              <b val="1"/>
              <color rgb="001F4E8C"/>
              <sz val="9"/>
            </rPr>
            <t xml:space="preserve">SFM-FN-006
</t>
          </r>
          <r>
            <rPr>
              <rFont val="Calibri"/>
              <color rgb="001B2430"/>
              <sz val="10"/>
            </rPr>
            <t>F6 Alerting: inform the driver of engagement state, takeover requests and faults (visual and audible)</t>
          </r>
        </is>
      </c>
      <c r="C91"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1" s="31" t="inlineStr">
        <is>
          <t>HZ-004</t>
        </is>
      </c>
      <c r="E91" s="32" t="n">
        <v>10</v>
      </c>
      <c r="F91" s="30" t="inlineStr">
        <is>
          <r>
            <rPr>
              <rFont val="Calibri"/>
              <b val="1"/>
              <color rgb="001F4E8C"/>
              <sz val="9"/>
            </rPr>
            <t xml:space="preserve">SFM-038 · late
</t>
          </r>
          <r>
            <rPr>
              <rFont val="Calibri"/>
              <b val="1"/>
              <color rgb="001B2430"/>
              <sz val="10"/>
            </rPr>
            <t>Warning of a lateral-control fault or limit late, not escalated or missing</t>
          </r>
        </is>
      </c>
      <c r="G91" s="33" t="inlineStr">
        <is>
          <t>C1</t>
        </is>
      </c>
      <c r="H91" s="34" t="inlineStr">
        <is>
          <r>
            <rPr>
              <rFont val="Calibri"/>
              <color rgb="001B2430"/>
              <sz val="10"/>
            </rPr>
            <t>After any driver steering input in the last 1.5 s, or at standstill, a temporary EPS fault raises only steerTempUnavailableSilent (a LOW-priority WARNING with a prompt chime and no soft disable, events.py:516-521), and it stays latched while the fault lasts, so a long fault never escalates to the take-over request (car_events.py:162-177; T-25, GAP-03)</t>
          </r>
        </is>
      </c>
      <c r="I91" s="34" t="inlineStr">
        <is>
          <r>
            <rPr>
              <rFont val="Calibri"/>
              <color rgb="001B2430"/>
              <sz val="10"/>
            </rPr>
            <t>• Upstream openpilot design choice (a softer alert after an override); no LionDriver requirement on it</t>
          </r>
          <r>
            <rPr>
              <rFont val="Calibri"/>
              <color rgb="005B6676"/>
              <sz val="8"/>
            </rPr>
            <t xml:space="preserve">
   openpilot/selfdrive/car/car_events.py</t>
          </r>
        </is>
      </c>
      <c r="J91" s="35" t="n">
        <v>8</v>
      </c>
      <c r="K91" s="34" t="inlineStr">
        <is>
          <r>
            <rPr>
              <rFont val="Calibri"/>
              <color rgb="008A5A00"/>
              <sz val="10"/>
            </rPr>
            <t>• No LionDriver test targets this cause</t>
          </r>
        </is>
      </c>
      <c r="L91" s="46" t="n">
        <v>10</v>
      </c>
      <c r="M91" s="36" t="inlineStr">
        <is>
          <t>H</t>
        </is>
      </c>
      <c r="N91" s="34" t="inlineStr">
        <is>
          <r>
            <rPr>
              <rFont val="Calibri"/>
              <b val="1"/>
              <color rgb="001F4E8C"/>
              <sz val="9"/>
            </rPr>
            <t xml:space="preserve">SFM-ACT-023 · design change
</t>
          </r>
          <r>
            <rPr>
              <rFont val="Calibri"/>
              <color rgb="001B2430"/>
              <sz val="10"/>
            </rPr>
            <t>Escalate every EPS fault that lasts while engaged to the take-over request (steerTempUnavailable, SOFT_DISABLE), instead of keeping the low-priority steerTempUnavailableSilent prompt latched after a recent override or at standstill (car_events.py:162-177; behaviour change queued for the lead by the FSC session as DQ-342), and act on the panda fields epsFault and requestsRejected on the host (TSR-626(d), TSR-516(b)). SFM-038.C1, C2; FTA BE-2.08</t>
          </r>
        </is>
      </c>
      <c r="O91" s="47" t="inlineStr">
        <is>
          <t>open</t>
        </is>
      </c>
      <c r="P91" s="33" t="inlineStr"/>
      <c r="Q91" s="33" t="inlineStr"/>
      <c r="R91" s="37" t="inlineStr"/>
      <c r="S91" s="37" t="inlineStr"/>
    </row>
    <row r="92" ht="168" customHeight="1">
      <c r="A92" s="38" t="n"/>
      <c r="B92" s="38" t="n"/>
      <c r="C92" s="38" t="n"/>
      <c r="D92" s="38" t="n"/>
      <c r="E92" s="38" t="n"/>
      <c r="F92" s="38" t="n"/>
      <c r="G92" s="33" t="inlineStr">
        <is>
          <t>C2</t>
        </is>
      </c>
      <c r="H92"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2" s="34" t="inlineStr">
        <is>
          <r>
            <rPr>
              <rFont val="Calibri"/>
              <color rgb="001B2430"/>
              <sz val="10"/>
            </rPr>
            <t>• None; the fields were added for the panda siren and logging</t>
          </r>
          <r>
            <rPr>
              <rFont val="Calibri"/>
              <color rgb="005B6676"/>
              <sz val="8"/>
            </rPr>
            <t xml:space="preserve">
   openpilot/selfdrive/pandad/pandad.cc</t>
          </r>
        </is>
      </c>
      <c r="J92" s="35" t="n">
        <v>8</v>
      </c>
      <c r="K92" s="34" t="inlineStr">
        <is>
          <r>
            <rPr>
              <rFont val="Calibri"/>
              <color rgb="008A5A00"/>
              <sz val="10"/>
            </rPr>
            <t>• No test targets this cause</t>
          </r>
        </is>
      </c>
      <c r="L92" s="46" t="n">
        <v>10</v>
      </c>
      <c r="M92" s="36" t="inlineStr">
        <is>
          <t>H</t>
        </is>
      </c>
      <c r="N92" s="34" t="inlineStr">
        <is>
          <r>
            <rPr>
              <rFont val="Calibri"/>
              <b val="1"/>
              <color rgb="001F4E8C"/>
              <sz val="9"/>
            </rPr>
            <t xml:space="preserve">SFM-ACT-023 · design change
</t>
          </r>
          <r>
            <rPr>
              <rFont val="Calibri"/>
              <color rgb="001B2430"/>
              <sz val="10"/>
            </rPr>
            <t>Escalate every EPS fault that lasts while engaged to the take-over request (steerTempUnavailable, SOFT_DISABLE), instead of keeping the low-priority steerTempUnavailableSilent prompt latched after a recent override or at standstill (car_events.py:162-177; behaviour change queued for the lead by the FSC session as DQ-342), and act on the panda fields epsFault and requestsRejected on the host (TSR-626(d), TSR-516(b)). SFM-038.C1, C2; FTA BE-2.08</t>
          </r>
        </is>
      </c>
      <c r="O92" s="47" t="inlineStr">
        <is>
          <t>open</t>
        </is>
      </c>
      <c r="P92" s="33" t="inlineStr"/>
      <c r="Q92" s="33" t="inlineStr"/>
      <c r="R92" s="37" t="inlineStr"/>
      <c r="S92" s="37" t="inlineStr"/>
    </row>
    <row r="93" ht="127.5" customHeight="1">
      <c r="A93" s="39" t="n"/>
      <c r="B93" s="39" t="n"/>
      <c r="C93" s="39" t="n"/>
      <c r="D93" s="39" t="n"/>
      <c r="E93" s="39" t="n"/>
      <c r="F93" s="39" t="n"/>
      <c r="G93" s="40" t="inlineStr">
        <is>
          <t>C3</t>
        </is>
      </c>
      <c r="H93" s="41" t="inlineStr">
        <is>
          <r>
            <rPr>
              <rFont val="Calibri"/>
              <color rgb="001B2430"/>
              <sz val="10"/>
            </rPr>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r>
        </is>
      </c>
      <c r="I93" s="41" t="inlineStr">
        <is>
          <r>
            <rPr>
              <rFont val="Calibri"/>
              <color rgb="001B2430"/>
              <sz val="10"/>
            </rPr>
            <t>• Upstream openpilot code with upstream review; ruff and type checks in CI (static analysis job)</t>
          </r>
          <r>
            <rPr>
              <rFont val="Calibri"/>
              <color rgb="005B6676"/>
              <sz val="8"/>
            </rPr>
            <t xml:space="preserve">
   scripts/lint/lint.sh</t>
          </r>
        </is>
      </c>
      <c r="J93" s="42" t="n">
        <v>8</v>
      </c>
      <c r="K93"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3" s="42" t="n">
        <v>8</v>
      </c>
      <c r="M93" s="44" t="inlineStr">
        <is>
          <t>H</t>
        </is>
      </c>
      <c r="N93"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3" s="48" t="inlineStr">
        <is>
          <t>open</t>
        </is>
      </c>
      <c r="P93" s="40" t="inlineStr"/>
      <c r="Q93" s="40" t="inlineStr"/>
      <c r="R93" s="45" t="inlineStr"/>
      <c r="S93" s="45" t="inlineStr"/>
    </row>
  </sheetData>
  <autoFilter ref="A2:S93"/>
  <mergeCells count="196">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B88:B90"/>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A88:A90"/>
    <mergeCell ref="C60:C61"/>
    <mergeCell ref="C64:C66"/>
    <mergeCell ref="D25:D28"/>
    <mergeCell ref="E64:E66"/>
    <mergeCell ref="D37:D38"/>
    <mergeCell ref="A23:A24"/>
    <mergeCell ref="B55:B56"/>
    <mergeCell ref="C82:C83"/>
    <mergeCell ref="D55:D56"/>
    <mergeCell ref="C79:C81"/>
    <mergeCell ref="I1:M1"/>
    <mergeCell ref="E79:E81"/>
    <mergeCell ref="C88:C90"/>
    <mergeCell ref="E88:E90"/>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B91:B93"/>
    <mergeCell ref="C20:C22"/>
    <mergeCell ref="C14:C16"/>
    <mergeCell ref="E20:E22"/>
    <mergeCell ref="C29:C31"/>
    <mergeCell ref="E14:E16"/>
    <mergeCell ref="F3:F5"/>
    <mergeCell ref="E29:E31"/>
    <mergeCell ref="F39:F40"/>
    <mergeCell ref="C39:C40"/>
    <mergeCell ref="F49:F50"/>
    <mergeCell ref="B17:B19"/>
    <mergeCell ref="B75:B76"/>
    <mergeCell ref="D91:D93"/>
    <mergeCell ref="F20:F22"/>
    <mergeCell ref="F91:F93"/>
    <mergeCell ref="B44:B46"/>
    <mergeCell ref="A67:A68"/>
    <mergeCell ref="E71:E74"/>
    <mergeCell ref="B47:B48"/>
    <mergeCell ref="C57:C59"/>
    <mergeCell ref="A60:A61"/>
    <mergeCell ref="E57:E59"/>
    <mergeCell ref="A69:A70"/>
    <mergeCell ref="D6:D9"/>
    <mergeCell ref="A91:A93"/>
    <mergeCell ref="F6:F9"/>
    <mergeCell ref="C91:C93"/>
    <mergeCell ref="D64:D66"/>
    <mergeCell ref="A1:H1"/>
    <mergeCell ref="E41:E43"/>
    <mergeCell ref="F64:F66"/>
    <mergeCell ref="C10:C13"/>
    <mergeCell ref="D14:D16"/>
    <mergeCell ref="E10:E13"/>
    <mergeCell ref="C35:C36"/>
    <mergeCell ref="F14:F16"/>
    <mergeCell ref="B39:B40"/>
    <mergeCell ref="E35:E36"/>
    <mergeCell ref="A75:A76"/>
    <mergeCell ref="C75:C76"/>
    <mergeCell ref="E91:E93"/>
    <mergeCell ref="F57:F59"/>
    <mergeCell ref="B64:B66"/>
    <mergeCell ref="C25:C28"/>
    <mergeCell ref="A55:A56"/>
    <mergeCell ref="A86:A87"/>
    <mergeCell ref="C55:C56"/>
    <mergeCell ref="B79:B81"/>
    <mergeCell ref="B32:B34"/>
    <mergeCell ref="D79:D81"/>
    <mergeCell ref="D88:D90"/>
    <mergeCell ref="F88:F90"/>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0.24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3"/>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68"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
SFM-037.C1
SFM-037.C2
SFM-037.C3</t>
        </is>
      </c>
      <c r="G3" s="60" t="inlineStr"/>
      <c r="H3" s="60" t="inlineStr"/>
      <c r="I3" s="60" t="inlineStr"/>
    </row>
    <row r="4" ht="343.5"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SFM-003.C1
SFM-003.C2
SFM-003.C4
SFM-004.C2
SFM-004.C3
SFM-005.C1
SFM-007.C2
SFM-008.C3
SFM-008.C4
SFM-009.C3
SFM-010.C3
SFM-011.C1
SFM-012.C1
SFM-013.C2
SFM-015.C3
SFM-017.C1
SFM-018.C1
SFM-019.C1
SFM-020.C1
SFM-022.C3
SFM-026.C2
SFM-027.C1
SFM-028.C2
SFM-031.C1
SFM-033.C3</t>
        </is>
      </c>
      <c r="G4" s="60" t="inlineStr"/>
      <c r="H4" s="60" t="inlineStr"/>
      <c r="I4" s="60" t="inlineStr"/>
    </row>
    <row r="5" ht="154.5" customHeight="1">
      <c r="A5" s="60" t="inlineStr">
        <is>
          <t>SFM-ACT-005</t>
        </is>
      </c>
      <c r="B5" s="60" t="inlineStr">
        <is>
          <t>design change</t>
        </is>
      </c>
      <c r="C5" s="60"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60" t="inlineStr">
        <is>
          <t>Jherrod Thomas</t>
        </is>
      </c>
      <c r="E5" s="60" t="inlineStr">
        <is>
          <t>open</t>
        </is>
      </c>
      <c r="F5" s="60" t="inlineStr">
        <is>
          <t>SFM-025.C1</t>
        </is>
      </c>
      <c r="G5" s="60" t="inlineStr"/>
      <c r="H5" s="60" t="inlineStr"/>
      <c r="I5" s="60" t="inlineStr"/>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87"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100.5"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TSR-631,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0" t="inlineStr"/>
      <c r="E16" s="60" t="inlineStr">
        <is>
          <t>open</t>
        </is>
      </c>
      <c r="F16" s="60" t="inlineStr"/>
      <c r="G16" s="60" t="inlineStr"/>
      <c r="H16" s="60" t="inlineStr"/>
      <c r="I16" s="60" t="inlineStr"/>
    </row>
    <row r="17" ht="87"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1" t="inlineStr">
        <is>
          <t>completed</t>
        </is>
      </c>
      <c r="F17" s="60" t="inlineStr"/>
      <c r="G17" s="60" t="inlineStr"/>
      <c r="H17" s="60" t="inlineStr"/>
      <c r="I17" s="60"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73.5" customHeight="1">
      <c r="A20" s="60" t="inlineStr">
        <is>
          <t>SFM-ACT-020</t>
        </is>
      </c>
      <c r="B20" s="60" t="inlineStr">
        <is>
          <t>design change</t>
        </is>
      </c>
      <c r="C20" s="60"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0" t="inlineStr"/>
      <c r="E20" s="60" t="inlineStr">
        <is>
          <t>decision pending</t>
        </is>
      </c>
      <c r="F20" s="60" t="inlineStr">
        <is>
          <t>SFM-036.C1</t>
        </is>
      </c>
      <c r="G20" s="60" t="inlineStr"/>
      <c r="H20" s="60" t="inlineStr"/>
      <c r="I20" s="60" t="inlineStr"/>
    </row>
    <row r="21" ht="73.5" customHeight="1">
      <c r="A21" s="60" t="inlineStr">
        <is>
          <t>SFM-ACT-021</t>
        </is>
      </c>
      <c r="B21" s="60" t="inlineStr">
        <is>
          <t>monitoring</t>
        </is>
      </c>
      <c r="C21" s="60"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0" t="inlineStr"/>
      <c r="E21" s="60" t="inlineStr">
        <is>
          <t>open</t>
        </is>
      </c>
      <c r="F21" s="60" t="inlineStr">
        <is>
          <t>SFM-038.C3</t>
        </is>
      </c>
      <c r="G21" s="60" t="inlineStr"/>
      <c r="H21" s="60" t="inlineStr"/>
      <c r="I21" s="60" t="inlineStr"/>
    </row>
    <row r="22" ht="60" customHeight="1">
      <c r="A22" s="60" t="inlineStr">
        <is>
          <t>SFM-ACT-022</t>
        </is>
      </c>
      <c r="B22" s="60" t="inlineStr">
        <is>
          <t>monitoring</t>
        </is>
      </c>
      <c r="C22" s="60" t="inlineStr">
        <is>
          <t>Measure the FCW onset after a lead brakes hard (WP-S-04 T-31, M-12) and compare it with the §3.8.2 budget (about 0.6 s at a 1.0 s gap). For pipeline lag (SFM-012.C1), detect it within that budget or show that the FCW path does not depend on the lagging process</t>
        </is>
      </c>
      <c r="D22" s="60" t="inlineStr"/>
      <c r="E22" s="60" t="inlineStr">
        <is>
          <t>open</t>
        </is>
      </c>
      <c r="F22" s="60" t="inlineStr"/>
      <c r="G22" s="60" t="inlineStr"/>
      <c r="H22" s="60" t="inlineStr"/>
      <c r="I22" s="60" t="inlineStr"/>
    </row>
    <row r="23" ht="100.5" customHeight="1">
      <c r="A23" s="60" t="inlineStr">
        <is>
          <t>SFM-ACT-023</t>
        </is>
      </c>
      <c r="B23" s="60" t="inlineStr">
        <is>
          <t>design change</t>
        </is>
      </c>
      <c r="C23" s="60" t="inlineStr">
        <is>
          <t>Escalate every EPS fault that lasts while engaged to the take-over request (steerTempUnavailable, SOFT_DISABLE), instead of keeping the low-priority steerTempUnavailableSilent prompt latched after a recent override or at standstill (car_events.py:162-177; behaviour change queued for the lead by the FSC session as DQ-342), and act on the panda fields epsFault and requestsRejected on the host (TSR-626(d), TSR-516(b)). SFM-038.C1, C2; FTA BE-2.08</t>
        </is>
      </c>
      <c r="D23" s="60" t="inlineStr"/>
      <c r="E23" s="60" t="inlineStr">
        <is>
          <t>open</t>
        </is>
      </c>
      <c r="F23" s="60" t="inlineStr">
        <is>
          <t>SFM-038.C1
SFM-038.C2</t>
        </is>
      </c>
      <c r="G23" s="60" t="inlineStr"/>
      <c r="H23" s="60" t="inlineStr"/>
      <c r="I23" s="60" t="inlineStr"/>
    </row>
  </sheetData>
  <autoFilter ref="A1:I2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6"/>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3"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until the H-09 goal has one (WP-S-04 §3.8.4)</t>
        </is>
      </c>
      <c r="H55" s="35" t="n">
        <v>10</v>
      </c>
      <c r="I55" s="35" t="n">
        <v>5</v>
      </c>
      <c r="J55" s="35" t="n">
        <v>7</v>
      </c>
      <c r="K55" s="36" t="inlineStr">
        <is>
          <t>H</t>
        </is>
      </c>
      <c r="L55" s="34" t="inlineStr"/>
      <c r="M55" s="33" t="inlineStr">
        <is>
          <t>unknown</t>
        </is>
      </c>
      <c r="N55" s="34" t="inlineStr">
        <is>
          <t>SFM-ACT-005 · open</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open</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3</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3"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4</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3"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3"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row r="71" ht="100.5" customHeight="1">
      <c r="A71" s="34" t="inlineStr">
        <is>
          <t>SFM-037 · Longitudinal command frozen at last value</t>
        </is>
      </c>
      <c r="B71" s="35" t="n">
        <v>10</v>
      </c>
      <c r="C71" s="33" t="inlineStr">
        <is>
          <t>SFM-037.C1</t>
        </is>
      </c>
      <c r="D71" s="34" t="inlineStr">
        <is>
          <t>controlsd hangs while card keeps sending the last carControl</t>
        </is>
      </c>
      <c r="E71" s="34" t="inlineStr">
        <is>
          <t>card stops sending once carControl is 0.1 s old (T-13); the panda then revokes authority within 0.11 s of the last ACC_CONTROL frame (TSR-408, T-34) and selfdrived raises controlsMismatch within 0.5 s (TSR-621)</t>
        </is>
      </c>
      <c r="F71" s="34" t="inlineStr">
        <is>
          <t>controlsMismatch IMMEDIATE_DISABLE with alert; no ACC_CONTROL frame follows the stall and there is no active zero request (TSR-109), so what the PCM does with the last request after the frames stop is not known (AOU, not measured)</t>
        </is>
      </c>
      <c r="G71" s="34" t="inlineStr">
        <is>
          <t>Last request held about 0.2 s, then frames stop; the PCM reaction to missing ACC_CONTROL is not established</t>
        </is>
      </c>
      <c r="H71" s="35" t="n">
        <v>10</v>
      </c>
      <c r="I71" s="35" t="n">
        <v>6</v>
      </c>
      <c r="J71" s="35" t="n">
        <v>7</v>
      </c>
      <c r="K71" s="36" t="inlineStr">
        <is>
          <t>H</t>
        </is>
      </c>
      <c r="L71" s="34" t="inlineStr">
        <is>
          <t>SG-03/04 · 1000 ms</t>
        </is>
      </c>
      <c r="M71" s="33" t="inlineStr">
        <is>
          <t>unknown</t>
        </is>
      </c>
      <c r="N71" s="34" t="inlineStr">
        <is>
          <t>SFM-ACT-015 · in progress</t>
        </is>
      </c>
      <c r="O71" s="37" t="inlineStr"/>
      <c r="P71" s="37" t="inlineStr"/>
    </row>
    <row r="72" ht="46.5" customHeight="1">
      <c r="A72" s="34" t="inlineStr">
        <is>
          <t>SFM-037 · Longitudinal command frozen at last value</t>
        </is>
      </c>
      <c r="B72" s="35" t="n">
        <v>10</v>
      </c>
      <c r="C72" s="33" t="inlineStr">
        <is>
          <t>SFM-037.C2</t>
        </is>
      </c>
      <c r="D72" s="34" t="inlineStr">
        <is>
          <t>plannerd stops or runs late while engaged, so controlsd keeps using the last longitudinalPlan</t>
        </is>
      </c>
      <c r="E72" s="34" t="inlineStr">
        <is>
          <t>selfdrived liveness check on longitudinalPlan (10 missed periods at 20 Hz, 0.5 s, T-14)</t>
        </is>
      </c>
      <c r="F72" s="34" t="inlineStr">
        <is>
          <t>commIssue SOFT_DISABLE; actuation continues for the 3 s countdown (T-16) on the last plan</t>
        </is>
      </c>
      <c r="G72" s="34" t="inlineStr">
        <is>
          <t>Frozen request held up to about 3.5 s before the item disengages</t>
        </is>
      </c>
      <c r="H72" s="35" t="n">
        <v>10</v>
      </c>
      <c r="I72" s="35" t="n">
        <v>4</v>
      </c>
      <c r="J72" s="35" t="n">
        <v>8</v>
      </c>
      <c r="K72" s="36" t="inlineStr">
        <is>
          <t>H</t>
        </is>
      </c>
      <c r="L72" s="34" t="inlineStr">
        <is>
          <t>SG-03/04 · 1000 ms
500 + 3000 ms</t>
        </is>
      </c>
      <c r="M72" s="33" t="inlineStr">
        <is>
          <t>code derived</t>
        </is>
      </c>
      <c r="N72" s="34" t="inlineStr">
        <is>
          <t>SFM-ACT-015 · in progress</t>
        </is>
      </c>
      <c r="O72" s="37" t="inlineStr"/>
      <c r="P72" s="37" t="inlineStr"/>
    </row>
    <row r="73" ht="46.5" customHeight="1">
      <c r="A73" s="34" t="inlineStr">
        <is>
          <t>SFM-037 · Longitudinal command frozen at last value</t>
        </is>
      </c>
      <c r="B73" s="35" t="n">
        <v>10</v>
      </c>
      <c r="C73" s="33" t="inlineStr">
        <is>
          <t>SFM-037.C3</t>
        </is>
      </c>
      <c r="D73" s="34" t="inlineStr">
        <is>
          <t>Messaging delivers a stale longitudinal plan or command with fresh timestamps</t>
        </is>
      </c>
      <c r="E73" s="34" t="inlineStr">
        <is>
          <t>Liveness checks use arrival and timestamps, so stale data with fresh timestamps passes them</t>
        </is>
      </c>
      <c r="F73" s="34" t="inlineStr">
        <is>
          <t>None until another check trips</t>
        </is>
      </c>
      <c r="G73" s="34" t="inlineStr">
        <is>
          <t>Unchanged: longitudinal control acts on stale data</t>
        </is>
      </c>
      <c r="H73" s="35" t="n">
        <v>10</v>
      </c>
      <c r="I73" s="35" t="n">
        <v>5</v>
      </c>
      <c r="J73" s="46" t="n">
        <v>9</v>
      </c>
      <c r="K73" s="36" t="inlineStr">
        <is>
          <t>H</t>
        </is>
      </c>
      <c r="L73" s="34" t="inlineStr"/>
      <c r="M73" s="33" t="inlineStr">
        <is>
          <t>unknown</t>
        </is>
      </c>
      <c r="N73" s="34" t="inlineStr">
        <is>
          <t>SFM-ACT-015 · in progress</t>
        </is>
      </c>
      <c r="O73" s="37" t="inlineStr"/>
      <c r="P73" s="37" t="inlineStr"/>
    </row>
    <row r="74" ht="141" customHeight="1">
      <c r="A74" s="34" t="inlineStr">
        <is>
          <t>SFM-038 · Warning of a lateral-control fault or limit late, not escalated or missing</t>
        </is>
      </c>
      <c r="B74" s="35" t="n">
        <v>10</v>
      </c>
      <c r="C74" s="33" t="inlineStr">
        <is>
          <t>SFM-038.C1</t>
        </is>
      </c>
      <c r="D74" s="34" t="inlineStr">
        <is>
          <t>After any driver steering input in the last 1.5 s, or at standstill, a temporary EPS fault raises only steerTempUnavailableSilent (a LOW-priority WARNING with a prompt chime and no soft disable, events.py:516-521), and it stays latched while the fault lasts, so a long fault never escalates to the take-over request (car_events.py:162-177; T-25, GAP-03)</t>
        </is>
      </c>
      <c r="E74" s="63" t="inlineStr">
        <is>
          <t>Exempt: The cause is a defect of the warning path itself; its effect on detecting the lateral loss is rated in the MSR rows of SFM-004.C2 and SFM-005 (msr-plan §3)</t>
        </is>
      </c>
      <c r="F74" s="34" t="inlineStr"/>
      <c r="G74" s="34" t="inlineStr"/>
      <c r="H74" s="35" t="inlineStr"/>
      <c r="I74" s="35" t="inlineStr"/>
      <c r="J74" s="35" t="inlineStr"/>
      <c r="K74" s="33" t="inlineStr"/>
      <c r="L74" s="34" t="inlineStr"/>
      <c r="M74" s="33" t="inlineStr"/>
      <c r="N74" s="34" t="inlineStr"/>
      <c r="O74" s="37" t="inlineStr"/>
      <c r="P74" s="37" t="inlineStr"/>
    </row>
    <row r="75" ht="114" customHeight="1">
      <c r="A75" s="34" t="inlineStr">
        <is>
          <t>SFM-038 · Warning of a lateral-control fault or limit late, not escalated or missing</t>
        </is>
      </c>
      <c r="B75" s="35" t="n">
        <v>10</v>
      </c>
      <c r="C75" s="33" t="inlineStr">
        <is>
          <t>SFM-038.C2</t>
        </is>
      </c>
      <c r="D75"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5" s="63" t="inlineStr">
        <is>
          <t>Exempt: The cause is a defect of the warning path itself; the panda siren that remains is rated on SFM-005 and in the DFMEA (msr-plan §3)</t>
        </is>
      </c>
      <c r="F75" s="34" t="inlineStr"/>
      <c r="G75" s="34" t="inlineStr"/>
      <c r="H75" s="35" t="inlineStr"/>
      <c r="I75" s="35" t="inlineStr"/>
      <c r="J75" s="35" t="inlineStr"/>
      <c r="K75" s="33" t="inlineStr"/>
      <c r="L75" s="34" t="inlineStr"/>
      <c r="M75" s="33" t="inlineStr"/>
      <c r="N75" s="34" t="inlineStr"/>
      <c r="O75" s="37" t="inlineStr"/>
      <c r="P75" s="37" t="inlineStr"/>
    </row>
    <row r="76" ht="127.5" customHeight="1">
      <c r="A76" s="34" t="inlineStr">
        <is>
          <t>SFM-038 · Warning of a lateral-control fault or limit late, not escalated or missing</t>
        </is>
      </c>
      <c r="B76" s="35" t="n">
        <v>10</v>
      </c>
      <c r="C76" s="33" t="inlineStr">
        <is>
          <t>SFM-038.C3</t>
        </is>
      </c>
      <c r="D76" s="34" t="inlineStr">
        <is>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is>
      </c>
      <c r="E76" s="63" t="inlineStr">
        <is>
          <t>Exempt: The cause is the timing of the warning itself; it is rated as M 8 in the MSR rows of SFM-004.C1-C3 (rev 0.15, WP-S-04 §3.8.1)</t>
        </is>
      </c>
      <c r="F76" s="34" t="inlineStr"/>
      <c r="G76" s="34" t="inlineStr"/>
      <c r="H76" s="35" t="inlineStr"/>
      <c r="I76" s="35" t="inlineStr"/>
      <c r="J76" s="35" t="inlineStr"/>
      <c r="K76" s="33" t="inlineStr"/>
      <c r="L76" s="34" t="inlineStr"/>
      <c r="M76" s="33" t="inlineStr"/>
      <c r="N76" s="34" t="inlineStr"/>
      <c r="O76" s="37" t="inlineStr"/>
      <c r="P76" s="37" t="inlineStr"/>
    </row>
  </sheetData>
  <autoFilter ref="A2:P76"/>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0.24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2026-10-16T23:13:44Z</dcterms:modified>
</cp:coreProperties>
</file>