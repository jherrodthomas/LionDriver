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Title_Page" sheetId="1" state="visible" r:id="rId3"/>
    <sheet name="01_Document_Control" sheetId="2" state="visible" r:id="rId4"/>
    <sheet name="02_Assumptions" sheetId="3" state="visible" r:id="rId5"/>
    <sheet name="03_HW_Element_Catalog" sheetId="4" state="visible" r:id="rId6"/>
    <sheet name="05_Safety_Mechanisms_From_TSC" sheetId="5" state="visible" r:id="rId7"/>
    <sheet name="06_FMEDA_Worksheet" sheetId="6" state="visible" r:id="rId8"/>
    <sheet name="06b_Per_Goal_Rows" sheetId="7" state="visible" r:id="rId9"/>
    <sheet name="07_SPFM_Calculation" sheetId="8" state="visible" r:id="rId10"/>
    <sheet name="08_LFM_Calculation" sheetId="9" state="visible" r:id="rId11"/>
    <sheet name="09_PMHF_Calculation" sheetId="10" state="visible" r:id="rId12"/>
    <sheet name="10_Metrics_Dashboard" sheetId="11" state="visible" r:id="rId13"/>
    <sheet name="11_Open_Items" sheetId="12" state="visible" r:id="rId14"/>
    <sheet name="12_Reference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<sst xmlns="http://schemas.openxmlformats.org/spreadsheetml/2006/main" count="597" uniqueCount="316">
  <si>
    <t xml:space="preserve">FMEDA — SG-001 lateral (panda safety path), generic failure rates</t>
  </si>
  <si>
    <t xml:space="preserve">Project</t>
  </si>
  <si>
    <t xml:space="preserve">LionDriver: openpilot fork, reference configuration Corolla E210 · ZRE212 · US (CFG-001 / AC-001), model years 2020–2022</t>
  </si>
  <si>
    <t xml:space="preserve">Document ID</t>
  </si>
  <si>
    <t xml:space="preserve">LD-FMD-SG-001</t>
  </si>
  <si>
    <t xml:space="preserve">Revision</t>
  </si>
  <si>
    <t xml:space="preserve">0.7</t>
  </si>
  <si>
    <t xml:space="preserve">Status</t>
  </si>
  <si>
    <t xml:space="preserve">Draft</t>
  </si>
  <si>
    <t xml:space="preserve">Baseline</t>
  </si>
  <si>
    <t xml:space="preserve">BL-002</t>
  </si>
  <si>
    <t xml:space="preserve">Targets (WP-H-04 §4)</t>
  </si>
  <si>
    <t xml:space="preserve">SG-01 ASIL C; SG-01 ASIL B (shown alongside); SG-02 ASIL C; SG-03 ASIL C; SG-04 ASIL B; SG-05 ASIL B; SG-06 ASIL C</t>
  </si>
  <si>
    <t xml:space="preserve">LD-HARA-001 goal</t>
  </si>
  <si>
    <t xml:space="preserve">SG-001 ASIL D (reference only; the targets above are used)</t>
  </si>
  <si>
    <t xml:space="preserve">Author</t>
  </si>
  <si>
    <t xml:space="preserve">Claude (AI-assisted draft)</t>
  </si>
  <si>
    <t xml:space="preserve">Approver</t>
  </si>
  <si>
    <t xml:space="preserve">Jherrod Thomas (project maintainer); not yet reviewed</t>
  </si>
  <si>
    <t xml:space="preserve">Source</t>
  </si>
  <si>
    <t xml:space="preserve">assurance/08-analyses/fmea/analyses/fmeda-sg001.yaml (generated by tools/safety/export_fmeda_xlsx.py; do not edit)</t>
  </si>
  <si>
    <t xml:space="preserve">Scope</t>
  </si>
  <si>
    <t xml:space="preserve">Random hardware faults of the panda section that can let an out-of-envelope or unauthorised steering request reach the EPS (LD-HARA-001 SG-001, ASIL D; assurance WP-C-03 SG-01, ASIL C pending OI-1). Reference device at BL-002. By decision DQ-362 (2026-10-18) the rows also stand for assurance SG-02, SG-03, SG-06 (ASIL C) and SG-05 (ASIL B), classified for SG-001; per-goal notes in WP-H-03 §6.4</t>
  </si>
  <si>
    <t xml:space="preserve">Date</t>
  </si>
  <si>
    <t xml:space="preserve">Description of change</t>
  </si>
  <si>
    <t xml:space="preserve">0.1</t>
  </si>
  <si>
    <t xml:space="preserve">2026-10-10</t>
  </si>
  <si>
    <t xml:space="preserve">Stub without components</t>
  </si>
  <si>
    <t xml:space="preserve">0.2</t>
  </si>
  <si>
    <t xml:space="preserve">2026-10-12</t>
  </si>
  <si>
    <t xml:space="preserve">First quantitative FMEDA at BL-002 with generic failure rates</t>
  </si>
  <si>
    <t xml:space="preserve">0.3</t>
  </si>
  <si>
    <t xml:space="preserve">2026-10-15</t>
  </si>
  <si>
    <t xml:space="preserve">Relay re-based to the harness box v3 analog switches U1/U2 and its pull-down, supply and clamps (RR-2026-010)</t>
  </si>
  <si>
    <t xml:space="preserve">0.4</t>
  </si>
  <si>
    <t xml:space="preserve">2026-10-16</t>
  </si>
  <si>
    <t xml:space="preserve">U1/U2 at the SN 29500-2 reference value, 2 × 25 FIT (secondary quote); box discretes keep generic rates with their SN 29500 class named</t>
  </si>
  <si>
    <t xml:space="preserve">0.5</t>
  </si>
  <si>
    <t xml:space="preserve">2026-10-18</t>
  </si>
  <si>
    <t xml:space="preserve">Rows reused for SG-02, SG-03, SG-05 and SG-06 (DQ-362 A), a note per goal; no rate, classification or metric change</t>
  </si>
  <si>
    <t xml:space="preserve">0.6</t>
  </si>
  <si>
    <t xml:space="preserve">2026-10-20</t>
  </si>
  <si>
    <t xml:space="preserve">Wire-end IDs of the WireViz drawings added; no rate, classification or metric change</t>
  </si>
  <si>
    <t xml:space="preserve">Format review: targets per goal (C with B alongside for SG-01), SG-05 classification of FMD-001 and FMD-009, rate kind and wire ends as fields; SG-01 metrics unchanged</t>
  </si>
  <si>
    <t xml:space="preserve">Mission profile</t>
  </si>
  <si>
    <t xml:space="preserve">Passenger car, windscreen-mounted device: ambient up to +85 °C in the sun-loaded enclosure, Tj up to about +105 °C; about 500 operating h/year for 15 years (7,500 h). Failure rates in FIT (1e-9/h); transient (soft-error) rates included where noted. PMHF here is only λSPF + λRF; the dual-point term is not computed (rating-tables §6.3)</t>
  </si>
  <si>
    <t xml:space="preserve">FIT source</t>
  </si>
  <si>
    <t xml:space="preserve">8 components: 7 generic, 1 handbook; 0 converted to the mission profile (IEC 61709). Handbook set approved by the lead (WP-H-03 §2.3, DQ-068); per-part source in 03_HW_Element_Catalog. Generic rates are order-of-magnitude estimates, not evidence</t>
  </si>
  <si>
    <t xml:space="preserve">Environmental class</t>
  </si>
  <si>
    <t xml:space="preserve">Passenger compartment, windscreen mount (sun-loaded)</t>
  </si>
  <si>
    <t xml:space="preserve">Classification rules</t>
  </si>
  <si>
    <t xml:space="preserve">rating-tables.md §6.1 (ISO 26262-5 §8-9): direct violation without mechanism = SPF; with mechanism = RF for (1-DC); multiple-point latent part = λ(1-DC latent); others safe. Non-safety-related elements not counted. Rows classify for the file's own goal; where another goal differs, 06b_Per_Goal_Rows gives that goal's classification</t>
  </si>
  <si>
    <t xml:space="preserve">Out of scope</t>
  </si>
  <si>
    <t xml:space="preserve">SoC and its software (QM; their faults are the first fault of a dual-point pair); Vehicle ECUs (EPS, PCM, stock camera): external measures; Relay stuck intercepting and watchdog: no effect on SG-001 (no torque without a valid frame); see the SG-009 FMEDA</t>
  </si>
  <si>
    <t xml:space="preserve">Element ID</t>
  </si>
  <si>
    <t xml:space="preserve">Name</t>
  </si>
  <si>
    <t xml:space="preserve">Ref. des.</t>
  </si>
  <si>
    <t xml:space="preserve">FIT</t>
  </si>
  <si>
    <t xml:space="preserve">Safety related</t>
  </si>
  <si>
    <t xml:space="preserve">DFMEA element</t>
  </si>
  <si>
    <t xml:space="preserve">Rate kind</t>
  </si>
  <si>
    <t xml:space="preserve">Handbook reference</t>
  </si>
  <si>
    <t xml:space="preserve">Ref. temp. (°C)</t>
  </si>
  <si>
    <t xml:space="preserve">Converted to mission profile</t>
  </si>
  <si>
    <t xml:space="preserve">Failure rate source</t>
  </si>
  <si>
    <t xml:space="preserve">Wire ends (wiring/wire-ends.tsv)</t>
  </si>
  <si>
    <t xml:space="preserve">FMD-C-001</t>
  </si>
  <si>
    <t xml:space="preserve">STM32H725 CPU core, bus matrix, interrupt controller and peripherals (digital logic, permanent and transient)</t>
  </si>
  <si>
    <t xml:space="preserve">U (STM32H725)</t>
  </si>
  <si>
    <t xml:space="preserve">Yes</t>
  </si>
  <si>
    <t xml:space="preserve">DFM-SE-002</t>
  </si>
  <si>
    <t xml:space="preserve">generic</t>
  </si>
  <si>
    <t xml:space="preserve">No</t>
  </si>
  <si>
    <t xml:space="preserve">Generic estimate, order of magnitude of handbook values (SN 29500 / IEC TR 62380 class) for this part type at the mission profile below; not looked up for the actual part. No BOM or supplier data available (WP-H-02 UK-02)</t>
  </si>
  <si>
    <t xml:space="preserve">FMD-C-002</t>
  </si>
  <si>
    <t xml:space="preserve">Embedded flash 1 MB (code and limit constants)</t>
  </si>
  <si>
    <t xml:space="preserve">block</t>
  </si>
  <si>
    <t xml:space="preserve">FMD-C-003</t>
  </si>
  <si>
    <t xml:space="preserve">SRAM regions holding safety state, limits copy and CAN queues (about 64 KB of 564 KB; soft errors dominate)</t>
  </si>
  <si>
    <t xml:space="preserve">FMD-C-004</t>
  </si>
  <si>
    <t xml:space="preserve">Clock: 25 MHz HSE crystal and PLL</t>
  </si>
  <si>
    <t xml:space="preserve">DFM-SE-003</t>
  </si>
  <si>
    <t xml:space="preserve">FMD-C-005</t>
  </si>
  <si>
    <t xml:space="preserve">MCU supply: board regulator and STM32H7 internal SMPS/LDO</t>
  </si>
  <si>
    <t xml:space="preserve">DFM-SE-004</t>
  </si>
  <si>
    <t xml:space="preserve">FMD-C-006</t>
  </si>
  <si>
    <t xml:space="preserve">Car-side CAN transceiver XCVR1</t>
  </si>
  <si>
    <t xml:space="preserve">DFM-SE-005</t>
  </si>
  <si>
    <t xml:space="preserve">FMD-C-007</t>
  </si>
  <si>
    <t xml:space="preserve">Intercept switch: 2 × DG419LE CMOS analog SPDT (harness box)</t>
  </si>
  <si>
    <t xml:space="preserve">U1, U2 (harness box)</t>
  </si>
  <si>
    <t xml:space="preserve">DFM-SE-006</t>
  </si>
  <si>
    <t xml:space="preserve">handbook</t>
  </si>
  <si>
    <t xml:space="preserve">SN 29500-2 Table 5, CMOS/BiCMOS analog and mixed-signal ICs (quoted from TI functional-safety reports; standard not read)</t>
  </si>
  <si>
    <t xml:space="preserve">SN 29500-2 reference value for CMOS/BiCMOS analog and mixed-signal ICs (Table 5, supply up to 50 V): 25 FIT per IC at a virtual junction temperature of 55 °C, as quoted in TI functional-safety FIT reports (TPS1663 SFFS110, LM73605 SFFS410, LMR36015-Q1 SNVA922); other TI reports (OPA991-Q1, TPS22965-Q1) quote 20 FIT, and the higher value is used. 2 × 25 FIT. Secondary source: the standard itself was not read (not reachable from the analysis environment), and no temperature or stress conversion to the mission profile is applied. Part number DG419LE from the harness box v3 drawing (RR-2026-010 HB-01); shipped parts unconfirmed (VS-HW-02)</t>
  </si>
  <si>
    <t xml:space="preserve">HB.U1.6-J3.A8, HB.U2.6-J3.A8, HB.J1.4-U1.2, HB.J1.6-U2.1, HB.J1.16-U1.1, HB.J1.18-U2.2</t>
  </si>
  <si>
    <t xml:space="preserve">FMD-C-008</t>
  </si>
  <si>
    <t xml:space="preserve">SBU1 pull-down: 2 × 120 Ω thick-film resistor in series</t>
  </si>
  <si>
    <t xml:space="preserve">R2, R3 (harness box)</t>
  </si>
  <si>
    <t xml:space="preserve">Generic estimate (SMD thick-film chip resistor, 2 × about 0.2 FIT). Part class known from the harness box v3 drawing (RR-2026-010 HB-02); maps to the SN 29500 passive-component class, but no reference value could be obtained (standard not reachable, 2026-10-16). Stays generic until the source is confirmed (WP-H-03 OI-2); shipped parts unconfirmed (VS-HW-02)</t>
  </si>
  <si>
    <t xml:space="preserve">HB.R2/R3.1-J3.A8</t>
  </si>
  <si>
    <t xml:space="preserve">Mechanism ID</t>
  </si>
  <si>
    <t xml:space="preserve">Description</t>
  </si>
  <si>
    <t xml:space="preserve">DC % (highest claimed)</t>
  </si>
  <si>
    <t xml:space="preserve">DC basis</t>
  </si>
  <si>
    <t xml:space="preserve">Requirement</t>
  </si>
  <si>
    <t xml:space="preserve">Implementation</t>
  </si>
  <si>
    <t xml:space="preserve">FMD-SM-001</t>
  </si>
  <si>
    <t xml:space="preserve">Flash ECC (single-error correction in silicon; corrected rea</t>
  </si>
  <si>
    <t xml:space="preserve">Flash ECC (single-error correction in silicon; corrected reads are transparent)</t>
  </si>
  <si>
    <t xml:space="preserve">ISO 26262-5 Annex D, Table D.6 (memory): ECC, high for single-bit faults</t>
  </si>
  <si>
    <t xml:space="preserve">STM32H7 flash ECC (RM0468); always on</t>
  </si>
  <si>
    <t xml:space="preserve">FMD-SM-002</t>
  </si>
  <si>
    <t xml:space="preserve">SRAM ECC (single-error correction in silicon); double errors</t>
  </si>
  <si>
    <t xml:space="preserve">SRAM ECC (single-error correction in silicon); double errors flagged but not handled at BL-002</t>
  </si>
  <si>
    <t xml:space="preserve">ISO 26262-5 Annex D, Table D.6: ECC, high for single-bit faults; double errors not credited</t>
  </si>
  <si>
    <t xml:space="preserve">TSR-503</t>
  </si>
  <si>
    <t xml:space="preserve">STM32H7 RAM ECC (RM0468); RAMECC monitors not configured</t>
  </si>
  <si>
    <t xml:space="preserve">FMD-SM-003</t>
  </si>
  <si>
    <t xml:space="preserve">Bootstub signature check of the application image at every p</t>
  </si>
  <si>
    <t xml:space="preserve">Bootstub signature check of the application image at every power-up</t>
  </si>
  <si>
    <t xml:space="preserve">Annex D, Table D.6: memory signature at start-up; credited for latent permanent faults only (once per drive cycle)</t>
  </si>
  <si>
    <t xml:space="preserve">panda/board/bootstub.c</t>
  </si>
  <si>
    <t xml:space="preserve">FMD-SM-004</t>
  </si>
  <si>
    <t xml:space="preserve">8-bit XOR over the TX packet checked before loading into the</t>
  </si>
  <si>
    <t xml:space="preserve">8-bit XOR over the TX packet checked before loading into the FDCAN FIFO</t>
  </si>
  <si>
    <t xml:space="preserve">Annex D, Table D.7 (communication): checksum, low; covers the software TX queue only</t>
  </si>
  <si>
    <t xml:space="preserve">TSR-517</t>
  </si>
  <si>
    <t xml:space="preserve">panda/board/drivers/fdcan.h:100</t>
  </si>
  <si>
    <t xml:space="preserve">FMD-SM-005</t>
  </si>
  <si>
    <t xml:space="preserve">Clock security system on HSE loss</t>
  </si>
  <si>
    <t xml:space="preserve">Clock security system on HSE loss: NMI and reset</t>
  </si>
  <si>
    <t xml:space="preserve">Annex D, Table D.9 (clock): CSS for clock loss, high for stop; does not detect drift</t>
  </si>
  <si>
    <t xml:space="preserve">TSR-504</t>
  </si>
  <si>
    <t xml:space="preserve">panda/board/stm32h7/clock.h</t>
  </si>
  <si>
    <t xml:space="preserve">FMD-SM-006</t>
  </si>
  <si>
    <t xml:space="preserve">Relay malfunction detection</t>
  </si>
  <si>
    <t xml:space="preserve">Relay malfunction detection: a stock camera control message seen on the car side blocks all TX (1 s grace after a mode change)</t>
  </si>
  <si>
    <t xml:space="preserve">Analysis: detects relay-not-intercepting before or within about 1-2 s of engagement; medium</t>
  </si>
  <si>
    <t xml:space="preserve">TSR-710</t>
  </si>
  <si>
    <t xml:space="preserve">opendbc_repo/opendbc/safety/safety.h</t>
  </si>
  <si>
    <t xml:space="preserve">FMD-SM-008</t>
  </si>
  <si>
    <t xml:space="preserve">CAN protocol CRC and per-message RX timeout (5 periods) on v</t>
  </si>
  <si>
    <t xml:space="preserve">CAN protocol CRC and per-message RX timeout (5 periods) on vehicle messages</t>
  </si>
  <si>
    <t xml:space="preserve">Annex D, Table D.7: CRC, high for transmission errors; RX timeout for loss</t>
  </si>
  <si>
    <t xml:space="preserve">TSR-401</t>
  </si>
  <si>
    <t xml:space="preserve">HW Element</t>
  </si>
  <si>
    <t xml:space="preserve">Part</t>
  </si>
  <si>
    <t xml:space="preserve">Element FIT</t>
  </si>
  <si>
    <t xml:space="preserve">Row ID</t>
  </si>
  <si>
    <t xml:space="preserve">Failure mode</t>
  </si>
  <si>
    <t xml:space="preserve">Distribution %</t>
  </si>
  <si>
    <t xml:space="preserve">Lambda (FIT)</t>
  </si>
  <si>
    <t xml:space="preserve">Violates SG directly</t>
  </si>
  <si>
    <t xml:space="preserve">MPF potential</t>
  </si>
  <si>
    <t xml:space="preserve">Safety mechanism</t>
  </si>
  <si>
    <t xml:space="preserve">DC %</t>
  </si>
  <si>
    <t xml:space="preserve">Coverage for</t>
  </si>
  <si>
    <t xml:space="preserve">Lambda S</t>
  </si>
  <si>
    <t xml:space="preserve">Lambda SPF</t>
  </si>
  <si>
    <t xml:space="preserve">Lambda RF</t>
  </si>
  <si>
    <t xml:space="preserve">Lambda MPF_L</t>
  </si>
  <si>
    <t xml:space="preserve">Classification</t>
  </si>
  <si>
    <t xml:space="preserve">DFMEA ref</t>
  </si>
  <si>
    <t xml:space="preserve">Other goals</t>
  </si>
  <si>
    <t xml:space="preserve">Notes</t>
  </si>
  <si>
    <t xml:space="preserve">FMD-001</t>
  </si>
  <si>
    <t xml:space="preserve">Wrong result of a limit or authority check (permanent or transient)</t>
  </si>
  <si>
    <t xml:space="preserve">DFM-001</t>
  </si>
  <si>
    <t xml:space="preserve">SG-05: Authority wrongly kept after the brake or cancel needs no second fault (FTA BE-5.02, WP-H-03 §6.4)</t>
  </si>
  <si>
    <t xml:space="preserve">Needs a SoC command outside the envelope as second fault. No CPU self-test, so fully latent. Also stands for SG-05 (FTA BE-5.02, DQ-362): a wrong authority check that keeps authority after the brake or cancel needs no second fault there, so for SG-05 it is effectively single-point; the classification here is for SG-001 only</t>
  </si>
  <si>
    <t xml:space="preserve">FMD-002</t>
  </si>
  <si>
    <t xml:space="preserve">Frame content altered after the TX check (data-path fault)</t>
  </si>
  <si>
    <t xml:space="preserve">single-point</t>
  </si>
  <si>
    <t xml:space="preserve">DFM-019</t>
  </si>
  <si>
    <t xml:space="preserve">Only the software-queue part is covered by the XOR; the FDCAN copy and message RAM are not (TSR-517). Also covers SG-04 (deceleration): 0x343 leaves through the same TX path as 0x2E4, so this row and its rates stand for FTA event BE-4.03 too (decision register DQ-002, 2026-10-14), and for SG-03 (unintended acceleration, FTA BE-3.04) by DQ-362 (2026-10-18)</t>
  </si>
  <si>
    <t xml:space="preserve">FMD-003</t>
  </si>
  <si>
    <t xml:space="preserve">Hang or unexpected exception (no TX)</t>
  </si>
  <si>
    <t xml:space="preserve">DFM-004</t>
  </si>
  <si>
    <t xml:space="preserve">Safe for SG-001: no LKA frames, the EPS times out (AOU-01). Relevant to SG-009. Not safe for SG-02/SG-06 (DQ-362): actuation stops, and the goal is violated if no warning follows; the warning comes from the host (controlsMismatch, TSR-621), not from the hung panda</t>
  </si>
  <si>
    <t xml:space="preserve">FMD-004</t>
  </si>
  <si>
    <t xml:space="preserve">Other faults without effect on the safety path</t>
  </si>
  <si>
    <t xml:space="preserve">FMD-005</t>
  </si>
  <si>
    <t xml:space="preserve">Single-bit error</t>
  </si>
  <si>
    <t xml:space="preserve">latent</t>
  </si>
  <si>
    <t xml:space="preserve">DFM-002</t>
  </si>
  <si>
    <t xml:space="preserve">Corrected by ECC; counted as multiple-point detected</t>
  </si>
  <si>
    <t xml:space="preserve">FMD-006</t>
  </si>
  <si>
    <t xml:space="preserve">Multi-bit error in limit constants or check code</t>
  </si>
  <si>
    <t xml:space="preserve">Needs a SoC command outside the wrong limit; boot signature finds permanent faults at the next power-up</t>
  </si>
  <si>
    <t xml:space="preserve">FMD-007</t>
  </si>
  <si>
    <t xml:space="preserve">Multi-bit error elsewhere (crash, hang)</t>
  </si>
  <si>
    <t xml:space="preserve">FMD-008</t>
  </si>
  <si>
    <t xml:space="preserve">Single-bit upset</t>
  </si>
  <si>
    <t xml:space="preserve">DFM-003</t>
  </si>
  <si>
    <t xml:space="preserve">Corrected by ECC</t>
  </si>
  <si>
    <t xml:space="preserve">FMD-009</t>
  </si>
  <si>
    <t xml:space="preserve">Multi-bit upset in authority or limit variables</t>
  </si>
  <si>
    <t xml:space="preserve">SG-05: A corrupted controls_allowed that stays true after the brake needs no second fault (FTA BE-5.02, WP-H-03 §6.4)</t>
  </si>
  <si>
    <t xml:space="preserve">Needs a SoC command outside the envelope or while not engaged; double-error flag not handled (latent). Also stands for SG-05 (FTA BE-5.02, DQ-362): a corrupted controls_allowed that stays true after the brake is effectively single-point there; the classification here is for SG-001 only</t>
  </si>
  <si>
    <t xml:space="preserve">FMD-010</t>
  </si>
  <si>
    <t xml:space="preserve">Multi-bit upset in the TX queue after the check</t>
  </si>
  <si>
    <t xml:space="preserve">Also covers SG-04 (deceleration), as FMD-002 (decision register DQ-002, 2026-10-14), and SG-03 (FTA BE-3.04, DQ-362)</t>
  </si>
  <si>
    <t xml:space="preserve">FMD-011</t>
  </si>
  <si>
    <t xml:space="preserve">Multi-bit upset elsewhere (stack, buffers: crash or dropped frame)</t>
  </si>
  <si>
    <t xml:space="preserve">FMD-012</t>
  </si>
  <si>
    <t xml:space="preserve">Oscillation stops</t>
  </si>
  <si>
    <t xml:space="preserve">DFM-005</t>
  </si>
  <si>
    <t xml:space="preserve">CSS reset; no frames</t>
  </si>
  <si>
    <t xml:space="preserve">FMD-013</t>
  </si>
  <si>
    <t xml:space="preserve">Frequency drift (all timeouts and rate windows scale)</t>
  </si>
  <si>
    <t xml:space="preserve">Rate limits are per frame and the EPS has its own limits; violation needs a second fault. No cross-check (TSR-504)</t>
  </si>
  <si>
    <t xml:space="preserve">FMD-014</t>
  </si>
  <si>
    <t xml:space="preserve">Loss of supply</t>
  </si>
  <si>
    <t xml:space="preserve">DFM-007</t>
  </si>
  <si>
    <t xml:space="preserve">MCU off, relay released. For SG-02/SG-06 (DQ-362) the loss itself is the hazard unless the host warns (FTA BE-2.07)</t>
  </si>
  <si>
    <t xml:space="preserve">FMD-015</t>
  </si>
  <si>
    <t xml:space="preserve">Under-voltage in the brown-out zone or over-voltage (erratic logic)</t>
  </si>
  <si>
    <t xml:space="preserve">Undefined behaviour while running; BOR level not set and PVD not enabled at BL-002 (TSR-505)</t>
  </si>
  <si>
    <t xml:space="preserve">FMD-016</t>
  </si>
  <si>
    <t xml:space="preserve">Ripple or noise</t>
  </si>
  <si>
    <t xml:space="preserve">FMD-017</t>
  </si>
  <si>
    <t xml:space="preserve">TX stuck dominant</t>
  </si>
  <si>
    <t xml:space="preserve">DFM-008</t>
  </si>
  <si>
    <t xml:space="preserve">Bus blocked: no LKA torque; SG-003 effect, not SG-001. For SG-02/SG-06 (DQ-362): actuation lost, warning from the host (FTA BE-2.06)</t>
  </si>
  <si>
    <t xml:space="preserve">FMD-018</t>
  </si>
  <si>
    <t xml:space="preserve">RX open or stuck recessive</t>
  </si>
  <si>
    <t xml:space="preserve">DFM-009</t>
  </si>
  <si>
    <t xml:space="preserve">RX timeout withdraws authority. For SG-02/SG-06 (DQ-362): actuation lost, warning from the host (FTA BE-6.02)</t>
  </si>
  <si>
    <t xml:space="preserve">FMD-019</t>
  </si>
  <si>
    <t xml:space="preserve">Bit errors on the line</t>
  </si>
  <si>
    <t xml:space="preserve">CAN CRC. Also stands for SG-03 (FTA BE-3.04, DQ-362)</t>
  </si>
  <si>
    <t xml:space="preserve">FMD-020</t>
  </si>
  <si>
    <t xml:space="preserve">Stuck in pass-through while driven (stock LKA and item commands both reach the EPS)</t>
  </si>
  <si>
    <t xml:space="preserve">DFM-011</t>
  </si>
  <si>
    <t xml:space="preserve">Usually detected after the mode change and before engagement; detection inside the FTTI while engaged is not shown</t>
  </si>
  <si>
    <t xml:space="preserve">FMD-021</t>
  </si>
  <si>
    <t xml:space="preserve">Stuck in intercept, or IN input damaged high</t>
  </si>
  <si>
    <t xml:space="preserve">DFM-010</t>
  </si>
  <si>
    <t xml:space="preserve">No effect on SG-001; see SG-009</t>
  </si>
  <si>
    <t xml:space="preserve">FMD-022</t>
  </si>
  <si>
    <t xml:space="preserve">Channel open, increased on-resistance, leakage or latch-up</t>
  </si>
  <si>
    <t xml:space="preserve">DFM-013</t>
  </si>
  <si>
    <t xml:space="preserve">RX timeouts and CAN errors</t>
  </si>
  <si>
    <t xml:space="preserve">FMD-023</t>
  </si>
  <si>
    <t xml:space="preserve">Short (SBU1 held low, so the switch cannot reach intercept)</t>
  </si>
  <si>
    <t xml:space="preserve">Same effect as FMD-020: stock path stays joined while driven</t>
  </si>
  <si>
    <t xml:space="preserve">FMD-024</t>
  </si>
  <si>
    <t xml:space="preserve">Open (IN floats when SBU1 is undriven)</t>
  </si>
  <si>
    <t xml:space="preserve">No effect on SG-001; latent for SG-009</t>
  </si>
  <si>
    <t xml:space="preserve">Goal</t>
  </si>
  <si>
    <t xml:space="preserve">Own SPF</t>
  </si>
  <si>
    <t xml:space="preserve">Own RF</t>
  </si>
  <si>
    <t xml:space="preserve">Own MPF_L</t>
  </si>
  <si>
    <t xml:space="preserve">Reason</t>
  </si>
  <si>
    <t xml:space="preserve">SG-05</t>
  </si>
  <si>
    <t xml:space="preserve">Authority wrongly kept after the brake or cancel needs no second fault (FTA BE-5.02, WP-H-03 §6.4)</t>
  </si>
  <si>
    <t xml:space="preserve">A corrupted controls_allowed that stays true after the brake needs no second fault (FTA BE-5.02, WP-H-03 §6.4)</t>
  </si>
  <si>
    <t xml:space="preserve">Safety goal</t>
  </si>
  <si>
    <t xml:space="preserve">ASIL</t>
  </si>
  <si>
    <t xml:space="preserve">Σ(λ_SPF + λ_RF) FIT</t>
  </si>
  <si>
    <t xml:space="preserve">Σ(λ_safety_related) FIT</t>
  </si>
  <si>
    <t xml:space="preserve">SPFM</t>
  </si>
  <si>
    <t xml:space="preserve">Target</t>
  </si>
  <si>
    <t xml:space="preserve">SG-01</t>
  </si>
  <si>
    <t xml:space="preserve">C</t>
  </si>
  <si>
    <t xml:space="preserve">B (alongside)</t>
  </si>
  <si>
    <t xml:space="preserve">SG-02</t>
  </si>
  <si>
    <t xml:space="preserve">SG-03</t>
  </si>
  <si>
    <t xml:space="preserve">SG-04</t>
  </si>
  <si>
    <t xml:space="preserve">B</t>
  </si>
  <si>
    <t xml:space="preserve">SG-06</t>
  </si>
  <si>
    <t xml:space="preserve">Σ(λ_MPF_L) FIT</t>
  </si>
  <si>
    <t xml:space="preserve">Σλ − Σ(λ_SPF + λ_RF) FIT</t>
  </si>
  <si>
    <t xml:space="preserve">LFM</t>
  </si>
  <si>
    <t xml:space="preserve">λ_SPF + λ_RF (FIT)</t>
  </si>
  <si>
    <t xml:space="preserve">Target (FIT, below)</t>
  </si>
  <si>
    <t xml:space="preserve">Note</t>
  </si>
  <si>
    <t xml:space="preserve">Single-point and residual part only; the dual-point term (λ_MPF_L × exposure) is not included</t>
  </si>
  <si>
    <t xml:space="preserve">Metrics per goal (FMEDA — SG-001 lateral (panda safety path), generic failure rates); generic failure rates, not evidence of compliance</t>
  </si>
  <si>
    <t xml:space="preserve">SPFM target</t>
  </si>
  <si>
    <t xml:space="preserve">LFM target</t>
  </si>
  <si>
    <t xml:space="preserve">PMHF target (FIT)</t>
  </si>
  <si>
    <t xml:space="preserve">Total FIT (safety related)</t>
  </si>
  <si>
    <t xml:space="preserve">Item</t>
  </si>
  <si>
    <t xml:space="preserve">OI-1</t>
  </si>
  <si>
    <t xml:space="preserve">FMD-001 (FMD-C-001): latent fault without coverage: Wrong result of a limit or authority check (permanent or transient)</t>
  </si>
  <si>
    <t xml:space="preserve">Open</t>
  </si>
  <si>
    <t xml:space="preserve">OI-2</t>
  </si>
  <si>
    <t xml:space="preserve">FMD-001 (FMD-C-001): single-point fault for SG-05 without a safety mechanism: Wrong result of a limit or authority check (permanent or transient)</t>
  </si>
  <si>
    <t xml:space="preserve">OI-3</t>
  </si>
  <si>
    <t xml:space="preserve">FMD-009 (FMD-C-003): latent fault without coverage: Multi-bit upset in authority or limit variables</t>
  </si>
  <si>
    <t xml:space="preserve">OI-4</t>
  </si>
  <si>
    <t xml:space="preserve">FMD-009 (FMD-C-003): single-point fault for SG-05 without a safety mechanism: Multi-bit upset in authority or limit variables</t>
  </si>
  <si>
    <t xml:space="preserve">OI-5</t>
  </si>
  <si>
    <t xml:space="preserve">FMD-013 (FMD-C-004): latent fault without coverage: Frequency drift (all timeouts and rate windows scale)</t>
  </si>
  <si>
    <t xml:space="preserve">OI-6</t>
  </si>
  <si>
    <t xml:space="preserve">FMD-015 (FMD-C-005): single-point fault without a safety mechanism: Under-voltage in the brown-out zone or over-voltage (erratic logic)</t>
  </si>
  <si>
    <t xml:space="preserve">OI-7</t>
  </si>
  <si>
    <t xml:space="preserve">FMD-016 (FMD-C-005): latent fault without coverage: Ripple or noise</t>
  </si>
  <si>
    <t xml:space="preserve">OI-8</t>
  </si>
  <si>
    <t xml:space="preserve">7 of 8 failure rates are generic estimates: replace with handbook or supplier values per part (WP-H-03 §2.3, OI-10)</t>
  </si>
  <si>
    <t xml:space="preserve">OI-9</t>
  </si>
  <si>
    <t xml:space="preserve">No rate is converted to the mission profile (IEC 61709)</t>
  </si>
  <si>
    <t xml:space="preserve">OI-10</t>
  </si>
  <si>
    <t xml:space="preserve">Dual-point PMHF term not computed</t>
  </si>
  <si>
    <t xml:space="preserve">Reference</t>
  </si>
  <si>
    <t xml:space="preserve">Use</t>
  </si>
  <si>
    <t xml:space="preserve">assurance/04-hardware/WP-H-02-hardware-design.md</t>
  </si>
  <si>
    <t xml:space="preserve">Basis</t>
  </si>
  <si>
    <t xml:space="preserve">assurance/04-hardware/WP-H-03-hardware-safety-analysis-fmeda.md</t>
  </si>
  <si>
    <t xml:space="preserve">assurance/08-analyses/fmea/analyses/dfmea.yaml</t>
  </si>
  <si>
    <t xml:space="preserve">assurance/08-analyses/fmea/rating-tables.md</t>
  </si>
  <si>
    <t xml:space="preserve">ISO 26262-5:2018 §8-9 and Annex D; ISO 26262-11:2018 §4.6 (semiconductors)</t>
  </si>
  <si>
    <t xml:space="preserve">assurance/08-analyses/fmea/analyses/fmeda-sg001.yaml</t>
  </si>
  <si>
    <t xml:space="preserve">Source of truth</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</si>
</sst>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8"/>
    <col collapsed="false" customWidth="true" hidden="false" outlineLevel="0" max="3" min="3" style="0" width="110"/>
  </cols>
  <sheetData>
    <row r="1" customFormat="false" ht="17.35" hidden="false" customHeight="false" outlineLevel="0" collapsed="false">
      <c r="A1" s="1" t="s">
        <v>0</v>
      </c>
    </row>
    <row r="3" customFormat="false" ht="15" hidden="false" customHeight="false" outlineLevel="0" collapsed="false">
      <c r="B3" s="2" t="s">
        <v>1</v>
      </c>
      <c r="C3" s="3" t="s">
        <v>2</v>
      </c>
    </row>
    <row r="4" customFormat="false" ht="15" hidden="false" customHeight="false" outlineLevel="0" collapsed="false">
      <c r="B4" s="2" t="s">
        <v>3</v>
      </c>
      <c r="C4" s="3" t="s">
        <v>4</v>
      </c>
    </row>
    <row r="5" customFormat="false" ht="15" hidden="false" customHeight="false" outlineLevel="0" collapsed="false">
      <c r="B5" s="2" t="s">
        <v>5</v>
      </c>
      <c r="C5" s="3" t="s">
        <v>6</v>
      </c>
    </row>
    <row r="6" customFormat="false" ht="15" hidden="false" customHeight="false" outlineLevel="0" collapsed="false">
      <c r="B6" s="2" t="s">
        <v>7</v>
      </c>
      <c r="C6" s="3" t="s">
        <v>8</v>
      </c>
    </row>
    <row r="7" customFormat="false" ht="15" hidden="false" customHeight="false" outlineLevel="0" collapsed="false">
      <c r="B7" s="2" t="s">
        <v>9</v>
      </c>
      <c r="C7" s="3" t="s">
        <v>10</v>
      </c>
    </row>
    <row r="8" customFormat="false" ht="15" hidden="false" customHeight="false" outlineLevel="0" collapsed="false">
      <c r="B8" s="2" t="s">
        <v>11</v>
      </c>
      <c r="C8" s="3" t="s">
        <v>12</v>
      </c>
    </row>
    <row r="9" customFormat="false" ht="15" hidden="false" customHeight="false" outlineLevel="0" collapsed="false">
      <c r="B9" s="2" t="s">
        <v>13</v>
      </c>
      <c r="C9" s="3" t="s">
        <v>14</v>
      </c>
    </row>
    <row r="10" customFormat="false" ht="15" hidden="false" customHeight="false" outlineLevel="0" collapsed="false">
      <c r="B10" s="2" t="s">
        <v>15</v>
      </c>
      <c r="C10" s="3" t="s">
        <v>16</v>
      </c>
    </row>
    <row r="11" customFormat="false" ht="15" hidden="false" customHeight="false" outlineLevel="0" collapsed="false">
      <c r="B11" s="2" t="s">
        <v>17</v>
      </c>
      <c r="C11" s="3" t="s">
        <v>18</v>
      </c>
    </row>
    <row r="12" customFormat="false" ht="15" hidden="false" customHeight="false" outlineLevel="0" collapsed="false">
      <c r="B12" s="2" t="s">
        <v>19</v>
      </c>
      <c r="C12" s="3" t="s">
        <v>20</v>
      </c>
    </row>
    <row r="13" customFormat="false" ht="55.2" hidden="false" customHeight="false" outlineLevel="0" collapsed="false">
      <c r="B13" s="2" t="s">
        <v>21</v>
      </c>
      <c r="C13"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4" style="0" width="100"/>
  </cols>
  <sheetData>
    <row r="1" customFormat="false" ht="15" hidden="false" customHeight="false" outlineLevel="0" collapsed="false">
      <c r="A1" s="4" t="s">
        <v>5</v>
      </c>
      <c r="B1" s="4" t="s">
        <v>23</v>
      </c>
      <c r="C1" s="4" t="s">
        <v>15</v>
      </c>
      <c r="D1" s="4" t="s">
        <v>24</v>
      </c>
    </row>
    <row r="2" customFormat="false" ht="55.2" hidden="false" customHeight="false" outlineLevel="0" collapsed="false">
      <c r="A2" s="3" t="s">
        <v>25</v>
      </c>
      <c r="B2" s="3" t="s">
        <v>26</v>
      </c>
      <c r="C2" s="3" t="s">
        <v>16</v>
      </c>
      <c r="D2" s="3" t="s">
        <v>27</v>
      </c>
    </row>
    <row r="3" customFormat="false" ht="55.2" hidden="false" customHeight="false" outlineLevel="0" collapsed="false">
      <c r="A3" s="3" t="s">
        <v>28</v>
      </c>
      <c r="B3" s="3" t="s">
        <v>29</v>
      </c>
      <c r="C3" s="3" t="s">
        <v>16</v>
      </c>
      <c r="D3" s="3" t="s">
        <v>30</v>
      </c>
    </row>
    <row r="4" customFormat="false" ht="55.2" hidden="false" customHeight="false" outlineLevel="0" collapsed="false">
      <c r="A4" s="3" t="s">
        <v>31</v>
      </c>
      <c r="B4" s="3" t="s">
        <v>32</v>
      </c>
      <c r="C4" s="3" t="s">
        <v>16</v>
      </c>
      <c r="D4" s="3" t="s">
        <v>33</v>
      </c>
    </row>
    <row r="5" customFormat="false" ht="55.2" hidden="false" customHeight="false" outlineLevel="0" collapsed="false">
      <c r="A5" s="3" t="s">
        <v>34</v>
      </c>
      <c r="B5" s="3" t="s">
        <v>35</v>
      </c>
      <c r="C5" s="3" t="s">
        <v>16</v>
      </c>
      <c r="D5" s="3" t="s">
        <v>36</v>
      </c>
    </row>
    <row r="6" customFormat="false" ht="55.2" hidden="false" customHeight="false" outlineLevel="0" collapsed="false">
      <c r="A6" s="3" t="s">
        <v>37</v>
      </c>
      <c r="B6" s="3" t="s">
        <v>38</v>
      </c>
      <c r="C6" s="3" t="s">
        <v>16</v>
      </c>
      <c r="D6" s="3" t="s">
        <v>39</v>
      </c>
    </row>
    <row r="7" customFormat="false" ht="55.2" hidden="false" customHeight="false" outlineLevel="0" collapsed="false">
      <c r="A7" s="3" t="s">
        <v>40</v>
      </c>
      <c r="B7" s="3" t="s">
        <v>41</v>
      </c>
      <c r="C7" s="3" t="s">
        <v>16</v>
      </c>
      <c r="D7" s="3" t="s">
        <v>42</v>
      </c>
    </row>
    <row r="8" customFormat="false" ht="55.2" hidden="false" customHeight="false" outlineLevel="0" collapsed="false">
      <c r="A8" s="3" t="s">
        <v>6</v>
      </c>
      <c r="B8" s="3" t="s">
        <v>41</v>
      </c>
      <c r="C8" s="3" t="s">
        <v>16</v>
      </c>
      <c r="D8" s="3"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8"/>
    <col collapsed="false" customWidth="true" hidden="false" outlineLevel="0" max="3" min="3" style="0" width="110"/>
  </cols>
  <sheetData>
    <row r="1" customFormat="false" ht="41.75" hidden="false" customHeight="false" outlineLevel="0" collapsed="false">
      <c r="B1" s="2" t="s">
        <v>44</v>
      </c>
      <c r="C1" s="3" t="s">
        <v>45</v>
      </c>
    </row>
    <row r="2" customFormat="false" ht="28.35" hidden="false" customHeight="false" outlineLevel="0" collapsed="false">
      <c r="B2" s="2" t="s">
        <v>46</v>
      </c>
      <c r="C2" s="3" t="s">
        <v>47</v>
      </c>
    </row>
    <row r="3" customFormat="false" ht="15" hidden="false" customHeight="false" outlineLevel="0" collapsed="false">
      <c r="B3" s="2" t="s">
        <v>48</v>
      </c>
      <c r="C3" s="3" t="s">
        <v>49</v>
      </c>
    </row>
    <row r="4" customFormat="false" ht="41.75" hidden="false" customHeight="false" outlineLevel="0" collapsed="false">
      <c r="B4" s="2" t="s">
        <v>50</v>
      </c>
      <c r="C4" s="3" t="s">
        <v>51</v>
      </c>
    </row>
    <row r="5" customFormat="false" ht="28.35" hidden="false" customHeight="false" outlineLevel="0" collapsed="false">
      <c r="B5" s="2" t="s">
        <v>52</v>
      </c>
      <c r="C5" s="3"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18"/>
    <col collapsed="false" customWidth="true" hidden="false" outlineLevel="0" max="4" min="4" style="0" width="8"/>
    <col collapsed="false" customWidth="true" hidden="false" outlineLevel="0" max="5" min="5" style="0" width="10"/>
    <col collapsed="false" customWidth="true" hidden="false" outlineLevel="0" max="6" min="6" style="0" width="14"/>
    <col collapsed="false" customWidth="true" hidden="false" outlineLevel="0" max="7" min="7" style="0" width="11"/>
    <col collapsed="false" customWidth="true" hidden="false" outlineLevel="0" max="8" min="8" style="0" width="36"/>
    <col collapsed="false" customWidth="true" hidden="false" outlineLevel="0" max="9" min="9" style="0" width="10"/>
    <col collapsed="false" customWidth="true" hidden="false" outlineLevel="0" max="10" min="10" style="0" width="12"/>
    <col collapsed="false" customWidth="true" hidden="false" outlineLevel="0" max="11" min="11" style="0" width="70"/>
    <col collapsed="false" customWidth="true" hidden="false" outlineLevel="0" max="12" min="12" style="0" width="40"/>
  </cols>
  <sheetData>
    <row r="1" customFormat="false" ht="41.75" hidden="false" customHeight="false" outlineLevel="0" collapsed="false">
      <c r="A1" s="4" t="s">
        <v>54</v>
      </c>
      <c r="B1" s="4" t="s">
        <v>55</v>
      </c>
      <c r="C1" s="4" t="s">
        <v>56</v>
      </c>
      <c r="D1" s="4" t="s">
        <v>57</v>
      </c>
      <c r="E1" s="4" t="s">
        <v>58</v>
      </c>
      <c r="F1" s="4" t="s">
        <v>59</v>
      </c>
      <c r="G1" s="4" t="s">
        <v>60</v>
      </c>
      <c r="H1" s="4" t="s">
        <v>61</v>
      </c>
      <c r="I1" s="4" t="s">
        <v>62</v>
      </c>
      <c r="J1" s="4" t="s">
        <v>63</v>
      </c>
      <c r="K1" s="4" t="s">
        <v>64</v>
      </c>
      <c r="L1" s="4" t="s">
        <v>65</v>
      </c>
    </row>
    <row r="2" customFormat="false" ht="41.75" hidden="false" customHeight="false" outlineLevel="0" collapsed="false">
      <c r="A2" s="3" t="s">
        <v>66</v>
      </c>
      <c r="B2" s="3" t="s">
        <v>67</v>
      </c>
      <c r="C2" s="3" t="s">
        <v>68</v>
      </c>
      <c r="D2" s="3" t="n">
        <v>50</v>
      </c>
      <c r="E2" s="3" t="s">
        <v>69</v>
      </c>
      <c r="F2" s="3" t="s">
        <v>70</v>
      </c>
      <c r="G2" s="3" t="s">
        <v>71</v>
      </c>
      <c r="H2" s="3"/>
      <c r="I2" s="3"/>
      <c r="J2" s="3" t="s">
        <v>72</v>
      </c>
      <c r="K2" s="3" t="s">
        <v>73</v>
      </c>
      <c r="L2" s="3"/>
    </row>
    <row r="3" customFormat="false" ht="41.75" hidden="false" customHeight="false" outlineLevel="0" collapsed="false">
      <c r="A3" s="3" t="s">
        <v>74</v>
      </c>
      <c r="B3" s="3" t="s">
        <v>75</v>
      </c>
      <c r="C3" s="3" t="s">
        <v>76</v>
      </c>
      <c r="D3" s="3" t="n">
        <v>20</v>
      </c>
      <c r="E3" s="3" t="s">
        <v>69</v>
      </c>
      <c r="F3" s="3" t="s">
        <v>70</v>
      </c>
      <c r="G3" s="3" t="s">
        <v>71</v>
      </c>
      <c r="H3" s="3"/>
      <c r="I3" s="3"/>
      <c r="J3" s="3" t="s">
        <v>72</v>
      </c>
      <c r="K3" s="3" t="s">
        <v>73</v>
      </c>
      <c r="L3" s="3"/>
    </row>
    <row r="4" customFormat="false" ht="41.75" hidden="false" customHeight="false" outlineLevel="0" collapsed="false">
      <c r="A4" s="3" t="s">
        <v>77</v>
      </c>
      <c r="B4" s="3" t="s">
        <v>78</v>
      </c>
      <c r="C4" s="3" t="s">
        <v>76</v>
      </c>
      <c r="D4" s="3" t="n">
        <v>100</v>
      </c>
      <c r="E4" s="3" t="s">
        <v>69</v>
      </c>
      <c r="F4" s="3" t="s">
        <v>70</v>
      </c>
      <c r="G4" s="3" t="s">
        <v>71</v>
      </c>
      <c r="H4" s="3"/>
      <c r="I4" s="3"/>
      <c r="J4" s="3" t="s">
        <v>72</v>
      </c>
      <c r="K4" s="3" t="s">
        <v>73</v>
      </c>
      <c r="L4" s="3"/>
    </row>
    <row r="5" customFormat="false" ht="41.75" hidden="false" customHeight="false" outlineLevel="0" collapsed="false">
      <c r="A5" s="3" t="s">
        <v>79</v>
      </c>
      <c r="B5" s="3" t="s">
        <v>80</v>
      </c>
      <c r="C5" s="3" t="s">
        <v>76</v>
      </c>
      <c r="D5" s="3" t="n">
        <v>10</v>
      </c>
      <c r="E5" s="3" t="s">
        <v>69</v>
      </c>
      <c r="F5" s="3" t="s">
        <v>81</v>
      </c>
      <c r="G5" s="3" t="s">
        <v>71</v>
      </c>
      <c r="H5" s="3"/>
      <c r="I5" s="3"/>
      <c r="J5" s="3" t="s">
        <v>72</v>
      </c>
      <c r="K5" s="3" t="s">
        <v>73</v>
      </c>
      <c r="L5" s="3"/>
    </row>
    <row r="6" customFormat="false" ht="41.75" hidden="false" customHeight="false" outlineLevel="0" collapsed="false">
      <c r="A6" s="3" t="s">
        <v>82</v>
      </c>
      <c r="B6" s="3" t="s">
        <v>83</v>
      </c>
      <c r="C6" s="3" t="s">
        <v>76</v>
      </c>
      <c r="D6" s="3" t="n">
        <v>15</v>
      </c>
      <c r="E6" s="3" t="s">
        <v>69</v>
      </c>
      <c r="F6" s="3" t="s">
        <v>84</v>
      </c>
      <c r="G6" s="3" t="s">
        <v>71</v>
      </c>
      <c r="H6" s="3"/>
      <c r="I6" s="3"/>
      <c r="J6" s="3" t="s">
        <v>72</v>
      </c>
      <c r="K6" s="3" t="s">
        <v>73</v>
      </c>
      <c r="L6" s="3"/>
    </row>
    <row r="7" customFormat="false" ht="41.75" hidden="false" customHeight="false" outlineLevel="0" collapsed="false">
      <c r="A7" s="3" t="s">
        <v>85</v>
      </c>
      <c r="B7" s="3" t="s">
        <v>86</v>
      </c>
      <c r="C7" s="3" t="s">
        <v>76</v>
      </c>
      <c r="D7" s="3" t="n">
        <v>10</v>
      </c>
      <c r="E7" s="3" t="s">
        <v>69</v>
      </c>
      <c r="F7" s="3" t="s">
        <v>87</v>
      </c>
      <c r="G7" s="3" t="s">
        <v>71</v>
      </c>
      <c r="H7" s="3"/>
      <c r="I7" s="3"/>
      <c r="J7" s="3" t="s">
        <v>72</v>
      </c>
      <c r="K7" s="3" t="s">
        <v>73</v>
      </c>
      <c r="L7" s="3"/>
    </row>
    <row r="8" customFormat="false" ht="122.35" hidden="false" customHeight="false" outlineLevel="0" collapsed="false">
      <c r="A8" s="3" t="s">
        <v>88</v>
      </c>
      <c r="B8" s="3" t="s">
        <v>89</v>
      </c>
      <c r="C8" s="3" t="s">
        <v>90</v>
      </c>
      <c r="D8" s="3" t="n">
        <v>50</v>
      </c>
      <c r="E8" s="3" t="s">
        <v>69</v>
      </c>
      <c r="F8" s="3" t="s">
        <v>91</v>
      </c>
      <c r="G8" s="3" t="s">
        <v>92</v>
      </c>
      <c r="H8" s="3" t="s">
        <v>93</v>
      </c>
      <c r="I8" s="3" t="n">
        <v>55</v>
      </c>
      <c r="J8" s="3" t="s">
        <v>72</v>
      </c>
      <c r="K8" s="3" t="s">
        <v>94</v>
      </c>
      <c r="L8" s="3" t="s">
        <v>95</v>
      </c>
    </row>
    <row r="9" customFormat="false" ht="68.65" hidden="false" customHeight="false" outlineLevel="0" collapsed="false">
      <c r="A9" s="3" t="s">
        <v>96</v>
      </c>
      <c r="B9" s="3" t="s">
        <v>97</v>
      </c>
      <c r="C9" s="3" t="s">
        <v>98</v>
      </c>
      <c r="D9" s="3" t="n">
        <v>0.4</v>
      </c>
      <c r="E9" s="3" t="s">
        <v>69</v>
      </c>
      <c r="F9" s="3" t="s">
        <v>91</v>
      </c>
      <c r="G9" s="3" t="s">
        <v>71</v>
      </c>
      <c r="H9" s="3"/>
      <c r="I9" s="3"/>
      <c r="J9" s="3" t="s">
        <v>72</v>
      </c>
      <c r="K9" s="3" t="s">
        <v>99</v>
      </c>
      <c r="L9" s="3"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70"/>
    <col collapsed="false" customWidth="true" hidden="false" outlineLevel="0" max="4" min="4" style="0" width="12"/>
    <col collapsed="false" customWidth="true" hidden="false" outlineLevel="0" max="5" min="5" style="0" width="70"/>
    <col collapsed="false" customWidth="true" hidden="false" outlineLevel="0" max="6" min="6" style="0" width="12"/>
    <col collapsed="false" customWidth="true" hidden="false" outlineLevel="0" max="7" min="7" style="0" width="40"/>
  </cols>
  <sheetData>
    <row r="1" customFormat="false" ht="41.75" hidden="false" customHeight="false" outlineLevel="0" collapsed="false">
      <c r="A1" s="4" t="s">
        <v>101</v>
      </c>
      <c r="B1" s="4" t="s">
        <v>55</v>
      </c>
      <c r="C1" s="4" t="s">
        <v>102</v>
      </c>
      <c r="D1" s="4" t="s">
        <v>103</v>
      </c>
      <c r="E1" s="4" t="s">
        <v>104</v>
      </c>
      <c r="F1" s="4" t="s">
        <v>105</v>
      </c>
      <c r="G1" s="4" t="s">
        <v>106</v>
      </c>
    </row>
    <row r="2" customFormat="false" ht="28.35" hidden="false" customHeight="false" outlineLevel="0" collapsed="false">
      <c r="A2" s="3" t="s">
        <v>107</v>
      </c>
      <c r="B2" s="3" t="s">
        <v>108</v>
      </c>
      <c r="C2" s="3" t="s">
        <v>109</v>
      </c>
      <c r="D2" s="3" t="n">
        <v>99</v>
      </c>
      <c r="E2" s="3" t="s">
        <v>110</v>
      </c>
      <c r="F2" s="3"/>
      <c r="G2" s="3" t="s">
        <v>111</v>
      </c>
    </row>
    <row r="3" customFormat="false" ht="28.35" hidden="false" customHeight="false" outlineLevel="0" collapsed="false">
      <c r="A3" s="3" t="s">
        <v>112</v>
      </c>
      <c r="B3" s="3" t="s">
        <v>113</v>
      </c>
      <c r="C3" s="3" t="s">
        <v>114</v>
      </c>
      <c r="D3" s="3" t="n">
        <v>99</v>
      </c>
      <c r="E3" s="3" t="s">
        <v>115</v>
      </c>
      <c r="F3" s="3" t="s">
        <v>116</v>
      </c>
      <c r="G3" s="3" t="s">
        <v>117</v>
      </c>
    </row>
    <row r="4" customFormat="false" ht="28.35" hidden="false" customHeight="false" outlineLevel="0" collapsed="false">
      <c r="A4" s="3" t="s">
        <v>118</v>
      </c>
      <c r="B4" s="3" t="s">
        <v>119</v>
      </c>
      <c r="C4" s="3" t="s">
        <v>120</v>
      </c>
      <c r="D4" s="3" t="n">
        <v>90</v>
      </c>
      <c r="E4" s="3" t="s">
        <v>121</v>
      </c>
      <c r="F4" s="3"/>
      <c r="G4" s="3" t="s">
        <v>122</v>
      </c>
    </row>
    <row r="5" customFormat="false" ht="28.35" hidden="false" customHeight="false" outlineLevel="0" collapsed="false">
      <c r="A5" s="3" t="s">
        <v>123</v>
      </c>
      <c r="B5" s="3" t="s">
        <v>124</v>
      </c>
      <c r="C5" s="3" t="s">
        <v>125</v>
      </c>
      <c r="D5" s="3" t="n">
        <v>60</v>
      </c>
      <c r="E5" s="3" t="s">
        <v>126</v>
      </c>
      <c r="F5" s="3" t="s">
        <v>127</v>
      </c>
      <c r="G5" s="3" t="s">
        <v>128</v>
      </c>
    </row>
    <row r="6" customFormat="false" ht="15" hidden="false" customHeight="false" outlineLevel="0" collapsed="false">
      <c r="A6" s="3" t="s">
        <v>129</v>
      </c>
      <c r="B6" s="3" t="s">
        <v>130</v>
      </c>
      <c r="C6" s="3" t="s">
        <v>131</v>
      </c>
      <c r="D6" s="3" t="n">
        <v>99</v>
      </c>
      <c r="E6" s="3" t="s">
        <v>132</v>
      </c>
      <c r="F6" s="3" t="s">
        <v>133</v>
      </c>
      <c r="G6" s="3" t="s">
        <v>134</v>
      </c>
    </row>
    <row r="7" customFormat="false" ht="28.35" hidden="false" customHeight="false" outlineLevel="0" collapsed="false">
      <c r="A7" s="3" t="s">
        <v>135</v>
      </c>
      <c r="B7" s="3" t="s">
        <v>136</v>
      </c>
      <c r="C7" s="3" t="s">
        <v>137</v>
      </c>
      <c r="D7" s="3" t="n">
        <v>90</v>
      </c>
      <c r="E7" s="3" t="s">
        <v>138</v>
      </c>
      <c r="F7" s="3" t="s">
        <v>139</v>
      </c>
      <c r="G7" s="3" t="s">
        <v>140</v>
      </c>
    </row>
    <row r="8" customFormat="false" ht="28.35" hidden="false" customHeight="false" outlineLevel="0" collapsed="false">
      <c r="A8" s="3" t="s">
        <v>141</v>
      </c>
      <c r="B8" s="3" t="s">
        <v>142</v>
      </c>
      <c r="C8" s="3" t="s">
        <v>143</v>
      </c>
      <c r="D8" s="3" t="n">
        <v>99</v>
      </c>
      <c r="E8" s="3" t="s">
        <v>144</v>
      </c>
      <c r="F8" s="3" t="s">
        <v>145</v>
      </c>
      <c r="G8" s="3"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2" style="0" width="34"/>
    <col collapsed="false" customWidth="true" hidden="false" outlineLevel="0" max="6" min="6" style="0" width="46"/>
    <col collapsed="false" customWidth="true" hidden="false" outlineLevel="0" max="18" min="18" style="0" width="14"/>
    <col collapsed="false" customWidth="true" hidden="false" outlineLevel="0" max="20" min="20" style="0" width="40"/>
    <col collapsed="false" customWidth="true" hidden="false" outlineLevel="0" max="21" min="21" style="0" width="60"/>
  </cols>
  <sheetData>
    <row r="1" customFormat="false" ht="41.75" hidden="false" customHeight="false" outlineLevel="0" collapsed="false">
      <c r="A1" s="4" t="s">
        <v>146</v>
      </c>
      <c r="B1" s="4" t="s">
        <v>147</v>
      </c>
      <c r="C1" s="4" t="s">
        <v>148</v>
      </c>
      <c r="D1" s="4" t="s">
        <v>58</v>
      </c>
      <c r="E1" s="4" t="s">
        <v>149</v>
      </c>
      <c r="F1" s="4" t="s">
        <v>150</v>
      </c>
      <c r="G1" s="4" t="s">
        <v>151</v>
      </c>
      <c r="H1" s="4" t="s">
        <v>152</v>
      </c>
      <c r="I1" s="4" t="s">
        <v>153</v>
      </c>
      <c r="J1" s="4" t="s">
        <v>154</v>
      </c>
      <c r="K1" s="4" t="s">
        <v>155</v>
      </c>
      <c r="L1" s="4" t="s">
        <v>156</v>
      </c>
      <c r="M1" s="4" t="s">
        <v>157</v>
      </c>
      <c r="N1" s="4" t="s">
        <v>158</v>
      </c>
      <c r="O1" s="4" t="s">
        <v>159</v>
      </c>
      <c r="P1" s="4" t="s">
        <v>160</v>
      </c>
      <c r="Q1" s="4" t="s">
        <v>161</v>
      </c>
      <c r="R1" s="4" t="s">
        <v>162</v>
      </c>
      <c r="S1" s="4" t="s">
        <v>163</v>
      </c>
      <c r="T1" s="4" t="s">
        <v>164</v>
      </c>
      <c r="U1" s="4" t="s">
        <v>165</v>
      </c>
    </row>
    <row r="2" customFormat="false" ht="68.65" hidden="false" customHeight="false" outlineLevel="0" collapsed="false">
      <c r="A2" s="3" t="s">
        <v>66</v>
      </c>
      <c r="B2" s="3" t="s">
        <v>67</v>
      </c>
      <c r="C2" s="3" t="n">
        <v>50</v>
      </c>
      <c r="D2" s="3" t="s">
        <v>69</v>
      </c>
      <c r="E2" s="3" t="s">
        <v>166</v>
      </c>
      <c r="F2" s="3" t="s">
        <v>167</v>
      </c>
      <c r="G2" s="3" t="n">
        <v>25</v>
      </c>
      <c r="H2" s="3" t="n">
        <f aca="false">C2*G2/100</f>
        <v>12.5</v>
      </c>
      <c r="I2" s="3" t="s">
        <v>72</v>
      </c>
      <c r="J2" s="3" t="s">
        <v>69</v>
      </c>
      <c r="K2" s="3"/>
      <c r="L2" s="3" t="n">
        <v>0</v>
      </c>
      <c r="M2" s="3"/>
      <c r="N2" s="3" t="n">
        <f aca="false">IF(D2="No",0,IF(AND(I2="No",J2="No"),H2,0))</f>
        <v>0</v>
      </c>
      <c r="O2" s="3" t="n">
        <f aca="false">IF(D2="No",0,IF(AND(I2="Yes",L2=0),H2,0))</f>
        <v>0</v>
      </c>
      <c r="P2" s="3" t="n">
        <f aca="false">IF(D2="No",0,IF(AND(I2="Yes",L2&gt;0),H2*(1-L2/100),0))</f>
        <v>0</v>
      </c>
      <c r="Q2" s="3" t="n">
        <f aca="false">IF(D2="No",0,IF(AND(I2="No",J2="Yes"),H2*(1-L2/100),0))</f>
        <v>12.5</v>
      </c>
      <c r="R2" s="3" t="str">
        <f aca="false">IF(D2="No","Safe",IF(I2="Yes",IF(L2=0,"SPF","RF"),IF(J2="Yes",IF(L2=0,"MPF_L","MPF_D"),"Safe")))</f>
        <v>MPF_L</v>
      </c>
      <c r="S2" s="3" t="s">
        <v>168</v>
      </c>
      <c r="T2" s="3" t="s">
        <v>169</v>
      </c>
      <c r="U2" s="3" t="s">
        <v>170</v>
      </c>
    </row>
    <row r="3" customFormat="false" ht="82.05" hidden="false" customHeight="false" outlineLevel="0" collapsed="false">
      <c r="A3" s="3" t="s">
        <v>66</v>
      </c>
      <c r="B3" s="3" t="s">
        <v>67</v>
      </c>
      <c r="C3" s="3" t="n">
        <v>50</v>
      </c>
      <c r="D3" s="3" t="s">
        <v>69</v>
      </c>
      <c r="E3" s="3" t="s">
        <v>171</v>
      </c>
      <c r="F3" s="3" t="s">
        <v>172</v>
      </c>
      <c r="G3" s="3" t="n">
        <v>5</v>
      </c>
      <c r="H3" s="3" t="n">
        <f aca="false">C3*G3/100</f>
        <v>2.5</v>
      </c>
      <c r="I3" s="3" t="s">
        <v>69</v>
      </c>
      <c r="J3" s="3" t="s">
        <v>72</v>
      </c>
      <c r="K3" s="3" t="s">
        <v>123</v>
      </c>
      <c r="L3" s="3" t="n">
        <v>60</v>
      </c>
      <c r="M3" s="3" t="s">
        <v>173</v>
      </c>
      <c r="N3" s="3" t="n">
        <f aca="false">IF(D3="No",0,IF(AND(I3="No",J3="No"),H3,0))</f>
        <v>0</v>
      </c>
      <c r="O3" s="3" t="n">
        <f aca="false">IF(D3="No",0,IF(AND(I3="Yes",L3=0),H3,0))</f>
        <v>0</v>
      </c>
      <c r="P3" s="3" t="n">
        <f aca="false">IF(D3="No",0,IF(AND(I3="Yes",L3&gt;0),H3*(1-L3/100),0))</f>
        <v>1</v>
      </c>
      <c r="Q3" s="3" t="n">
        <f aca="false">IF(D3="No",0,IF(AND(I3="No",J3="Yes"),H3*(1-L3/100),0))</f>
        <v>0</v>
      </c>
      <c r="R3" s="3" t="str">
        <f aca="false">IF(D3="No","Safe",IF(I3="Yes",IF(L3=0,"SPF","RF"),IF(J3="Yes",IF(L3=0,"MPF_L","MPF_D"),"Safe")))</f>
        <v>RF</v>
      </c>
      <c r="S3" s="3" t="s">
        <v>174</v>
      </c>
      <c r="T3" s="3"/>
      <c r="U3" s="3" t="s">
        <v>175</v>
      </c>
    </row>
    <row r="4" customFormat="false" ht="55.2" hidden="false" customHeight="false" outlineLevel="0" collapsed="false">
      <c r="A4" s="3" t="s">
        <v>66</v>
      </c>
      <c r="B4" s="3" t="s">
        <v>67</v>
      </c>
      <c r="C4" s="3" t="n">
        <v>50</v>
      </c>
      <c r="D4" s="3" t="s">
        <v>69</v>
      </c>
      <c r="E4" s="3" t="s">
        <v>176</v>
      </c>
      <c r="F4" s="3" t="s">
        <v>177</v>
      </c>
      <c r="G4" s="3" t="n">
        <v>40</v>
      </c>
      <c r="H4" s="3" t="n">
        <f aca="false">C4*G4/100</f>
        <v>20</v>
      </c>
      <c r="I4" s="3" t="s">
        <v>72</v>
      </c>
      <c r="J4" s="3" t="s">
        <v>72</v>
      </c>
      <c r="K4" s="3"/>
      <c r="L4" s="3" t="n">
        <v>0</v>
      </c>
      <c r="M4" s="3"/>
      <c r="N4" s="3" t="n">
        <f aca="false">IF(D4="No",0,IF(AND(I4="No",J4="No"),H4,0))</f>
        <v>20</v>
      </c>
      <c r="O4" s="3" t="n">
        <f aca="false">IF(D4="No",0,IF(AND(I4="Yes",L4=0),H4,0))</f>
        <v>0</v>
      </c>
      <c r="P4" s="3" t="n">
        <f aca="false">IF(D4="No",0,IF(AND(I4="Yes",L4&gt;0),H4*(1-L4/100),0))</f>
        <v>0</v>
      </c>
      <c r="Q4" s="3" t="n">
        <f aca="false">IF(D4="No",0,IF(AND(I4="No",J4="Yes"),H4*(1-L4/100),0))</f>
        <v>0</v>
      </c>
      <c r="R4" s="3" t="str">
        <f aca="false">IF(D4="No","Safe",IF(I4="Yes",IF(L4=0,"SPF","RF"),IF(J4="Yes",IF(L4=0,"MPF_L","MPF_D"),"Safe")))</f>
        <v>Safe</v>
      </c>
      <c r="S4" s="3" t="s">
        <v>178</v>
      </c>
      <c r="T4" s="3"/>
      <c r="U4" s="3" t="s">
        <v>179</v>
      </c>
    </row>
    <row r="5" customFormat="false" ht="41.75" hidden="false" customHeight="false" outlineLevel="0" collapsed="false">
      <c r="A5" s="3" t="s">
        <v>66</v>
      </c>
      <c r="B5" s="3" t="s">
        <v>67</v>
      </c>
      <c r="C5" s="3" t="n">
        <v>50</v>
      </c>
      <c r="D5" s="3" t="s">
        <v>69</v>
      </c>
      <c r="E5" s="3" t="s">
        <v>180</v>
      </c>
      <c r="F5" s="3" t="s">
        <v>181</v>
      </c>
      <c r="G5" s="3" t="n">
        <v>30</v>
      </c>
      <c r="H5" s="3" t="n">
        <f aca="false">C5*G5/100</f>
        <v>15</v>
      </c>
      <c r="I5" s="3" t="s">
        <v>72</v>
      </c>
      <c r="J5" s="3" t="s">
        <v>72</v>
      </c>
      <c r="K5" s="3"/>
      <c r="L5" s="3" t="n">
        <v>0</v>
      </c>
      <c r="M5" s="3"/>
      <c r="N5" s="3" t="n">
        <f aca="false">IF(D5="No",0,IF(AND(I5="No",J5="No"),H5,0))</f>
        <v>15</v>
      </c>
      <c r="O5" s="3" t="n">
        <f aca="false">IF(D5="No",0,IF(AND(I5="Yes",L5=0),H5,0))</f>
        <v>0</v>
      </c>
      <c r="P5" s="3" t="n">
        <f aca="false">IF(D5="No",0,IF(AND(I5="Yes",L5&gt;0),H5*(1-L5/100),0))</f>
        <v>0</v>
      </c>
      <c r="Q5" s="3" t="n">
        <f aca="false">IF(D5="No",0,IF(AND(I5="No",J5="Yes"),H5*(1-L5/100),0))</f>
        <v>0</v>
      </c>
      <c r="R5" s="3" t="str">
        <f aca="false">IF(D5="No","Safe",IF(I5="Yes",IF(L5=0,"SPF","RF"),IF(J5="Yes",IF(L5=0,"MPF_L","MPF_D"),"Safe")))</f>
        <v>Safe</v>
      </c>
      <c r="S5" s="3"/>
      <c r="T5" s="3"/>
      <c r="U5" s="3"/>
    </row>
    <row r="6" customFormat="false" ht="28.35" hidden="false" customHeight="false" outlineLevel="0" collapsed="false">
      <c r="A6" s="3" t="s">
        <v>74</v>
      </c>
      <c r="B6" s="3" t="s">
        <v>75</v>
      </c>
      <c r="C6" s="3" t="n">
        <v>20</v>
      </c>
      <c r="D6" s="3" t="s">
        <v>69</v>
      </c>
      <c r="E6" s="3" t="s">
        <v>182</v>
      </c>
      <c r="F6" s="3" t="s">
        <v>183</v>
      </c>
      <c r="G6" s="3" t="n">
        <v>80</v>
      </c>
      <c r="H6" s="3" t="n">
        <f aca="false">C6*G6/100</f>
        <v>16</v>
      </c>
      <c r="I6" s="3" t="s">
        <v>72</v>
      </c>
      <c r="J6" s="3" t="s">
        <v>69</v>
      </c>
      <c r="K6" s="3" t="s">
        <v>107</v>
      </c>
      <c r="L6" s="3" t="n">
        <v>99</v>
      </c>
      <c r="M6" s="3" t="s">
        <v>184</v>
      </c>
      <c r="N6" s="3" t="n">
        <f aca="false">IF(D6="No",0,IF(AND(I6="No",J6="No"),H6,0))</f>
        <v>0</v>
      </c>
      <c r="O6" s="3" t="n">
        <f aca="false">IF(D6="No",0,IF(AND(I6="Yes",L6=0),H6,0))</f>
        <v>0</v>
      </c>
      <c r="P6" s="3" t="n">
        <f aca="false">IF(D6="No",0,IF(AND(I6="Yes",L6&gt;0),H6*(1-L6/100),0))</f>
        <v>0</v>
      </c>
      <c r="Q6" s="3" t="n">
        <f aca="false">IF(D6="No",0,IF(AND(I6="No",J6="Yes"),H6*(1-L6/100),0))</f>
        <v>0.16</v>
      </c>
      <c r="R6" s="3" t="str">
        <f aca="false">IF(D6="No","Safe",IF(I6="Yes",IF(L6=0,"SPF","RF"),IF(J6="Yes",IF(L6=0,"MPF_L","MPF_D"),"Safe")))</f>
        <v>MPF_D</v>
      </c>
      <c r="S6" s="3" t="s">
        <v>185</v>
      </c>
      <c r="T6" s="3"/>
      <c r="U6" s="3" t="s">
        <v>186</v>
      </c>
    </row>
    <row r="7" customFormat="false" ht="28.35" hidden="false" customHeight="false" outlineLevel="0" collapsed="false">
      <c r="A7" s="3" t="s">
        <v>74</v>
      </c>
      <c r="B7" s="3" t="s">
        <v>75</v>
      </c>
      <c r="C7" s="3" t="n">
        <v>20</v>
      </c>
      <c r="D7" s="3" t="s">
        <v>69</v>
      </c>
      <c r="E7" s="3" t="s">
        <v>187</v>
      </c>
      <c r="F7" s="3" t="s">
        <v>188</v>
      </c>
      <c r="G7" s="3" t="n">
        <v>10</v>
      </c>
      <c r="H7" s="3" t="n">
        <f aca="false">C7*G7/100</f>
        <v>2</v>
      </c>
      <c r="I7" s="3" t="s">
        <v>72</v>
      </c>
      <c r="J7" s="3" t="s">
        <v>69</v>
      </c>
      <c r="K7" s="3" t="s">
        <v>118</v>
      </c>
      <c r="L7" s="3" t="n">
        <v>90</v>
      </c>
      <c r="M7" s="3" t="s">
        <v>184</v>
      </c>
      <c r="N7" s="3" t="n">
        <f aca="false">IF(D7="No",0,IF(AND(I7="No",J7="No"),H7,0))</f>
        <v>0</v>
      </c>
      <c r="O7" s="3" t="n">
        <f aca="false">IF(D7="No",0,IF(AND(I7="Yes",L7=0),H7,0))</f>
        <v>0</v>
      </c>
      <c r="P7" s="3" t="n">
        <f aca="false">IF(D7="No",0,IF(AND(I7="Yes",L7&gt;0),H7*(1-L7/100),0))</f>
        <v>0</v>
      </c>
      <c r="Q7" s="3" t="n">
        <f aca="false">IF(D7="No",0,IF(AND(I7="No",J7="Yes"),H7*(1-L7/100),0))</f>
        <v>0.2</v>
      </c>
      <c r="R7" s="3" t="str">
        <f aca="false">IF(D7="No","Safe",IF(I7="Yes",IF(L7=0,"SPF","RF"),IF(J7="Yes",IF(L7=0,"MPF_L","MPF_D"),"Safe")))</f>
        <v>MPF_D</v>
      </c>
      <c r="S7" s="3" t="s">
        <v>185</v>
      </c>
      <c r="T7" s="3"/>
      <c r="U7" s="3" t="s">
        <v>189</v>
      </c>
    </row>
    <row r="8" customFormat="false" ht="28.35" hidden="false" customHeight="false" outlineLevel="0" collapsed="false">
      <c r="A8" s="3" t="s">
        <v>74</v>
      </c>
      <c r="B8" s="3" t="s">
        <v>75</v>
      </c>
      <c r="C8" s="3" t="n">
        <v>20</v>
      </c>
      <c r="D8" s="3" t="s">
        <v>69</v>
      </c>
      <c r="E8" s="3" t="s">
        <v>190</v>
      </c>
      <c r="F8" s="3" t="s">
        <v>191</v>
      </c>
      <c r="G8" s="3" t="n">
        <v>10</v>
      </c>
      <c r="H8" s="3" t="n">
        <f aca="false">C8*G8/100</f>
        <v>2</v>
      </c>
      <c r="I8" s="3" t="s">
        <v>72</v>
      </c>
      <c r="J8" s="3" t="s">
        <v>72</v>
      </c>
      <c r="K8" s="3"/>
      <c r="L8" s="3" t="n">
        <v>0</v>
      </c>
      <c r="M8" s="3"/>
      <c r="N8" s="3" t="n">
        <f aca="false">IF(D8="No",0,IF(AND(I8="No",J8="No"),H8,0))</f>
        <v>2</v>
      </c>
      <c r="O8" s="3" t="n">
        <f aca="false">IF(D8="No",0,IF(AND(I8="Yes",L8=0),H8,0))</f>
        <v>0</v>
      </c>
      <c r="P8" s="3" t="n">
        <f aca="false">IF(D8="No",0,IF(AND(I8="Yes",L8&gt;0),H8*(1-L8/100),0))</f>
        <v>0</v>
      </c>
      <c r="Q8" s="3" t="n">
        <f aca="false">IF(D8="No",0,IF(AND(I8="No",J8="Yes"),H8*(1-L8/100),0))</f>
        <v>0</v>
      </c>
      <c r="R8" s="3" t="str">
        <f aca="false">IF(D8="No","Safe",IF(I8="Yes",IF(L8=0,"SPF","RF"),IF(J8="Yes",IF(L8=0,"MPF_L","MPF_D"),"Safe")))</f>
        <v>Safe</v>
      </c>
      <c r="S8" s="3" t="s">
        <v>185</v>
      </c>
      <c r="T8" s="3"/>
      <c r="U8" s="3"/>
    </row>
    <row r="9" customFormat="false" ht="41.75" hidden="false" customHeight="false" outlineLevel="0" collapsed="false">
      <c r="A9" s="3" t="s">
        <v>77</v>
      </c>
      <c r="B9" s="3" t="s">
        <v>78</v>
      </c>
      <c r="C9" s="3" t="n">
        <v>100</v>
      </c>
      <c r="D9" s="3" t="s">
        <v>69</v>
      </c>
      <c r="E9" s="3" t="s">
        <v>192</v>
      </c>
      <c r="F9" s="3" t="s">
        <v>193</v>
      </c>
      <c r="G9" s="3" t="n">
        <v>90</v>
      </c>
      <c r="H9" s="3" t="n">
        <f aca="false">C9*G9/100</f>
        <v>90</v>
      </c>
      <c r="I9" s="3" t="s">
        <v>72</v>
      </c>
      <c r="J9" s="3" t="s">
        <v>69</v>
      </c>
      <c r="K9" s="3" t="s">
        <v>112</v>
      </c>
      <c r="L9" s="3" t="n">
        <v>99</v>
      </c>
      <c r="M9" s="3" t="s">
        <v>184</v>
      </c>
      <c r="N9" s="3" t="n">
        <f aca="false">IF(D9="No",0,IF(AND(I9="No",J9="No"),H9,0))</f>
        <v>0</v>
      </c>
      <c r="O9" s="3" t="n">
        <f aca="false">IF(D9="No",0,IF(AND(I9="Yes",L9=0),H9,0))</f>
        <v>0</v>
      </c>
      <c r="P9" s="3" t="n">
        <f aca="false">IF(D9="No",0,IF(AND(I9="Yes",L9&gt;0),H9*(1-L9/100),0))</f>
        <v>0</v>
      </c>
      <c r="Q9" s="3" t="n">
        <f aca="false">IF(D9="No",0,IF(AND(I9="No",J9="Yes"),H9*(1-L9/100),0))</f>
        <v>0.900000000000001</v>
      </c>
      <c r="R9" s="3" t="str">
        <f aca="false">IF(D9="No","Safe",IF(I9="Yes",IF(L9=0,"SPF","RF"),IF(J9="Yes",IF(L9=0,"MPF_L","MPF_D"),"Safe")))</f>
        <v>MPF_D</v>
      </c>
      <c r="S9" s="3" t="s">
        <v>194</v>
      </c>
      <c r="T9" s="3"/>
      <c r="U9" s="3" t="s">
        <v>195</v>
      </c>
    </row>
    <row r="10" customFormat="false" ht="68.65" hidden="false" customHeight="false" outlineLevel="0" collapsed="false">
      <c r="A10" s="3" t="s">
        <v>77</v>
      </c>
      <c r="B10" s="3" t="s">
        <v>78</v>
      </c>
      <c r="C10" s="3" t="n">
        <v>100</v>
      </c>
      <c r="D10" s="3" t="s">
        <v>69</v>
      </c>
      <c r="E10" s="3" t="s">
        <v>196</v>
      </c>
      <c r="F10" s="3" t="s">
        <v>197</v>
      </c>
      <c r="G10" s="3" t="n">
        <v>4</v>
      </c>
      <c r="H10" s="3" t="n">
        <f aca="false">C10*G10/100</f>
        <v>4</v>
      </c>
      <c r="I10" s="3" t="s">
        <v>72</v>
      </c>
      <c r="J10" s="3" t="s">
        <v>69</v>
      </c>
      <c r="K10" s="3"/>
      <c r="L10" s="3" t="n">
        <v>0</v>
      </c>
      <c r="M10" s="3"/>
      <c r="N10" s="3" t="n">
        <f aca="false">IF(D10="No",0,IF(AND(I10="No",J10="No"),H10,0))</f>
        <v>0</v>
      </c>
      <c r="O10" s="3" t="n">
        <f aca="false">IF(D10="No",0,IF(AND(I10="Yes",L10=0),H10,0))</f>
        <v>0</v>
      </c>
      <c r="P10" s="3" t="n">
        <f aca="false">IF(D10="No",0,IF(AND(I10="Yes",L10&gt;0),H10*(1-L10/100),0))</f>
        <v>0</v>
      </c>
      <c r="Q10" s="3" t="n">
        <f aca="false">IF(D10="No",0,IF(AND(I10="No",J10="Yes"),H10*(1-L10/100),0))</f>
        <v>4</v>
      </c>
      <c r="R10" s="3" t="str">
        <f aca="false">IF(D10="No","Safe",IF(I10="Yes",IF(L10=0,"SPF","RF"),IF(J10="Yes",IF(L10=0,"MPF_L","MPF_D"),"Safe")))</f>
        <v>MPF_L</v>
      </c>
      <c r="S10" s="3" t="s">
        <v>194</v>
      </c>
      <c r="T10" s="3" t="s">
        <v>198</v>
      </c>
      <c r="U10" s="3" t="s">
        <v>199</v>
      </c>
    </row>
    <row r="11" customFormat="false" ht="41.75" hidden="false" customHeight="false" outlineLevel="0" collapsed="false">
      <c r="A11" s="3" t="s">
        <v>77</v>
      </c>
      <c r="B11" s="3" t="s">
        <v>78</v>
      </c>
      <c r="C11" s="3" t="n">
        <v>100</v>
      </c>
      <c r="D11" s="3" t="s">
        <v>69</v>
      </c>
      <c r="E11" s="3" t="s">
        <v>200</v>
      </c>
      <c r="F11" s="3" t="s">
        <v>201</v>
      </c>
      <c r="G11" s="3" t="n">
        <v>2</v>
      </c>
      <c r="H11" s="3" t="n">
        <f aca="false">C11*G11/100</f>
        <v>2</v>
      </c>
      <c r="I11" s="3" t="s">
        <v>69</v>
      </c>
      <c r="J11" s="3" t="s">
        <v>72</v>
      </c>
      <c r="K11" s="3" t="s">
        <v>123</v>
      </c>
      <c r="L11" s="3" t="n">
        <v>60</v>
      </c>
      <c r="M11" s="3" t="s">
        <v>173</v>
      </c>
      <c r="N11" s="3" t="n">
        <f aca="false">IF(D11="No",0,IF(AND(I11="No",J11="No"),H11,0))</f>
        <v>0</v>
      </c>
      <c r="O11" s="3" t="n">
        <f aca="false">IF(D11="No",0,IF(AND(I11="Yes",L11=0),H11,0))</f>
        <v>0</v>
      </c>
      <c r="P11" s="3" t="n">
        <f aca="false">IF(D11="No",0,IF(AND(I11="Yes",L11&gt;0),H11*(1-L11/100),0))</f>
        <v>0.8</v>
      </c>
      <c r="Q11" s="3" t="n">
        <f aca="false">IF(D11="No",0,IF(AND(I11="No",J11="Yes"),H11*(1-L11/100),0))</f>
        <v>0</v>
      </c>
      <c r="R11" s="3" t="str">
        <f aca="false">IF(D11="No","Safe",IF(I11="Yes",IF(L11=0,"SPF","RF"),IF(J11="Yes",IF(L11=0,"MPF_L","MPF_D"),"Safe")))</f>
        <v>RF</v>
      </c>
      <c r="S11" s="3" t="s">
        <v>174</v>
      </c>
      <c r="T11" s="3"/>
      <c r="U11" s="3" t="s">
        <v>202</v>
      </c>
    </row>
    <row r="12" customFormat="false" ht="41.75" hidden="false" customHeight="false" outlineLevel="0" collapsed="false">
      <c r="A12" s="3" t="s">
        <v>77</v>
      </c>
      <c r="B12" s="3" t="s">
        <v>78</v>
      </c>
      <c r="C12" s="3" t="n">
        <v>100</v>
      </c>
      <c r="D12" s="3" t="s">
        <v>69</v>
      </c>
      <c r="E12" s="3" t="s">
        <v>203</v>
      </c>
      <c r="F12" s="3" t="s">
        <v>204</v>
      </c>
      <c r="G12" s="3" t="n">
        <v>4</v>
      </c>
      <c r="H12" s="3" t="n">
        <f aca="false">C12*G12/100</f>
        <v>4</v>
      </c>
      <c r="I12" s="3" t="s">
        <v>72</v>
      </c>
      <c r="J12" s="3" t="s">
        <v>72</v>
      </c>
      <c r="K12" s="3"/>
      <c r="L12" s="3" t="n">
        <v>0</v>
      </c>
      <c r="M12" s="3"/>
      <c r="N12" s="3" t="n">
        <f aca="false">IF(D12="No",0,IF(AND(I12="No",J12="No"),H12,0))</f>
        <v>4</v>
      </c>
      <c r="O12" s="3" t="n">
        <f aca="false">IF(D12="No",0,IF(AND(I12="Yes",L12=0),H12,0))</f>
        <v>0</v>
      </c>
      <c r="P12" s="3" t="n">
        <f aca="false">IF(D12="No",0,IF(AND(I12="Yes",L12&gt;0),H12*(1-L12/100),0))</f>
        <v>0</v>
      </c>
      <c r="Q12" s="3" t="n">
        <f aca="false">IF(D12="No",0,IF(AND(I12="No",J12="Yes"),H12*(1-L12/100),0))</f>
        <v>0</v>
      </c>
      <c r="R12" s="3" t="str">
        <f aca="false">IF(D12="No","Safe",IF(I12="Yes",IF(L12=0,"SPF","RF"),IF(J12="Yes",IF(L12=0,"MPF_L","MPF_D"),"Safe")))</f>
        <v>Safe</v>
      </c>
      <c r="S12" s="3" t="s">
        <v>194</v>
      </c>
      <c r="T12" s="3"/>
      <c r="U12" s="3"/>
    </row>
    <row r="13" customFormat="false" ht="28.35" hidden="false" customHeight="false" outlineLevel="0" collapsed="false">
      <c r="A13" s="3" t="s">
        <v>79</v>
      </c>
      <c r="B13" s="3" t="s">
        <v>80</v>
      </c>
      <c r="C13" s="3" t="n">
        <v>10</v>
      </c>
      <c r="D13" s="3" t="s">
        <v>69</v>
      </c>
      <c r="E13" s="3" t="s">
        <v>205</v>
      </c>
      <c r="F13" s="3" t="s">
        <v>206</v>
      </c>
      <c r="G13" s="3" t="n">
        <v>50</v>
      </c>
      <c r="H13" s="3" t="n">
        <f aca="false">C13*G13/100</f>
        <v>5</v>
      </c>
      <c r="I13" s="3" t="s">
        <v>72</v>
      </c>
      <c r="J13" s="3" t="s">
        <v>69</v>
      </c>
      <c r="K13" s="3" t="s">
        <v>129</v>
      </c>
      <c r="L13" s="3" t="n">
        <v>99</v>
      </c>
      <c r="M13" s="3" t="s">
        <v>184</v>
      </c>
      <c r="N13" s="3" t="n">
        <f aca="false">IF(D13="No",0,IF(AND(I13="No",J13="No"),H13,0))</f>
        <v>0</v>
      </c>
      <c r="O13" s="3" t="n">
        <f aca="false">IF(D13="No",0,IF(AND(I13="Yes",L13=0),H13,0))</f>
        <v>0</v>
      </c>
      <c r="P13" s="3" t="n">
        <f aca="false">IF(D13="No",0,IF(AND(I13="Yes",L13&gt;0),H13*(1-L13/100),0))</f>
        <v>0</v>
      </c>
      <c r="Q13" s="3" t="n">
        <f aca="false">IF(D13="No",0,IF(AND(I13="No",J13="Yes"),H13*(1-L13/100),0))</f>
        <v>0.05</v>
      </c>
      <c r="R13" s="3" t="str">
        <f aca="false">IF(D13="No","Safe",IF(I13="Yes",IF(L13=0,"SPF","RF"),IF(J13="Yes",IF(L13=0,"MPF_L","MPF_D"),"Safe")))</f>
        <v>MPF_D</v>
      </c>
      <c r="S13" s="3" t="s">
        <v>207</v>
      </c>
      <c r="T13" s="3"/>
      <c r="U13" s="3" t="s">
        <v>208</v>
      </c>
    </row>
    <row r="14" customFormat="false" ht="28.35" hidden="false" customHeight="false" outlineLevel="0" collapsed="false">
      <c r="A14" s="3" t="s">
        <v>79</v>
      </c>
      <c r="B14" s="3" t="s">
        <v>80</v>
      </c>
      <c r="C14" s="3" t="n">
        <v>10</v>
      </c>
      <c r="D14" s="3" t="s">
        <v>69</v>
      </c>
      <c r="E14" s="3" t="s">
        <v>209</v>
      </c>
      <c r="F14" s="3" t="s">
        <v>210</v>
      </c>
      <c r="G14" s="3" t="n">
        <v>50</v>
      </c>
      <c r="H14" s="3" t="n">
        <f aca="false">C14*G14/100</f>
        <v>5</v>
      </c>
      <c r="I14" s="3" t="s">
        <v>72</v>
      </c>
      <c r="J14" s="3" t="s">
        <v>69</v>
      </c>
      <c r="K14" s="3"/>
      <c r="L14" s="3" t="n">
        <v>0</v>
      </c>
      <c r="M14" s="3"/>
      <c r="N14" s="3" t="n">
        <f aca="false">IF(D14="No",0,IF(AND(I14="No",J14="No"),H14,0))</f>
        <v>0</v>
      </c>
      <c r="O14" s="3" t="n">
        <f aca="false">IF(D14="No",0,IF(AND(I14="Yes",L14=0),H14,0))</f>
        <v>0</v>
      </c>
      <c r="P14" s="3" t="n">
        <f aca="false">IF(D14="No",0,IF(AND(I14="Yes",L14&gt;0),H14*(1-L14/100),0))</f>
        <v>0</v>
      </c>
      <c r="Q14" s="3" t="n">
        <f aca="false">IF(D14="No",0,IF(AND(I14="No",J14="Yes"),H14*(1-L14/100),0))</f>
        <v>5</v>
      </c>
      <c r="R14" s="3" t="str">
        <f aca="false">IF(D14="No","Safe",IF(I14="Yes",IF(L14=0,"SPF","RF"),IF(J14="Yes",IF(L14=0,"MPF_L","MPF_D"),"Safe")))</f>
        <v>MPF_L</v>
      </c>
      <c r="S14" s="3" t="s">
        <v>207</v>
      </c>
      <c r="T14" s="3"/>
      <c r="U14" s="3" t="s">
        <v>211</v>
      </c>
    </row>
    <row r="15" customFormat="false" ht="28.35" hidden="false" customHeight="false" outlineLevel="0" collapsed="false">
      <c r="A15" s="3" t="s">
        <v>82</v>
      </c>
      <c r="B15" s="3" t="s">
        <v>83</v>
      </c>
      <c r="C15" s="3" t="n">
        <v>15</v>
      </c>
      <c r="D15" s="3" t="s">
        <v>69</v>
      </c>
      <c r="E15" s="3" t="s">
        <v>212</v>
      </c>
      <c r="F15" s="3" t="s">
        <v>213</v>
      </c>
      <c r="G15" s="3" t="n">
        <v>50</v>
      </c>
      <c r="H15" s="3" t="n">
        <f aca="false">C15*G15/100</f>
        <v>7.5</v>
      </c>
      <c r="I15" s="3" t="s">
        <v>72</v>
      </c>
      <c r="J15" s="3" t="s">
        <v>72</v>
      </c>
      <c r="K15" s="3"/>
      <c r="L15" s="3" t="n">
        <v>0</v>
      </c>
      <c r="M15" s="3"/>
      <c r="N15" s="3" t="n">
        <f aca="false">IF(D15="No",0,IF(AND(I15="No",J15="No"),H15,0))</f>
        <v>7.5</v>
      </c>
      <c r="O15" s="3" t="n">
        <f aca="false">IF(D15="No",0,IF(AND(I15="Yes",L15=0),H15,0))</f>
        <v>0</v>
      </c>
      <c r="P15" s="3" t="n">
        <f aca="false">IF(D15="No",0,IF(AND(I15="Yes",L15&gt;0),H15*(1-L15/100),0))</f>
        <v>0</v>
      </c>
      <c r="Q15" s="3" t="n">
        <f aca="false">IF(D15="No",0,IF(AND(I15="No",J15="Yes"),H15*(1-L15/100),0))</f>
        <v>0</v>
      </c>
      <c r="R15" s="3" t="str">
        <f aca="false">IF(D15="No","Safe",IF(I15="Yes",IF(L15=0,"SPF","RF"),IF(J15="Yes",IF(L15=0,"MPF_L","MPF_D"),"Safe")))</f>
        <v>Safe</v>
      </c>
      <c r="S15" s="3" t="s">
        <v>214</v>
      </c>
      <c r="T15" s="3"/>
      <c r="U15" s="3" t="s">
        <v>215</v>
      </c>
    </row>
    <row r="16" customFormat="false" ht="28.35" hidden="false" customHeight="false" outlineLevel="0" collapsed="false">
      <c r="A16" s="3" t="s">
        <v>82</v>
      </c>
      <c r="B16" s="3" t="s">
        <v>83</v>
      </c>
      <c r="C16" s="3" t="n">
        <v>15</v>
      </c>
      <c r="D16" s="3" t="s">
        <v>69</v>
      </c>
      <c r="E16" s="3" t="s">
        <v>216</v>
      </c>
      <c r="F16" s="3" t="s">
        <v>217</v>
      </c>
      <c r="G16" s="3" t="n">
        <v>30</v>
      </c>
      <c r="H16" s="3" t="n">
        <f aca="false">C16*G16/100</f>
        <v>4.5</v>
      </c>
      <c r="I16" s="3" t="s">
        <v>69</v>
      </c>
      <c r="J16" s="3" t="s">
        <v>72</v>
      </c>
      <c r="K16" s="3"/>
      <c r="L16" s="3" t="n">
        <v>0</v>
      </c>
      <c r="M16" s="3"/>
      <c r="N16" s="3" t="n">
        <f aca="false">IF(D16="No",0,IF(AND(I16="No",J16="No"),H16,0))</f>
        <v>0</v>
      </c>
      <c r="O16" s="3" t="n">
        <f aca="false">IF(D16="No",0,IF(AND(I16="Yes",L16=0),H16,0))</f>
        <v>4.5</v>
      </c>
      <c r="P16" s="3" t="n">
        <f aca="false">IF(D16="No",0,IF(AND(I16="Yes",L16&gt;0),H16*(1-L16/100),0))</f>
        <v>0</v>
      </c>
      <c r="Q16" s="3" t="n">
        <f aca="false">IF(D16="No",0,IF(AND(I16="No",J16="Yes"),H16*(1-L16/100),0))</f>
        <v>0</v>
      </c>
      <c r="R16" s="3" t="str">
        <f aca="false">IF(D16="No","Safe",IF(I16="Yes",IF(L16=0,"SPF","RF"),IF(J16="Yes",IF(L16=0,"MPF_L","MPF_D"),"Safe")))</f>
        <v>SPF</v>
      </c>
      <c r="S16" s="3" t="s">
        <v>214</v>
      </c>
      <c r="T16" s="3"/>
      <c r="U16" s="3" t="s">
        <v>218</v>
      </c>
    </row>
    <row r="17" customFormat="false" ht="28.35" hidden="false" customHeight="false" outlineLevel="0" collapsed="false">
      <c r="A17" s="3" t="s">
        <v>82</v>
      </c>
      <c r="B17" s="3" t="s">
        <v>83</v>
      </c>
      <c r="C17" s="3" t="n">
        <v>15</v>
      </c>
      <c r="D17" s="3" t="s">
        <v>69</v>
      </c>
      <c r="E17" s="3" t="s">
        <v>219</v>
      </c>
      <c r="F17" s="3" t="s">
        <v>220</v>
      </c>
      <c r="G17" s="3" t="n">
        <v>20</v>
      </c>
      <c r="H17" s="3" t="n">
        <f aca="false">C17*G17/100</f>
        <v>3</v>
      </c>
      <c r="I17" s="3" t="s">
        <v>72</v>
      </c>
      <c r="J17" s="3" t="s">
        <v>69</v>
      </c>
      <c r="K17" s="3"/>
      <c r="L17" s="3" t="n">
        <v>0</v>
      </c>
      <c r="M17" s="3"/>
      <c r="N17" s="3" t="n">
        <f aca="false">IF(D17="No",0,IF(AND(I17="No",J17="No"),H17,0))</f>
        <v>0</v>
      </c>
      <c r="O17" s="3" t="n">
        <f aca="false">IF(D17="No",0,IF(AND(I17="Yes",L17=0),H17,0))</f>
        <v>0</v>
      </c>
      <c r="P17" s="3" t="n">
        <f aca="false">IF(D17="No",0,IF(AND(I17="Yes",L17&gt;0),H17*(1-L17/100),0))</f>
        <v>0</v>
      </c>
      <c r="Q17" s="3" t="n">
        <f aca="false">IF(D17="No",0,IF(AND(I17="No",J17="Yes"),H17*(1-L17/100),0))</f>
        <v>3</v>
      </c>
      <c r="R17" s="3" t="str">
        <f aca="false">IF(D17="No","Safe",IF(I17="Yes",IF(L17=0,"SPF","RF"),IF(J17="Yes",IF(L17=0,"MPF_L","MPF_D"),"Safe")))</f>
        <v>MPF_L</v>
      </c>
      <c r="S17" s="3" t="s">
        <v>214</v>
      </c>
      <c r="T17" s="3"/>
      <c r="U17" s="3"/>
    </row>
    <row r="18" customFormat="false" ht="28.35" hidden="false" customHeight="false" outlineLevel="0" collapsed="false">
      <c r="A18" s="3" t="s">
        <v>85</v>
      </c>
      <c r="B18" s="3" t="s">
        <v>86</v>
      </c>
      <c r="C18" s="3" t="n">
        <v>10</v>
      </c>
      <c r="D18" s="3" t="s">
        <v>69</v>
      </c>
      <c r="E18" s="3" t="s">
        <v>221</v>
      </c>
      <c r="F18" s="3" t="s">
        <v>222</v>
      </c>
      <c r="G18" s="3" t="n">
        <v>30</v>
      </c>
      <c r="H18" s="3" t="n">
        <f aca="false">C18*G18/100</f>
        <v>3</v>
      </c>
      <c r="I18" s="3" t="s">
        <v>72</v>
      </c>
      <c r="J18" s="3" t="s">
        <v>72</v>
      </c>
      <c r="K18" s="3"/>
      <c r="L18" s="3" t="n">
        <v>0</v>
      </c>
      <c r="M18" s="3"/>
      <c r="N18" s="3" t="n">
        <f aca="false">IF(D18="No",0,IF(AND(I18="No",J18="No"),H18,0))</f>
        <v>3</v>
      </c>
      <c r="O18" s="3" t="n">
        <f aca="false">IF(D18="No",0,IF(AND(I18="Yes",L18=0),H18,0))</f>
        <v>0</v>
      </c>
      <c r="P18" s="3" t="n">
        <f aca="false">IF(D18="No",0,IF(AND(I18="Yes",L18&gt;0),H18*(1-L18/100),0))</f>
        <v>0</v>
      </c>
      <c r="Q18" s="3" t="n">
        <f aca="false">IF(D18="No",0,IF(AND(I18="No",J18="Yes"),H18*(1-L18/100),0))</f>
        <v>0</v>
      </c>
      <c r="R18" s="3" t="str">
        <f aca="false">IF(D18="No","Safe",IF(I18="Yes",IF(L18=0,"SPF","RF"),IF(J18="Yes",IF(L18=0,"MPF_L","MPF_D"),"Safe")))</f>
        <v>Safe</v>
      </c>
      <c r="S18" s="3" t="s">
        <v>223</v>
      </c>
      <c r="T18" s="3"/>
      <c r="U18" s="3" t="s">
        <v>224</v>
      </c>
    </row>
    <row r="19" customFormat="false" ht="28.35" hidden="false" customHeight="false" outlineLevel="0" collapsed="false">
      <c r="A19" s="3" t="s">
        <v>85</v>
      </c>
      <c r="B19" s="3" t="s">
        <v>86</v>
      </c>
      <c r="C19" s="3" t="n">
        <v>10</v>
      </c>
      <c r="D19" s="3" t="s">
        <v>69</v>
      </c>
      <c r="E19" s="3" t="s">
        <v>225</v>
      </c>
      <c r="F19" s="3" t="s">
        <v>226</v>
      </c>
      <c r="G19" s="3" t="n">
        <v>30</v>
      </c>
      <c r="H19" s="3" t="n">
        <f aca="false">C19*G19/100</f>
        <v>3</v>
      </c>
      <c r="I19" s="3" t="s">
        <v>72</v>
      </c>
      <c r="J19" s="3" t="s">
        <v>72</v>
      </c>
      <c r="K19" s="3"/>
      <c r="L19" s="3" t="n">
        <v>0</v>
      </c>
      <c r="M19" s="3"/>
      <c r="N19" s="3" t="n">
        <f aca="false">IF(D19="No",0,IF(AND(I19="No",J19="No"),H19,0))</f>
        <v>3</v>
      </c>
      <c r="O19" s="3" t="n">
        <f aca="false">IF(D19="No",0,IF(AND(I19="Yes",L19=0),H19,0))</f>
        <v>0</v>
      </c>
      <c r="P19" s="3" t="n">
        <f aca="false">IF(D19="No",0,IF(AND(I19="Yes",L19&gt;0),H19*(1-L19/100),0))</f>
        <v>0</v>
      </c>
      <c r="Q19" s="3" t="n">
        <f aca="false">IF(D19="No",0,IF(AND(I19="No",J19="Yes"),H19*(1-L19/100),0))</f>
        <v>0</v>
      </c>
      <c r="R19" s="3" t="str">
        <f aca="false">IF(D19="No","Safe",IF(I19="Yes",IF(L19=0,"SPF","RF"),IF(J19="Yes",IF(L19=0,"MPF_L","MPF_D"),"Safe")))</f>
        <v>Safe</v>
      </c>
      <c r="S19" s="3" t="s">
        <v>227</v>
      </c>
      <c r="T19" s="3"/>
      <c r="U19" s="3" t="s">
        <v>228</v>
      </c>
    </row>
    <row r="20" customFormat="false" ht="28.35" hidden="false" customHeight="false" outlineLevel="0" collapsed="false">
      <c r="A20" s="3" t="s">
        <v>85</v>
      </c>
      <c r="B20" s="3" t="s">
        <v>86</v>
      </c>
      <c r="C20" s="3" t="n">
        <v>10</v>
      </c>
      <c r="D20" s="3" t="s">
        <v>69</v>
      </c>
      <c r="E20" s="3" t="s">
        <v>229</v>
      </c>
      <c r="F20" s="3" t="s">
        <v>230</v>
      </c>
      <c r="G20" s="3" t="n">
        <v>40</v>
      </c>
      <c r="H20" s="3" t="n">
        <f aca="false">C20*G20/100</f>
        <v>4</v>
      </c>
      <c r="I20" s="3" t="s">
        <v>72</v>
      </c>
      <c r="J20" s="3" t="s">
        <v>69</v>
      </c>
      <c r="K20" s="3" t="s">
        <v>141</v>
      </c>
      <c r="L20" s="3" t="n">
        <v>99</v>
      </c>
      <c r="M20" s="3" t="s">
        <v>184</v>
      </c>
      <c r="N20" s="3" t="n">
        <f aca="false">IF(D20="No",0,IF(AND(I20="No",J20="No"),H20,0))</f>
        <v>0</v>
      </c>
      <c r="O20" s="3" t="n">
        <f aca="false">IF(D20="No",0,IF(AND(I20="Yes",L20=0),H20,0))</f>
        <v>0</v>
      </c>
      <c r="P20" s="3" t="n">
        <f aca="false">IF(D20="No",0,IF(AND(I20="Yes",L20&gt;0),H20*(1-L20/100),0))</f>
        <v>0</v>
      </c>
      <c r="Q20" s="3" t="n">
        <f aca="false">IF(D20="No",0,IF(AND(I20="No",J20="Yes"),H20*(1-L20/100),0))</f>
        <v>0.04</v>
      </c>
      <c r="R20" s="3" t="str">
        <f aca="false">IF(D20="No","Safe",IF(I20="Yes",IF(L20=0,"SPF","RF"),IF(J20="Yes",IF(L20=0,"MPF_L","MPF_D"),"Safe")))</f>
        <v>MPF_D</v>
      </c>
      <c r="S20" s="3"/>
      <c r="T20" s="3"/>
      <c r="U20" s="3" t="s">
        <v>231</v>
      </c>
    </row>
    <row r="21" customFormat="false" ht="28.35" hidden="false" customHeight="false" outlineLevel="0" collapsed="false">
      <c r="A21" s="3" t="s">
        <v>88</v>
      </c>
      <c r="B21" s="3" t="s">
        <v>89</v>
      </c>
      <c r="C21" s="3" t="n">
        <v>50</v>
      </c>
      <c r="D21" s="3" t="s">
        <v>69</v>
      </c>
      <c r="E21" s="3" t="s">
        <v>232</v>
      </c>
      <c r="F21" s="3" t="s">
        <v>233</v>
      </c>
      <c r="G21" s="3" t="n">
        <v>35</v>
      </c>
      <c r="H21" s="3" t="n">
        <f aca="false">C21*G21/100</f>
        <v>17.5</v>
      </c>
      <c r="I21" s="3" t="s">
        <v>69</v>
      </c>
      <c r="J21" s="3" t="s">
        <v>72</v>
      </c>
      <c r="K21" s="3" t="s">
        <v>135</v>
      </c>
      <c r="L21" s="3" t="n">
        <v>90</v>
      </c>
      <c r="M21" s="3" t="s">
        <v>173</v>
      </c>
      <c r="N21" s="3" t="n">
        <f aca="false">IF(D21="No",0,IF(AND(I21="No",J21="No"),H21,0))</f>
        <v>0</v>
      </c>
      <c r="O21" s="3" t="n">
        <f aca="false">IF(D21="No",0,IF(AND(I21="Yes",L21=0),H21,0))</f>
        <v>0</v>
      </c>
      <c r="P21" s="3" t="n">
        <f aca="false">IF(D21="No",0,IF(AND(I21="Yes",L21&gt;0),H21*(1-L21/100),0))</f>
        <v>1.75</v>
      </c>
      <c r="Q21" s="3" t="n">
        <f aca="false">IF(D21="No",0,IF(AND(I21="No",J21="Yes"),H21*(1-L21/100),0))</f>
        <v>0</v>
      </c>
      <c r="R21" s="3" t="str">
        <f aca="false">IF(D21="No","Safe",IF(I21="Yes",IF(L21=0,"SPF","RF"),IF(J21="Yes",IF(L21=0,"MPF_L","MPF_D"),"Safe")))</f>
        <v>RF</v>
      </c>
      <c r="S21" s="3" t="s">
        <v>234</v>
      </c>
      <c r="T21" s="3"/>
      <c r="U21" s="3" t="s">
        <v>235</v>
      </c>
    </row>
    <row r="22" customFormat="false" ht="28.35" hidden="false" customHeight="false" outlineLevel="0" collapsed="false">
      <c r="A22" s="3" t="s">
        <v>88</v>
      </c>
      <c r="B22" s="3" t="s">
        <v>89</v>
      </c>
      <c r="C22" s="3" t="n">
        <v>50</v>
      </c>
      <c r="D22" s="3" t="s">
        <v>69</v>
      </c>
      <c r="E22" s="3" t="s">
        <v>236</v>
      </c>
      <c r="F22" s="3" t="s">
        <v>237</v>
      </c>
      <c r="G22" s="3" t="n">
        <v>35</v>
      </c>
      <c r="H22" s="3" t="n">
        <f aca="false">C22*G22/100</f>
        <v>17.5</v>
      </c>
      <c r="I22" s="3" t="s">
        <v>72</v>
      </c>
      <c r="J22" s="3" t="s">
        <v>72</v>
      </c>
      <c r="K22" s="3"/>
      <c r="L22" s="3" t="n">
        <v>0</v>
      </c>
      <c r="M22" s="3"/>
      <c r="N22" s="3" t="n">
        <f aca="false">IF(D22="No",0,IF(AND(I22="No",J22="No"),H22,0))</f>
        <v>17.5</v>
      </c>
      <c r="O22" s="3" t="n">
        <f aca="false">IF(D22="No",0,IF(AND(I22="Yes",L22=0),H22,0))</f>
        <v>0</v>
      </c>
      <c r="P22" s="3" t="n">
        <f aca="false">IF(D22="No",0,IF(AND(I22="Yes",L22&gt;0),H22*(1-L22/100),0))</f>
        <v>0</v>
      </c>
      <c r="Q22" s="3" t="n">
        <f aca="false">IF(D22="No",0,IF(AND(I22="No",J22="Yes"),H22*(1-L22/100),0))</f>
        <v>0</v>
      </c>
      <c r="R22" s="3" t="str">
        <f aca="false">IF(D22="No","Safe",IF(I22="Yes",IF(L22=0,"SPF","RF"),IF(J22="Yes",IF(L22=0,"MPF_L","MPF_D"),"Safe")))</f>
        <v>Safe</v>
      </c>
      <c r="S22" s="3" t="s">
        <v>238</v>
      </c>
      <c r="T22" s="3"/>
      <c r="U22" s="3" t="s">
        <v>239</v>
      </c>
    </row>
    <row r="23" customFormat="false" ht="28.35" hidden="false" customHeight="false" outlineLevel="0" collapsed="false">
      <c r="A23" s="3" t="s">
        <v>88</v>
      </c>
      <c r="B23" s="3" t="s">
        <v>89</v>
      </c>
      <c r="C23" s="3" t="n">
        <v>50</v>
      </c>
      <c r="D23" s="3" t="s">
        <v>69</v>
      </c>
      <c r="E23" s="3" t="s">
        <v>240</v>
      </c>
      <c r="F23" s="3" t="s">
        <v>241</v>
      </c>
      <c r="G23" s="3" t="n">
        <v>30</v>
      </c>
      <c r="H23" s="3" t="n">
        <f aca="false">C23*G23/100</f>
        <v>15</v>
      </c>
      <c r="I23" s="3" t="s">
        <v>72</v>
      </c>
      <c r="J23" s="3" t="s">
        <v>69</v>
      </c>
      <c r="K23" s="3" t="s">
        <v>141</v>
      </c>
      <c r="L23" s="3" t="n">
        <v>90</v>
      </c>
      <c r="M23" s="3" t="s">
        <v>184</v>
      </c>
      <c r="N23" s="3" t="n">
        <f aca="false">IF(D23="No",0,IF(AND(I23="No",J23="No"),H23,0))</f>
        <v>0</v>
      </c>
      <c r="O23" s="3" t="n">
        <f aca="false">IF(D23="No",0,IF(AND(I23="Yes",L23=0),H23,0))</f>
        <v>0</v>
      </c>
      <c r="P23" s="3" t="n">
        <f aca="false">IF(D23="No",0,IF(AND(I23="Yes",L23&gt;0),H23*(1-L23/100),0))</f>
        <v>0</v>
      </c>
      <c r="Q23" s="3" t="n">
        <f aca="false">IF(D23="No",0,IF(AND(I23="No",J23="Yes"),H23*(1-L23/100),0))</f>
        <v>1.5</v>
      </c>
      <c r="R23" s="3" t="str">
        <f aca="false">IF(D23="No","Safe",IF(I23="Yes",IF(L23=0,"SPF","RF"),IF(J23="Yes",IF(L23=0,"MPF_L","MPF_D"),"Safe")))</f>
        <v>MPF_D</v>
      </c>
      <c r="S23" s="3" t="s">
        <v>242</v>
      </c>
      <c r="T23" s="3"/>
      <c r="U23" s="3" t="s">
        <v>243</v>
      </c>
    </row>
    <row r="24" customFormat="false" ht="28.35" hidden="false" customHeight="false" outlineLevel="0" collapsed="false">
      <c r="A24" s="3" t="s">
        <v>96</v>
      </c>
      <c r="B24" s="3" t="s">
        <v>97</v>
      </c>
      <c r="C24" s="3" t="n">
        <v>0.4</v>
      </c>
      <c r="D24" s="3" t="s">
        <v>69</v>
      </c>
      <c r="E24" s="3" t="s">
        <v>244</v>
      </c>
      <c r="F24" s="3" t="s">
        <v>245</v>
      </c>
      <c r="G24" s="3" t="n">
        <v>40</v>
      </c>
      <c r="H24" s="3" t="n">
        <f aca="false">C24*G24/100</f>
        <v>0.16</v>
      </c>
      <c r="I24" s="3" t="s">
        <v>69</v>
      </c>
      <c r="J24" s="3" t="s">
        <v>72</v>
      </c>
      <c r="K24" s="3" t="s">
        <v>135</v>
      </c>
      <c r="L24" s="3" t="n">
        <v>90</v>
      </c>
      <c r="M24" s="3" t="s">
        <v>173</v>
      </c>
      <c r="N24" s="3" t="n">
        <f aca="false">IF(D24="No",0,IF(AND(I24="No",J24="No"),H24,0))</f>
        <v>0</v>
      </c>
      <c r="O24" s="3" t="n">
        <f aca="false">IF(D24="No",0,IF(AND(I24="Yes",L24=0),H24,0))</f>
        <v>0</v>
      </c>
      <c r="P24" s="3" t="n">
        <f aca="false">IF(D24="No",0,IF(AND(I24="Yes",L24&gt;0),H24*(1-L24/100),0))</f>
        <v>0.016</v>
      </c>
      <c r="Q24" s="3" t="n">
        <f aca="false">IF(D24="No",0,IF(AND(I24="No",J24="Yes"),H24*(1-L24/100),0))</f>
        <v>0</v>
      </c>
      <c r="R24" s="3" t="str">
        <f aca="false">IF(D24="No","Safe",IF(I24="Yes",IF(L24=0,"SPF","RF"),IF(J24="Yes",IF(L24=0,"MPF_L","MPF_D"),"Safe")))</f>
        <v>RF</v>
      </c>
      <c r="S24" s="3" t="s">
        <v>234</v>
      </c>
      <c r="T24" s="3"/>
      <c r="U24" s="3" t="s">
        <v>246</v>
      </c>
    </row>
    <row r="25" customFormat="false" ht="28.35" hidden="false" customHeight="false" outlineLevel="0" collapsed="false">
      <c r="A25" s="3" t="s">
        <v>96</v>
      </c>
      <c r="B25" s="3" t="s">
        <v>97</v>
      </c>
      <c r="C25" s="3" t="n">
        <v>0.4</v>
      </c>
      <c r="D25" s="3" t="s">
        <v>69</v>
      </c>
      <c r="E25" s="3" t="s">
        <v>247</v>
      </c>
      <c r="F25" s="3" t="s">
        <v>248</v>
      </c>
      <c r="G25" s="3" t="n">
        <v>60</v>
      </c>
      <c r="H25" s="3" t="n">
        <f aca="false">C25*G25/100</f>
        <v>0.24</v>
      </c>
      <c r="I25" s="3" t="s">
        <v>72</v>
      </c>
      <c r="J25" s="3" t="s">
        <v>72</v>
      </c>
      <c r="K25" s="3"/>
      <c r="L25" s="3" t="n">
        <v>0</v>
      </c>
      <c r="M25" s="3"/>
      <c r="N25" s="3" t="n">
        <f aca="false">IF(D25="No",0,IF(AND(I25="No",J25="No"),H25,0))</f>
        <v>0.24</v>
      </c>
      <c r="O25" s="3" t="n">
        <f aca="false">IF(D25="No",0,IF(AND(I25="Yes",L25=0),H25,0))</f>
        <v>0</v>
      </c>
      <c r="P25" s="3" t="n">
        <f aca="false">IF(D25="No",0,IF(AND(I25="Yes",L25&gt;0),H25*(1-L25/100),0))</f>
        <v>0</v>
      </c>
      <c r="Q25" s="3" t="n">
        <f aca="false">IF(D25="No",0,IF(AND(I25="No",J25="Yes"),H25*(1-L25/100),0))</f>
        <v>0</v>
      </c>
      <c r="R25" s="3" t="str">
        <f aca="false">IF(D25="No","Safe",IF(I25="Yes",IF(L25=0,"SPF","RF"),IF(J25="Yes",IF(L25=0,"MPF_L","MPF_D"),"Safe")))</f>
        <v>Safe</v>
      </c>
      <c r="S25" s="3" t="s">
        <v>238</v>
      </c>
      <c r="T25" s="3"/>
      <c r="U25" s="3"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6" min="16" style="0" width="70"/>
  </cols>
  <sheetData>
    <row r="1" customFormat="false" ht="41.75" hidden="false" customHeight="false" outlineLevel="0" collapsed="false">
      <c r="A1" s="4" t="s">
        <v>250</v>
      </c>
      <c r="B1" s="4" t="s">
        <v>149</v>
      </c>
      <c r="C1" s="4" t="s">
        <v>152</v>
      </c>
      <c r="D1" s="4" t="s">
        <v>58</v>
      </c>
      <c r="E1" s="4" t="s">
        <v>251</v>
      </c>
      <c r="F1" s="4" t="s">
        <v>252</v>
      </c>
      <c r="G1" s="4" t="s">
        <v>253</v>
      </c>
      <c r="H1" s="4" t="s">
        <v>153</v>
      </c>
      <c r="I1" s="4" t="s">
        <v>154</v>
      </c>
      <c r="J1" s="4" t="s">
        <v>155</v>
      </c>
      <c r="K1" s="4" t="s">
        <v>156</v>
      </c>
      <c r="L1" s="4" t="s">
        <v>158</v>
      </c>
      <c r="M1" s="4" t="s">
        <v>159</v>
      </c>
      <c r="N1" s="4" t="s">
        <v>160</v>
      </c>
      <c r="O1" s="4" t="s">
        <v>161</v>
      </c>
      <c r="P1" s="4" t="s">
        <v>254</v>
      </c>
    </row>
    <row r="2" customFormat="false" ht="28.35" hidden="false" customHeight="false" outlineLevel="0" collapsed="false">
      <c r="A2" s="3" t="s">
        <v>255</v>
      </c>
      <c r="B2" s="3" t="s">
        <v>166</v>
      </c>
      <c r="C2" s="3" t="n">
        <f aca="false">06_FMEDA_Worksheet!H2</f>
        <v>12.5</v>
      </c>
      <c r="D2" s="3" t="str">
        <f aca="false">06_FMEDA_Worksheet!D2</f>
        <v>Yes</v>
      </c>
      <c r="E2" s="3" t="n">
        <f aca="false">06_FMEDA_Worksheet!O2</f>
        <v>0</v>
      </c>
      <c r="F2" s="3" t="n">
        <f aca="false">06_FMEDA_Worksheet!P2</f>
        <v>0</v>
      </c>
      <c r="G2" s="3" t="n">
        <f aca="false">06_FMEDA_Worksheet!Q2</f>
        <v>12.5</v>
      </c>
      <c r="H2" s="3" t="s">
        <v>69</v>
      </c>
      <c r="I2" s="3" t="s">
        <v>69</v>
      </c>
      <c r="J2" s="3"/>
      <c r="K2" s="3" t="n">
        <v>0</v>
      </c>
      <c r="L2" s="3" t="n">
        <f aca="false">IF(D2="No",0,IF(AND(H2="No",I2="No"),C2,0))</f>
        <v>0</v>
      </c>
      <c r="M2" s="3" t="n">
        <f aca="false">IF(D2="No",0,IF(AND(H2="Yes",K2=0),C2,0))</f>
        <v>12.5</v>
      </c>
      <c r="N2" s="3" t="n">
        <f aca="false">IF(D2="No",0,IF(AND(H2="Yes",K2&gt;0),C2*(1-K2/100),0))</f>
        <v>0</v>
      </c>
      <c r="O2" s="3" t="n">
        <f aca="false">IF(D2="No",0,IF(AND(H2="No",I2="Yes"),C2*(1-K2/100),0))</f>
        <v>0</v>
      </c>
      <c r="P2" s="3" t="s">
        <v>256</v>
      </c>
    </row>
    <row r="3" customFormat="false" ht="28.35" hidden="false" customHeight="false" outlineLevel="0" collapsed="false">
      <c r="A3" s="3" t="s">
        <v>255</v>
      </c>
      <c r="B3" s="3" t="s">
        <v>196</v>
      </c>
      <c r="C3" s="3" t="n">
        <f aca="false">06_FMEDA_Worksheet!H10</f>
        <v>4</v>
      </c>
      <c r="D3" s="3" t="str">
        <f aca="false">06_FMEDA_Worksheet!D10</f>
        <v>Yes</v>
      </c>
      <c r="E3" s="3" t="n">
        <f aca="false">06_FMEDA_Worksheet!O10</f>
        <v>0</v>
      </c>
      <c r="F3" s="3" t="n">
        <f aca="false">06_FMEDA_Worksheet!P10</f>
        <v>0</v>
      </c>
      <c r="G3" s="3" t="n">
        <f aca="false">06_FMEDA_Worksheet!Q10</f>
        <v>4</v>
      </c>
      <c r="H3" s="3" t="s">
        <v>69</v>
      </c>
      <c r="I3" s="3" t="s">
        <v>69</v>
      </c>
      <c r="J3" s="3"/>
      <c r="K3" s="3" t="n">
        <v>0</v>
      </c>
      <c r="L3" s="3" t="n">
        <f aca="false">IF(D3="No",0,IF(AND(H3="No",I3="No"),C3,0))</f>
        <v>0</v>
      </c>
      <c r="M3" s="3" t="n">
        <f aca="false">IF(D3="No",0,IF(AND(H3="Yes",K3=0),C3,0))</f>
        <v>4</v>
      </c>
      <c r="N3" s="3" t="n">
        <f aca="false">IF(D3="No",0,IF(AND(H3="Yes",K3&gt;0),C3*(1-K3/100),0))</f>
        <v>0</v>
      </c>
      <c r="O3" s="3" t="n">
        <f aca="false">IF(D3="No",0,IF(AND(H3="No",I3="Yes"),C3*(1-K3/100),0))</f>
        <v>0</v>
      </c>
      <c r="P3" s="3" t="s">
        <v>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4" min="3" style="0" width="22"/>
    <col collapsed="false" customWidth="true" hidden="false" outlineLevel="0" max="6" min="5" style="0" width="10"/>
  </cols>
  <sheetData>
    <row r="1" customFormat="false" ht="28.35" hidden="false" customHeight="false" outlineLevel="0" collapsed="false">
      <c r="A1" s="4" t="s">
        <v>258</v>
      </c>
      <c r="B1" s="4" t="s">
        <v>259</v>
      </c>
      <c r="C1" s="4" t="s">
        <v>260</v>
      </c>
      <c r="D1" s="4" t="s">
        <v>261</v>
      </c>
      <c r="E1" s="4" t="s">
        <v>262</v>
      </c>
      <c r="F1" s="4" t="s">
        <v>263</v>
      </c>
      <c r="G1" s="4" t="s">
        <v>7</v>
      </c>
    </row>
    <row r="2" customFormat="false" ht="15" hidden="false" customHeight="false" outlineLevel="0" collapsed="false">
      <c r="A2" s="0" t="s">
        <v>264</v>
      </c>
      <c r="B2" s="0" t="s">
        <v>265</v>
      </c>
      <c r="C2" s="0" t="n">
        <f aca="false">SUM(06_FMEDA_Worksheet!O2:O25)+(SUMIF(06b_Per_Goal_Rows!$A$2:$A$3,"SG-01",06b_Per_Goal_Rows!$M$2:$M$3)-SUMIF(06b_Per_Goal_Rows!$A$2:$A$3,"SG-01",06b_Per_Goal_Rows!$E$2:$E$3))+SUM(06_FMEDA_Worksheet!P2:P25)+(SUMIF(06b_Per_Goal_Rows!$A$2:$A$3,"SG-01",06b_Per_Goal_Rows!$N$2:$N$3)-SUMIF(06b_Per_Goal_Rows!$A$2:$A$3,"SG-01",06b_Per_Goal_Rows!$F$2:$F$3))</f>
        <v>8.066</v>
      </c>
      <c r="D2" s="0" t="n">
        <f aca="false">SUMIF(06_FMEDA_Worksheet!D2:D25,"Yes",06_FMEDA_Worksheet!H2:H25)</f>
        <v>255.4</v>
      </c>
      <c r="E2" s="0" t="n">
        <f aca="false">1-C2/D2</f>
        <v>0.968418167580266</v>
      </c>
      <c r="F2" s="0" t="n">
        <v>0.97</v>
      </c>
      <c r="G2" s="0" t="str">
        <f aca="false">IF(E2&gt;=F2,"PASS","FAIL")</f>
        <v>FAIL</v>
      </c>
    </row>
    <row r="3" customFormat="false" ht="15" hidden="false" customHeight="false" outlineLevel="0" collapsed="false">
      <c r="A3" s="0" t="s">
        <v>264</v>
      </c>
      <c r="B3" s="0" t="s">
        <v>266</v>
      </c>
      <c r="C3" s="0" t="n">
        <f aca="false">SUM(06_FMEDA_Worksheet!O2:O25)+(SUMIF(06b_Per_Goal_Rows!$A$2:$A$3,"SG-01",06b_Per_Goal_Rows!$M$2:$M$3)-SUMIF(06b_Per_Goal_Rows!$A$2:$A$3,"SG-01",06b_Per_Goal_Rows!$E$2:$E$3))+SUM(06_FMEDA_Worksheet!P2:P25)+(SUMIF(06b_Per_Goal_Rows!$A$2:$A$3,"SG-01",06b_Per_Goal_Rows!$N$2:$N$3)-SUMIF(06b_Per_Goal_Rows!$A$2:$A$3,"SG-01",06b_Per_Goal_Rows!$F$2:$F$3))</f>
        <v>8.066</v>
      </c>
      <c r="D3" s="0" t="n">
        <f aca="false">SUMIF(06_FMEDA_Worksheet!D2:D25,"Yes",06_FMEDA_Worksheet!H2:H25)</f>
        <v>255.4</v>
      </c>
      <c r="E3" s="0" t="n">
        <f aca="false">1-C3/D3</f>
        <v>0.968418167580266</v>
      </c>
      <c r="F3" s="0" t="n">
        <v>0.9</v>
      </c>
      <c r="G3" s="0" t="str">
        <f aca="false">IF(E3&gt;=F3,"PASS","FAIL")</f>
        <v>PASS</v>
      </c>
    </row>
    <row r="4" customFormat="false" ht="15" hidden="false" customHeight="false" outlineLevel="0" collapsed="false">
      <c r="A4" s="0" t="s">
        <v>267</v>
      </c>
      <c r="B4" s="0" t="s">
        <v>265</v>
      </c>
      <c r="C4" s="0" t="n">
        <f aca="false">SUM(06_FMEDA_Worksheet!O2:O25)+(SUMIF(06b_Per_Goal_Rows!$A$2:$A$3,"SG-02",06b_Per_Goal_Rows!$M$2:$M$3)-SUMIF(06b_Per_Goal_Rows!$A$2:$A$3,"SG-02",06b_Per_Goal_Rows!$E$2:$E$3))+SUM(06_FMEDA_Worksheet!P2:P25)+(SUMIF(06b_Per_Goal_Rows!$A$2:$A$3,"SG-02",06b_Per_Goal_Rows!$N$2:$N$3)-SUMIF(06b_Per_Goal_Rows!$A$2:$A$3,"SG-02",06b_Per_Goal_Rows!$F$2:$F$3))</f>
        <v>8.066</v>
      </c>
      <c r="D4" s="0" t="n">
        <f aca="false">SUMIF(06_FMEDA_Worksheet!D2:D25,"Yes",06_FMEDA_Worksheet!H2:H25)</f>
        <v>255.4</v>
      </c>
      <c r="E4" s="0" t="n">
        <f aca="false">1-C4/D4</f>
        <v>0.968418167580266</v>
      </c>
      <c r="F4" s="0" t="n">
        <v>0.97</v>
      </c>
      <c r="G4" s="0" t="str">
        <f aca="false">IF(E4&gt;=F4,"PASS","FAIL")</f>
        <v>FAIL</v>
      </c>
    </row>
    <row r="5" customFormat="false" ht="15" hidden="false" customHeight="false" outlineLevel="0" collapsed="false">
      <c r="A5" s="0" t="s">
        <v>268</v>
      </c>
      <c r="B5" s="0" t="s">
        <v>265</v>
      </c>
      <c r="C5" s="0" t="n">
        <f aca="false">SUM(06_FMEDA_Worksheet!O2:O25)+(SUMIF(06b_Per_Goal_Rows!$A$2:$A$3,"SG-03",06b_Per_Goal_Rows!$M$2:$M$3)-SUMIF(06b_Per_Goal_Rows!$A$2:$A$3,"SG-03",06b_Per_Goal_Rows!$E$2:$E$3))+SUM(06_FMEDA_Worksheet!P2:P25)+(SUMIF(06b_Per_Goal_Rows!$A$2:$A$3,"SG-03",06b_Per_Goal_Rows!$N$2:$N$3)-SUMIF(06b_Per_Goal_Rows!$A$2:$A$3,"SG-03",06b_Per_Goal_Rows!$F$2:$F$3))</f>
        <v>8.066</v>
      </c>
      <c r="D5" s="0" t="n">
        <f aca="false">SUMIF(06_FMEDA_Worksheet!D2:D25,"Yes",06_FMEDA_Worksheet!H2:H25)</f>
        <v>255.4</v>
      </c>
      <c r="E5" s="0" t="n">
        <f aca="false">1-C5/D5</f>
        <v>0.968418167580266</v>
      </c>
      <c r="F5" s="0" t="n">
        <v>0.97</v>
      </c>
      <c r="G5" s="0" t="str">
        <f aca="false">IF(E5&gt;=F5,"PASS","FAIL")</f>
        <v>FAIL</v>
      </c>
    </row>
    <row r="6" customFormat="false" ht="15" hidden="false" customHeight="false" outlineLevel="0" collapsed="false">
      <c r="A6" s="0" t="s">
        <v>269</v>
      </c>
      <c r="B6" s="0" t="s">
        <v>270</v>
      </c>
      <c r="C6" s="0" t="n">
        <f aca="false">SUM(06_FMEDA_Worksheet!O2:O25)+(SUMIF(06b_Per_Goal_Rows!$A$2:$A$3,"SG-04",06b_Per_Goal_Rows!$M$2:$M$3)-SUMIF(06b_Per_Goal_Rows!$A$2:$A$3,"SG-04",06b_Per_Goal_Rows!$E$2:$E$3))+SUM(06_FMEDA_Worksheet!P2:P25)+(SUMIF(06b_Per_Goal_Rows!$A$2:$A$3,"SG-04",06b_Per_Goal_Rows!$N$2:$N$3)-SUMIF(06b_Per_Goal_Rows!$A$2:$A$3,"SG-04",06b_Per_Goal_Rows!$F$2:$F$3))</f>
        <v>8.066</v>
      </c>
      <c r="D6" s="0" t="n">
        <f aca="false">SUMIF(06_FMEDA_Worksheet!D2:D25,"Yes",06_FMEDA_Worksheet!H2:H25)</f>
        <v>255.4</v>
      </c>
      <c r="E6" s="0" t="n">
        <f aca="false">1-C6/D6</f>
        <v>0.968418167580266</v>
      </c>
      <c r="F6" s="0" t="n">
        <v>0.9</v>
      </c>
      <c r="G6" s="0" t="str">
        <f aca="false">IF(E6&gt;=F6,"PASS","FAIL")</f>
        <v>PASS</v>
      </c>
    </row>
    <row r="7" customFormat="false" ht="15" hidden="false" customHeight="false" outlineLevel="0" collapsed="false">
      <c r="A7" s="0" t="s">
        <v>255</v>
      </c>
      <c r="B7" s="0" t="s">
        <v>270</v>
      </c>
      <c r="C7" s="0" t="n">
        <f aca="false">SUM(06_FMEDA_Worksheet!O2:O25)+(SUMIF(06b_Per_Goal_Rows!$A$2:$A$3,"SG-05",06b_Per_Goal_Rows!$M$2:$M$3)-SUMIF(06b_Per_Goal_Rows!$A$2:$A$3,"SG-05",06b_Per_Goal_Rows!$E$2:$E$3))+SUM(06_FMEDA_Worksheet!P2:P25)+(SUMIF(06b_Per_Goal_Rows!$A$2:$A$3,"SG-05",06b_Per_Goal_Rows!$N$2:$N$3)-SUMIF(06b_Per_Goal_Rows!$A$2:$A$3,"SG-05",06b_Per_Goal_Rows!$F$2:$F$3))</f>
        <v>24.566</v>
      </c>
      <c r="D7" s="0" t="n">
        <f aca="false">SUMIF(06_FMEDA_Worksheet!D2:D25,"Yes",06_FMEDA_Worksheet!H2:H25)</f>
        <v>255.4</v>
      </c>
      <c r="E7" s="0" t="n">
        <f aca="false">1-C7/D7</f>
        <v>0.9038136256852</v>
      </c>
      <c r="F7" s="0" t="n">
        <v>0.9</v>
      </c>
      <c r="G7" s="0" t="str">
        <f aca="false">IF(E7&gt;=F7,"PASS","FAIL")</f>
        <v>PASS</v>
      </c>
    </row>
    <row r="8" customFormat="false" ht="15" hidden="false" customHeight="false" outlineLevel="0" collapsed="false">
      <c r="A8" s="0" t="s">
        <v>271</v>
      </c>
      <c r="B8" s="0" t="s">
        <v>265</v>
      </c>
      <c r="C8" s="0" t="n">
        <f aca="false">SUM(06_FMEDA_Worksheet!O2:O25)+(SUMIF(06b_Per_Goal_Rows!$A$2:$A$3,"SG-06",06b_Per_Goal_Rows!$M$2:$M$3)-SUMIF(06b_Per_Goal_Rows!$A$2:$A$3,"SG-06",06b_Per_Goal_Rows!$E$2:$E$3))+SUM(06_FMEDA_Worksheet!P2:P25)+(SUMIF(06b_Per_Goal_Rows!$A$2:$A$3,"SG-06",06b_Per_Goal_Rows!$N$2:$N$3)-SUMIF(06b_Per_Goal_Rows!$A$2:$A$3,"SG-06",06b_Per_Goal_Rows!$F$2:$F$3))</f>
        <v>8.066</v>
      </c>
      <c r="D8" s="0" t="n">
        <f aca="false">SUMIF(06_FMEDA_Worksheet!D2:D25,"Yes",06_FMEDA_Worksheet!H2:H25)</f>
        <v>255.4</v>
      </c>
      <c r="E8" s="0" t="n">
        <f aca="false">1-C8/D8</f>
        <v>0.968418167580266</v>
      </c>
      <c r="F8" s="0" t="n">
        <v>0.97</v>
      </c>
      <c r="G8" s="0" t="str">
        <f aca="false">IF(E8&gt;=F8,"PASS","FAIL")</f>
        <v>FAIL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4" min="3" style="0" width="22"/>
    <col collapsed="false" customWidth="true" hidden="false" outlineLevel="0" max="6" min="5" style="0" width="10"/>
  </cols>
  <sheetData>
    <row r="1" customFormat="false" ht="28.35" hidden="false" customHeight="false" outlineLevel="0" collapsed="false">
      <c r="A1" s="4" t="s">
        <v>258</v>
      </c>
      <c r="B1" s="4" t="s">
        <v>259</v>
      </c>
      <c r="C1" s="4" t="s">
        <v>272</v>
      </c>
      <c r="D1" s="4" t="s">
        <v>273</v>
      </c>
      <c r="E1" s="4" t="s">
        <v>274</v>
      </c>
      <c r="F1" s="4" t="s">
        <v>263</v>
      </c>
      <c r="G1" s="4" t="s">
        <v>7</v>
      </c>
    </row>
    <row r="2" customFormat="false" ht="15" hidden="false" customHeight="false" outlineLevel="0" collapsed="false">
      <c r="A2" s="0" t="s">
        <v>264</v>
      </c>
      <c r="B2" s="0" t="s">
        <v>265</v>
      </c>
      <c r="C2" s="0" t="n">
        <f aca="false">SUM(06_FMEDA_Worksheet!Q2:Q25)+(SUMIF(06b_Per_Goal_Rows!$A$2:$A$3,"SG-01",06b_Per_Goal_Rows!$O$2:$O$3)-SUMIF(06b_Per_Goal_Rows!$A$2:$A$3,"SG-01",06b_Per_Goal_Rows!$G$2:$G$3))</f>
        <v>27.35</v>
      </c>
      <c r="D2" s="0" t="n">
        <f aca="false">SUMIF(06_FMEDA_Worksheet!D2:D25,"Yes",06_FMEDA_Worksheet!H2:H25)-(SUM(06_FMEDA_Worksheet!O2:O25)+(SUMIF(06b_Per_Goal_Rows!$A$2:$A$3,"SG-01",06b_Per_Goal_Rows!$M$2:$M$3)-SUMIF(06b_Per_Goal_Rows!$A$2:$A$3,"SG-01",06b_Per_Goal_Rows!$E$2:$E$3))+SUM(06_FMEDA_Worksheet!P2:P25)+(SUMIF(06b_Per_Goal_Rows!$A$2:$A$3,"SG-01",06b_Per_Goal_Rows!$N$2:$N$3)-SUMIF(06b_Per_Goal_Rows!$A$2:$A$3,"SG-01",06b_Per_Goal_Rows!$F$2:$F$3)))</f>
        <v>247.334</v>
      </c>
      <c r="E2" s="0" t="n">
        <f aca="false">IF(D2=0,1,1-C2/D2)</f>
        <v>0.88942078323239</v>
      </c>
      <c r="F2" s="0" t="n">
        <v>0.8</v>
      </c>
      <c r="G2" s="0" t="str">
        <f aca="false">IF(E2&gt;=F2,"PASS","FAIL")</f>
        <v>PASS</v>
      </c>
    </row>
    <row r="3" customFormat="false" ht="15" hidden="false" customHeight="false" outlineLevel="0" collapsed="false">
      <c r="A3" s="0" t="s">
        <v>264</v>
      </c>
      <c r="B3" s="0" t="s">
        <v>266</v>
      </c>
      <c r="C3" s="0" t="n">
        <f aca="false">SUM(06_FMEDA_Worksheet!Q2:Q25)+(SUMIF(06b_Per_Goal_Rows!$A$2:$A$3,"SG-01",06b_Per_Goal_Rows!$O$2:$O$3)-SUMIF(06b_Per_Goal_Rows!$A$2:$A$3,"SG-01",06b_Per_Goal_Rows!$G$2:$G$3))</f>
        <v>27.35</v>
      </c>
      <c r="D3" s="0" t="n">
        <f aca="false">SUMIF(06_FMEDA_Worksheet!D2:D25,"Yes",06_FMEDA_Worksheet!H2:H25)-(SUM(06_FMEDA_Worksheet!O2:O25)+(SUMIF(06b_Per_Goal_Rows!$A$2:$A$3,"SG-01",06b_Per_Goal_Rows!$M$2:$M$3)-SUMIF(06b_Per_Goal_Rows!$A$2:$A$3,"SG-01",06b_Per_Goal_Rows!$E$2:$E$3))+SUM(06_FMEDA_Worksheet!P2:P25)+(SUMIF(06b_Per_Goal_Rows!$A$2:$A$3,"SG-01",06b_Per_Goal_Rows!$N$2:$N$3)-SUMIF(06b_Per_Goal_Rows!$A$2:$A$3,"SG-01",06b_Per_Goal_Rows!$F$2:$F$3)))</f>
        <v>247.334</v>
      </c>
      <c r="E3" s="0" t="n">
        <f aca="false">IF(D3=0,1,1-C3/D3)</f>
        <v>0.88942078323239</v>
      </c>
      <c r="F3" s="0" t="n">
        <v>0.6</v>
      </c>
      <c r="G3" s="0" t="str">
        <f aca="false">IF(E3&gt;=F3,"PASS","FAIL")</f>
        <v>PASS</v>
      </c>
    </row>
    <row r="4" customFormat="false" ht="15" hidden="false" customHeight="false" outlineLevel="0" collapsed="false">
      <c r="A4" s="0" t="s">
        <v>267</v>
      </c>
      <c r="B4" s="0" t="s">
        <v>265</v>
      </c>
      <c r="C4" s="0" t="n">
        <f aca="false">SUM(06_FMEDA_Worksheet!Q2:Q25)+(SUMIF(06b_Per_Goal_Rows!$A$2:$A$3,"SG-02",06b_Per_Goal_Rows!$O$2:$O$3)-SUMIF(06b_Per_Goal_Rows!$A$2:$A$3,"SG-02",06b_Per_Goal_Rows!$G$2:$G$3))</f>
        <v>27.35</v>
      </c>
      <c r="D4" s="0" t="n">
        <f aca="false">SUMIF(06_FMEDA_Worksheet!D2:D25,"Yes",06_FMEDA_Worksheet!H2:H25)-(SUM(06_FMEDA_Worksheet!O2:O25)+(SUMIF(06b_Per_Goal_Rows!$A$2:$A$3,"SG-02",06b_Per_Goal_Rows!$M$2:$M$3)-SUMIF(06b_Per_Goal_Rows!$A$2:$A$3,"SG-02",06b_Per_Goal_Rows!$E$2:$E$3))+SUM(06_FMEDA_Worksheet!P2:P25)+(SUMIF(06b_Per_Goal_Rows!$A$2:$A$3,"SG-02",06b_Per_Goal_Rows!$N$2:$N$3)-SUMIF(06b_Per_Goal_Rows!$A$2:$A$3,"SG-02",06b_Per_Goal_Rows!$F$2:$F$3)))</f>
        <v>247.334</v>
      </c>
      <c r="E4" s="0" t="n">
        <f aca="false">IF(D4=0,1,1-C4/D4)</f>
        <v>0.88942078323239</v>
      </c>
      <c r="F4" s="0" t="n">
        <v>0.8</v>
      </c>
      <c r="G4" s="0" t="str">
        <f aca="false">IF(E4&gt;=F4,"PASS","FAIL")</f>
        <v>PASS</v>
      </c>
    </row>
    <row r="5" customFormat="false" ht="15" hidden="false" customHeight="false" outlineLevel="0" collapsed="false">
      <c r="A5" s="0" t="s">
        <v>268</v>
      </c>
      <c r="B5" s="0" t="s">
        <v>265</v>
      </c>
      <c r="C5" s="0" t="n">
        <f aca="false">SUM(06_FMEDA_Worksheet!Q2:Q25)+(SUMIF(06b_Per_Goal_Rows!$A$2:$A$3,"SG-03",06b_Per_Goal_Rows!$O$2:$O$3)-SUMIF(06b_Per_Goal_Rows!$A$2:$A$3,"SG-03",06b_Per_Goal_Rows!$G$2:$G$3))</f>
        <v>27.35</v>
      </c>
      <c r="D5" s="0" t="n">
        <f aca="false">SUMIF(06_FMEDA_Worksheet!D2:D25,"Yes",06_FMEDA_Worksheet!H2:H25)-(SUM(06_FMEDA_Worksheet!O2:O25)+(SUMIF(06b_Per_Goal_Rows!$A$2:$A$3,"SG-03",06b_Per_Goal_Rows!$M$2:$M$3)-SUMIF(06b_Per_Goal_Rows!$A$2:$A$3,"SG-03",06b_Per_Goal_Rows!$E$2:$E$3))+SUM(06_FMEDA_Worksheet!P2:P25)+(SUMIF(06b_Per_Goal_Rows!$A$2:$A$3,"SG-03",06b_Per_Goal_Rows!$N$2:$N$3)-SUMIF(06b_Per_Goal_Rows!$A$2:$A$3,"SG-03",06b_Per_Goal_Rows!$F$2:$F$3)))</f>
        <v>247.334</v>
      </c>
      <c r="E5" s="0" t="n">
        <f aca="false">IF(D5=0,1,1-C5/D5)</f>
        <v>0.88942078323239</v>
      </c>
      <c r="F5" s="0" t="n">
        <v>0.8</v>
      </c>
      <c r="G5" s="0" t="str">
        <f aca="false">IF(E5&gt;=F5,"PASS","FAIL")</f>
        <v>PASS</v>
      </c>
    </row>
    <row r="6" customFormat="false" ht="15" hidden="false" customHeight="false" outlineLevel="0" collapsed="false">
      <c r="A6" s="0" t="s">
        <v>269</v>
      </c>
      <c r="B6" s="0" t="s">
        <v>270</v>
      </c>
      <c r="C6" s="0" t="n">
        <f aca="false">SUM(06_FMEDA_Worksheet!Q2:Q25)+(SUMIF(06b_Per_Goal_Rows!$A$2:$A$3,"SG-04",06b_Per_Goal_Rows!$O$2:$O$3)-SUMIF(06b_Per_Goal_Rows!$A$2:$A$3,"SG-04",06b_Per_Goal_Rows!$G$2:$G$3))</f>
        <v>27.35</v>
      </c>
      <c r="D6" s="0" t="n">
        <f aca="false">SUMIF(06_FMEDA_Worksheet!D2:D25,"Yes",06_FMEDA_Worksheet!H2:H25)-(SUM(06_FMEDA_Worksheet!O2:O25)+(SUMIF(06b_Per_Goal_Rows!$A$2:$A$3,"SG-04",06b_Per_Goal_Rows!$M$2:$M$3)-SUMIF(06b_Per_Goal_Rows!$A$2:$A$3,"SG-04",06b_Per_Goal_Rows!$E$2:$E$3))+SUM(06_FMEDA_Worksheet!P2:P25)+(SUMIF(06b_Per_Goal_Rows!$A$2:$A$3,"SG-04",06b_Per_Goal_Rows!$N$2:$N$3)-SUMIF(06b_Per_Goal_Rows!$A$2:$A$3,"SG-04",06b_Per_Goal_Rows!$F$2:$F$3)))</f>
        <v>247.334</v>
      </c>
      <c r="E6" s="0" t="n">
        <f aca="false">IF(D6=0,1,1-C6/D6)</f>
        <v>0.88942078323239</v>
      </c>
      <c r="F6" s="0" t="n">
        <v>0.6</v>
      </c>
      <c r="G6" s="0" t="str">
        <f aca="false">IF(E6&gt;=F6,"PASS","FAIL")</f>
        <v>PASS</v>
      </c>
    </row>
    <row r="7" customFormat="false" ht="15" hidden="false" customHeight="false" outlineLevel="0" collapsed="false">
      <c r="A7" s="0" t="s">
        <v>255</v>
      </c>
      <c r="B7" s="0" t="s">
        <v>270</v>
      </c>
      <c r="C7" s="0" t="n">
        <f aca="false">SUM(06_FMEDA_Worksheet!Q2:Q25)+(SUMIF(06b_Per_Goal_Rows!$A$2:$A$3,"SG-05",06b_Per_Goal_Rows!$O$2:$O$3)-SUMIF(06b_Per_Goal_Rows!$A$2:$A$3,"SG-05",06b_Per_Goal_Rows!$G$2:$G$3))</f>
        <v>10.85</v>
      </c>
      <c r="D7" s="0" t="n">
        <f aca="false">SUMIF(06_FMEDA_Worksheet!D2:D25,"Yes",06_FMEDA_Worksheet!H2:H25)-(SUM(06_FMEDA_Worksheet!O2:O25)+(SUMIF(06b_Per_Goal_Rows!$A$2:$A$3,"SG-05",06b_Per_Goal_Rows!$M$2:$M$3)-SUMIF(06b_Per_Goal_Rows!$A$2:$A$3,"SG-05",06b_Per_Goal_Rows!$E$2:$E$3))+SUM(06_FMEDA_Worksheet!P2:P25)+(SUMIF(06b_Per_Goal_Rows!$A$2:$A$3,"SG-05",06b_Per_Goal_Rows!$N$2:$N$3)-SUMIF(06b_Per_Goal_Rows!$A$2:$A$3,"SG-05",06b_Per_Goal_Rows!$F$2:$F$3)))</f>
        <v>230.834</v>
      </c>
      <c r="E7" s="0" t="n">
        <f aca="false">IF(D7=0,1,1-C7/D7)</f>
        <v>0.952996525641803</v>
      </c>
      <c r="F7" s="0" t="n">
        <v>0.6</v>
      </c>
      <c r="G7" s="0" t="str">
        <f aca="false">IF(E7&gt;=F7,"PASS","FAIL")</f>
        <v>PASS</v>
      </c>
    </row>
    <row r="8" customFormat="false" ht="15" hidden="false" customHeight="false" outlineLevel="0" collapsed="false">
      <c r="A8" s="0" t="s">
        <v>271</v>
      </c>
      <c r="B8" s="0" t="s">
        <v>265</v>
      </c>
      <c r="C8" s="0" t="n">
        <f aca="false">SUM(06_FMEDA_Worksheet!Q2:Q25)+(SUMIF(06b_Per_Goal_Rows!$A$2:$A$3,"SG-06",06b_Per_Goal_Rows!$O$2:$O$3)-SUMIF(06b_Per_Goal_Rows!$A$2:$A$3,"SG-06",06b_Per_Goal_Rows!$G$2:$G$3))</f>
        <v>27.35</v>
      </c>
      <c r="D8" s="0" t="n">
        <f aca="false">SUMIF(06_FMEDA_Worksheet!D2:D25,"Yes",06_FMEDA_Worksheet!H2:H25)-(SUM(06_FMEDA_Worksheet!O2:O25)+(SUMIF(06b_Per_Goal_Rows!$A$2:$A$3,"SG-06",06b_Per_Goal_Rows!$M$2:$M$3)-SUMIF(06b_Per_Goal_Rows!$A$2:$A$3,"SG-06",06b_Per_Goal_Rows!$E$2:$E$3))+SUM(06_FMEDA_Worksheet!P2:P25)+(SUMIF(06b_Per_Goal_Rows!$A$2:$A$3,"SG-06",06b_Per_Goal_Rows!$N$2:$N$3)-SUMIF(06b_Per_Goal_Rows!$A$2:$A$3,"SG-06",06b_Per_Goal_Rows!$F$2:$F$3)))</f>
        <v>247.334</v>
      </c>
      <c r="E8" s="0" t="n">
        <f aca="false">IF(D8=0,1,1-C8/D8)</f>
        <v>0.88942078323239</v>
      </c>
      <c r="F8" s="0" t="n">
        <v>0.8</v>
      </c>
      <c r="G8" s="0" t="str">
        <f aca="false">IF(E8&gt;=F8,"PASS","FAIL")</f>
        <v>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4" min="3" style="0" width="22"/>
    <col collapsed="false" customWidth="true" hidden="false" outlineLevel="0" max="6" min="5" style="0" width="10"/>
  </cols>
  <sheetData>
    <row r="1" customFormat="false" ht="15" hidden="false" customHeight="false" outlineLevel="0" collapsed="false">
      <c r="A1" s="4" t="s">
        <v>258</v>
      </c>
      <c r="B1" s="4" t="s">
        <v>259</v>
      </c>
      <c r="C1" s="4" t="s">
        <v>275</v>
      </c>
      <c r="D1" s="4" t="s">
        <v>276</v>
      </c>
      <c r="E1" s="4" t="s">
        <v>7</v>
      </c>
      <c r="F1" s="4" t="s">
        <v>277</v>
      </c>
    </row>
    <row r="2" customFormat="false" ht="15" hidden="false" customHeight="false" outlineLevel="0" collapsed="false">
      <c r="A2" s="0" t="s">
        <v>264</v>
      </c>
      <c r="B2" s="0" t="s">
        <v>265</v>
      </c>
      <c r="C2" s="0" t="n">
        <f aca="false">SUM(06_FMEDA_Worksheet!O2:O25)+(SUMIF(06b_Per_Goal_Rows!$A$2:$A$3,"SG-01",06b_Per_Goal_Rows!$M$2:$M$3)-SUMIF(06b_Per_Goal_Rows!$A$2:$A$3,"SG-01",06b_Per_Goal_Rows!$E$2:$E$3))+SUM(06_FMEDA_Worksheet!P2:P25)+(SUMIF(06b_Per_Goal_Rows!$A$2:$A$3,"SG-01",06b_Per_Goal_Rows!$N$2:$N$3)-SUMIF(06b_Per_Goal_Rows!$A$2:$A$3,"SG-01",06b_Per_Goal_Rows!$F$2:$F$3))</f>
        <v>8.066</v>
      </c>
      <c r="D2" s="0" t="n">
        <v>100</v>
      </c>
      <c r="E2" s="0" t="str">
        <f aca="false">IF(C2&lt;D2,"PASS","FAIL")</f>
        <v>PASS</v>
      </c>
      <c r="F2" s="0" t="s">
        <v>278</v>
      </c>
    </row>
    <row r="3" customFormat="false" ht="15" hidden="false" customHeight="false" outlineLevel="0" collapsed="false">
      <c r="A3" s="0" t="s">
        <v>264</v>
      </c>
      <c r="B3" s="0" t="s">
        <v>266</v>
      </c>
      <c r="C3" s="0" t="n">
        <f aca="false">SUM(06_FMEDA_Worksheet!O2:O25)+(SUMIF(06b_Per_Goal_Rows!$A$2:$A$3,"SG-01",06b_Per_Goal_Rows!$M$2:$M$3)-SUMIF(06b_Per_Goal_Rows!$A$2:$A$3,"SG-01",06b_Per_Goal_Rows!$E$2:$E$3))+SUM(06_FMEDA_Worksheet!P2:P25)+(SUMIF(06b_Per_Goal_Rows!$A$2:$A$3,"SG-01",06b_Per_Goal_Rows!$N$2:$N$3)-SUMIF(06b_Per_Goal_Rows!$A$2:$A$3,"SG-01",06b_Per_Goal_Rows!$F$2:$F$3))</f>
        <v>8.066</v>
      </c>
      <c r="D3" s="0" t="n">
        <v>100</v>
      </c>
      <c r="E3" s="0" t="str">
        <f aca="false">IF(C3&lt;D3,"PASS","FAIL")</f>
        <v>PASS</v>
      </c>
      <c r="F3" s="0" t="s">
        <v>278</v>
      </c>
    </row>
    <row r="4" customFormat="false" ht="15" hidden="false" customHeight="false" outlineLevel="0" collapsed="false">
      <c r="A4" s="0" t="s">
        <v>267</v>
      </c>
      <c r="B4" s="0" t="s">
        <v>265</v>
      </c>
      <c r="C4" s="0" t="n">
        <f aca="false">SUM(06_FMEDA_Worksheet!O2:O25)+(SUMIF(06b_Per_Goal_Rows!$A$2:$A$3,"SG-02",06b_Per_Goal_Rows!$M$2:$M$3)-SUMIF(06b_Per_Goal_Rows!$A$2:$A$3,"SG-02",06b_Per_Goal_Rows!$E$2:$E$3))+SUM(06_FMEDA_Worksheet!P2:P25)+(SUMIF(06b_Per_Goal_Rows!$A$2:$A$3,"SG-02",06b_Per_Goal_Rows!$N$2:$N$3)-SUMIF(06b_Per_Goal_Rows!$A$2:$A$3,"SG-02",06b_Per_Goal_Rows!$F$2:$F$3))</f>
        <v>8.066</v>
      </c>
      <c r="D4" s="0" t="n">
        <v>100</v>
      </c>
      <c r="E4" s="0" t="str">
        <f aca="false">IF(C4&lt;D4,"PASS","FAIL")</f>
        <v>PASS</v>
      </c>
      <c r="F4" s="0" t="s">
        <v>278</v>
      </c>
    </row>
    <row r="5" customFormat="false" ht="15" hidden="false" customHeight="false" outlineLevel="0" collapsed="false">
      <c r="A5" s="0" t="s">
        <v>268</v>
      </c>
      <c r="B5" s="0" t="s">
        <v>265</v>
      </c>
      <c r="C5" s="0" t="n">
        <f aca="false">SUM(06_FMEDA_Worksheet!O2:O25)+(SUMIF(06b_Per_Goal_Rows!$A$2:$A$3,"SG-03",06b_Per_Goal_Rows!$M$2:$M$3)-SUMIF(06b_Per_Goal_Rows!$A$2:$A$3,"SG-03",06b_Per_Goal_Rows!$E$2:$E$3))+SUM(06_FMEDA_Worksheet!P2:P25)+(SUMIF(06b_Per_Goal_Rows!$A$2:$A$3,"SG-03",06b_Per_Goal_Rows!$N$2:$N$3)-SUMIF(06b_Per_Goal_Rows!$A$2:$A$3,"SG-03",06b_Per_Goal_Rows!$F$2:$F$3))</f>
        <v>8.066</v>
      </c>
      <c r="D5" s="0" t="n">
        <v>100</v>
      </c>
      <c r="E5" s="0" t="str">
        <f aca="false">IF(C5&lt;D5,"PASS","FAIL")</f>
        <v>PASS</v>
      </c>
      <c r="F5" s="0" t="s">
        <v>278</v>
      </c>
    </row>
    <row r="6" customFormat="false" ht="15" hidden="false" customHeight="false" outlineLevel="0" collapsed="false">
      <c r="A6" s="0" t="s">
        <v>269</v>
      </c>
      <c r="B6" s="0" t="s">
        <v>270</v>
      </c>
      <c r="C6" s="0" t="n">
        <f aca="false">SUM(06_FMEDA_Worksheet!O2:O25)+(SUMIF(06b_Per_Goal_Rows!$A$2:$A$3,"SG-04",06b_Per_Goal_Rows!$M$2:$M$3)-SUMIF(06b_Per_Goal_Rows!$A$2:$A$3,"SG-04",06b_Per_Goal_Rows!$E$2:$E$3))+SUM(06_FMEDA_Worksheet!P2:P25)+(SUMIF(06b_Per_Goal_Rows!$A$2:$A$3,"SG-04",06b_Per_Goal_Rows!$N$2:$N$3)-SUMIF(06b_Per_Goal_Rows!$A$2:$A$3,"SG-04",06b_Per_Goal_Rows!$F$2:$F$3))</f>
        <v>8.066</v>
      </c>
      <c r="D6" s="0" t="n">
        <v>100</v>
      </c>
      <c r="E6" s="0" t="str">
        <f aca="false">IF(C6&lt;D6,"PASS","FAIL")</f>
        <v>PASS</v>
      </c>
      <c r="F6" s="0" t="s">
        <v>278</v>
      </c>
    </row>
    <row r="7" customFormat="false" ht="15" hidden="false" customHeight="false" outlineLevel="0" collapsed="false">
      <c r="A7" s="0" t="s">
        <v>255</v>
      </c>
      <c r="B7" s="0" t="s">
        <v>270</v>
      </c>
      <c r="C7" s="0" t="n">
        <f aca="false">SUM(06_FMEDA_Worksheet!O2:O25)+(SUMIF(06b_Per_Goal_Rows!$A$2:$A$3,"SG-05",06b_Per_Goal_Rows!$M$2:$M$3)-SUMIF(06b_Per_Goal_Rows!$A$2:$A$3,"SG-05",06b_Per_Goal_Rows!$E$2:$E$3))+SUM(06_FMEDA_Worksheet!P2:P25)+(SUMIF(06b_Per_Goal_Rows!$A$2:$A$3,"SG-05",06b_Per_Goal_Rows!$N$2:$N$3)-SUMIF(06b_Per_Goal_Rows!$A$2:$A$3,"SG-05",06b_Per_Goal_Rows!$F$2:$F$3))</f>
        <v>24.566</v>
      </c>
      <c r="D7" s="0" t="n">
        <v>100</v>
      </c>
      <c r="E7" s="0" t="str">
        <f aca="false">IF(C7&lt;D7,"PASS","FAIL")</f>
        <v>PASS</v>
      </c>
      <c r="F7" s="0" t="s">
        <v>278</v>
      </c>
    </row>
    <row r="8" customFormat="false" ht="15" hidden="false" customHeight="false" outlineLevel="0" collapsed="false">
      <c r="A8" s="0" t="s">
        <v>271</v>
      </c>
      <c r="B8" s="0" t="s">
        <v>265</v>
      </c>
      <c r="C8" s="0" t="n">
        <f aca="false">SUM(06_FMEDA_Worksheet!O2:O25)+(SUMIF(06b_Per_Goal_Rows!$A$2:$A$3,"SG-06",06b_Per_Goal_Rows!$M$2:$M$3)-SUMIF(06b_Per_Goal_Rows!$A$2:$A$3,"SG-06",06b_Per_Goal_Rows!$E$2:$E$3))+SUM(06_FMEDA_Worksheet!P2:P25)+(SUMIF(06b_Per_Goal_Rows!$A$2:$A$3,"SG-06",06b_Per_Goal_Rows!$N$2:$N$3)-SUMIF(06b_Per_Goal_Rows!$A$2:$A$3,"SG-06",06b_Per_Goal_Rows!$F$2:$F$3))</f>
        <v>8.066</v>
      </c>
      <c r="D8" s="0" t="n">
        <v>100</v>
      </c>
      <c r="E8" s="0" t="str">
        <f aca="false">IF(C8&lt;D8,"PASS","FAIL")</f>
        <v>PASS</v>
      </c>
      <c r="F8" s="0" t="s">
        <v>278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8" min="7" style="0" width="18"/>
    <col collapsed="false" customWidth="true" hidden="false" outlineLevel="0" max="9" min="9" style="0" width="10"/>
  </cols>
  <sheetData>
    <row r="1" customFormat="false" ht="15" hidden="false" customHeight="false" outlineLevel="0" collapsed="false">
      <c r="A1" s="2" t="s">
        <v>279</v>
      </c>
    </row>
    <row r="3" customFormat="false" ht="28.35" hidden="false" customHeight="false" outlineLevel="0" collapsed="false">
      <c r="A3" s="4" t="s">
        <v>258</v>
      </c>
      <c r="B3" s="4" t="s">
        <v>259</v>
      </c>
      <c r="C3" s="4" t="s">
        <v>262</v>
      </c>
      <c r="D3" s="4" t="s">
        <v>280</v>
      </c>
      <c r="E3" s="4" t="s">
        <v>274</v>
      </c>
      <c r="F3" s="4" t="s">
        <v>281</v>
      </c>
      <c r="G3" s="4" t="s">
        <v>275</v>
      </c>
      <c r="H3" s="4" t="s">
        <v>282</v>
      </c>
      <c r="I3" s="4" t="s">
        <v>7</v>
      </c>
    </row>
    <row r="4" customFormat="false" ht="15" hidden="false" customHeight="false" outlineLevel="0" collapsed="false">
      <c r="A4" s="0" t="str">
        <f aca="false">07_SPFM_Calculation!A2</f>
        <v>SG-01</v>
      </c>
      <c r="B4" s="0" t="str">
        <f aca="false">07_SPFM_Calculation!B2</f>
        <v>C</v>
      </c>
      <c r="C4" s="0" t="n">
        <f aca="false">07_SPFM_Calculation!E2</f>
        <v>0.968418167580266</v>
      </c>
      <c r="D4" s="0" t="n">
        <f aca="false">07_SPFM_Calculation!F2</f>
        <v>0.97</v>
      </c>
      <c r="E4" s="0" t="n">
        <f aca="false">08_LFM_Calculation!E2</f>
        <v>0.88942078323239</v>
      </c>
      <c r="F4" s="0" t="n">
        <f aca="false">08_LFM_Calculation!F2</f>
        <v>0.8</v>
      </c>
      <c r="G4" s="0" t="n">
        <f aca="false">09_PMHF_Calculation!C2</f>
        <v>8.066</v>
      </c>
      <c r="H4" s="0" t="n">
        <f aca="false">09_PMHF_Calculation!D2</f>
        <v>100</v>
      </c>
      <c r="I4" s="0" t="str">
        <f aca="false">IF(AND(07_SPFM_Calculation!G2="PASS",08_LFM_Calculation!G2="PASS",09_PMHF_Calculation!E2="PASS"),"PASS","FAIL")</f>
        <v>FAIL</v>
      </c>
    </row>
    <row r="5" customFormat="false" ht="15" hidden="false" customHeight="false" outlineLevel="0" collapsed="false">
      <c r="A5" s="0" t="str">
        <f aca="false">07_SPFM_Calculation!A3</f>
        <v>SG-01</v>
      </c>
      <c r="B5" s="0" t="str">
        <f aca="false">07_SPFM_Calculation!B3</f>
        <v>B (alongside)</v>
      </c>
      <c r="C5" s="0" t="n">
        <f aca="false">07_SPFM_Calculation!E3</f>
        <v>0.968418167580266</v>
      </c>
      <c r="D5" s="0" t="n">
        <f aca="false">07_SPFM_Calculation!F3</f>
        <v>0.9</v>
      </c>
      <c r="E5" s="0" t="n">
        <f aca="false">08_LFM_Calculation!E3</f>
        <v>0.88942078323239</v>
      </c>
      <c r="F5" s="0" t="n">
        <f aca="false">08_LFM_Calculation!F3</f>
        <v>0.6</v>
      </c>
      <c r="G5" s="0" t="n">
        <f aca="false">09_PMHF_Calculation!C3</f>
        <v>8.066</v>
      </c>
      <c r="H5" s="0" t="n">
        <f aca="false">09_PMHF_Calculation!D3</f>
        <v>100</v>
      </c>
      <c r="I5" s="0" t="str">
        <f aca="false">IF(AND(07_SPFM_Calculation!G3="PASS",08_LFM_Calculation!G3="PASS",09_PMHF_Calculation!E3="PASS"),"PASS","FAIL")</f>
        <v>PASS</v>
      </c>
    </row>
    <row r="6" customFormat="false" ht="15" hidden="false" customHeight="false" outlineLevel="0" collapsed="false">
      <c r="A6" s="0" t="str">
        <f aca="false">07_SPFM_Calculation!A4</f>
        <v>SG-02</v>
      </c>
      <c r="B6" s="0" t="str">
        <f aca="false">07_SPFM_Calculation!B4</f>
        <v>C</v>
      </c>
      <c r="C6" s="0" t="n">
        <f aca="false">07_SPFM_Calculation!E4</f>
        <v>0.968418167580266</v>
      </c>
      <c r="D6" s="0" t="n">
        <f aca="false">07_SPFM_Calculation!F4</f>
        <v>0.97</v>
      </c>
      <c r="E6" s="0" t="n">
        <f aca="false">08_LFM_Calculation!E4</f>
        <v>0.88942078323239</v>
      </c>
      <c r="F6" s="0" t="n">
        <f aca="false">08_LFM_Calculation!F4</f>
        <v>0.8</v>
      </c>
      <c r="G6" s="0" t="n">
        <f aca="false">09_PMHF_Calculation!C4</f>
        <v>8.066</v>
      </c>
      <c r="H6" s="0" t="n">
        <f aca="false">09_PMHF_Calculation!D4</f>
        <v>100</v>
      </c>
      <c r="I6" s="0" t="str">
        <f aca="false">IF(AND(07_SPFM_Calculation!G4="PASS",08_LFM_Calculation!G4="PASS",09_PMHF_Calculation!E4="PASS"),"PASS","FAIL")</f>
        <v>FAIL</v>
      </c>
    </row>
    <row r="7" customFormat="false" ht="15" hidden="false" customHeight="false" outlineLevel="0" collapsed="false">
      <c r="A7" s="0" t="str">
        <f aca="false">07_SPFM_Calculation!A5</f>
        <v>SG-03</v>
      </c>
      <c r="B7" s="0" t="str">
        <f aca="false">07_SPFM_Calculation!B5</f>
        <v>C</v>
      </c>
      <c r="C7" s="0" t="n">
        <f aca="false">07_SPFM_Calculation!E5</f>
        <v>0.968418167580266</v>
      </c>
      <c r="D7" s="0" t="n">
        <f aca="false">07_SPFM_Calculation!F5</f>
        <v>0.97</v>
      </c>
      <c r="E7" s="0" t="n">
        <f aca="false">08_LFM_Calculation!E5</f>
        <v>0.88942078323239</v>
      </c>
      <c r="F7" s="0" t="n">
        <f aca="false">08_LFM_Calculation!F5</f>
        <v>0.8</v>
      </c>
      <c r="G7" s="0" t="n">
        <f aca="false">09_PMHF_Calculation!C5</f>
        <v>8.066</v>
      </c>
      <c r="H7" s="0" t="n">
        <f aca="false">09_PMHF_Calculation!D5</f>
        <v>100</v>
      </c>
      <c r="I7" s="0" t="str">
        <f aca="false">IF(AND(07_SPFM_Calculation!G5="PASS",08_LFM_Calculation!G5="PASS",09_PMHF_Calculation!E5="PASS"),"PASS","FAIL")</f>
        <v>FAIL</v>
      </c>
    </row>
    <row r="8" customFormat="false" ht="15" hidden="false" customHeight="false" outlineLevel="0" collapsed="false">
      <c r="A8" s="0" t="str">
        <f aca="false">07_SPFM_Calculation!A6</f>
        <v>SG-04</v>
      </c>
      <c r="B8" s="0" t="str">
        <f aca="false">07_SPFM_Calculation!B6</f>
        <v>B</v>
      </c>
      <c r="C8" s="0" t="n">
        <f aca="false">07_SPFM_Calculation!E6</f>
        <v>0.968418167580266</v>
      </c>
      <c r="D8" s="0" t="n">
        <f aca="false">07_SPFM_Calculation!F6</f>
        <v>0.9</v>
      </c>
      <c r="E8" s="0" t="n">
        <f aca="false">08_LFM_Calculation!E6</f>
        <v>0.88942078323239</v>
      </c>
      <c r="F8" s="0" t="n">
        <f aca="false">08_LFM_Calculation!F6</f>
        <v>0.6</v>
      </c>
      <c r="G8" s="0" t="n">
        <f aca="false">09_PMHF_Calculation!C6</f>
        <v>8.066</v>
      </c>
      <c r="H8" s="0" t="n">
        <f aca="false">09_PMHF_Calculation!D6</f>
        <v>100</v>
      </c>
      <c r="I8" s="0" t="str">
        <f aca="false">IF(AND(07_SPFM_Calculation!G6="PASS",08_LFM_Calculation!G6="PASS",09_PMHF_Calculation!E6="PASS"),"PASS","FAIL")</f>
        <v>PASS</v>
      </c>
    </row>
    <row r="9" customFormat="false" ht="15" hidden="false" customHeight="false" outlineLevel="0" collapsed="false">
      <c r="A9" s="0" t="str">
        <f aca="false">07_SPFM_Calculation!A7</f>
        <v>SG-05</v>
      </c>
      <c r="B9" s="0" t="str">
        <f aca="false">07_SPFM_Calculation!B7</f>
        <v>B</v>
      </c>
      <c r="C9" s="0" t="n">
        <f aca="false">07_SPFM_Calculation!E7</f>
        <v>0.9038136256852</v>
      </c>
      <c r="D9" s="0" t="n">
        <f aca="false">07_SPFM_Calculation!F7</f>
        <v>0.9</v>
      </c>
      <c r="E9" s="0" t="n">
        <f aca="false">08_LFM_Calculation!E7</f>
        <v>0.952996525641803</v>
      </c>
      <c r="F9" s="0" t="n">
        <f aca="false">08_LFM_Calculation!F7</f>
        <v>0.6</v>
      </c>
      <c r="G9" s="0" t="n">
        <f aca="false">09_PMHF_Calculation!C7</f>
        <v>24.566</v>
      </c>
      <c r="H9" s="0" t="n">
        <f aca="false">09_PMHF_Calculation!D7</f>
        <v>100</v>
      </c>
      <c r="I9" s="0" t="str">
        <f aca="false">IF(AND(07_SPFM_Calculation!G7="PASS",08_LFM_Calculation!G7="PASS",09_PMHF_Calculation!E7="PASS"),"PASS","FAIL")</f>
        <v>PASS</v>
      </c>
    </row>
    <row r="10" customFormat="false" ht="15" hidden="false" customHeight="false" outlineLevel="0" collapsed="false">
      <c r="A10" s="0" t="str">
        <f aca="false">07_SPFM_Calculation!A8</f>
        <v>SG-06</v>
      </c>
      <c r="B10" s="0" t="str">
        <f aca="false">07_SPFM_Calculation!B8</f>
        <v>C</v>
      </c>
      <c r="C10" s="0" t="n">
        <f aca="false">07_SPFM_Calculation!E8</f>
        <v>0.968418167580266</v>
      </c>
      <c r="D10" s="0" t="n">
        <f aca="false">07_SPFM_Calculation!F8</f>
        <v>0.97</v>
      </c>
      <c r="E10" s="0" t="n">
        <f aca="false">08_LFM_Calculation!E8</f>
        <v>0.88942078323239</v>
      </c>
      <c r="F10" s="0" t="n">
        <f aca="false">08_LFM_Calculation!F8</f>
        <v>0.8</v>
      </c>
      <c r="G10" s="0" t="n">
        <f aca="false">09_PMHF_Calculation!C8</f>
        <v>8.066</v>
      </c>
      <c r="H10" s="0" t="n">
        <f aca="false">09_PMHF_Calculation!D8</f>
        <v>100</v>
      </c>
      <c r="I10" s="0" t="str">
        <f aca="false">IF(AND(07_SPFM_Calculation!G8="PASS",08_LFM_Calculation!G8="PASS",09_PMHF_Calculation!E8="PASS"),"PASS","FAIL")</f>
        <v>FAIL</v>
      </c>
    </row>
    <row r="12" customFormat="false" ht="15" hidden="false" customHeight="false" outlineLevel="0" collapsed="false">
      <c r="A12" s="2" t="s">
        <v>283</v>
      </c>
      <c r="C12" s="5" t="n">
        <f aca="false">07_SPFM_Calculation!D2</f>
        <v>255.4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10"/>
  </cols>
  <sheetData>
    <row r="1" customFormat="false" ht="15" hidden="false" customHeight="false" outlineLevel="0" collapsed="false">
      <c r="A1" s="4" t="s">
        <v>284</v>
      </c>
      <c r="B1" s="4" t="s">
        <v>102</v>
      </c>
      <c r="C1" s="4" t="s">
        <v>7</v>
      </c>
    </row>
    <row r="2" customFormat="false" ht="15" hidden="false" customHeight="false" outlineLevel="0" collapsed="false">
      <c r="A2" s="0" t="s">
        <v>285</v>
      </c>
      <c r="B2" s="3" t="s">
        <v>286</v>
      </c>
      <c r="C2" s="5" t="s">
        <v>287</v>
      </c>
    </row>
    <row r="3" customFormat="false" ht="28.35" hidden="false" customHeight="false" outlineLevel="0" collapsed="false">
      <c r="A3" s="0" t="s">
        <v>288</v>
      </c>
      <c r="B3" s="3" t="s">
        <v>289</v>
      </c>
      <c r="C3" s="5" t="s">
        <v>287</v>
      </c>
    </row>
    <row r="4" customFormat="false" ht="15" hidden="false" customHeight="false" outlineLevel="0" collapsed="false">
      <c r="A4" s="0" t="s">
        <v>290</v>
      </c>
      <c r="B4" s="3" t="s">
        <v>291</v>
      </c>
      <c r="C4" s="5" t="s">
        <v>287</v>
      </c>
    </row>
    <row r="5" customFormat="false" ht="15" hidden="false" customHeight="false" outlineLevel="0" collapsed="false">
      <c r="A5" s="0" t="s">
        <v>292</v>
      </c>
      <c r="B5" s="3" t="s">
        <v>293</v>
      </c>
      <c r="C5" s="5" t="s">
        <v>287</v>
      </c>
    </row>
    <row r="6" customFormat="false" ht="15" hidden="false" customHeight="false" outlineLevel="0" collapsed="false">
      <c r="A6" s="0" t="s">
        <v>294</v>
      </c>
      <c r="B6" s="3" t="s">
        <v>295</v>
      </c>
      <c r="C6" s="5" t="s">
        <v>287</v>
      </c>
    </row>
    <row r="7" customFormat="false" ht="28.35" hidden="false" customHeight="false" outlineLevel="0" collapsed="false">
      <c r="A7" s="0" t="s">
        <v>296</v>
      </c>
      <c r="B7" s="3" t="s">
        <v>297</v>
      </c>
      <c r="C7" s="5" t="s">
        <v>287</v>
      </c>
    </row>
    <row r="8" customFormat="false" ht="15" hidden="false" customHeight="false" outlineLevel="0" collapsed="false">
      <c r="A8" s="0" t="s">
        <v>298</v>
      </c>
      <c r="B8" s="3" t="s">
        <v>299</v>
      </c>
      <c r="C8" s="5" t="s">
        <v>287</v>
      </c>
    </row>
    <row r="9" customFormat="false" ht="15" hidden="false" customHeight="false" outlineLevel="0" collapsed="false">
      <c r="A9" s="0" t="s">
        <v>300</v>
      </c>
      <c r="B9" s="3" t="s">
        <v>301</v>
      </c>
      <c r="C9" s="5" t="s">
        <v>287</v>
      </c>
    </row>
    <row r="10" customFormat="false" ht="15" hidden="false" customHeight="false" outlineLevel="0" collapsed="false">
      <c r="A10" s="0" t="s">
        <v>302</v>
      </c>
      <c r="B10" s="3" t="s">
        <v>303</v>
      </c>
      <c r="C10" s="5" t="s">
        <v>287</v>
      </c>
    </row>
    <row r="11" customFormat="false" ht="15" hidden="false" customHeight="false" outlineLevel="0" collapsed="false">
      <c r="A11" s="0" t="s">
        <v>304</v>
      </c>
      <c r="B11" s="3" t="s">
        <v>305</v>
      </c>
      <c r="C11" s="5"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4" t="s">
        <v>306</v>
      </c>
      <c r="B1" s="4" t="s">
        <v>307</v>
      </c>
    </row>
    <row r="2" customFormat="false" ht="15" hidden="false" customHeight="false" outlineLevel="0" collapsed="false">
      <c r="A2" s="0" t="s">
        <v>308</v>
      </c>
      <c r="B2" s="0" t="s">
        <v>309</v>
      </c>
    </row>
    <row r="3" customFormat="false" ht="15" hidden="false" customHeight="false" outlineLevel="0" collapsed="false">
      <c r="A3" s="0" t="s">
        <v>310</v>
      </c>
      <c r="B3" s="0" t="s">
        <v>309</v>
      </c>
    </row>
    <row r="4" customFormat="false" ht="15" hidden="false" customHeight="false" outlineLevel="0" collapsed="false">
      <c r="A4" s="0" t="s">
        <v>311</v>
      </c>
      <c r="B4" s="0" t="s">
        <v>309</v>
      </c>
    </row>
    <row r="5" customFormat="false" ht="15" hidden="false" customHeight="false" outlineLevel="0" collapsed="false">
      <c r="A5" s="0" t="s">
        <v>312</v>
      </c>
      <c r="B5" s="0" t="s">
        <v>309</v>
      </c>
    </row>
    <row r="6" customFormat="false" ht="15" hidden="false" customHeight="false" outlineLevel="0" collapsed="false">
      <c r="A6" s="0" t="s">
        <v>313</v>
      </c>
      <c r="B6" s="0" t="s">
        <v>309</v>
      </c>
    </row>
    <row r="7" customFormat="false" ht="15" hidden="false" customHeight="false" outlineLevel="0" collapsed="false">
      <c r="A7" s="0" t="s">
        <v>314</v>
      </c>
      <c r="B7" s="0" t="s">
        <v>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2026-10-20T00:00:00Z</dcterms:created>
  <dc:creator>tools/safety/export_fmeda_xlsx.py</dc:creator>
  <dc:description/>
  <dc:language>en-US</dc:language>
  <cp:lastModifiedBy/>
  <dcterms:modified xsi:type="dcterms:W3CDTF">2026-10-20T23:43:24Z</dcterms:modified>
  <cp:revision>0</cp:revision>
  <dc:subject/>
  <dc:title>FMEDA — SG-001 lateral (panda safety path), generic failure rates</dc:title>
</cp:coreProperties>
</file>

<file path=docProps/custom.xml><?xml version="1.0" encoding="utf-8"?>
<Properties xmlns="http://schemas.openxmlformats.org/officeDocument/2006/custom-properties" xmlns:vt="http://schemas.openxmlformats.org/officeDocument/2006/docPropsVTypes"/>
</file>