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Title_Page" sheetId="1" state="visible" r:id="rId3"/>
    <sheet name="01_Document_Control" sheetId="2" state="visible" r:id="rId4"/>
    <sheet name="02_Assumptions" sheetId="3" state="visible" r:id="rId5"/>
    <sheet name="03_Architecture_Boundary" sheetId="4" state="visible" r:id="rId6"/>
    <sheet name="04_Functions" sheetId="5" state="visible" r:id="rId7"/>
    <sheet name="05_Malfunctions" sheetId="6" state="visible" r:id="rId8"/>
    <sheet name="06_Operating_Environment" sheetId="7" state="visible" r:id="rId9"/>
    <sheet name="07_Severity_Reference" sheetId="8" state="visible" r:id="rId10"/>
    <sheet name="08_Exposure_Reference" sheetId="9" state="visible" r:id="rId11"/>
    <sheet name="09_Controllability_Reference" sheetId="10" state="visible" r:id="rId12"/>
    <sheet name="10_ASIL_Matrix" sheetId="11" state="visible" r:id="rId13"/>
    <sheet name="11_Function_x_Malfunction" sheetId="12" state="visible" r:id="rId14"/>
    <sheet name="12_HARA_Worksheet" sheetId="13" state="visible" r:id="rId15"/>
    <sheet name="13_Safety_Goals" sheetId="14" state="visible" r:id="rId16"/>
    <sheet name="14_FSC_Handoff" sheetId="15" state="visible" r:id="rId17"/>
  </sheets>
  <definedNames>
    <definedName function="false" hidden="true" localSheetId="12" name="_xlnm._FilterDatabase" vbProcedure="false">12_HARA_Worksheet!$A$3:$Q$2973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<sst xmlns="http://schemas.openxmlformats.org/spreadsheetml/2006/main" count="49372" uniqueCount="6796">
  <si>
    <t xml:space="preserve">Hazard Analysis and Risk Assessment (HARA)</t>
  </si>
  <si>
    <t xml:space="preserve">LionDriver Supervised Driving Assistance  (LD-SDA)</t>
  </si>
  <si>
    <t xml:space="preserve">Project</t>
  </si>
  <si>
    <t xml:space="preserve">LionDriver</t>
  </si>
  <si>
    <t xml:space="preserve">Document ID</t>
  </si>
  <si>
    <t xml:space="preserve">WP-C-03 (Experimental Mode variant)</t>
  </si>
  <si>
    <t xml:space="preserve">Revision</t>
  </si>
  <si>
    <t xml:space="preserve">0.2 (Cartesian)</t>
  </si>
  <si>
    <t xml:space="preserve">Date</t>
  </si>
  <si>
    <t xml:space="preserve">2026-10-12</t>
  </si>
  <si>
    <t xml:space="preserve">Author</t>
  </si>
  <si>
    <t xml:space="preserve">Assurance team (draft)</t>
  </si>
  <si>
    <t xml:space="preserve">Approver</t>
  </si>
  <si>
    <t xml:space="preserve">Safety manager</t>
  </si>
  <si>
    <t xml:space="preserve">Company</t>
  </si>
  <si>
    <t xml:space="preserve">Standard</t>
  </si>
  <si>
    <t xml:space="preserve">ISO 26262:2018, Part 3 (Concept Phase)</t>
  </si>
  <si>
    <t xml:space="preserve">Methodology</t>
  </si>
  <si>
    <t xml:space="preserve">14-Malfunction Guide-Word Cartesian HARA</t>
  </si>
  <si>
    <t xml:space="preserve">Document Control</t>
  </si>
  <si>
    <t xml:space="preserve">Description of change</t>
  </si>
  <si>
    <t xml:space="preserve">0.1</t>
  </si>
  <si>
    <t xml:space="preserve">Initial draft generated by hara-builder skill</t>
  </si>
  <si>
    <t xml:space="preserve">0.2</t>
  </si>
  <si>
    <t xml:space="preserve">Internal review comments incorporated</t>
  </si>
  <si>
    <t xml:space="preserve">1.0</t>
  </si>
  <si>
    <t xml:space="preserve">Released for FSC</t>
  </si>
  <si>
    <t xml:space="preserve">Distribution List</t>
  </si>
  <si>
    <t xml:space="preserve">Name</t>
  </si>
  <si>
    <t xml:space="preserve">Role</t>
  </si>
  <si>
    <t xml:space="preserve">Organization</t>
  </si>
  <si>
    <t xml:space="preserve">Email</t>
  </si>
  <si>
    <t xml:space="preserve">Notes</t>
  </si>
  <si>
    <t xml:space="preserve">Assumptions and Item Boundary Conditions</t>
  </si>
  <si>
    <t xml:space="preserve">ID</t>
  </si>
  <si>
    <t xml:space="preserve">Category</t>
  </si>
  <si>
    <t xml:space="preserve">Assumption</t>
  </si>
  <si>
    <t xml:space="preserve">Rationale / Source</t>
  </si>
  <si>
    <t xml:space="preserve">AOU-01</t>
  </si>
  <si>
    <t xml:space="preserve">Vehicle</t>
  </si>
  <si>
    <t xml:space="preserve">EPS limits LKA torque to an overpowerable level and fades it out on message loss.</t>
  </si>
  <si>
    <t xml:space="preserve">WP-C-01 §7; unverified (⚠).</t>
  </si>
  <si>
    <t xml:space="preserve">AOU-02</t>
  </si>
  <si>
    <t xml:space="preserve">Driver</t>
  </si>
  <si>
    <t xml:space="preserve">A normal driver overrides full LKA torque within the CA-01 criterion.</t>
  </si>
  <si>
    <t xml:space="preserve">AOU-03</t>
  </si>
  <si>
    <t xml:space="preserve">Driver braking always brakes and cancels ACC.</t>
  </si>
  <si>
    <t xml:space="preserve">AOU-05</t>
  </si>
  <si>
    <t xml:space="preserve">The PCM bounds ACC acceleration and deceleration.</t>
  </si>
  <si>
    <t xml:space="preserve">AOU-06</t>
  </si>
  <si>
    <t xml:space="preserve">Licensed, briefed, attentive driver supervising continuously; controllability rated for this typical driver.</t>
  </si>
  <si>
    <t xml:space="preserve">WP-C-01 §7; ISO 26262-3 controllability.</t>
  </si>
  <si>
    <t xml:space="preserve">AOU-10</t>
  </si>
  <si>
    <t xml:space="preserve">VSC/ABS enabled and functional.</t>
  </si>
  <si>
    <t xml:space="preserve">WP-C-01 §7.</t>
  </si>
  <si>
    <t xml:space="preserve">A-ENV</t>
  </si>
  <si>
    <t xml:space="preserve">Environment</t>
  </si>
  <si>
    <t xml:space="preserve">Situations OS-14 and weather W04–W06 are outside the ODD and included as foreseeable misuse.</t>
  </si>
  <si>
    <t xml:space="preserve">ISO 26262-3 §6.4.2 (foreseeable misuse); WP-C-02 §3.</t>
  </si>
  <si>
    <t xml:space="preserve">A-CS</t>
  </si>
  <si>
    <t xml:space="preserve">Cybersec</t>
  </si>
  <si>
    <t xml:space="preserve">Cyber-induced malfunctions are analysed in the TARA (WP-C-09) and map onto H-01…H-08.</t>
  </si>
  <si>
    <t xml:space="preserve">Scope partition.</t>
  </si>
  <si>
    <t xml:space="preserve">Architecture Boundary — Item Definition</t>
  </si>
  <si>
    <t xml:space="preserve">Item Scope</t>
  </si>
  <si>
    <t xml:space="preserve">Aftermarket supervised SAE Level 2 feature on the 2020 Toyota Corolla LE TSS2 (reference configuration, WP-C-01). Lateral (LKA torque) and longitudinal (ACC) control with driver monitoring; the panda safety MCU envelope bounds actuation. Experimental Mode is INCLUDED in this variant (D-08 option B).</t>
  </si>
  <si>
    <t xml:space="preserve">Boundary Diagram</t>
  </si>
  <si>
    <t xml:space="preserve">See WP-C-01 §3.3. Vehicle ECUs (EPS, PCM, ABS/VSC, camera, radar) are outside the item, with AoUs.</t>
  </si>
  <si>
    <t xml:space="preserve">External Interfaces</t>
  </si>
  <si>
    <t xml:space="preserve">Interface ID</t>
  </si>
  <si>
    <t xml:space="preserve">Counterpart</t>
  </si>
  <si>
    <t xml:space="preserve">Direction</t>
  </si>
  <si>
    <t xml:space="preserve">Signal / Data</t>
  </si>
  <si>
    <t xml:space="preserve">IF-01</t>
  </si>
  <si>
    <t xml:space="preserve">Vehicle CAN TX (bus 0)</t>
  </si>
  <si>
    <t xml:space="preserve">Out</t>
  </si>
  <si>
    <t xml:space="preserve">0x2E4 LKA torque, 0x343 ACC, 0x412 HUD, 0x1D2 cancel</t>
  </si>
  <si>
    <t xml:space="preserve">IF-02</t>
  </si>
  <si>
    <t xml:space="preserve">Vehicle/radar CAN RX (bus 0/1)</t>
  </si>
  <si>
    <t xml:space="preserve">In</t>
  </si>
  <si>
    <t xml:space="preserve">Wheel speeds, torque sensor, PCM cruise, brake, EPS status, radar tracks</t>
  </si>
  <si>
    <t xml:space="preserve">IF-03</t>
  </si>
  <si>
    <t xml:space="preserve">Camera CAN forwarding (bus 2)</t>
  </si>
  <si>
    <t xml:space="preserve">In/Out</t>
  </si>
  <si>
    <t xml:space="preserve">Camera messages incl. PCS forwarded to the car</t>
  </si>
  <si>
    <t xml:space="preserve">IF-04</t>
  </si>
  <si>
    <t xml:space="preserve">SoC &lt;-&gt; panda (SPI)</t>
  </si>
  <si>
    <t xml:space="preserve">Internal</t>
  </si>
  <si>
    <t xml:space="preserve">CAN streams, heartbeat, safety mode</t>
  </si>
  <si>
    <t xml:space="preserve">IF-06</t>
  </si>
  <si>
    <t xml:space="preserve">Driver camera</t>
  </si>
  <si>
    <t xml:space="preserve">DM images</t>
  </si>
  <si>
    <t xml:space="preserve">IF-07</t>
  </si>
  <si>
    <t xml:space="preserve">HMI</t>
  </si>
  <si>
    <t xml:space="preserve">Out/In</t>
  </si>
  <si>
    <t xml:space="preserve">Display, sounds, settings, HUD</t>
  </si>
  <si>
    <t xml:space="preserve">Item Functions</t>
  </si>
  <si>
    <t xml:space="preserve">Function ID</t>
  </si>
  <si>
    <t xml:space="preserve">Function Name</t>
  </si>
  <si>
    <t xml:space="preserve">Description</t>
  </si>
  <si>
    <t xml:space="preserve">Kinetic Authority</t>
  </si>
  <si>
    <t xml:space="preserve">F-01</t>
  </si>
  <si>
    <t xml:space="preserve">Lateral control (lane centring)</t>
  </si>
  <si>
    <t xml:space="preserve">Computes desired curvature from the driving model and commands LKA steering torque (0x2E4). Driver-initiated assisted lane change.</t>
  </si>
  <si>
    <t xml:space="preserve">high</t>
  </si>
  <si>
    <t xml:space="preserve">F-02</t>
  </si>
  <si>
    <t xml:space="preserve">Longitudinal control (ACC, Chill mode)</t>
  </si>
  <si>
    <t xml:space="preserve">Holds set speed or follows a lead; commands acceleration/deceleration through ACC_CONTROL (0x343), incl. standstill and cancel.</t>
  </si>
  <si>
    <t xml:space="preserve">F-03</t>
  </si>
  <si>
    <t xml:space="preserve">Engagement and mode management</t>
  </si>
  <si>
    <t xml:space="preserve">Engages on the PCM cruise rising edge; disengages on brake, cancel or faults; supports driver override (gas, steering).</t>
  </si>
  <si>
    <t xml:space="preserve">medium</t>
  </si>
  <si>
    <t xml:space="preserve">F-04</t>
  </si>
  <si>
    <t xml:space="preserve">Driver monitoring</t>
  </si>
  <si>
    <t xml:space="preserve">Driver camera + DM model; escalating warnings, forced deceleration on no response, lockout.</t>
  </si>
  <si>
    <t xml:space="preserve">F-05</t>
  </si>
  <si>
    <t xml:space="preserve">Driver information and warnings</t>
  </si>
  <si>
    <t xml:space="preserve">Device display and sounds, cluster LKAS HUD (0x412); engagement state and alerts.</t>
  </si>
  <si>
    <t xml:space="preserve">low</t>
  </si>
  <si>
    <t xml:space="preserve">F-06</t>
  </si>
  <si>
    <t xml:space="preserve">Forward collision warning</t>
  </si>
  <si>
    <t xml:space="preserve">Visual and acoustic warning from model hard-brake prediction or planner crash estimate. Does not brake.</t>
  </si>
  <si>
    <t xml:space="preserve">F-07</t>
  </si>
  <si>
    <t xml:space="preserve">Lane departure warning</t>
  </si>
  <si>
    <t xml:space="preserve">Warning when not laterally engaged, above 31 mph, no recent turn signal.</t>
  </si>
  <si>
    <t xml:space="preserve">F-08</t>
  </si>
  <si>
    <t xml:space="preserve">Safety envelope and camera-message forwarding</t>
  </si>
  <si>
    <t xml:space="preserve">Panda MCU: TX whitelist, actuation limits, engagement gating, RX checks, heartbeat; harness relay and forwarding of camera messages (incl. stock PCS) to the car.</t>
  </si>
  <si>
    <t xml:space="preserve">F-09</t>
  </si>
  <si>
    <t xml:space="preserve">Logging, upload, remote access, software update</t>
  </si>
  <si>
    <t xml:space="preserve">Non-driving functions (loggerd, uploader, athena, SSH, updated).</t>
  </si>
  <si>
    <t xml:space="preserve">none</t>
  </si>
  <si>
    <t xml:space="preserve">F-02X</t>
  </si>
  <si>
    <t xml:space="preserve">Longitudinal control, Experimental Mode (end-to-end)</t>
  </si>
  <si>
    <t xml:space="preserve">Driving-model desired acceleration joins the planner (minimum used); intended to stop for traffic lights and stop signs; cruise acceleration up to 2.0 m/s². Only in scope if D-08 option B is chosen.</t>
  </si>
  <si>
    <t xml:space="preserve">Malfunction Guide Words (M01–M14)</t>
  </si>
  <si>
    <t xml:space="preserve">Definition</t>
  </si>
  <si>
    <t xml:space="preserve">M01</t>
  </si>
  <si>
    <t xml:space="preserve">No Function</t>
  </si>
  <si>
    <t xml:space="preserve">Function never executes when commanded.</t>
  </si>
  <si>
    <t xml:space="preserve">M02</t>
  </si>
  <si>
    <t xml:space="preserve">Stops Functioning</t>
  </si>
  <si>
    <t xml:space="preserve">Function executes initially, then stops while still commanded.</t>
  </si>
  <si>
    <t xml:space="preserve">M03</t>
  </si>
  <si>
    <t xml:space="preserve">Unrequested Function</t>
  </si>
  <si>
    <t xml:space="preserve">Function executes without being commanded.</t>
  </si>
  <si>
    <t xml:space="preserve">M04</t>
  </si>
  <si>
    <t xml:space="preserve">Function Stuck</t>
  </si>
  <si>
    <t xml:space="preserve">Function holds last commanded value, ignores new commands.</t>
  </si>
  <si>
    <t xml:space="preserve">M05</t>
  </si>
  <si>
    <t xml:space="preserve">Excessive Function</t>
  </si>
  <si>
    <t xml:space="preserve">Function output magnitude exceeds command.</t>
  </si>
  <si>
    <t xml:space="preserve">M06</t>
  </si>
  <si>
    <t xml:space="preserve">Partial Function</t>
  </si>
  <si>
    <t xml:space="preserve">Function output magnitude is less than command, but non-zero.</t>
  </si>
  <si>
    <t xml:space="preserve">M07</t>
  </si>
  <si>
    <t xml:space="preserve">Functions Early</t>
  </si>
  <si>
    <t xml:space="preserve">Function executes before the trigger condition is met.</t>
  </si>
  <si>
    <t xml:space="preserve">M08</t>
  </si>
  <si>
    <t xml:space="preserve">Functions Late</t>
  </si>
  <si>
    <t xml:space="preserve">Function executes after the trigger condition has passed.</t>
  </si>
  <si>
    <t xml:space="preserve">M09</t>
  </si>
  <si>
    <t xml:space="preserve">Function Applies Too Short</t>
  </si>
  <si>
    <t xml:space="preserve">Output duration shorter than commanded.</t>
  </si>
  <si>
    <t xml:space="preserve">M10</t>
  </si>
  <si>
    <t xml:space="preserve">Function Applies Too Long</t>
  </si>
  <si>
    <t xml:space="preserve">Output duration longer than commanded.</t>
  </si>
  <si>
    <t xml:space="preserve">M11</t>
  </si>
  <si>
    <t xml:space="preserve">Function is Delayed</t>
  </si>
  <si>
    <t xml:space="preserve">Function eventually executes correctly but with latency beyond spec.</t>
  </si>
  <si>
    <t xml:space="preserve">M12</t>
  </si>
  <si>
    <t xml:space="preserve">Inverse Function</t>
  </si>
  <si>
    <t xml:space="preserve">Function executes in the opposite direction of the command.</t>
  </si>
  <si>
    <t xml:space="preserve">M13</t>
  </si>
  <si>
    <t xml:space="preserve">Erratic or Intermittent</t>
  </si>
  <si>
    <t xml:space="preserve">Function output oscillates or chatters around the command.</t>
  </si>
  <si>
    <t xml:space="preserve">M14</t>
  </si>
  <si>
    <t xml:space="preserve">Function is Uneven</t>
  </si>
  <si>
    <t xml:space="preserve">Function output has non-monotonic / asymmetric profile.</t>
  </si>
  <si>
    <t xml:space="preserve">Operating Environment — Locations and Weather</t>
  </si>
  <si>
    <t xml:space="preserve">Location Code</t>
  </si>
  <si>
    <t xml:space="preserve">Location</t>
  </si>
  <si>
    <t xml:space="preserve">Speed min (km/h)</t>
  </si>
  <si>
    <t xml:space="preserve">Speed max (km/h)</t>
  </si>
  <si>
    <t xml:space="preserve">Default E</t>
  </si>
  <si>
    <t xml:space="preserve">OS-01</t>
  </si>
  <si>
    <t xml:space="preserve">Limited-access highway, free flow, adjacent traffic</t>
  </si>
  <si>
    <t xml:space="preserve">E4</t>
  </si>
  <si>
    <t xml:space="preserve">OS-02</t>
  </si>
  <si>
    <t xml:space="preserve">Highway curve near R_ODD with barrier or adjacent traffic</t>
  </si>
  <si>
    <t xml:space="preserve">E3</t>
  </si>
  <si>
    <t xml:space="preserve">OS-03</t>
  </si>
  <si>
    <t xml:space="preserve">Undivided rural or arterial road, oncoming traffic</t>
  </si>
  <si>
    <t xml:space="preserve">OS-04</t>
  </si>
  <si>
    <t xml:space="preserve">Urban arterial, pedestrians and cyclists near the lane edge</t>
  </si>
  <si>
    <t xml:space="preserve">OS-05</t>
  </si>
  <si>
    <t xml:space="preserve">Following a lead vehicle at a short gap, dense traffic</t>
  </si>
  <si>
    <t xml:space="preserve">OS-06</t>
  </si>
  <si>
    <t xml:space="preserve">Stop-and-go queue or standstill behind a lead; pedestrians may cross</t>
  </si>
  <si>
    <t xml:space="preserve">OS-07</t>
  </si>
  <si>
    <t xml:space="preserve">Approaching slower or stationary traffic from highway speed</t>
  </si>
  <si>
    <t xml:space="preserve">OS-08</t>
  </si>
  <si>
    <t xml:space="preserve">Close following vehicle behind (gap &lt; 1.5 s)</t>
  </si>
  <si>
    <t xml:space="preserve">OS-09</t>
  </si>
  <si>
    <t xml:space="preserve">Imminent collision where the stock PCS/AEB would intervene</t>
  </si>
  <si>
    <t xml:space="preserve">E2</t>
  </si>
  <si>
    <t xml:space="preserve">OS-10</t>
  </si>
  <si>
    <t xml:space="preserve">Driver override while engaged: braking, cancel or evasive steering</t>
  </si>
  <si>
    <t xml:space="preserve">OS-12</t>
  </si>
  <si>
    <t xml:space="preserve">Driver-initiated assisted lane change</t>
  </si>
  <si>
    <t xml:space="preserve">OS-13</t>
  </si>
  <si>
    <t xml:space="preserve">Manual driving, item powered but not engaged</t>
  </si>
  <si>
    <t xml:space="preserve">OS-14</t>
  </si>
  <si>
    <t xml:space="preserve">Engaged outside the ODD (residential street, ramp, tight curve): foreseeable misuse</t>
  </si>
  <si>
    <t xml:space="preserve">OS-15</t>
  </si>
  <si>
    <t xml:space="preserve">Approaching a signalised or stop-controlled intersection (ODD-A)</t>
  </si>
  <si>
    <t xml:space="preserve">OS-16</t>
  </si>
  <si>
    <t xml:space="preserve">Rural or arterial curve near R_ODD with oncoming traffic</t>
  </si>
  <si>
    <t xml:space="preserve">Weather / Surface</t>
  </si>
  <si>
    <t xml:space="preserve">Weather Code</t>
  </si>
  <si>
    <t xml:space="preserve">Condition</t>
  </si>
  <si>
    <t xml:space="preserve">W01</t>
  </si>
  <si>
    <t xml:space="preserve">Dry, daylight</t>
  </si>
  <si>
    <t xml:space="preserve">W02</t>
  </si>
  <si>
    <t xml:space="preserve">Wet road or light rain</t>
  </si>
  <si>
    <t xml:space="preserve">W03</t>
  </si>
  <si>
    <t xml:space="preserve">Night, dry, headlights</t>
  </si>
  <si>
    <t xml:space="preserve">W04</t>
  </si>
  <si>
    <t xml:space="preserve">Moderate or heavy rain (outside ODD, foreseeable)</t>
  </si>
  <si>
    <t xml:space="preserve">W05</t>
  </si>
  <si>
    <t xml:space="preserve">Snow or ice (outside ODD, foreseeable)</t>
  </si>
  <si>
    <t xml:space="preserve">W06</t>
  </si>
  <si>
    <t xml:space="preserve">Fog, visibility below the ODD bound (outside ODD, foreseeable)</t>
  </si>
  <si>
    <t xml:space="preserve">E1</t>
  </si>
  <si>
    <t xml:space="preserve">Severity (S) — Mapped to AIS</t>
  </si>
  <si>
    <t xml:space="preserve">S</t>
  </si>
  <si>
    <t xml:space="preserve">AIS Band</t>
  </si>
  <si>
    <t xml:space="preserve">Examples</t>
  </si>
  <si>
    <t xml:space="preserve">S0</t>
  </si>
  <si>
    <t xml:space="preserve">AIS 0</t>
  </si>
  <si>
    <t xml:space="preserve">No injuries; material damage only.</t>
  </si>
  <si>
    <t xml:space="preserve">Bumper scrape in a parking maneuver.</t>
  </si>
  <si>
    <t xml:space="preserve">S1</t>
  </si>
  <si>
    <t xml:space="preserve">AIS 1–2 (≥10% prob.)</t>
  </si>
  <si>
    <t xml:space="preserve">Light to moderate injuries.</t>
  </si>
  <si>
    <t xml:space="preserve">Bruises, sprains, minor lacerations.</t>
  </si>
  <si>
    <t xml:space="preserve">S2</t>
  </si>
  <si>
    <t xml:space="preserve">AIS 3–6 (&lt;10%) + AIS 1–2 (&gt;10%)</t>
  </si>
  <si>
    <t xml:space="preserve">Severe to life-threatening (survival probable).</t>
  </si>
  <si>
    <t xml:space="preserve">Concussion, multiple fractures.</t>
  </si>
  <si>
    <t xml:space="preserve">S3</t>
  </si>
  <si>
    <t xml:space="preserve">AIS 3–6 (≥10% prob.)</t>
  </si>
  <si>
    <t xml:space="preserve">Life-threatening (survival uncertain) to fatal.</t>
  </si>
  <si>
    <t xml:space="preserve">High-speed loss of control, full unintended brake on highway.</t>
  </si>
  <si>
    <t xml:space="preserve">Exposure (E) — Probability of Operational Situation</t>
  </si>
  <si>
    <t xml:space="preserve">Note: Exposure is rated against the OPERATIONAL SITUATION, not the hazard itself. Hazard frequency is captured downstream via PMHF (random hardware failure) analysis.</t>
  </si>
  <si>
    <t xml:space="preserve">E</t>
  </si>
  <si>
    <t xml:space="preserve">Probability</t>
  </si>
  <si>
    <t xml:space="preserve">Quantitative Anchor</t>
  </si>
  <si>
    <t xml:space="preserve">E0</t>
  </si>
  <si>
    <t xml:space="preserve">Incredible</t>
  </si>
  <si>
    <t xml:space="preserve">Not specified (situations so unusual they are not considered)</t>
  </si>
  <si>
    <t xml:space="preserve">Closed test track scenario.</t>
  </si>
  <si>
    <t xml:space="preserve">Very low probability</t>
  </si>
  <si>
    <t xml:space="preserve">Not specified (situations that occur less often than E2)</t>
  </si>
  <si>
    <t xml:space="preserve">Towing in alpine winter pass.</t>
  </si>
  <si>
    <t xml:space="preserve">Low probability</t>
  </si>
  <si>
    <t xml:space="preserve">&lt; 1 % of average operating time</t>
  </si>
  <si>
    <t xml:space="preserve">Heavy snowfall, towing in rain.</t>
  </si>
  <si>
    <t xml:space="preserve">Medium probability</t>
  </si>
  <si>
    <t xml:space="preserve">1 % to 10 % of average operating time</t>
  </si>
  <si>
    <t xml:space="preserve">City stop-and-go, wet road, night.</t>
  </si>
  <si>
    <t xml:space="preserve">High probability</t>
  </si>
  <si>
    <t xml:space="preserve">&gt; 10 % of average operating time</t>
  </si>
  <si>
    <t xml:space="preserve">Highway cruising, dry pavement, daytime.</t>
  </si>
  <si>
    <t xml:space="preserve">LionDriver: anchors replaced with ISO 26262-3:2018 Table B.2 (duration-based) by hara_model.py --postprocess; the generator's default anchors differ.</t>
  </si>
  <si>
    <t xml:space="preserve">Controllability (C) — Driver's Ability to Avoid Harm</t>
  </si>
  <si>
    <t xml:space="preserve">C</t>
  </si>
  <si>
    <t xml:space="preserve">C0</t>
  </si>
  <si>
    <t xml:space="preserve">Controllable in general</t>
  </si>
  <si>
    <t xml:space="preserve">Any reasonable driver action avoids harm.</t>
  </si>
  <si>
    <t xml:space="preserve">Slow cruise speed creep on empty highway.</t>
  </si>
  <si>
    <t xml:space="preserve">C1</t>
  </si>
  <si>
    <t xml:space="preserve">Simply controllable</t>
  </si>
  <si>
    <t xml:space="preserve">≥99% of drivers can avoid the harm.</t>
  </si>
  <si>
    <t xml:space="preserve">Loss of brake assist (still have hydraulic pedal).</t>
  </si>
  <si>
    <t xml:space="preserve">C2</t>
  </si>
  <si>
    <t xml:space="preserve">Normally controllable</t>
  </si>
  <si>
    <t xml:space="preserve">≥90% of drivers can avoid the harm.</t>
  </si>
  <si>
    <t xml:space="preserve">Moderate unintended deceleration during cruise.</t>
  </si>
  <si>
    <t xml:space="preserve">C3</t>
  </si>
  <si>
    <t xml:space="preserve">Difficult / uncontrollable</t>
  </si>
  <si>
    <t xml:space="preserve">&lt;90% can avoid; or no useful action exists.</t>
  </si>
  <si>
    <t xml:space="preserve">Inverse steering torque at highway speed.</t>
  </si>
  <si>
    <t xml:space="preserve">ASIL Determination Matrix (ISO 26262-3:2018)</t>
  </si>
  <si>
    <t xml:space="preserve">Key</t>
  </si>
  <si>
    <t xml:space="preserve">QM</t>
  </si>
  <si>
    <t xml:space="preserve">A</t>
  </si>
  <si>
    <t xml:space="preserve">B</t>
  </si>
  <si>
    <t xml:space="preserve">D</t>
  </si>
  <si>
    <t xml:space="preserve">S0 → no safety requirement (—). E0 → QM regardless of S, C. Handled in HARA tab formula.</t>
  </si>
  <si>
    <t xml:space="preserve">Function × Malfunction Safety-Criticality Filter</t>
  </si>
  <si>
    <t xml:space="preserve">Each function is evaluated against all 14 malfunction guide words. Classification: SC = Safety Critical, NSC = Not Safety Critical, NA = Not Applicable. Use 'Subsumed by' when one malfunction's response is identical to another already rated SC.</t>
  </si>
  <si>
    <t xml:space="preserve">Function</t>
  </si>
  <si>
    <t xml:space="preserve">Malfunction ID</t>
  </si>
  <si>
    <t xml:space="preserve">Malfunction</t>
  </si>
  <si>
    <t xml:space="preserve">Classification</t>
  </si>
  <si>
    <t xml:space="preserve">Subsumed by</t>
  </si>
  <si>
    <t xml:space="preserve">Hazard Description / Rationale</t>
  </si>
  <si>
    <t xml:space="preserve">LionDriver rationale</t>
  </si>
  <si>
    <t xml:space="preserve">SC</t>
  </si>
  <si>
    <t xml:space="preserve">H-02 Unannounced loss or degradation of lateral control</t>
  </si>
  <si>
    <t xml:space="preserve">Lateral control shown as active but no torque delivered; the vehicle is not steered.</t>
  </si>
  <si>
    <t xml:space="preserve">Torque stops mid-curve or mid-manoeuvre while still commanded, without a take-over warning.</t>
  </si>
  <si>
    <t xml:space="preserve">H-01 Unintended or excessive lateral motion</t>
  </si>
  <si>
    <t xml:space="preserve">Torque applied while not engaged or after disengagement (HE-01.4).</t>
  </si>
  <si>
    <t xml:space="preserve">Torque request frozen at its last value; steering bias continues while the road changes (HE-02.3). Bounded by the envelope and EPS authority.</t>
  </si>
  <si>
    <t xml:space="preserve">Torque magnitude or rate above the intended value.</t>
  </si>
  <si>
    <t xml:space="preserve">Torque below the intended value: the vehicle understeers in a curve.</t>
  </si>
  <si>
    <t xml:space="preserve">Assisted lane change starts before the driver confirms (nudge) or before the target lane is clear.</t>
  </si>
  <si>
    <t xml:space="preserve">Correction arrives after the lane geometry required it; same vehicle response as delayed function.</t>
  </si>
  <si>
    <t xml:space="preserve">Torque held for less time than commanded; same vehicle response as stops functioning.</t>
  </si>
  <si>
    <t xml:space="preserve">Torque continues after the command ends (after lane change or disengagement); same as unrequested torque.</t>
  </si>
  <si>
    <t xml:space="preserve">Lateral response latency beyond specification; lane departure in curves.</t>
  </si>
  <si>
    <t xml:space="preserve">Torque in the opposite direction to the command.</t>
  </si>
  <si>
    <t xml:space="preserve">Oscillating or chattering torque; weaving within or out of the lane.</t>
  </si>
  <si>
    <t xml:space="preserve">Asymmetric authority left vs right; the excess side behaves as excessive function.</t>
  </si>
  <si>
    <t xml:space="preserve">H-06 Unannounced loss of longitudinal deceleration</t>
  </si>
  <si>
    <t xml:space="preserve">No deceleration delivered when following a lead that slows, without warning.</t>
  </si>
  <si>
    <t xml:space="preserve">Deceleration stops while still needed (e.g. stale plan holds zero acceleration, HE-06.1).</t>
  </si>
  <si>
    <t xml:space="preserve">H-04 Unintended or excessive deceleration</t>
  </si>
  <si>
    <t xml:space="preserve">Braking with no reason (phantom braking), incl. a stop from speed. Unrequested acceleration has the same root but a different effect and is rated under M05.</t>
  </si>
  <si>
    <t xml:space="preserve">H-03 Unintended acceleration</t>
  </si>
  <si>
    <t xml:space="preserve">Acceleration request frozen at a positive value while the lead slows or stops.</t>
  </si>
  <si>
    <t xml:space="preserve">Acceleration above intended, or acceleration from standstill when not intended (HE-03.x).</t>
  </si>
  <si>
    <t xml:space="preserve">Deceleration below the required value when closing on a lead.</t>
  </si>
  <si>
    <t xml:space="preserve">Braking before there is a reason; same response as unrequested braking.</t>
  </si>
  <si>
    <t xml:space="preserve">Braking starts after it was needed; same as delayed.</t>
  </si>
  <si>
    <t xml:space="preserve">Braking released before the vehicle has slowed enough; same as stops functioning.</t>
  </si>
  <si>
    <t xml:space="preserve">Braking continues after the reason has gone; vehicle slows or stops unexpectedly in traffic.</t>
  </si>
  <si>
    <t xml:space="preserve">Longitudinal response latency beyond specification when the lead slows.</t>
  </si>
  <si>
    <t xml:space="preserve">Acceleration when deceleration is commanded (e.g. sign error), HE-03.3.</t>
  </si>
  <si>
    <t xml:space="preserve">Oscillating acceleration and braking (surging); unexpected decelerations for following traffic.</t>
  </si>
  <si>
    <t xml:space="preserve">NA</t>
  </si>
  <si>
    <t xml:space="preserve">Longitudinal output is a single scalar request to the PCM; no left/right or per-axle asymmetry exists at this interface.</t>
  </si>
  <si>
    <t xml:space="preserve">H-05 Driver unable to override or disengage</t>
  </si>
  <si>
    <t xml:space="preserve">Disengagement on brake, cancel or override does not happen (HE-05.x). Engagement failing to happen is safe (driver drives).</t>
  </si>
  <si>
    <t xml:space="preserve">System disengages while the driver relies on it, without adequate warning (lateral and longitudinal lost).</t>
  </si>
  <si>
    <t xml:space="preserve">Engagement without a driver request (the envelope gates on the PCM cruise rising edge); unexpected steering and acceleration. Lateral is the worst case.</t>
  </si>
  <si>
    <t xml:space="preserve">Engagement state stuck at 'engaged'; same as disengagement not happening.</t>
  </si>
  <si>
    <t xml:space="preserve">Engagement is a discrete state; no magnitude.</t>
  </si>
  <si>
    <t xml:space="preserve">Partial disengagement: one axis released, the other still actuating after brake or cancel.</t>
  </si>
  <si>
    <t xml:space="preserve">NSC</t>
  </si>
  <si>
    <t xml:space="preserve">Early disengagement equals an announced disengagement; rated under M02 if unannounced.</t>
  </si>
  <si>
    <t xml:space="preserve">Disengagement after the driver input has passed; same as delayed.</t>
  </si>
  <si>
    <t xml:space="preserve">Engagement has no commanded duration.</t>
  </si>
  <si>
    <t xml:space="preserve">Engagement continues after the driver ends it; same as no disengagement.</t>
  </si>
  <si>
    <t xml:space="preserve">Release delayed beyond the specified time after brake or cancel (SG-05 FTTI 0.2 s).</t>
  </si>
  <si>
    <t xml:space="preserve">Engages when the driver cancels; same as unrequested engagement.</t>
  </si>
  <si>
    <t xml:space="preserve">Repeated engage/disengage toggling; each drop behaves as an unannounced disengagement.</t>
  </si>
  <si>
    <t xml:space="preserve">No asymmetric profile for a discrete state.</t>
  </si>
  <si>
    <t xml:space="preserve">Inattention not detected. Not a vehicle-level hazard by itself: latent fault of a measure the controllability of H-02/H-06 relies on. Handled in the FSC (DM integrity) and SOTIF misuse analysis.</t>
  </si>
  <si>
    <t xml:space="preserve">Same as no function: latent.</t>
  </si>
  <si>
    <t xml:space="preserve">DM escalates to forced deceleration although the driver is attentive.</t>
  </si>
  <si>
    <t xml:space="preserve">Attention estimate stuck: either latent (stuck attentive) or rated as M03 (stuck distracted).</t>
  </si>
  <si>
    <t xml:space="preserve">Over-sensitive DM: escalation and forced deceleration too often; same response as unrequested intervention.</t>
  </si>
  <si>
    <t xml:space="preserve">Under-sensitive DM: latent.</t>
  </si>
  <si>
    <t xml:space="preserve">Escalation steps reached too early; ends in unrequested forced deceleration.</t>
  </si>
  <si>
    <t xml:space="preserve">Escalation too late: latent, reduces the controllability basis of H-02/H-06 (FSC).</t>
  </si>
  <si>
    <t xml:space="preserve">Alerts have no safety-relevant commanded duration.</t>
  </si>
  <si>
    <t xml:space="preserve">Alert or lockout lasts longer than needed: availability only.</t>
  </si>
  <si>
    <t xml:space="preserve">Delayed detection: latent.</t>
  </si>
  <si>
    <t xml:space="preserve">No direction.</t>
  </si>
  <si>
    <t xml:space="preserve">Intermittent false alerts: nuisance; repeated forced decelerations rated under M03.</t>
  </si>
  <si>
    <t xml:space="preserve">No asymmetric profile.</t>
  </si>
  <si>
    <t xml:space="preserve">H-07 Displayed system state differs from actual state (mode confusion)</t>
  </si>
  <si>
    <t xml:space="preserve">Take-over request or disengagement alert not given; the driver believes the system is still in control.</t>
  </si>
  <si>
    <t xml:space="preserve">Display or sound stops during operation; same effect as no alert.</t>
  </si>
  <si>
    <t xml:space="preserve">Spurious alert: driver checks the situation; nuisance (HMI / SOTIF, WP-C-08).</t>
  </si>
  <si>
    <t xml:space="preserve">Engagement indication frozen (shows engaged after disengagement).</t>
  </si>
  <si>
    <t xml:space="preserve">No magnitude beyond loudness; covered by HMI requirements.</t>
  </si>
  <si>
    <t xml:space="preserve">Alert partly given (visual without sound); driver may miss it.</t>
  </si>
  <si>
    <t xml:space="preserve">Alert shown before the event: no hazard.</t>
  </si>
  <si>
    <t xml:space="preserve">Alert shown after the driver needed it; same as missing.</t>
  </si>
  <si>
    <t xml:space="preserve">Alert too short to be noticed; same as missing.</t>
  </si>
  <si>
    <t xml:space="preserve">Alert persists: nuisance.</t>
  </si>
  <si>
    <t xml:space="preserve">Delayed alert; same as missing at the moment it matters.</t>
  </si>
  <si>
    <t xml:space="preserve">Shows engaged when disengaged or the reverse; same as frozen indication.</t>
  </si>
  <si>
    <t xml:space="preserve">Flickering indication: nuisance.</t>
  </si>
  <si>
    <t xml:space="preserve">Missing FCW: the warning supplements driver supervision; the stock PCS gives its own warning (subject to H-08). QM in the draft HARA (§5.8).</t>
  </si>
  <si>
    <t xml:space="preserve">Same as no function.</t>
  </si>
  <si>
    <t xml:space="preserve">False FCW may provoke reflex braking by the driver (rated as unintended deceleration, driver-actuated).</t>
  </si>
  <si>
    <t xml:space="preserve">Discrete alert.</t>
  </si>
  <si>
    <t xml:space="preserve">Early warning for a real event: helpful or same as false warning.</t>
  </si>
  <si>
    <t xml:space="preserve">Late warning: same as missing.</t>
  </si>
  <si>
    <t xml:space="preserve">No safety-relevant duration.</t>
  </si>
  <si>
    <t xml:space="preserve">Delayed: same as missing.</t>
  </si>
  <si>
    <t xml:space="preserve">Repeated false alerts: same as false warning.</t>
  </si>
  <si>
    <t xml:space="preserve">Missing LDW during manual driving: driver in full control (draft §5.8).</t>
  </si>
  <si>
    <t xml:space="preserve">False LDW: no actuation; nuisance.</t>
  </si>
  <si>
    <t xml:space="preserve">Early warning: no hazard.</t>
  </si>
  <si>
    <t xml:space="preserve">Late: same as missing.</t>
  </si>
  <si>
    <t xml:space="preserve">Repeated false alerts: nuisance.</t>
  </si>
  <si>
    <t xml:space="preserve">Limits, gating or checks not enforced: latent fault of a safety mechanism; hazardous only together with an F-01/F-02/F-03 malfunction (dual-point). Handled in the FSC/TSC and the HW metrics, not as a separate hazardous event. Forwarding failure is M03.</t>
  </si>
  <si>
    <t xml:space="preserve">Same as no function (latent).</t>
  </si>
  <si>
    <t xml:space="preserve">H-08 Suppression of the vehicle's stock pre-collision braking</t>
  </si>
  <si>
    <t xml:space="preserve">Relay or forwarding blocks, delays or alters camera PCS/AEB messages, or the item transmits on PCS IDs (GAP-42).</t>
  </si>
  <si>
    <t xml:space="preserve">Envelope stuck in a blocking state (e.g. controls_allowed stuck false, relay stuck) while the SoC shows engaged: lateral and longitudinal silently dropped.</t>
  </si>
  <si>
    <t xml:space="preserve">Over-limiting: valid commands rejected; same as stuck blocking (unannounced loss of control).</t>
  </si>
  <si>
    <t xml:space="preserve">Under-limiting: latent.</t>
  </si>
  <si>
    <t xml:space="preserve">Disengagement by envelope before needed: announced via the SoC fault path; availability.</t>
  </si>
  <si>
    <t xml:space="preserve">Late limit enforcement: latent (covered by FTTI budget, WP-S-04).</t>
  </si>
  <si>
    <t xml:space="preserve">No commanded duration.</t>
  </si>
  <si>
    <t xml:space="preserve">Gate stays open after disengagement: latent, dual-point with F-01 M03.</t>
  </si>
  <si>
    <t xml:space="preserve">Delayed detection: latent (GAP-06).</t>
  </si>
  <si>
    <t xml:space="preserve">Intermittent blocking: each block behaves as stuck blocking.</t>
  </si>
  <si>
    <t xml:space="preserve">No kinetic authority. Logging, upload, remote access and update malfunctions do not act on vehicle motion directly; cyber-induced effects are in the TARA (WP-C-09) and map to H-01…H-08.</t>
  </si>
  <si>
    <t xml:space="preserve">H-09 Vehicle does not stop for a traffic signal or stop sign it is expected to stop for</t>
  </si>
  <si>
    <t xml:space="preserve">Does not stop for a red light or stop sign that Experimental Mode is presented as handling.</t>
  </si>
  <si>
    <t xml:space="preserve">Starts stopping, then releases before the stop line; same as not stopping.</t>
  </si>
  <si>
    <t xml:space="preserve">Stops for a signal, sign, shadow or object that is not there (false stop).</t>
  </si>
  <si>
    <t xml:space="preserve">Stuck model acceleration: the planner takes the minimum of model and MPC, so a stuck model value can only hold or reduce speed; rated as M03 if it brakes.</t>
  </si>
  <si>
    <t xml:space="preserve">Excessive model deceleration; same as false stop.</t>
  </si>
  <si>
    <t xml:space="preserve">Insufficient braking for the stop line; overshoot into the intersection.</t>
  </si>
  <si>
    <t xml:space="preserve">Stops early (far before the line); same as false stop for following traffic.</t>
  </si>
  <si>
    <t xml:space="preserve">Stops late (past the line); same as not stopping.</t>
  </si>
  <si>
    <t xml:space="preserve">Releases the stop too early (creeps into a red light).</t>
  </si>
  <si>
    <t xml:space="preserve">Stays stopped after green: following traffic; same as false stop.</t>
  </si>
  <si>
    <t xml:space="preserve">Delayed reaction to a signal; same as not stopping in time.</t>
  </si>
  <si>
    <t xml:space="preserve">The minimum selection prevents the model from producing more acceleration than the Chill plan, apart from the raised cruise limit, which is intended behaviour.</t>
  </si>
  <si>
    <t xml:space="preserve">Stop-go oscillation at signals; same as false stop.</t>
  </si>
  <si>
    <t xml:space="preserve">Scalar request.</t>
  </si>
  <si>
    <t xml:space="preserve">HARA Worksheet — Cartesian (Function × Malfunction × Operating Environment)</t>
  </si>
  <si>
    <t xml:space="preserve">HARA ID</t>
  </si>
  <si>
    <t xml:space="preserve">Speed band (km/h)</t>
  </si>
  <si>
    <t xml:space="preserve">Weather</t>
  </si>
  <si>
    <t xml:space="preserve">Hazardous Event</t>
  </si>
  <si>
    <t xml:space="preserve">S Rationale</t>
  </si>
  <si>
    <t xml:space="preserve">E Rationale</t>
  </si>
  <si>
    <t xml:space="preserve">C Rationale</t>
  </si>
  <si>
    <t xml:space="preserve">ASIL</t>
  </si>
  <si>
    <t xml:space="preserve">Safe State</t>
  </si>
  <si>
    <t xml:space="preserve">H-0001</t>
  </si>
  <si>
    <t xml:space="preserve">90–120</t>
  </si>
  <si>
    <t xml:space="preserve">No Function of 'Lateral control (lane centring)' while in Limited-access highway, free flow, adjacent traffic (90–120 km/h), dry, daylight.</t>
  </si>
  <si>
    <t xml:space="preserve">S3: lane departure at 90–120 km/h.</t>
  </si>
  <si>
    <t xml:space="preserve">E4: situation OS-01 is E4, condition W01 is E4; the combination is no more frequent than the rarer of the two (ISO 26262-3 Table B.2, duration).</t>
  </si>
  <si>
    <t xml:space="preserve">C1: slow drift on a straight or gently curved road; a supervising driver notices and corrects it (≥ 99 %).</t>
  </si>
  <si>
    <t xml:space="preserve">Disable function output; transition to driver-controlled mode; illuminate warning lamp.</t>
  </si>
  <si>
    <t xml:space="preserve">H-0002</t>
  </si>
  <si>
    <t xml:space="preserve">No Function of 'Lateral control (lane centring)' while in Limited-access highway, free flow, adjacent traffic (90–120 km/h), wet road or light rain.</t>
  </si>
  <si>
    <t xml:space="preserve">E3: situation OS-01 is E4, condition W02 is E3; the combination is no more frequent than the rarer of the two (ISO 26262-3 Table B.2, duration).</t>
  </si>
  <si>
    <t xml:space="preserve">H-0003</t>
  </si>
  <si>
    <t xml:space="preserve">No Function of 'Lateral control (lane centring)' while in Limited-access highway, free flow, adjacent traffic (90–120 km/h), night, dry, headlights.</t>
  </si>
  <si>
    <t xml:space="preserve">E3: situation OS-01 is E4, condition W03 is E3; the combination is no more frequent than the rarer of the two (ISO 26262-3 Table B.2, duration).</t>
  </si>
  <si>
    <t xml:space="preserve">H-0004</t>
  </si>
  <si>
    <t xml:space="preserve">No Function of 'Lateral control (lane centring)' while in Limited-access highway, free flow, adjacent traffic (90–120 km/h), moderate or heavy rain (outside odd, foreseeable).</t>
  </si>
  <si>
    <t xml:space="preserve">E2: situation OS-01 is E4, condition W04 is E2; the combination is no more frequent than the rarer of the two (ISO 26262-3 Table B.2, duration).</t>
  </si>
  <si>
    <t xml:space="preserve">H-0005</t>
  </si>
  <si>
    <t xml:space="preserve">No Function of 'Lateral control (lane centring)' while in Limited-access highway, free flow, adjacent traffic (90–120 km/h), snow or ice (outside odd, foreseeable).</t>
  </si>
  <si>
    <t xml:space="preserve">E2: situation OS-01 is E4, condition W05 is E2; the combination is no more frequent than the rarer of the two (ISO 26262-3 Table B.2, duration).</t>
  </si>
  <si>
    <t xml:space="preserve">C1: slow drift on a straight or gently curved road; a supervising driver notices and corrects it (≥ 99 %). Snow/ice: low friction; a correction or braking can induce a skid (C+1).</t>
  </si>
  <si>
    <t xml:space="preserve">H-0006</t>
  </si>
  <si>
    <t xml:space="preserve">No Function of 'Lateral control (lane centring)' while in Limited-access highway, free flow, adjacent traffic (90–120 km/h), fog, visibility below the odd bound (outside odd, foreseeable).</t>
  </si>
  <si>
    <t xml:space="preserve">E1: situation OS-01 is E4, condition W06 is E1; the combination is no more frequent than the rarer of the two (ISO 26262-3 Table B.2, duration).</t>
  </si>
  <si>
    <t xml:space="preserve">H-0007</t>
  </si>
  <si>
    <t xml:space="preserve">70–110</t>
  </si>
  <si>
    <t xml:space="preserve">No Function of 'Lateral control (lane centring)' while in Highway curve near R_ODD with barrier or adjacent traffic (70–110 km/h), dry, daylight.</t>
  </si>
  <si>
    <t xml:space="preserve">S3: vehicle goes straight in a highway curve into barrier or adjacent traffic (HE-02.1).</t>
  </si>
  <si>
    <t xml:space="preserve">E3: situation OS-02 is E3, condition W01 is E4; the combination is no more frequent than the rarer of the two (ISO 26262-3 Table B.2, duration).</t>
  </si>
  <si>
    <t xml:space="preserve">C2: drift in a curve develops quickly; a supervising driver corrects it in ≥ 90 % of cases, but loss without warning delays the reaction and hands-off use is foreseeable.</t>
  </si>
  <si>
    <t xml:space="preserve">H-0008</t>
  </si>
  <si>
    <t xml:space="preserve">No Function of 'Lateral control (lane centring)' while in Highway curve near R_ODD with barrier or adjacent traffic (70–110 km/h), wet road or light rain.</t>
  </si>
  <si>
    <t xml:space="preserve">E3: situation OS-02 is E3, condition W02 is E3; the combination is no more frequent than the rarer of the two (ISO 26262-3 Table B.2, duration).</t>
  </si>
  <si>
    <t xml:space="preserve">H-0009</t>
  </si>
  <si>
    <t xml:space="preserve">No Function of 'Lateral control (lane centring)' while in Highway curve near R_ODD with barrier or adjacent traffic (70–110 km/h), night, dry, headlights.</t>
  </si>
  <si>
    <t xml:space="preserve">E3: situation OS-02 is E3, condition W03 is E3; the combination is no more frequent than the rarer of the two (ISO 26262-3 Table B.2, duration).</t>
  </si>
  <si>
    <t xml:space="preserve">H-0010</t>
  </si>
  <si>
    <t xml:space="preserve">No Function of 'Lateral control (lane centring)' while in Highway curve near R_ODD with barrier or adjacent traffic (70–110 km/h), moderate or heavy rain (outside odd, foreseeable).</t>
  </si>
  <si>
    <t xml:space="preserve">E2: situation OS-02 is E3, condition W04 is E2; the combination is no more frequent than the rarer of the two (ISO 26262-3 Table B.2, duration).</t>
  </si>
  <si>
    <t xml:space="preserve">H-0011</t>
  </si>
  <si>
    <t xml:space="preserve">No Function of 'Lateral control (lane centring)' while in Highway curve near R_ODD with barrier or adjacent traffic (70–110 km/h), snow or ice (outside odd, foreseeable).</t>
  </si>
  <si>
    <t xml:space="preserve">E2: situation OS-02 is E3, condition W05 is E2; the combination is no more frequent than the rarer of the two (ISO 26262-3 Table B.2, duration).</t>
  </si>
  <si>
    <t xml:space="preserve">C2: drift in a curve develops quickly; a supervising driver corrects it in ≥ 90 % of cases, but loss without warning delays the reaction and hands-off use is foreseeable. Snow/ice: low friction; a correction or braking can induce a skid (C+1).</t>
  </si>
  <si>
    <t xml:space="preserve">H-0012</t>
  </si>
  <si>
    <t xml:space="preserve">No Function of 'Lateral control (lane centring)' while in Highway curve near R_ODD with barrier or adjacent traffic (70–110 km/h), fog, visibility below the odd bound (outside odd, foreseeable).</t>
  </si>
  <si>
    <t xml:space="preserve">E1: situation OS-02 is E3, condition W06 is E1; the combination is no more frequent than the rarer of the two (ISO 26262-3 Table B.2, duration).</t>
  </si>
  <si>
    <t xml:space="preserve">H-0013</t>
  </si>
  <si>
    <t xml:space="preserve">60–90</t>
  </si>
  <si>
    <t xml:space="preserve">No Function of 'Lateral control (lane centring)' while in Undivided rural or arterial road, oncoming traffic (60–90 km/h), dry, daylight.</t>
  </si>
  <si>
    <t xml:space="preserve">S3: drift towards the oncoming lane on a mostly straight undivided road.</t>
  </si>
  <si>
    <t xml:space="preserve">E4: situation OS-03 is E4, condition W01 is E4; the combination is no more frequent than the rarer of the two (ISO 26262-3 Table B.2, duration).</t>
  </si>
  <si>
    <t xml:space="preserve">H-0014</t>
  </si>
  <si>
    <t xml:space="preserve">No Function of 'Lateral control (lane centring)' while in Undivided rural or arterial road, oncoming traffic (60–90 km/h), wet road or light rain.</t>
  </si>
  <si>
    <t xml:space="preserve">E3: situation OS-03 is E4, condition W02 is E3; the combination is no more frequent than the rarer of the two (ISO 26262-3 Table B.2, duration).</t>
  </si>
  <si>
    <t xml:space="preserve">H-0015</t>
  </si>
  <si>
    <t xml:space="preserve">No Function of 'Lateral control (lane centring)' while in Undivided rural or arterial road, oncoming traffic (60–90 km/h), night, dry, headlights.</t>
  </si>
  <si>
    <t xml:space="preserve">E3: situation OS-03 is E4, condition W03 is E3; the combination is no more frequent than the rarer of the two (ISO 26262-3 Table B.2, duration).</t>
  </si>
  <si>
    <t xml:space="preserve">H-0016</t>
  </si>
  <si>
    <t xml:space="preserve">No Function of 'Lateral control (lane centring)' while in Undivided rural or arterial road, oncoming traffic (60–90 km/h), moderate or heavy rain (outside odd, foreseeable).</t>
  </si>
  <si>
    <t xml:space="preserve">E2: situation OS-03 is E4, condition W04 is E2; the combination is no more frequent than the rarer of the two (ISO 26262-3 Table B.2, duration).</t>
  </si>
  <si>
    <t xml:space="preserve">H-0017</t>
  </si>
  <si>
    <t xml:space="preserve">No Function of 'Lateral control (lane centring)' while in Undivided rural or arterial road, oncoming traffic (60–90 km/h), snow or ice (outside odd, foreseeable).</t>
  </si>
  <si>
    <t xml:space="preserve">E2: situation OS-03 is E4, condition W05 is E2; the combination is no more frequent than the rarer of the two (ISO 26262-3 Table B.2, duration).</t>
  </si>
  <si>
    <t xml:space="preserve">H-0018</t>
  </si>
  <si>
    <t xml:space="preserve">No Function of 'Lateral control (lane centring)' while in Undivided rural or arterial road, oncoming traffic (60–90 km/h), fog, visibility below the odd bound (outside odd, foreseeable).</t>
  </si>
  <si>
    <t xml:space="preserve">E1: situation OS-03 is E4, condition W06 is E1; the combination is no more frequent than the rarer of the two (ISO 26262-3 Table B.2, duration).</t>
  </si>
  <si>
    <t xml:space="preserve">H-0019</t>
  </si>
  <si>
    <t xml:space="preserve">30–60</t>
  </si>
  <si>
    <t xml:space="preserve">No Function of 'Lateral control (lane centring)' while in Urban arterial, pedestrians and cyclists near the lane edge (30–60 km/h), dry, daylight.</t>
  </si>
  <si>
    <t xml:space="preserve">S3: drift towards VRUs at the lane edge above 30 km/h.</t>
  </si>
  <si>
    <t xml:space="preserve">E3: situation OS-04 is E3, condition W01 is E4; the combination is no more frequent than the rarer of the two (ISO 26262-3 Table B.2, duration).</t>
  </si>
  <si>
    <t xml:space="preserve">H-0020</t>
  </si>
  <si>
    <t xml:space="preserve">No Function of 'Lateral control (lane centring)' while in Urban arterial, pedestrians and cyclists near the lane edge (30–60 km/h), wet road or light rain.</t>
  </si>
  <si>
    <t xml:space="preserve">E3: situation OS-04 is E3, condition W02 is E3; the combination is no more frequent than the rarer of the two (ISO 26262-3 Table B.2, duration).</t>
  </si>
  <si>
    <t xml:space="preserve">H-0021</t>
  </si>
  <si>
    <t xml:space="preserve">No Function of 'Lateral control (lane centring)' while in Urban arterial, pedestrians and cyclists near the lane edge (30–60 km/h), night, dry, headlights.</t>
  </si>
  <si>
    <t xml:space="preserve">E3: situation OS-04 is E3, condition W03 is E3; the combination is no more frequent than the rarer of the two (ISO 26262-3 Table B.2, duration).</t>
  </si>
  <si>
    <t xml:space="preserve">H-0022</t>
  </si>
  <si>
    <t xml:space="preserve">No Function of 'Lateral control (lane centring)' while in Urban arterial, pedestrians and cyclists near the lane edge (30–60 km/h), moderate or heavy rain (outside odd, foreseeable).</t>
  </si>
  <si>
    <t xml:space="preserve">E2: situation OS-04 is E3, condition W04 is E2; the combination is no more frequent than the rarer of the two (ISO 26262-3 Table B.2, duration).</t>
  </si>
  <si>
    <t xml:space="preserve">H-0023</t>
  </si>
  <si>
    <t xml:space="preserve">No Function of 'Lateral control (lane centring)' while in Urban arterial, pedestrians and cyclists near the lane edge (30–60 km/h), snow or ice (outside odd, foreseeable).</t>
  </si>
  <si>
    <t xml:space="preserve">E2: situation OS-04 is E3, condition W05 is E2; the combination is no more frequent than the rarer of the two (ISO 26262-3 Table B.2, duration).</t>
  </si>
  <si>
    <t xml:space="preserve">H-0024</t>
  </si>
  <si>
    <t xml:space="preserve">No Function of 'Lateral control (lane centring)' while in Urban arterial, pedestrians and cyclists near the lane edge (30–60 km/h), fog, visibility below the odd bound (outside odd, foreseeable).</t>
  </si>
  <si>
    <t xml:space="preserve">E1: situation OS-04 is E3, condition W06 is E1; the combination is no more frequent than the rarer of the two (ISO 26262-3 Table B.2, duration).</t>
  </si>
  <si>
    <t xml:space="preserve">H-0025</t>
  </si>
  <si>
    <t xml:space="preserve">30–110</t>
  </si>
  <si>
    <t xml:space="preserve">No Function of 'Lateral control (lane centring)' while in Following a lead vehicle at a short gap, dense traffic (30–110 km/h), dry, daylight.</t>
  </si>
  <si>
    <t xml:space="preserve">S3: drift into adjacent dense traffic.</t>
  </si>
  <si>
    <t xml:space="preserve">E4: situation OS-05 is E4, condition W01 is E4; the combination is no more frequent than the rarer of the two (ISO 26262-3 Table B.2, duration).</t>
  </si>
  <si>
    <t xml:space="preserve">H-0026</t>
  </si>
  <si>
    <t xml:space="preserve">No Function of 'Lateral control (lane centring)' while in Following a lead vehicle at a short gap, dense traffic (30–110 km/h), wet road or light rain.</t>
  </si>
  <si>
    <t xml:space="preserve">E3: situation OS-05 is E4, condition W02 is E3; the combination is no more frequent than the rarer of the two (ISO 26262-3 Table B.2, duration).</t>
  </si>
  <si>
    <t xml:space="preserve">H-0027</t>
  </si>
  <si>
    <t xml:space="preserve">No Function of 'Lateral control (lane centring)' while in Following a lead vehicle at a short gap, dense traffic (30–110 km/h), night, dry, headlights.</t>
  </si>
  <si>
    <t xml:space="preserve">E3: situation OS-05 is E4, condition W03 is E3; the combination is no more frequent than the rarer of the two (ISO 26262-3 Table B.2, duration).</t>
  </si>
  <si>
    <t xml:space="preserve">H-0028</t>
  </si>
  <si>
    <t xml:space="preserve">No Function of 'Lateral control (lane centring)' while in Following a lead vehicle at a short gap, dense traffic (30–110 km/h), moderate or heavy rain (outside odd, foreseeable).</t>
  </si>
  <si>
    <t xml:space="preserve">E2: situation OS-05 is E4, condition W04 is E2; the combination is no more frequent than the rarer of the two (ISO 26262-3 Table B.2, duration).</t>
  </si>
  <si>
    <t xml:space="preserve">H-0029</t>
  </si>
  <si>
    <t xml:space="preserve">No Function of 'Lateral control (lane centring)' while in Following a lead vehicle at a short gap, dense traffic (30–110 km/h), snow or ice (outside odd, foreseeable).</t>
  </si>
  <si>
    <t xml:space="preserve">E2: situation OS-05 is E4, condition W05 is E2; the combination is no more frequent than the rarer of the two (ISO 26262-3 Table B.2, duration).</t>
  </si>
  <si>
    <t xml:space="preserve">H-0030</t>
  </si>
  <si>
    <t xml:space="preserve">No Function of 'Lateral control (lane centring)' while in Following a lead vehicle at a short gap, dense traffic (30–110 km/h), fog, visibility below the odd bound (outside odd, foreseeable).</t>
  </si>
  <si>
    <t xml:space="preserve">E1: situation OS-05 is E4, condition W06 is E1; the combination is no more frequent than the rarer of the two (ISO 26262-3 Table B.2, duration).</t>
  </si>
  <si>
    <t xml:space="preserve">H-0031</t>
  </si>
  <si>
    <t xml:space="preserve">0–30</t>
  </si>
  <si>
    <t xml:space="preserve">No Function of 'Lateral control (lane centring)' while in Stop-and-go queue or standstill behind a lead; pedestrians may cross (0–30 km/h), dry, daylight.</t>
  </si>
  <si>
    <t xml:space="preserve">S1: low-speed drift in a queue.</t>
  </si>
  <si>
    <t xml:space="preserve">E3: situation OS-06 is E3, condition W01 is E4; the combination is no more frequent than the rarer of the two (ISO 26262-3 Table B.2, duration).</t>
  </si>
  <si>
    <t xml:space="preserve">C1: queue speed.</t>
  </si>
  <si>
    <t xml:space="preserve">H-0032</t>
  </si>
  <si>
    <t xml:space="preserve">No Function of 'Lateral control (lane centring)' while in Stop-and-go queue or standstill behind a lead; pedestrians may cross (0–30 km/h), wet road or light rain.</t>
  </si>
  <si>
    <t xml:space="preserve">E3: situation OS-06 is E3, condition W02 is E3; the combination is no more frequent than the rarer of the two (ISO 26262-3 Table B.2, duration).</t>
  </si>
  <si>
    <t xml:space="preserve">H-0033</t>
  </si>
  <si>
    <t xml:space="preserve">No Function of 'Lateral control (lane centring)' while in Stop-and-go queue or standstill behind a lead; pedestrians may cross (0–30 km/h), night, dry, headlights.</t>
  </si>
  <si>
    <t xml:space="preserve">E3: situation OS-06 is E3, condition W03 is E3; the combination is no more frequent than the rarer of the two (ISO 26262-3 Table B.2, duration).</t>
  </si>
  <si>
    <t xml:space="preserve">H-0034</t>
  </si>
  <si>
    <t xml:space="preserve">No Function of 'Lateral control (lane centring)' while in Stop-and-go queue or standstill behind a lead; pedestrians may cross (0–30 km/h), moderate or heavy rain (outside odd, foreseeable).</t>
  </si>
  <si>
    <t xml:space="preserve">E2: situation OS-06 is E3, condition W04 is E2; the combination is no more frequent than the rarer of the two (ISO 26262-3 Table B.2, duration).</t>
  </si>
  <si>
    <t xml:space="preserve">H-0035</t>
  </si>
  <si>
    <t xml:space="preserve">No Function of 'Lateral control (lane centring)' while in Stop-and-go queue or standstill behind a lead; pedestrians may cross (0–30 km/h), snow or ice (outside odd, foreseeable).</t>
  </si>
  <si>
    <t xml:space="preserve">E2: situation OS-06 is E3, condition W05 is E2; the combination is no more frequent than the rarer of the two (ISO 26262-3 Table B.2, duration).</t>
  </si>
  <si>
    <t xml:space="preserve">C1: queue speed. Snow/ice: low friction; a correction or braking can induce a skid (C+1).</t>
  </si>
  <si>
    <t xml:space="preserve">H-0036</t>
  </si>
  <si>
    <t xml:space="preserve">No Function of 'Lateral control (lane centring)' while in Stop-and-go queue or standstill behind a lead; pedestrians may cross (0–30 km/h), fog, visibility below the odd bound (outside odd, foreseeable).</t>
  </si>
  <si>
    <t xml:space="preserve">E1: situation OS-06 is E3, condition W06 is E1; the combination is no more frequent than the rarer of the two (ISO 26262-3 Table B.2, duration).</t>
  </si>
  <si>
    <t xml:space="preserve">H-0037</t>
  </si>
  <si>
    <t xml:space="preserve">70–120</t>
  </si>
  <si>
    <t xml:space="preserve">No Function of 'Lateral control (lane centring)' while in Approaching slower or stationary traffic from highway speed (70–120 km/h), dry, daylight.</t>
  </si>
  <si>
    <t xml:space="preserve">S3: drift at highway speed.</t>
  </si>
  <si>
    <t xml:space="preserve">E3: situation OS-07 is E3, condition W01 is E4; the combination is no more frequent than the rarer of the two (ISO 26262-3 Table B.2, duration).</t>
  </si>
  <si>
    <t xml:space="preserve">H-0038</t>
  </si>
  <si>
    <t xml:space="preserve">No Function of 'Lateral control (lane centring)' while in Approaching slower or stationary traffic from highway speed (70–120 km/h), wet road or light rain.</t>
  </si>
  <si>
    <t xml:space="preserve">E3: situation OS-07 is E3, condition W02 is E3; the combination is no more frequent than the rarer of the two (ISO 26262-3 Table B.2, duration).</t>
  </si>
  <si>
    <t xml:space="preserve">H-0039</t>
  </si>
  <si>
    <t xml:space="preserve">No Function of 'Lateral control (lane centring)' while in Approaching slower or stationary traffic from highway speed (70–120 km/h), night, dry, headlights.</t>
  </si>
  <si>
    <t xml:space="preserve">E3: situation OS-07 is E3, condition W03 is E3; the combination is no more frequent than the rarer of the two (ISO 26262-3 Table B.2, duration).</t>
  </si>
  <si>
    <t xml:space="preserve">H-0040</t>
  </si>
  <si>
    <t xml:space="preserve">No Function of 'Lateral control (lane centring)' while in Approaching slower or stationary traffic from highway speed (70–120 km/h), moderate or heavy rain (outside odd, foreseeable).</t>
  </si>
  <si>
    <t xml:space="preserve">E2: situation OS-07 is E3, condition W04 is E2; the combination is no more frequent than the rarer of the two (ISO 26262-3 Table B.2, duration).</t>
  </si>
  <si>
    <t xml:space="preserve">H-0041</t>
  </si>
  <si>
    <t xml:space="preserve">No Function of 'Lateral control (lane centring)' while in Approaching slower or stationary traffic from highway speed (70–120 km/h), snow or ice (outside odd, foreseeable).</t>
  </si>
  <si>
    <t xml:space="preserve">E2: situation OS-07 is E3, condition W05 is E2; the combination is no more frequent than the rarer of the two (ISO 26262-3 Table B.2, duration).</t>
  </si>
  <si>
    <t xml:space="preserve">H-0042</t>
  </si>
  <si>
    <t xml:space="preserve">No Function of 'Lateral control (lane centring)' while in Approaching slower or stationary traffic from highway speed (70–120 km/h), fog, visibility below the odd bound (outside odd, foreseeable).</t>
  </si>
  <si>
    <t xml:space="preserve">E1: situation OS-07 is E3, condition W06 is E1; the combination is no more frequent than the rarer of the two (ISO 26262-3 Table B.2, duration).</t>
  </si>
  <si>
    <t xml:space="preserve">H-0043</t>
  </si>
  <si>
    <t xml:space="preserve">50–120</t>
  </si>
  <si>
    <t xml:space="preserve">No Function of 'Lateral control (lane centring)' while in Close following vehicle behind (gap &lt; 1.5 s) (50–120 km/h), dry, daylight.</t>
  </si>
  <si>
    <t xml:space="preserve">E4: situation OS-08 is E4, condition W01 is E4; the combination is no more frequent than the rarer of the two (ISO 26262-3 Table B.2, duration).</t>
  </si>
  <si>
    <t xml:space="preserve">H-0044</t>
  </si>
  <si>
    <t xml:space="preserve">No Function of 'Lateral control (lane centring)' while in Close following vehicle behind (gap &lt; 1.5 s) (50–120 km/h), wet road or light rain.</t>
  </si>
  <si>
    <t xml:space="preserve">E3: situation OS-08 is E4, condition W02 is E3; the combination is no more frequent than the rarer of the two (ISO 26262-3 Table B.2, duration).</t>
  </si>
  <si>
    <t xml:space="preserve">H-0045</t>
  </si>
  <si>
    <t xml:space="preserve">No Function of 'Lateral control (lane centring)' while in Close following vehicle behind (gap &lt; 1.5 s) (50–120 km/h), night, dry, headlights.</t>
  </si>
  <si>
    <t xml:space="preserve">E3: situation OS-08 is E4, condition W03 is E3; the combination is no more frequent than the rarer of the two (ISO 26262-3 Table B.2, duration).</t>
  </si>
  <si>
    <t xml:space="preserve">H-0046</t>
  </si>
  <si>
    <t xml:space="preserve">No Function of 'Lateral control (lane centring)' while in Close following vehicle behind (gap &lt; 1.5 s) (50–120 km/h), moderate or heavy rain (outside odd, foreseeable).</t>
  </si>
  <si>
    <t xml:space="preserve">E2: situation OS-08 is E4, condition W04 is E2; the combination is no more frequent than the rarer of the two (ISO 26262-3 Table B.2, duration).</t>
  </si>
  <si>
    <t xml:space="preserve">H-0047</t>
  </si>
  <si>
    <t xml:space="preserve">No Function of 'Lateral control (lane centring)' while in Close following vehicle behind (gap &lt; 1.5 s) (50–120 km/h), snow or ice (outside odd, foreseeable).</t>
  </si>
  <si>
    <t xml:space="preserve">E2: situation OS-08 is E4, condition W05 is E2; the combination is no more frequent than the rarer of the two (ISO 26262-3 Table B.2, duration).</t>
  </si>
  <si>
    <t xml:space="preserve">H-0048</t>
  </si>
  <si>
    <t xml:space="preserve">No Function of 'Lateral control (lane centring)' while in Close following vehicle behind (gap &lt; 1.5 s) (50–120 km/h), fog, visibility below the odd bound (outside odd, foreseeable).</t>
  </si>
  <si>
    <t xml:space="preserve">E1: situation OS-08 is E4, condition W06 is E1; the combination is no more frequent than the rarer of the two (ISO 26262-3 Table B.2, duration).</t>
  </si>
  <si>
    <t xml:space="preserve">H-0049</t>
  </si>
  <si>
    <t xml:space="preserve">0–120</t>
  </si>
  <si>
    <t xml:space="preserve">No Function of 'Lateral control (lane centring)' while in Imminent collision where the stock PCS/AEB would intervene (0–120 km/h), dry, daylight.</t>
  </si>
  <si>
    <t xml:space="preserve">S3: loss of lateral control during an imminent collision.</t>
  </si>
  <si>
    <t xml:space="preserve">E2: situation OS-09 is E2, condition W01 is E4; the combination is no more frequent than the rarer of the two (ISO 26262-3 Table B.2, duration).</t>
  </si>
  <si>
    <t xml:space="preserve">C1: the driver is already acting on the collision.</t>
  </si>
  <si>
    <t xml:space="preserve">H-0050</t>
  </si>
  <si>
    <t xml:space="preserve">No Function of 'Lateral control (lane centring)' while in Imminent collision where the stock PCS/AEB would intervene (0–120 km/h), wet road or light rain.</t>
  </si>
  <si>
    <t xml:space="preserve">E2: situation OS-09 is E2, condition W02 is E3; the combination is no more frequent than the rarer of the two (ISO 26262-3 Table B.2, duration).</t>
  </si>
  <si>
    <t xml:space="preserve">H-0051</t>
  </si>
  <si>
    <t xml:space="preserve">No Function of 'Lateral control (lane centring)' while in Imminent collision where the stock PCS/AEB would intervene (0–120 km/h), night, dry, headlights.</t>
  </si>
  <si>
    <t xml:space="preserve">E2: situation OS-09 is E2, condition W03 is E3; the combination is no more frequent than the rarer of the two (ISO 26262-3 Table B.2, duration).</t>
  </si>
  <si>
    <t xml:space="preserve">H-0052</t>
  </si>
  <si>
    <t xml:space="preserve">No Function of 'Lateral control (lane centring)' while in Imminent collision where the stock PCS/AEB would intervene (0–120 km/h), moderate or heavy rain (outside odd, foreseeable).</t>
  </si>
  <si>
    <t xml:space="preserve">E2: situation OS-09 is E2, condition W04 is E2; the combination is no more frequent than the rarer of the two (ISO 26262-3 Table B.2, duration).</t>
  </si>
  <si>
    <t xml:space="preserve">H-0053</t>
  </si>
  <si>
    <t xml:space="preserve">No Function of 'Lateral control (lane centring)' while in Imminent collision where the stock PCS/AEB would intervene (0–120 km/h), snow or ice (outside odd, foreseeable).</t>
  </si>
  <si>
    <t xml:space="preserve">E2: situation OS-09 is E2, condition W05 is E2; the combination is no more frequent than the rarer of the two (ISO 26262-3 Table B.2, duration).</t>
  </si>
  <si>
    <t xml:space="preserve">C1: the driver is already acting on the collision. Snow/ice: low friction; a correction or braking can induce a skid (C+1).</t>
  </si>
  <si>
    <t xml:space="preserve">H-0054</t>
  </si>
  <si>
    <t xml:space="preserve">No Function of 'Lateral control (lane centring)' while in Imminent collision where the stock PCS/AEB would intervene (0–120 km/h), fog, visibility below the odd bound (outside odd, foreseeable).</t>
  </si>
  <si>
    <t xml:space="preserve">E1: situation OS-09 is E2, condition W06 is E1; the combination is no more frequent than the rarer of the two (ISO 26262-3 Table B.2, duration).</t>
  </si>
  <si>
    <t xml:space="preserve">H-0055</t>
  </si>
  <si>
    <t xml:space="preserve">No Function of 'Lateral control (lane centring)' while in Driver override while engaged: braking, cancel or evasive steering (0–120 km/h), dry, daylight.</t>
  </si>
  <si>
    <t xml:space="preserve">S0: Not hazardous here: the driver is already steering or the item is not engaged.</t>
  </si>
  <si>
    <t xml:space="preserve">E3: situation OS-10 is E3, condition W01 is E4; the combination is no more frequent than the rarer of the two (ISO 26262-3 Table B.2, duration).</t>
  </si>
  <si>
    <t xml:space="preserve">n/a</t>
  </si>
  <si>
    <t xml:space="preserve">H-0056</t>
  </si>
  <si>
    <t xml:space="preserve">No Function of 'Lateral control (lane centring)' while in Driver override while engaged: braking, cancel or evasive steering (0–120 km/h), wet road or light rain.</t>
  </si>
  <si>
    <t xml:space="preserve">E3: situation OS-10 is E3, condition W02 is E3; the combination is no more frequent than the rarer of the two (ISO 26262-3 Table B.2, duration).</t>
  </si>
  <si>
    <t xml:space="preserve">H-0057</t>
  </si>
  <si>
    <t xml:space="preserve">No Function of 'Lateral control (lane centring)' while in Driver override while engaged: braking, cancel or evasive steering (0–120 km/h), night, dry, headlights.</t>
  </si>
  <si>
    <t xml:space="preserve">E3: situation OS-10 is E3, condition W03 is E3; the combination is no more frequent than the rarer of the two (ISO 26262-3 Table B.2, duration).</t>
  </si>
  <si>
    <t xml:space="preserve">H-0058</t>
  </si>
  <si>
    <t xml:space="preserve">No Function of 'Lateral control (lane centring)' while in Driver override while engaged: braking, cancel or evasive steering (0–120 km/h), moderate or heavy rain (outside odd, foreseeable).</t>
  </si>
  <si>
    <t xml:space="preserve">E2: situation OS-10 is E3, condition W04 is E2; the combination is no more frequent than the rarer of the two (ISO 26262-3 Table B.2, duration).</t>
  </si>
  <si>
    <t xml:space="preserve">H-0059</t>
  </si>
  <si>
    <t xml:space="preserve">No Function of 'Lateral control (lane centring)' while in Driver override while engaged: braking, cancel or evasive steering (0–120 km/h), snow or ice (outside odd, foreseeable).</t>
  </si>
  <si>
    <t xml:space="preserve">E2: situation OS-10 is E3, condition W05 is E2; the combination is no more frequent than the rarer of the two (ISO 26262-3 Table B.2, duration).</t>
  </si>
  <si>
    <t xml:space="preserve">H-0060</t>
  </si>
  <si>
    <t xml:space="preserve">No Function of 'Lateral control (lane centring)' while in Driver override while engaged: braking, cancel or evasive steering (0–120 km/h), fog, visibility below the odd bound (outside odd, foreseeable).</t>
  </si>
  <si>
    <t xml:space="preserve">E1: situation OS-10 is E3, condition W06 is E1; the combination is no more frequent than the rarer of the two (ISO 26262-3 Table B.2, duration).</t>
  </si>
  <si>
    <t xml:space="preserve">H-0061</t>
  </si>
  <si>
    <t xml:space="preserve">No Function of 'Lateral control (lane centring)' while in Driver-initiated assisted lane change (70–120 km/h), dry, daylight.</t>
  </si>
  <si>
    <t xml:space="preserve">S3: lateral control lost mid-lane-change; vehicle straddles lanes next to traffic.</t>
  </si>
  <si>
    <t xml:space="preserve">E3: situation OS-12 is E3, condition W01 is E4; the combination is no more frequent than the rarer of the two (ISO 26262-3 Table B.2, duration).</t>
  </si>
  <si>
    <t xml:space="preserve">H-0062</t>
  </si>
  <si>
    <t xml:space="preserve">No Function of 'Lateral control (lane centring)' while in Driver-initiated assisted lane change (70–120 km/h), wet road or light rain.</t>
  </si>
  <si>
    <t xml:space="preserve">E3: situation OS-12 is E3, condition W02 is E3; the combination is no more frequent than the rarer of the two (ISO 26262-3 Table B.2, duration).</t>
  </si>
  <si>
    <t xml:space="preserve">H-0063</t>
  </si>
  <si>
    <t xml:space="preserve">No Function of 'Lateral control (lane centring)' while in Driver-initiated assisted lane change (70–120 km/h), night, dry, headlights.</t>
  </si>
  <si>
    <t xml:space="preserve">E3: situation OS-12 is E3, condition W03 is E3; the combination is no more frequent than the rarer of the two (ISO 26262-3 Table B.2, duration).</t>
  </si>
  <si>
    <t xml:space="preserve">H-0064</t>
  </si>
  <si>
    <t xml:space="preserve">No Function of 'Lateral control (lane centring)' while in Driver-initiated assisted lane change (70–120 km/h), moderate or heavy rain (outside odd, foreseeable).</t>
  </si>
  <si>
    <t xml:space="preserve">E2: situation OS-12 is E3, condition W04 is E2; the combination is no more frequent than the rarer of the two (ISO 26262-3 Table B.2, duration).</t>
  </si>
  <si>
    <t xml:space="preserve">H-0065</t>
  </si>
  <si>
    <t xml:space="preserve">No Function of 'Lateral control (lane centring)' while in Driver-initiated assisted lane change (70–120 km/h), snow or ice (outside odd, foreseeable).</t>
  </si>
  <si>
    <t xml:space="preserve">E2: situation OS-12 is E3, condition W05 is E2; the combination is no more frequent than the rarer of the two (ISO 26262-3 Table B.2, duration).</t>
  </si>
  <si>
    <t xml:space="preserve">H-0066</t>
  </si>
  <si>
    <t xml:space="preserve">No Function of 'Lateral control (lane centring)' while in Driver-initiated assisted lane change (70–120 km/h), fog, visibility below the odd bound (outside odd, foreseeable).</t>
  </si>
  <si>
    <t xml:space="preserve">E1: situation OS-12 is E3, condition W06 is E1; the combination is no more frequent than the rarer of the two (ISO 26262-3 Table B.2, duration).</t>
  </si>
  <si>
    <t xml:space="preserve">H-0067</t>
  </si>
  <si>
    <t xml:space="preserve">No Function of 'Lateral control (lane centring)' while in Manual driving, item powered but not engaged (0–120 km/h), dry, daylight.</t>
  </si>
  <si>
    <t xml:space="preserve">S0: item not engaged; M01 cannot occur without a request (only unrequested actuation, M03/M10, applies).</t>
  </si>
  <si>
    <t xml:space="preserve">E4: situation OS-13 is E4, condition W01 is E4; the combination is no more frequent than the rarer of the two (ISO 26262-3 Table B.2, duration).</t>
  </si>
  <si>
    <t xml:space="preserve">H-0068</t>
  </si>
  <si>
    <t xml:space="preserve">No Function of 'Lateral control (lane centring)' while in Manual driving, item powered but not engaged (0–120 km/h), wet road or light rain.</t>
  </si>
  <si>
    <t xml:space="preserve">E3: situation OS-13 is E4, condition W02 is E3; the combination is no more frequent than the rarer of the two (ISO 26262-3 Table B.2, duration).</t>
  </si>
  <si>
    <t xml:space="preserve">H-0069</t>
  </si>
  <si>
    <t xml:space="preserve">No Function of 'Lateral control (lane centring)' while in Manual driving, item powered but not engaged (0–120 km/h), night, dry, headlights.</t>
  </si>
  <si>
    <t xml:space="preserve">E3: situation OS-13 is E4, condition W03 is E3; the combination is no more frequent than the rarer of the two (ISO 26262-3 Table B.2, duration).</t>
  </si>
  <si>
    <t xml:space="preserve">H-0070</t>
  </si>
  <si>
    <t xml:space="preserve">No Function of 'Lateral control (lane centring)' while in Manual driving, item powered but not engaged (0–120 km/h), moderate or heavy rain (outside odd, foreseeable).</t>
  </si>
  <si>
    <t xml:space="preserve">E2: situation OS-13 is E4, condition W04 is E2; the combination is no more frequent than the rarer of the two (ISO 26262-3 Table B.2, duration).</t>
  </si>
  <si>
    <t xml:space="preserve">H-0071</t>
  </si>
  <si>
    <t xml:space="preserve">No Function of 'Lateral control (lane centring)' while in Manual driving, item powered but not engaged (0–120 km/h), snow or ice (outside odd, foreseeable).</t>
  </si>
  <si>
    <t xml:space="preserve">E2: situation OS-13 is E4, condition W05 is E2; the combination is no more frequent than the rarer of the two (ISO 26262-3 Table B.2, duration).</t>
  </si>
  <si>
    <t xml:space="preserve">H-0072</t>
  </si>
  <si>
    <t xml:space="preserve">No Function of 'Lateral control (lane centring)' while in Manual driving, item powered but not engaged (0–120 km/h), fog, visibility below the odd bound (outside odd, foreseeable).</t>
  </si>
  <si>
    <t xml:space="preserve">E1: situation OS-13 is E4, condition W06 is E1; the combination is no more frequent than the rarer of the two (ISO 26262-3 Table B.2, duration).</t>
  </si>
  <si>
    <t xml:space="preserve">H-0073</t>
  </si>
  <si>
    <t xml:space="preserve">15–60</t>
  </si>
  <si>
    <t xml:space="preserve">No Function of 'Lateral control (lane centring)' while in Engaged outside the ODD (residential street, ramp, tight curve): foreseeable misuse (15–60 km/h), dry, daylight.</t>
  </si>
  <si>
    <t xml:space="preserve">S3: tight curve or ramp outside the ODD at up to 60 km/h.</t>
  </si>
  <si>
    <t xml:space="preserve">E2: situation OS-14 is E2, condition W01 is E4; the combination is no more frequent than the rarer of the two (ISO 26262-3 Table B.2, duration).</t>
  </si>
  <si>
    <t xml:space="preserve">C3: drift in a tight curve outpaces driver reaction (WP-C-03 OI-7, WP-S-04).</t>
  </si>
  <si>
    <t xml:space="preserve">H-0074</t>
  </si>
  <si>
    <t xml:space="preserve">No Function of 'Lateral control (lane centring)' while in Engaged outside the ODD (residential street, ramp, tight curve): foreseeable misuse (15–60 km/h), wet road or light rain.</t>
  </si>
  <si>
    <t xml:space="preserve">E2: situation OS-14 is E2, condition W02 is E3; the combination is no more frequent than the rarer of the two (ISO 26262-3 Table B.2, duration).</t>
  </si>
  <si>
    <t xml:space="preserve">H-0075</t>
  </si>
  <si>
    <t xml:space="preserve">No Function of 'Lateral control (lane centring)' while in Engaged outside the ODD (residential street, ramp, tight curve): foreseeable misuse (15–60 km/h), night, dry, headlights.</t>
  </si>
  <si>
    <t xml:space="preserve">E2: situation OS-14 is E2, condition W03 is E3; the combination is no more frequent than the rarer of the two (ISO 26262-3 Table B.2, duration).</t>
  </si>
  <si>
    <t xml:space="preserve">H-0076</t>
  </si>
  <si>
    <t xml:space="preserve">No Function of 'Lateral control (lane centring)' while in Engaged outside the ODD (residential street, ramp, tight curve): foreseeable misuse (15–60 km/h), moderate or heavy rain (outside odd, foreseeable).</t>
  </si>
  <si>
    <t xml:space="preserve">E2: situation OS-14 is E2, condition W04 is E2; the combination is no more frequent than the rarer of the two (ISO 26262-3 Table B.2, duration).</t>
  </si>
  <si>
    <t xml:space="preserve">H-0077</t>
  </si>
  <si>
    <t xml:space="preserve">No Function of 'Lateral control (lane centring)' while in Engaged outside the ODD (residential street, ramp, tight curve): foreseeable misuse (15–60 km/h), snow or ice (outside odd, foreseeable).</t>
  </si>
  <si>
    <t xml:space="preserve">E2: situation OS-14 is E2, condition W05 is E2; the combination is no more frequent than the rarer of the two (ISO 26262-3 Table B.2, duration).</t>
  </si>
  <si>
    <t xml:space="preserve">C3: drift in a tight curve outpaces driver reaction (WP-C-03 OI-7, WP-S-04). Snow/ice: low friction; a correction or braking can induce a skid (C+1).</t>
  </si>
  <si>
    <t xml:space="preserve">H-0078</t>
  </si>
  <si>
    <t xml:space="preserve">No Function of 'Lateral control (lane centring)' while in Engaged outside the ODD (residential street, ramp, tight curve): foreseeable misuse (15–60 km/h), fog, visibility below the odd bound (outside odd, foreseeable).</t>
  </si>
  <si>
    <t xml:space="preserve">E1: situation OS-14 is E2, condition W06 is E1; the combination is no more frequent than the rarer of the two (ISO 26262-3 Table B.2, duration).</t>
  </si>
  <si>
    <t xml:space="preserve">H-0079</t>
  </si>
  <si>
    <t xml:space="preserve">30–90</t>
  </si>
  <si>
    <t xml:space="preserve">No Function of 'Lateral control (lane centring)' while in Approaching a signalised or stop-controlled intersection (ODD-A) (30–90 km/h), dry, daylight.</t>
  </si>
  <si>
    <t xml:space="preserve">S3: drift at an intersection towards crossing traffic or VRUs.</t>
  </si>
  <si>
    <t xml:space="preserve">E3: situation OS-15 is E3, condition W01 is E4; the combination is no more frequent than the rarer of the two (ISO 26262-3 Table B.2, duration).</t>
  </si>
  <si>
    <t xml:space="preserve">H-0080</t>
  </si>
  <si>
    <t xml:space="preserve">No Function of 'Lateral control (lane centring)' while in Approaching a signalised or stop-controlled intersection (ODD-A) (30–90 km/h), wet road or light rain.</t>
  </si>
  <si>
    <t xml:space="preserve">E3: situation OS-15 is E3, condition W02 is E3; the combination is no more frequent than the rarer of the two (ISO 26262-3 Table B.2, duration).</t>
  </si>
  <si>
    <t xml:space="preserve">H-0081</t>
  </si>
  <si>
    <t xml:space="preserve">No Function of 'Lateral control (lane centring)' while in Approaching a signalised or stop-controlled intersection (ODD-A) (30–90 km/h), night, dry, headlights.</t>
  </si>
  <si>
    <t xml:space="preserve">E3: situation OS-15 is E3, condition W03 is E3; the combination is no more frequent than the rarer of the two (ISO 26262-3 Table B.2, duration).</t>
  </si>
  <si>
    <t xml:space="preserve">H-0082</t>
  </si>
  <si>
    <t xml:space="preserve">No Function of 'Lateral control (lane centring)' while in Approaching a signalised or stop-controlled intersection (ODD-A) (30–90 km/h), moderate or heavy rain (outside odd, foreseeable).</t>
  </si>
  <si>
    <t xml:space="preserve">E2: situation OS-15 is E3, condition W04 is E2; the combination is no more frequent than the rarer of the two (ISO 26262-3 Table B.2, duration).</t>
  </si>
  <si>
    <t xml:space="preserve">H-0083</t>
  </si>
  <si>
    <t xml:space="preserve">No Function of 'Lateral control (lane centring)' while in Approaching a signalised or stop-controlled intersection (ODD-A) (30–90 km/h), snow or ice (outside odd, foreseeable).</t>
  </si>
  <si>
    <t xml:space="preserve">E2: situation OS-15 is E3, condition W05 is E2; the combination is no more frequent than the rarer of the two (ISO 26262-3 Table B.2, duration).</t>
  </si>
  <si>
    <t xml:space="preserve">H-0084</t>
  </si>
  <si>
    <t xml:space="preserve">No Function of 'Lateral control (lane centring)' while in Approaching a signalised or stop-controlled intersection (ODD-A) (30–90 km/h), fog, visibility below the odd bound (outside odd, foreseeable).</t>
  </si>
  <si>
    <t xml:space="preserve">E1: situation OS-15 is E3, condition W06 is E1; the combination is no more frequent than the rarer of the two (ISO 26262-3 Table B.2, duration).</t>
  </si>
  <si>
    <t xml:space="preserve">H-0085</t>
  </si>
  <si>
    <t xml:space="preserve">No Function of 'Lateral control (lane centring)' while in Rural or arterial curve near R_ODD with oncoming traffic (60–90 km/h), dry, daylight.</t>
  </si>
  <si>
    <t xml:space="preserve">S3: departure into the oncoming lane in a rural curve (HE-02.2).</t>
  </si>
  <si>
    <t xml:space="preserve">E3: situation OS-16 is E3, condition W01 is E4; the combination is no more frequent than the rarer of the two (ISO 26262-3 Table B.2, duration).</t>
  </si>
  <si>
    <t xml:space="preserve">H-0086</t>
  </si>
  <si>
    <t xml:space="preserve">No Function of 'Lateral control (lane centring)' while in Rural or arterial curve near R_ODD with oncoming traffic (60–90 km/h), wet road or light rain.</t>
  </si>
  <si>
    <t xml:space="preserve">E3: situation OS-16 is E3, condition W02 is E3; the combination is no more frequent than the rarer of the two (ISO 26262-3 Table B.2, duration).</t>
  </si>
  <si>
    <t xml:space="preserve">H-0087</t>
  </si>
  <si>
    <t xml:space="preserve">No Function of 'Lateral control (lane centring)' while in Rural or arterial curve near R_ODD with oncoming traffic (60–90 km/h), night, dry, headlights.</t>
  </si>
  <si>
    <t xml:space="preserve">E3: situation OS-16 is E3, condition W03 is E3; the combination is no more frequent than the rarer of the two (ISO 26262-3 Table B.2, duration).</t>
  </si>
  <si>
    <t xml:space="preserve">H-0088</t>
  </si>
  <si>
    <t xml:space="preserve">No Function of 'Lateral control (lane centring)' while in Rural or arterial curve near R_ODD with oncoming traffic (60–90 km/h), moderate or heavy rain (outside odd, foreseeable).</t>
  </si>
  <si>
    <t xml:space="preserve">E2: situation OS-16 is E3, condition W04 is E2; the combination is no more frequent than the rarer of the two (ISO 26262-3 Table B.2, duration).</t>
  </si>
  <si>
    <t xml:space="preserve">H-0089</t>
  </si>
  <si>
    <t xml:space="preserve">No Function of 'Lateral control (lane centring)' while in Rural or arterial curve near R_ODD with oncoming traffic (60–90 km/h), snow or ice (outside odd, foreseeable).</t>
  </si>
  <si>
    <t xml:space="preserve">E2: situation OS-16 is E3, condition W05 is E2; the combination is no more frequent than the rarer of the two (ISO 26262-3 Table B.2, duration).</t>
  </si>
  <si>
    <t xml:space="preserve">H-0090</t>
  </si>
  <si>
    <t xml:space="preserve">No Function of 'Lateral control (lane centring)' while in Rural or arterial curve near R_ODD with oncoming traffic (60–90 km/h), fog, visibility below the odd bound (outside odd, foreseeable).</t>
  </si>
  <si>
    <t xml:space="preserve">E1: situation OS-16 is E3, condition W06 is E1; the combination is no more frequent than the rarer of the two (ISO 26262-3 Table B.2, duration).</t>
  </si>
  <si>
    <t xml:space="preserve">H-0091</t>
  </si>
  <si>
    <t xml:space="preserve">Stops Functioning of 'Lateral control (lane centring)' while in Limited-access highway, free flow, adjacent traffic (90–120 km/h), dry, daylight.</t>
  </si>
  <si>
    <t xml:space="preserve">H-0092</t>
  </si>
  <si>
    <t xml:space="preserve">Stops Functioning of 'Lateral control (lane centring)' while in Limited-access highway, free flow, adjacent traffic (90–120 km/h), wet road or light rain.</t>
  </si>
  <si>
    <t xml:space="preserve">H-0093</t>
  </si>
  <si>
    <t xml:space="preserve">Stops Functioning of 'Lateral control (lane centring)' while in Limited-access highway, free flow, adjacent traffic (90–120 km/h), night, dry, headlights.</t>
  </si>
  <si>
    <t xml:space="preserve">H-0094</t>
  </si>
  <si>
    <t xml:space="preserve">Stops Functioning of 'Lateral control (lane centring)' while in Limited-access highway, free flow, adjacent traffic (90–120 km/h), moderate or heavy rain (outside odd, foreseeable).</t>
  </si>
  <si>
    <t xml:space="preserve">H-0095</t>
  </si>
  <si>
    <t xml:space="preserve">Stops Functioning of 'Lateral control (lane centring)' while in Limited-access highway, free flow, adjacent traffic (90–120 km/h), snow or ice (outside odd, foreseeable).</t>
  </si>
  <si>
    <t xml:space="preserve">H-0096</t>
  </si>
  <si>
    <t xml:space="preserve">Stops Functioning of 'Lateral control (lane centring)' while in Limited-access highway, free flow, adjacent traffic (90–120 km/h), fog, visibility below the odd bound (outside odd, foreseeable).</t>
  </si>
  <si>
    <t xml:space="preserve">H-0097</t>
  </si>
  <si>
    <t xml:space="preserve">Stops Functioning of 'Lateral control (lane centring)' while in Highway curve near R_ODD with barrier or adjacent traffic (70–110 km/h), dry, daylight.</t>
  </si>
  <si>
    <t xml:space="preserve">H-0098</t>
  </si>
  <si>
    <t xml:space="preserve">Stops Functioning of 'Lateral control (lane centring)' while in Highway curve near R_ODD with barrier or adjacent traffic (70–110 km/h), wet road or light rain.</t>
  </si>
  <si>
    <t xml:space="preserve">H-0099</t>
  </si>
  <si>
    <t xml:space="preserve">Stops Functioning of 'Lateral control (lane centring)' while in Highway curve near R_ODD with barrier or adjacent traffic (70–110 km/h), night, dry, headlights.</t>
  </si>
  <si>
    <t xml:space="preserve">H-0100</t>
  </si>
  <si>
    <t xml:space="preserve">Stops Functioning of 'Lateral control (lane centring)' while in Highway curve near R_ODD with barrier or adjacent traffic (70–110 km/h), moderate or heavy rain (outside odd, foreseeable).</t>
  </si>
  <si>
    <t xml:space="preserve">H-0101</t>
  </si>
  <si>
    <t xml:space="preserve">Stops Functioning of 'Lateral control (lane centring)' while in Highway curve near R_ODD with barrier or adjacent traffic (70–110 km/h), snow or ice (outside odd, foreseeable).</t>
  </si>
  <si>
    <t xml:space="preserve">H-0102</t>
  </si>
  <si>
    <t xml:space="preserve">Stops Functioning of 'Lateral control (lane centring)' while in Highway curve near R_ODD with barrier or adjacent traffic (70–110 km/h), fog, visibility below the odd bound (outside odd, foreseeable).</t>
  </si>
  <si>
    <t xml:space="preserve">H-0103</t>
  </si>
  <si>
    <t xml:space="preserve">Stops Functioning of 'Lateral control (lane centring)' while in Undivided rural or arterial road, oncoming traffic (60–90 km/h), dry, daylight.</t>
  </si>
  <si>
    <t xml:space="preserve">H-0104</t>
  </si>
  <si>
    <t xml:space="preserve">Stops Functioning of 'Lateral control (lane centring)' while in Undivided rural or arterial road, oncoming traffic (60–90 km/h), wet road or light rain.</t>
  </si>
  <si>
    <t xml:space="preserve">H-0105</t>
  </si>
  <si>
    <t xml:space="preserve">Stops Functioning of 'Lateral control (lane centring)' while in Undivided rural or arterial road, oncoming traffic (60–90 km/h), night, dry, headlights.</t>
  </si>
  <si>
    <t xml:space="preserve">H-0106</t>
  </si>
  <si>
    <t xml:space="preserve">Stops Functioning of 'Lateral control (lane centring)' while in Undivided rural or arterial road, oncoming traffic (60–90 km/h), moderate or heavy rain (outside odd, foreseeable).</t>
  </si>
  <si>
    <t xml:space="preserve">H-0107</t>
  </si>
  <si>
    <t xml:space="preserve">Stops Functioning of 'Lateral control (lane centring)' while in Undivided rural or arterial road, oncoming traffic (60–90 km/h), snow or ice (outside odd, foreseeable).</t>
  </si>
  <si>
    <t xml:space="preserve">H-0108</t>
  </si>
  <si>
    <t xml:space="preserve">Stops Functioning of 'Lateral control (lane centring)' while in Undivided rural or arterial road, oncoming traffic (60–90 km/h), fog, visibility below the odd bound (outside odd, foreseeable).</t>
  </si>
  <si>
    <t xml:space="preserve">H-0109</t>
  </si>
  <si>
    <t xml:space="preserve">Stops Functioning of 'Lateral control (lane centring)' while in Urban arterial, pedestrians and cyclists near the lane edge (30–60 km/h), dry, daylight.</t>
  </si>
  <si>
    <t xml:space="preserve">H-0110</t>
  </si>
  <si>
    <t xml:space="preserve">Stops Functioning of 'Lateral control (lane centring)' while in Urban arterial, pedestrians and cyclists near the lane edge (30–60 km/h), wet road or light rain.</t>
  </si>
  <si>
    <t xml:space="preserve">H-0111</t>
  </si>
  <si>
    <t xml:space="preserve">Stops Functioning of 'Lateral control (lane centring)' while in Urban arterial, pedestrians and cyclists near the lane edge (30–60 km/h), night, dry, headlights.</t>
  </si>
  <si>
    <t xml:space="preserve">H-0112</t>
  </si>
  <si>
    <t xml:space="preserve">Stops Functioning of 'Lateral control (lane centring)' while in Urban arterial, pedestrians and cyclists near the lane edge (30–60 km/h), moderate or heavy rain (outside odd, foreseeable).</t>
  </si>
  <si>
    <t xml:space="preserve">H-0113</t>
  </si>
  <si>
    <t xml:space="preserve">Stops Functioning of 'Lateral control (lane centring)' while in Urban arterial, pedestrians and cyclists near the lane edge (30–60 km/h), snow or ice (outside odd, foreseeable).</t>
  </si>
  <si>
    <t xml:space="preserve">H-0114</t>
  </si>
  <si>
    <t xml:space="preserve">Stops Functioning of 'Lateral control (lane centring)' while in Urban arterial, pedestrians and cyclists near the lane edge (30–60 km/h), fog, visibility below the odd bound (outside odd, foreseeable).</t>
  </si>
  <si>
    <t xml:space="preserve">H-0115</t>
  </si>
  <si>
    <t xml:space="preserve">Stops Functioning of 'Lateral control (lane centring)' while in Following a lead vehicle at a short gap, dense traffic (30–110 km/h), dry, daylight.</t>
  </si>
  <si>
    <t xml:space="preserve">H-0116</t>
  </si>
  <si>
    <t xml:space="preserve">Stops Functioning of 'Lateral control (lane centring)' while in Following a lead vehicle at a short gap, dense traffic (30–110 km/h), wet road or light rain.</t>
  </si>
  <si>
    <t xml:space="preserve">H-0117</t>
  </si>
  <si>
    <t xml:space="preserve">Stops Functioning of 'Lateral control (lane centring)' while in Following a lead vehicle at a short gap, dense traffic (30–110 km/h), night, dry, headlights.</t>
  </si>
  <si>
    <t xml:space="preserve">H-0118</t>
  </si>
  <si>
    <t xml:space="preserve">Stops Functioning of 'Lateral control (lane centring)' while in Following a lead vehicle at a short gap, dense traffic (30–110 km/h), moderate or heavy rain (outside odd, foreseeable).</t>
  </si>
  <si>
    <t xml:space="preserve">H-0119</t>
  </si>
  <si>
    <t xml:space="preserve">Stops Functioning of 'Lateral control (lane centring)' while in Following a lead vehicle at a short gap, dense traffic (30–110 km/h), snow or ice (outside odd, foreseeable).</t>
  </si>
  <si>
    <t xml:space="preserve">H-0120</t>
  </si>
  <si>
    <t xml:space="preserve">Stops Functioning of 'Lateral control (lane centring)' while in Following a lead vehicle at a short gap, dense traffic (30–110 km/h), fog, visibility below the odd bound (outside odd, foreseeable).</t>
  </si>
  <si>
    <t xml:space="preserve">H-0121</t>
  </si>
  <si>
    <t xml:space="preserve">Stops Functioning of 'Lateral control (lane centring)' while in Stop-and-go queue or standstill behind a lead; pedestrians may cross (0–30 km/h), dry, daylight.</t>
  </si>
  <si>
    <t xml:space="preserve">H-0122</t>
  </si>
  <si>
    <t xml:space="preserve">Stops Functioning of 'Lateral control (lane centring)' while in Stop-and-go queue or standstill behind a lead; pedestrians may cross (0–30 km/h), wet road or light rain.</t>
  </si>
  <si>
    <t xml:space="preserve">H-0123</t>
  </si>
  <si>
    <t xml:space="preserve">Stops Functioning of 'Lateral control (lane centring)' while in Stop-and-go queue or standstill behind a lead; pedestrians may cross (0–30 km/h), night, dry, headlights.</t>
  </si>
  <si>
    <t xml:space="preserve">H-0124</t>
  </si>
  <si>
    <t xml:space="preserve">Stops Functioning of 'Lateral control (lane centring)' while in Stop-and-go queue or standstill behind a lead; pedestrians may cross (0–30 km/h), moderate or heavy rain (outside odd, foreseeable).</t>
  </si>
  <si>
    <t xml:space="preserve">H-0125</t>
  </si>
  <si>
    <t xml:space="preserve">Stops Functioning of 'Lateral control (lane centring)' while in Stop-and-go queue or standstill behind a lead; pedestrians may cross (0–30 km/h), snow or ice (outside odd, foreseeable).</t>
  </si>
  <si>
    <t xml:space="preserve">H-0126</t>
  </si>
  <si>
    <t xml:space="preserve">Stops Functioning of 'Lateral control (lane centring)' while in Stop-and-go queue or standstill behind a lead; pedestrians may cross (0–30 km/h), fog, visibility below the odd bound (outside odd, foreseeable).</t>
  </si>
  <si>
    <t xml:space="preserve">H-0127</t>
  </si>
  <si>
    <t xml:space="preserve">Stops Functioning of 'Lateral control (lane centring)' while in Approaching slower or stationary traffic from highway speed (70–120 km/h), dry, daylight.</t>
  </si>
  <si>
    <t xml:space="preserve">H-0128</t>
  </si>
  <si>
    <t xml:space="preserve">Stops Functioning of 'Lateral control (lane centring)' while in Approaching slower or stationary traffic from highway speed (70–120 km/h), wet road or light rain.</t>
  </si>
  <si>
    <t xml:space="preserve">H-0129</t>
  </si>
  <si>
    <t xml:space="preserve">Stops Functioning of 'Lateral control (lane centring)' while in Approaching slower or stationary traffic from highway speed (70–120 km/h), night, dry, headlights.</t>
  </si>
  <si>
    <t xml:space="preserve">H-0130</t>
  </si>
  <si>
    <t xml:space="preserve">Stops Functioning of 'Lateral control (lane centring)' while in Approaching slower or stationary traffic from highway speed (70–120 km/h), moderate or heavy rain (outside odd, foreseeable).</t>
  </si>
  <si>
    <t xml:space="preserve">H-0131</t>
  </si>
  <si>
    <t xml:space="preserve">Stops Functioning of 'Lateral control (lane centring)' while in Approaching slower or stationary traffic from highway speed (70–120 km/h), snow or ice (outside odd, foreseeable).</t>
  </si>
  <si>
    <t xml:space="preserve">H-0132</t>
  </si>
  <si>
    <t xml:space="preserve">Stops Functioning of 'Lateral control (lane centring)' while in Approaching slower or stationary traffic from highway speed (70–120 km/h), fog, visibility below the odd bound (outside odd, foreseeable).</t>
  </si>
  <si>
    <t xml:space="preserve">H-0133</t>
  </si>
  <si>
    <t xml:space="preserve">Stops Functioning of 'Lateral control (lane centring)' while in Close following vehicle behind (gap &lt; 1.5 s) (50–120 km/h), dry, daylight.</t>
  </si>
  <si>
    <t xml:space="preserve">H-0134</t>
  </si>
  <si>
    <t xml:space="preserve">Stops Functioning of 'Lateral control (lane centring)' while in Close following vehicle behind (gap &lt; 1.5 s) (50–120 km/h), wet road or light rain.</t>
  </si>
  <si>
    <t xml:space="preserve">H-0135</t>
  </si>
  <si>
    <t xml:space="preserve">Stops Functioning of 'Lateral control (lane centring)' while in Close following vehicle behind (gap &lt; 1.5 s) (50–120 km/h), night, dry, headlights.</t>
  </si>
  <si>
    <t xml:space="preserve">H-0136</t>
  </si>
  <si>
    <t xml:space="preserve">Stops Functioning of 'Lateral control (lane centring)' while in Close following vehicle behind (gap &lt; 1.5 s) (50–120 km/h), moderate or heavy rain (outside odd, foreseeable).</t>
  </si>
  <si>
    <t xml:space="preserve">H-0137</t>
  </si>
  <si>
    <t xml:space="preserve">Stops Functioning of 'Lateral control (lane centring)' while in Close following vehicle behind (gap &lt; 1.5 s) (50–120 km/h), snow or ice (outside odd, foreseeable).</t>
  </si>
  <si>
    <t xml:space="preserve">H-0138</t>
  </si>
  <si>
    <t xml:space="preserve">Stops Functioning of 'Lateral control (lane centring)' while in Close following vehicle behind (gap &lt; 1.5 s) (50–120 km/h), fog, visibility below the odd bound (outside odd, foreseeable).</t>
  </si>
  <si>
    <t xml:space="preserve">H-0139</t>
  </si>
  <si>
    <t xml:space="preserve">Stops Functioning of 'Lateral control (lane centring)' while in Imminent collision where the stock PCS/AEB would intervene (0–120 km/h), dry, daylight.</t>
  </si>
  <si>
    <t xml:space="preserve">H-0140</t>
  </si>
  <si>
    <t xml:space="preserve">Stops Functioning of 'Lateral control (lane centring)' while in Imminent collision where the stock PCS/AEB would intervene (0–120 km/h), wet road or light rain.</t>
  </si>
  <si>
    <t xml:space="preserve">H-0141</t>
  </si>
  <si>
    <t xml:space="preserve">Stops Functioning of 'Lateral control (lane centring)' while in Imminent collision where the stock PCS/AEB would intervene (0–120 km/h), night, dry, headlights.</t>
  </si>
  <si>
    <t xml:space="preserve">H-0142</t>
  </si>
  <si>
    <t xml:space="preserve">Stops Functioning of 'Lateral control (lane centring)' while in Imminent collision where the stock PCS/AEB would intervene (0–120 km/h), moderate or heavy rain (outside odd, foreseeable).</t>
  </si>
  <si>
    <t xml:space="preserve">H-0143</t>
  </si>
  <si>
    <t xml:space="preserve">Stops Functioning of 'Lateral control (lane centring)' while in Imminent collision where the stock PCS/AEB would intervene (0–120 km/h), snow or ice (outside odd, foreseeable).</t>
  </si>
  <si>
    <t xml:space="preserve">H-0144</t>
  </si>
  <si>
    <t xml:space="preserve">Stops Functioning of 'Lateral control (lane centring)' while in Imminent collision where the stock PCS/AEB would intervene (0–120 km/h), fog, visibility below the odd bound (outside odd, foreseeable).</t>
  </si>
  <si>
    <t xml:space="preserve">H-0145</t>
  </si>
  <si>
    <t xml:space="preserve">Stops Functioning of 'Lateral control (lane centring)' while in Driver override while engaged: braking, cancel or evasive steering (0–120 km/h), dry, daylight.</t>
  </si>
  <si>
    <t xml:space="preserve">H-0146</t>
  </si>
  <si>
    <t xml:space="preserve">Stops Functioning of 'Lateral control (lane centring)' while in Driver override while engaged: braking, cancel or evasive steering (0–120 km/h), wet road or light rain.</t>
  </si>
  <si>
    <t xml:space="preserve">H-0147</t>
  </si>
  <si>
    <t xml:space="preserve">Stops Functioning of 'Lateral control (lane centring)' while in Driver override while engaged: braking, cancel or evasive steering (0–120 km/h), night, dry, headlights.</t>
  </si>
  <si>
    <t xml:space="preserve">H-0148</t>
  </si>
  <si>
    <t xml:space="preserve">Stops Functioning of 'Lateral control (lane centring)' while in Driver override while engaged: braking, cancel or evasive steering (0–120 km/h), moderate or heavy rain (outside odd, foreseeable).</t>
  </si>
  <si>
    <t xml:space="preserve">H-0149</t>
  </si>
  <si>
    <t xml:space="preserve">Stops Functioning of 'Lateral control (lane centring)' while in Driver override while engaged: braking, cancel or evasive steering (0–120 km/h), snow or ice (outside odd, foreseeable).</t>
  </si>
  <si>
    <t xml:space="preserve">H-0150</t>
  </si>
  <si>
    <t xml:space="preserve">Stops Functioning of 'Lateral control (lane centring)' while in Driver override while engaged: braking, cancel or evasive steering (0–120 km/h), fog, visibility below the odd bound (outside odd, foreseeable).</t>
  </si>
  <si>
    <t xml:space="preserve">H-0151</t>
  </si>
  <si>
    <t xml:space="preserve">Stops Functioning of 'Lateral control (lane centring)' while in Driver-initiated assisted lane change (70–120 km/h), dry, daylight.</t>
  </si>
  <si>
    <t xml:space="preserve">H-0152</t>
  </si>
  <si>
    <t xml:space="preserve">Stops Functioning of 'Lateral control (lane centring)' while in Driver-initiated assisted lane change (70–120 km/h), wet road or light rain.</t>
  </si>
  <si>
    <t xml:space="preserve">H-0153</t>
  </si>
  <si>
    <t xml:space="preserve">Stops Functioning of 'Lateral control (lane centring)' while in Driver-initiated assisted lane change (70–120 km/h), night, dry, headlights.</t>
  </si>
  <si>
    <t xml:space="preserve">H-0154</t>
  </si>
  <si>
    <t xml:space="preserve">Stops Functioning of 'Lateral control (lane centring)' while in Driver-initiated assisted lane change (70–120 km/h), moderate or heavy rain (outside odd, foreseeable).</t>
  </si>
  <si>
    <t xml:space="preserve">H-0155</t>
  </si>
  <si>
    <t xml:space="preserve">Stops Functioning of 'Lateral control (lane centring)' while in Driver-initiated assisted lane change (70–120 km/h), snow or ice (outside odd, foreseeable).</t>
  </si>
  <si>
    <t xml:space="preserve">H-0156</t>
  </si>
  <si>
    <t xml:space="preserve">Stops Functioning of 'Lateral control (lane centring)' while in Driver-initiated assisted lane change (70–120 km/h), fog, visibility below the odd bound (outside odd, foreseeable).</t>
  </si>
  <si>
    <t xml:space="preserve">H-0157</t>
  </si>
  <si>
    <t xml:space="preserve">Stops Functioning of 'Lateral control (lane centring)' while in Manual driving, item powered but not engaged (0–120 km/h), dry, daylight.</t>
  </si>
  <si>
    <t xml:space="preserve">S0: item not engaged; M02 cannot occur without a request (only unrequested actuation, M03/M10, applies).</t>
  </si>
  <si>
    <t xml:space="preserve">H-0158</t>
  </si>
  <si>
    <t xml:space="preserve">Stops Functioning of 'Lateral control (lane centring)' while in Manual driving, item powered but not engaged (0–120 km/h), wet road or light rain.</t>
  </si>
  <si>
    <t xml:space="preserve">H-0159</t>
  </si>
  <si>
    <t xml:space="preserve">Stops Functioning of 'Lateral control (lane centring)' while in Manual driving, item powered but not engaged (0–120 km/h), night, dry, headlights.</t>
  </si>
  <si>
    <t xml:space="preserve">H-0160</t>
  </si>
  <si>
    <t xml:space="preserve">Stops Functioning of 'Lateral control (lane centring)' while in Manual driving, item powered but not engaged (0–120 km/h), moderate or heavy rain (outside odd, foreseeable).</t>
  </si>
  <si>
    <t xml:space="preserve">H-0161</t>
  </si>
  <si>
    <t xml:space="preserve">Stops Functioning of 'Lateral control (lane centring)' while in Manual driving, item powered but not engaged (0–120 km/h), snow or ice (outside odd, foreseeable).</t>
  </si>
  <si>
    <t xml:space="preserve">H-0162</t>
  </si>
  <si>
    <t xml:space="preserve">Stops Functioning of 'Lateral control (lane centring)' while in Manual driving, item powered but not engaged (0–120 km/h), fog, visibility below the odd bound (outside odd, foreseeable).</t>
  </si>
  <si>
    <t xml:space="preserve">H-0163</t>
  </si>
  <si>
    <t xml:space="preserve">Stops Functioning of 'Lateral control (lane centring)' while in Engaged outside the ODD (residential street, ramp, tight curve): foreseeable misuse (15–60 km/h), dry, daylight.</t>
  </si>
  <si>
    <t xml:space="preserve">H-0164</t>
  </si>
  <si>
    <t xml:space="preserve">Stops Functioning of 'Lateral control (lane centring)' while in Engaged outside the ODD (residential street, ramp, tight curve): foreseeable misuse (15–60 km/h), wet road or light rain.</t>
  </si>
  <si>
    <t xml:space="preserve">H-0165</t>
  </si>
  <si>
    <t xml:space="preserve">Stops Functioning of 'Lateral control (lane centring)' while in Engaged outside the ODD (residential street, ramp, tight curve): foreseeable misuse (15–60 km/h), night, dry, headlights.</t>
  </si>
  <si>
    <t xml:space="preserve">H-0166</t>
  </si>
  <si>
    <t xml:space="preserve">Stops Functioning of 'Lateral control (lane centring)' while in Engaged outside the ODD (residential street, ramp, tight curve): foreseeable misuse (15–60 km/h), moderate or heavy rain (outside odd, foreseeable).</t>
  </si>
  <si>
    <t xml:space="preserve">H-0167</t>
  </si>
  <si>
    <t xml:space="preserve">Stops Functioning of 'Lateral control (lane centring)' while in Engaged outside the ODD (residential street, ramp, tight curve): foreseeable misuse (15–60 km/h), snow or ice (outside odd, foreseeable).</t>
  </si>
  <si>
    <t xml:space="preserve">H-0168</t>
  </si>
  <si>
    <t xml:space="preserve">Stops Functioning of 'Lateral control (lane centring)' while in Engaged outside the ODD (residential street, ramp, tight curve): foreseeable misuse (15–60 km/h), fog, visibility below the odd bound (outside odd, foreseeable).</t>
  </si>
  <si>
    <t xml:space="preserve">H-0169</t>
  </si>
  <si>
    <t xml:space="preserve">Stops Functioning of 'Lateral control (lane centring)' while in Approaching a signalised or stop-controlled intersection (ODD-A) (30–90 km/h), dry, daylight.</t>
  </si>
  <si>
    <t xml:space="preserve">H-0170</t>
  </si>
  <si>
    <t xml:space="preserve">Stops Functioning of 'Lateral control (lane centring)' while in Approaching a signalised or stop-controlled intersection (ODD-A) (30–90 km/h), wet road or light rain.</t>
  </si>
  <si>
    <t xml:space="preserve">H-0171</t>
  </si>
  <si>
    <t xml:space="preserve">Stops Functioning of 'Lateral control (lane centring)' while in Approaching a signalised or stop-controlled intersection (ODD-A) (30–90 km/h), night, dry, headlights.</t>
  </si>
  <si>
    <t xml:space="preserve">H-0172</t>
  </si>
  <si>
    <t xml:space="preserve">Stops Functioning of 'Lateral control (lane centring)' while in Approaching a signalised or stop-controlled intersection (ODD-A) (30–90 km/h), moderate or heavy rain (outside odd, foreseeable).</t>
  </si>
  <si>
    <t xml:space="preserve">H-0173</t>
  </si>
  <si>
    <t xml:space="preserve">Stops Functioning of 'Lateral control (lane centring)' while in Approaching a signalised or stop-controlled intersection (ODD-A) (30–90 km/h), snow or ice (outside odd, foreseeable).</t>
  </si>
  <si>
    <t xml:space="preserve">H-0174</t>
  </si>
  <si>
    <t xml:space="preserve">Stops Functioning of 'Lateral control (lane centring)' while in Approaching a signalised or stop-controlled intersection (ODD-A) (30–90 km/h), fog, visibility below the odd bound (outside odd, foreseeable).</t>
  </si>
  <si>
    <t xml:space="preserve">H-0175</t>
  </si>
  <si>
    <t xml:space="preserve">Stops Functioning of 'Lateral control (lane centring)' while in Rural or arterial curve near R_ODD with oncoming traffic (60–90 km/h), dry, daylight.</t>
  </si>
  <si>
    <t xml:space="preserve">H-0176</t>
  </si>
  <si>
    <t xml:space="preserve">Stops Functioning of 'Lateral control (lane centring)' while in Rural or arterial curve near R_ODD with oncoming traffic (60–90 km/h), wet road or light rain.</t>
  </si>
  <si>
    <t xml:space="preserve">H-0177</t>
  </si>
  <si>
    <t xml:space="preserve">Stops Functioning of 'Lateral control (lane centring)' while in Rural or arterial curve near R_ODD with oncoming traffic (60–90 km/h), night, dry, headlights.</t>
  </si>
  <si>
    <t xml:space="preserve">H-0178</t>
  </si>
  <si>
    <t xml:space="preserve">Stops Functioning of 'Lateral control (lane centring)' while in Rural or arterial curve near R_ODD with oncoming traffic (60–90 km/h), moderate or heavy rain (outside odd, foreseeable).</t>
  </si>
  <si>
    <t xml:space="preserve">H-0179</t>
  </si>
  <si>
    <t xml:space="preserve">Stops Functioning of 'Lateral control (lane centring)' while in Rural or arterial curve near R_ODD with oncoming traffic (60–90 km/h), snow or ice (outside odd, foreseeable).</t>
  </si>
  <si>
    <t xml:space="preserve">H-0180</t>
  </si>
  <si>
    <t xml:space="preserve">Stops Functioning of 'Lateral control (lane centring)' while in Rural or arterial curve near R_ODD with oncoming traffic (60–90 km/h), fog, visibility below the odd bound (outside odd, foreseeable).</t>
  </si>
  <si>
    <t xml:space="preserve">H-0181</t>
  </si>
  <si>
    <t xml:space="preserve">Unrequested Function of 'Lateral control (lane centring)' while in Limited-access highway, free flow, adjacent traffic (90–120 km/h), dry, daylight.</t>
  </si>
  <si>
    <t xml:space="preserve">S3: lateral departure at 90–120 km/h into adjacent traffic or barrier; loss of control (HE-01.2).</t>
  </si>
  <si>
    <t xml:space="preserve">C2 ⚠: a supervising driver with hands near the wheel corrects an envelope-limited torque deviation within ~1 s in ≥ 90 % of cases; credits AOU-01/AOU-02 (EPS limits LKA torque to an overpowerable level).</t>
  </si>
  <si>
    <t xml:space="preserve">H-0182</t>
  </si>
  <si>
    <t xml:space="preserve">Unrequested Function of 'Lateral control (lane centring)' while in Limited-access highway, free flow, adjacent traffic (90–120 km/h), wet road or light rain.</t>
  </si>
  <si>
    <t xml:space="preserve">H-0183</t>
  </si>
  <si>
    <t xml:space="preserve">Unrequested Function of 'Lateral control (lane centring)' while in Limited-access highway, free flow, adjacent traffic (90–120 km/h), night, dry, headlights.</t>
  </si>
  <si>
    <t xml:space="preserve">H-0184</t>
  </si>
  <si>
    <t xml:space="preserve">Unrequested Function of 'Lateral control (lane centring)' while in Limited-access highway, free flow, adjacent traffic (90–120 km/h), moderate or heavy rain (outside odd, foreseeable).</t>
  </si>
  <si>
    <t xml:space="preserve">H-0185</t>
  </si>
  <si>
    <t xml:space="preserve">Unrequested Function of 'Lateral control (lane centring)' while in Limited-access highway, free flow, adjacent traffic (90–120 km/h), snow or ice (outside odd, foreseeable).</t>
  </si>
  <si>
    <t xml:space="preserve">C2 ⚠: a supervising driver with hands near the wheel corrects an envelope-limited torque deviation within ~1 s in ≥ 90 % of cases; credits AOU-01/AOU-02 (EPS limits LKA torque to an overpowerable level). Snow/ice: low friction; a correction or braking can induce a skid (C+1).</t>
  </si>
  <si>
    <t xml:space="preserve">H-0186</t>
  </si>
  <si>
    <t xml:space="preserve">Unrequested Function of 'Lateral control (lane centring)' while in Limited-access highway, free flow, adjacent traffic (90–120 km/h), fog, visibility below the odd bound (outside odd, foreseeable).</t>
  </si>
  <si>
    <t xml:space="preserve">H-0187</t>
  </si>
  <si>
    <t xml:space="preserve">Unrequested Function of 'Lateral control (lane centring)' while in Highway curve near R_ODD with barrier or adjacent traffic (70–110 km/h), dry, daylight.</t>
  </si>
  <si>
    <t xml:space="preserve">S3: departure in a highway curve into barrier or adjacent traffic.</t>
  </si>
  <si>
    <t xml:space="preserve">H-0188</t>
  </si>
  <si>
    <t xml:space="preserve">Unrequested Function of 'Lateral control (lane centring)' while in Highway curve near R_ODD with barrier or adjacent traffic (70–110 km/h), wet road or light rain.</t>
  </si>
  <si>
    <t xml:space="preserve">H-0189</t>
  </si>
  <si>
    <t xml:space="preserve">Unrequested Function of 'Lateral control (lane centring)' while in Highway curve near R_ODD with barrier or adjacent traffic (70–110 km/h), night, dry, headlights.</t>
  </si>
  <si>
    <t xml:space="preserve">H-0190</t>
  </si>
  <si>
    <t xml:space="preserve">Unrequested Function of 'Lateral control (lane centring)' while in Highway curve near R_ODD with barrier or adjacent traffic (70–110 km/h), moderate or heavy rain (outside odd, foreseeable).</t>
  </si>
  <si>
    <t xml:space="preserve">H-0191</t>
  </si>
  <si>
    <t xml:space="preserve">Unrequested Function of 'Lateral control (lane centring)' while in Highway curve near R_ODD with barrier or adjacent traffic (70–110 km/h), snow or ice (outside odd, foreseeable).</t>
  </si>
  <si>
    <t xml:space="preserve">H-0192</t>
  </si>
  <si>
    <t xml:space="preserve">Unrequested Function of 'Lateral control (lane centring)' while in Highway curve near R_ODD with barrier or adjacent traffic (70–110 km/h), fog, visibility below the odd bound (outside odd, foreseeable).</t>
  </si>
  <si>
    <t xml:space="preserve">H-0193</t>
  </si>
  <si>
    <t xml:space="preserve">Unrequested Function of 'Lateral control (lane centring)' while in Undivided rural or arterial road, oncoming traffic (60–90 km/h), dry, daylight.</t>
  </si>
  <si>
    <t xml:space="preserve">S3: departure into the oncoming lane; head-on at combined speed &gt; 100 km/h (HE-01.1).</t>
  </si>
  <si>
    <t xml:space="preserve">H-0194</t>
  </si>
  <si>
    <t xml:space="preserve">Unrequested Function of 'Lateral control (lane centring)' while in Undivided rural or arterial road, oncoming traffic (60–90 km/h), wet road or light rain.</t>
  </si>
  <si>
    <t xml:space="preserve">H-0195</t>
  </si>
  <si>
    <t xml:space="preserve">Unrequested Function of 'Lateral control (lane centring)' while in Undivided rural or arterial road, oncoming traffic (60–90 km/h), night, dry, headlights.</t>
  </si>
  <si>
    <t xml:space="preserve">H-0196</t>
  </si>
  <si>
    <t xml:space="preserve">Unrequested Function of 'Lateral control (lane centring)' while in Undivided rural or arterial road, oncoming traffic (60–90 km/h), moderate or heavy rain (outside odd, foreseeable).</t>
  </si>
  <si>
    <t xml:space="preserve">H-0197</t>
  </si>
  <si>
    <t xml:space="preserve">Unrequested Function of 'Lateral control (lane centring)' while in Undivided rural or arterial road, oncoming traffic (60–90 km/h), snow or ice (outside odd, foreseeable).</t>
  </si>
  <si>
    <t xml:space="preserve">H-0198</t>
  </si>
  <si>
    <t xml:space="preserve">Unrequested Function of 'Lateral control (lane centring)' while in Undivided rural or arterial road, oncoming traffic (60–90 km/h), fog, visibility below the odd bound (outside odd, foreseeable).</t>
  </si>
  <si>
    <t xml:space="preserve">H-0199</t>
  </si>
  <si>
    <t xml:space="preserve">Unrequested Function of 'Lateral control (lane centring)' while in Urban arterial, pedestrians and cyclists near the lane edge (30–60 km/h), dry, daylight.</t>
  </si>
  <si>
    <t xml:space="preserve">S3: vehicle drifts into a pedestrian or cyclist above 30 km/h (HE-01.3).</t>
  </si>
  <si>
    <t xml:space="preserve">H-0200</t>
  </si>
  <si>
    <t xml:space="preserve">Unrequested Function of 'Lateral control (lane centring)' while in Urban arterial, pedestrians and cyclists near the lane edge (30–60 km/h), wet road or light rain.</t>
  </si>
  <si>
    <t xml:space="preserve">H-0201</t>
  </si>
  <si>
    <t xml:space="preserve">Unrequested Function of 'Lateral control (lane centring)' while in Urban arterial, pedestrians and cyclists near the lane edge (30–60 km/h), night, dry, headlights.</t>
  </si>
  <si>
    <t xml:space="preserve">H-0202</t>
  </si>
  <si>
    <t xml:space="preserve">Unrequested Function of 'Lateral control (lane centring)' while in Urban arterial, pedestrians and cyclists near the lane edge (30–60 km/h), moderate or heavy rain (outside odd, foreseeable).</t>
  </si>
  <si>
    <t xml:space="preserve">H-0203</t>
  </si>
  <si>
    <t xml:space="preserve">Unrequested Function of 'Lateral control (lane centring)' while in Urban arterial, pedestrians and cyclists near the lane edge (30–60 km/h), snow or ice (outside odd, foreseeable).</t>
  </si>
  <si>
    <t xml:space="preserve">H-0204</t>
  </si>
  <si>
    <t xml:space="preserve">Unrequested Function of 'Lateral control (lane centring)' while in Urban arterial, pedestrians and cyclists near the lane edge (30–60 km/h), fog, visibility below the odd bound (outside odd, foreseeable).</t>
  </si>
  <si>
    <t xml:space="preserve">H-0205</t>
  </si>
  <si>
    <t xml:space="preserve">Unrequested Function of 'Lateral control (lane centring)' while in Following a lead vehicle at a short gap, dense traffic (30–110 km/h), dry, daylight.</t>
  </si>
  <si>
    <t xml:space="preserve">S3: lateral departure into adjacent dense traffic up to 110 km/h.</t>
  </si>
  <si>
    <t xml:space="preserve">H-0206</t>
  </si>
  <si>
    <t xml:space="preserve">Unrequested Function of 'Lateral control (lane centring)' while in Following a lead vehicle at a short gap, dense traffic (30–110 km/h), wet road or light rain.</t>
  </si>
  <si>
    <t xml:space="preserve">H-0207</t>
  </si>
  <si>
    <t xml:space="preserve">Unrequested Function of 'Lateral control (lane centring)' while in Following a lead vehicle at a short gap, dense traffic (30–110 km/h), night, dry, headlights.</t>
  </si>
  <si>
    <t xml:space="preserve">H-0208</t>
  </si>
  <si>
    <t xml:space="preserve">Unrequested Function of 'Lateral control (lane centring)' while in Following a lead vehicle at a short gap, dense traffic (30–110 km/h), moderate or heavy rain (outside odd, foreseeable).</t>
  </si>
  <si>
    <t xml:space="preserve">H-0209</t>
  </si>
  <si>
    <t xml:space="preserve">Unrequested Function of 'Lateral control (lane centring)' while in Following a lead vehicle at a short gap, dense traffic (30–110 km/h), snow or ice (outside odd, foreseeable).</t>
  </si>
  <si>
    <t xml:space="preserve">H-0210</t>
  </si>
  <si>
    <t xml:space="preserve">Unrequested Function of 'Lateral control (lane centring)' while in Following a lead vehicle at a short gap, dense traffic (30–110 km/h), fog, visibility below the odd bound (outside odd, foreseeable).</t>
  </si>
  <si>
    <t xml:space="preserve">H-0211</t>
  </si>
  <si>
    <t xml:space="preserve">Unrequested Function of 'Lateral control (lane centring)' while in Stop-and-go queue or standstill behind a lead; pedestrians may cross (0–30 km/h), dry, daylight.</t>
  </si>
  <si>
    <t xml:space="preserve">S1: low-speed (&lt; 30 km/h) side contact in a queue.</t>
  </si>
  <si>
    <t xml:space="preserve">C1: at queue speed the driver has time to correct.</t>
  </si>
  <si>
    <t xml:space="preserve">H-0212</t>
  </si>
  <si>
    <t xml:space="preserve">Unrequested Function of 'Lateral control (lane centring)' while in Stop-and-go queue or standstill behind a lead; pedestrians may cross (0–30 km/h), wet road or light rain.</t>
  </si>
  <si>
    <t xml:space="preserve">H-0213</t>
  </si>
  <si>
    <t xml:space="preserve">Unrequested Function of 'Lateral control (lane centring)' while in Stop-and-go queue or standstill behind a lead; pedestrians may cross (0–30 km/h), night, dry, headlights.</t>
  </si>
  <si>
    <t xml:space="preserve">H-0214</t>
  </si>
  <si>
    <t xml:space="preserve">Unrequested Function of 'Lateral control (lane centring)' while in Stop-and-go queue or standstill behind a lead; pedestrians may cross (0–30 km/h), moderate or heavy rain (outside odd, foreseeable).</t>
  </si>
  <si>
    <t xml:space="preserve">H-0215</t>
  </si>
  <si>
    <t xml:space="preserve">Unrequested Function of 'Lateral control (lane centring)' while in Stop-and-go queue or standstill behind a lead; pedestrians may cross (0–30 km/h), snow or ice (outside odd, foreseeable).</t>
  </si>
  <si>
    <t xml:space="preserve">C1: at queue speed the driver has time to correct. Snow/ice: low friction; a correction or braking can induce a skid (C+1).</t>
  </si>
  <si>
    <t xml:space="preserve">H-0216</t>
  </si>
  <si>
    <t xml:space="preserve">Unrequested Function of 'Lateral control (lane centring)' while in Stop-and-go queue or standstill behind a lead; pedestrians may cross (0–30 km/h), fog, visibility below the odd bound (outside odd, foreseeable).</t>
  </si>
  <si>
    <t xml:space="preserve">H-0217</t>
  </si>
  <si>
    <t xml:space="preserve">Unrequested Function of 'Lateral control (lane centring)' while in Approaching slower or stationary traffic from highway speed (70–120 km/h), dry, daylight.</t>
  </si>
  <si>
    <t xml:space="preserve">S3: departure at highway speed while closing on traffic.</t>
  </si>
  <si>
    <t xml:space="preserve">H-0218</t>
  </si>
  <si>
    <t xml:space="preserve">Unrequested Function of 'Lateral control (lane centring)' while in Approaching slower or stationary traffic from highway speed (70–120 km/h), wet road or light rain.</t>
  </si>
  <si>
    <t xml:space="preserve">H-0219</t>
  </si>
  <si>
    <t xml:space="preserve">Unrequested Function of 'Lateral control (lane centring)' while in Approaching slower or stationary traffic from highway speed (70–120 km/h), night, dry, headlights.</t>
  </si>
  <si>
    <t xml:space="preserve">H-0220</t>
  </si>
  <si>
    <t xml:space="preserve">Unrequested Function of 'Lateral control (lane centring)' while in Approaching slower or stationary traffic from highway speed (70–120 km/h), moderate or heavy rain (outside odd, foreseeable).</t>
  </si>
  <si>
    <t xml:space="preserve">H-0221</t>
  </si>
  <si>
    <t xml:space="preserve">Unrequested Function of 'Lateral control (lane centring)' while in Approaching slower or stationary traffic from highway speed (70–120 km/h), snow or ice (outside odd, foreseeable).</t>
  </si>
  <si>
    <t xml:space="preserve">H-0222</t>
  </si>
  <si>
    <t xml:space="preserve">Unrequested Function of 'Lateral control (lane centring)' while in Approaching slower or stationary traffic from highway speed (70–120 km/h), fog, visibility below the odd bound (outside odd, foreseeable).</t>
  </si>
  <si>
    <t xml:space="preserve">H-0223</t>
  </si>
  <si>
    <t xml:space="preserve">Unrequested Function of 'Lateral control (lane centring)' while in Close following vehicle behind (gap &lt; 1.5 s) (50–120 km/h), dry, daylight.</t>
  </si>
  <si>
    <t xml:space="preserve">S3: departure at highway speed.</t>
  </si>
  <si>
    <t xml:space="preserve">H-0224</t>
  </si>
  <si>
    <t xml:space="preserve">Unrequested Function of 'Lateral control (lane centring)' while in Close following vehicle behind (gap &lt; 1.5 s) (50–120 km/h), wet road or light rain.</t>
  </si>
  <si>
    <t xml:space="preserve">H-0225</t>
  </si>
  <si>
    <t xml:space="preserve">Unrequested Function of 'Lateral control (lane centring)' while in Close following vehicle behind (gap &lt; 1.5 s) (50–120 km/h), night, dry, headlights.</t>
  </si>
  <si>
    <t xml:space="preserve">H-0226</t>
  </si>
  <si>
    <t xml:space="preserve">Unrequested Function of 'Lateral control (lane centring)' while in Close following vehicle behind (gap &lt; 1.5 s) (50–120 km/h), moderate or heavy rain (outside odd, foreseeable).</t>
  </si>
  <si>
    <t xml:space="preserve">H-0227</t>
  </si>
  <si>
    <t xml:space="preserve">Unrequested Function of 'Lateral control (lane centring)' while in Close following vehicle behind (gap &lt; 1.5 s) (50–120 km/h), snow or ice (outside odd, foreseeable).</t>
  </si>
  <si>
    <t xml:space="preserve">H-0228</t>
  </si>
  <si>
    <t xml:space="preserve">Unrequested Function of 'Lateral control (lane centring)' while in Close following vehicle behind (gap &lt; 1.5 s) (50–120 km/h), fog, visibility below the odd bound (outside odd, foreseeable).</t>
  </si>
  <si>
    <t xml:space="preserve">H-0229</t>
  </si>
  <si>
    <t xml:space="preserve">Unrequested Function of 'Lateral control (lane centring)' while in Imminent collision where the stock PCS/AEB would intervene (0–120 km/h), dry, daylight.</t>
  </si>
  <si>
    <t xml:space="preserve">S3: lateral disturbance during an imminent collision changes the impact.</t>
  </si>
  <si>
    <t xml:space="preserve">H-0230</t>
  </si>
  <si>
    <t xml:space="preserve">Unrequested Function of 'Lateral control (lane centring)' while in Imminent collision where the stock PCS/AEB would intervene (0–120 km/h), wet road or light rain.</t>
  </si>
  <si>
    <t xml:space="preserve">H-0231</t>
  </si>
  <si>
    <t xml:space="preserve">Unrequested Function of 'Lateral control (lane centring)' while in Imminent collision where the stock PCS/AEB would intervene (0–120 km/h), night, dry, headlights.</t>
  </si>
  <si>
    <t xml:space="preserve">H-0232</t>
  </si>
  <si>
    <t xml:space="preserve">Unrequested Function of 'Lateral control (lane centring)' while in Imminent collision where the stock PCS/AEB would intervene (0–120 km/h), moderate or heavy rain (outside odd, foreseeable).</t>
  </si>
  <si>
    <t xml:space="preserve">H-0233</t>
  </si>
  <si>
    <t xml:space="preserve">Unrequested Function of 'Lateral control (lane centring)' while in Imminent collision where the stock PCS/AEB would intervene (0–120 km/h), snow or ice (outside odd, foreseeable).</t>
  </si>
  <si>
    <t xml:space="preserve">H-0234</t>
  </si>
  <si>
    <t xml:space="preserve">Unrequested Function of 'Lateral control (lane centring)' while in Imminent collision where the stock PCS/AEB would intervene (0–120 km/h), fog, visibility below the odd bound (outside odd, foreseeable).</t>
  </si>
  <si>
    <t xml:space="preserve">H-0235</t>
  </si>
  <si>
    <t xml:space="preserve">Unrequested Function of 'Lateral control (lane centring)' while in Driver override while engaged: braking, cancel or evasive steering (0–120 km/h), dry, daylight.</t>
  </si>
  <si>
    <t xml:space="preserve">S3: added lateral disturbance during a driver emergency manoeuvre.</t>
  </si>
  <si>
    <t xml:space="preserve">H-0236</t>
  </si>
  <si>
    <t xml:space="preserve">Unrequested Function of 'Lateral control (lane centring)' while in Driver override while engaged: braking, cancel or evasive steering (0–120 km/h), wet road or light rain.</t>
  </si>
  <si>
    <t xml:space="preserve">H-0237</t>
  </si>
  <si>
    <t xml:space="preserve">Unrequested Function of 'Lateral control (lane centring)' while in Driver override while engaged: braking, cancel or evasive steering (0–120 km/h), night, dry, headlights.</t>
  </si>
  <si>
    <t xml:space="preserve">H-0238</t>
  </si>
  <si>
    <t xml:space="preserve">Unrequested Function of 'Lateral control (lane centring)' while in Driver override while engaged: braking, cancel or evasive steering (0–120 km/h), moderate or heavy rain (outside odd, foreseeable).</t>
  </si>
  <si>
    <t xml:space="preserve">H-0239</t>
  </si>
  <si>
    <t xml:space="preserve">Unrequested Function of 'Lateral control (lane centring)' while in Driver override while engaged: braking, cancel or evasive steering (0–120 km/h), snow or ice (outside odd, foreseeable).</t>
  </si>
  <si>
    <t xml:space="preserve">H-0240</t>
  </si>
  <si>
    <t xml:space="preserve">Unrequested Function of 'Lateral control (lane centring)' while in Driver override while engaged: braking, cancel or evasive steering (0–120 km/h), fog, visibility below the odd bound (outside odd, foreseeable).</t>
  </si>
  <si>
    <t xml:space="preserve">H-0241</t>
  </si>
  <si>
    <t xml:space="preserve">Unrequested Function of 'Lateral control (lane centring)' while in Driver-initiated assisted lane change (70–120 km/h), dry, daylight.</t>
  </si>
  <si>
    <t xml:space="preserve">S3: lateral motion into a vehicle in the target or original lane during a lane change.</t>
  </si>
  <si>
    <t xml:space="preserve">H-0242</t>
  </si>
  <si>
    <t xml:space="preserve">Unrequested Function of 'Lateral control (lane centring)' while in Driver-initiated assisted lane change (70–120 km/h), wet road or light rain.</t>
  </si>
  <si>
    <t xml:space="preserve">H-0243</t>
  </si>
  <si>
    <t xml:space="preserve">Unrequested Function of 'Lateral control (lane centring)' while in Driver-initiated assisted lane change (70–120 km/h), night, dry, headlights.</t>
  </si>
  <si>
    <t xml:space="preserve">H-0244</t>
  </si>
  <si>
    <t xml:space="preserve">Unrequested Function of 'Lateral control (lane centring)' while in Driver-initiated assisted lane change (70–120 km/h), moderate or heavy rain (outside odd, foreseeable).</t>
  </si>
  <si>
    <t xml:space="preserve">H-0245</t>
  </si>
  <si>
    <t xml:space="preserve">Unrequested Function of 'Lateral control (lane centring)' while in Driver-initiated assisted lane change (70–120 km/h), snow or ice (outside odd, foreseeable).</t>
  </si>
  <si>
    <t xml:space="preserve">H-0246</t>
  </si>
  <si>
    <t xml:space="preserve">Unrequested Function of 'Lateral control (lane centring)' while in Driver-initiated assisted lane change (70–120 km/h), fog, visibility below the odd bound (outside odd, foreseeable).</t>
  </si>
  <si>
    <t xml:space="preserve">H-0247</t>
  </si>
  <si>
    <t xml:space="preserve">Unrequested Function of 'Lateral control (lane centring)' while in Manual driving, item powered but not engaged (0–120 km/h), dry, daylight.</t>
  </si>
  <si>
    <t xml:space="preserve">S3: unexpected steering torque during manual driving at up to 120 km/h (HE-01.4).</t>
  </si>
  <si>
    <t xml:space="preserve">C2 ⚠: the driver is steering manually with hands on the wheel; credits AOU-01/AOU-02.</t>
  </si>
  <si>
    <t xml:space="preserve">H-0248</t>
  </si>
  <si>
    <t xml:space="preserve">Unrequested Function of 'Lateral control (lane centring)' while in Manual driving, item powered but not engaged (0–120 km/h), wet road or light rain.</t>
  </si>
  <si>
    <t xml:space="preserve">H-0249</t>
  </si>
  <si>
    <t xml:space="preserve">Unrequested Function of 'Lateral control (lane centring)' while in Manual driving, item powered but not engaged (0–120 km/h), night, dry, headlights.</t>
  </si>
  <si>
    <t xml:space="preserve">H-0250</t>
  </si>
  <si>
    <t xml:space="preserve">Unrequested Function of 'Lateral control (lane centring)' while in Manual driving, item powered but not engaged (0–120 km/h), moderate or heavy rain (outside odd, foreseeable).</t>
  </si>
  <si>
    <t xml:space="preserve">H-0251</t>
  </si>
  <si>
    <t xml:space="preserve">Unrequested Function of 'Lateral control (lane centring)' while in Manual driving, item powered but not engaged (0–120 km/h), snow or ice (outside odd, foreseeable).</t>
  </si>
  <si>
    <t xml:space="preserve">C2 ⚠: the driver is steering manually with hands on the wheel; credits AOU-01/AOU-02. Snow/ice: low friction; a correction or braking can induce a skid (C+1).</t>
  </si>
  <si>
    <t xml:space="preserve">H-0252</t>
  </si>
  <si>
    <t xml:space="preserve">Unrequested Function of 'Lateral control (lane centring)' while in Manual driving, item powered but not engaged (0–120 km/h), fog, visibility below the odd bound (outside odd, foreseeable).</t>
  </si>
  <si>
    <t xml:space="preserve">H-0253</t>
  </si>
  <si>
    <t xml:space="preserve">Unrequested Function of 'Lateral control (lane centring)' while in Engaged outside the ODD (residential street, ramp, tight curve): foreseeable misuse (15–60 km/h), dry, daylight.</t>
  </si>
  <si>
    <t xml:space="preserve">S3: residential VRUs or ramp barrier contact at up to 60 km/h.</t>
  </si>
  <si>
    <t xml:space="preserve">H-0254</t>
  </si>
  <si>
    <t xml:space="preserve">Unrequested Function of 'Lateral control (lane centring)' while in Engaged outside the ODD (residential street, ramp, tight curve): foreseeable misuse (15–60 km/h), wet road or light rain.</t>
  </si>
  <si>
    <t xml:space="preserve">H-0255</t>
  </si>
  <si>
    <t xml:space="preserve">Unrequested Function of 'Lateral control (lane centring)' while in Engaged outside the ODD (residential street, ramp, tight curve): foreseeable misuse (15–60 km/h), night, dry, headlights.</t>
  </si>
  <si>
    <t xml:space="preserve">H-0256</t>
  </si>
  <si>
    <t xml:space="preserve">Unrequested Function of 'Lateral control (lane centring)' while in Engaged outside the ODD (residential street, ramp, tight curve): foreseeable misuse (15–60 km/h), moderate or heavy rain (outside odd, foreseeable).</t>
  </si>
  <si>
    <t xml:space="preserve">H-0257</t>
  </si>
  <si>
    <t xml:space="preserve">Unrequested Function of 'Lateral control (lane centring)' while in Engaged outside the ODD (residential street, ramp, tight curve): foreseeable misuse (15–60 km/h), snow or ice (outside odd, foreseeable).</t>
  </si>
  <si>
    <t xml:space="preserve">H-0258</t>
  </si>
  <si>
    <t xml:space="preserve">Unrequested Function of 'Lateral control (lane centring)' while in Engaged outside the ODD (residential street, ramp, tight curve): foreseeable misuse (15–60 km/h), fog, visibility below the odd bound (outside odd, foreseeable).</t>
  </si>
  <si>
    <t xml:space="preserve">H-0259</t>
  </si>
  <si>
    <t xml:space="preserve">Unrequested Function of 'Lateral control (lane centring)' while in Approaching a signalised or stop-controlled intersection (ODD-A) (30–90 km/h), dry, daylight.</t>
  </si>
  <si>
    <t xml:space="preserve">S3: lateral departure at an intersection into crossing or oncoming traffic or VRUs.</t>
  </si>
  <si>
    <t xml:space="preserve">H-0260</t>
  </si>
  <si>
    <t xml:space="preserve">Unrequested Function of 'Lateral control (lane centring)' while in Approaching a signalised or stop-controlled intersection (ODD-A) (30–90 km/h), wet road or light rain.</t>
  </si>
  <si>
    <t xml:space="preserve">H-0261</t>
  </si>
  <si>
    <t xml:space="preserve">Unrequested Function of 'Lateral control (lane centring)' while in Approaching a signalised or stop-controlled intersection (ODD-A) (30–90 km/h), night, dry, headlights.</t>
  </si>
  <si>
    <t xml:space="preserve">H-0262</t>
  </si>
  <si>
    <t xml:space="preserve">Unrequested Function of 'Lateral control (lane centring)' while in Approaching a signalised or stop-controlled intersection (ODD-A) (30–90 km/h), moderate or heavy rain (outside odd, foreseeable).</t>
  </si>
  <si>
    <t xml:space="preserve">H-0263</t>
  </si>
  <si>
    <t xml:space="preserve">Unrequested Function of 'Lateral control (lane centring)' while in Approaching a signalised or stop-controlled intersection (ODD-A) (30–90 km/h), snow or ice (outside odd, foreseeable).</t>
  </si>
  <si>
    <t xml:space="preserve">H-0264</t>
  </si>
  <si>
    <t xml:space="preserve">Unrequested Function of 'Lateral control (lane centring)' while in Approaching a signalised or stop-controlled intersection (ODD-A) (30–90 km/h), fog, visibility below the odd bound (outside odd, foreseeable).</t>
  </si>
  <si>
    <t xml:space="preserve">H-0265</t>
  </si>
  <si>
    <t xml:space="preserve">Unrequested Function of 'Lateral control (lane centring)' while in Rural or arterial curve near R_ODD with oncoming traffic (60–90 km/h), dry, daylight.</t>
  </si>
  <si>
    <t xml:space="preserve">S3: departure into the oncoming lane in a rural curve.</t>
  </si>
  <si>
    <t xml:space="preserve">H-0266</t>
  </si>
  <si>
    <t xml:space="preserve">Unrequested Function of 'Lateral control (lane centring)' while in Rural or arterial curve near R_ODD with oncoming traffic (60–90 km/h), wet road or light rain.</t>
  </si>
  <si>
    <t xml:space="preserve">H-0267</t>
  </si>
  <si>
    <t xml:space="preserve">Unrequested Function of 'Lateral control (lane centring)' while in Rural or arterial curve near R_ODD with oncoming traffic (60–90 km/h), night, dry, headlights.</t>
  </si>
  <si>
    <t xml:space="preserve">H-0268</t>
  </si>
  <si>
    <t xml:space="preserve">Unrequested Function of 'Lateral control (lane centring)' while in Rural or arterial curve near R_ODD with oncoming traffic (60–90 km/h), moderate or heavy rain (outside odd, foreseeable).</t>
  </si>
  <si>
    <t xml:space="preserve">H-0269</t>
  </si>
  <si>
    <t xml:space="preserve">Unrequested Function of 'Lateral control (lane centring)' while in Rural or arterial curve near R_ODD with oncoming traffic (60–90 km/h), snow or ice (outside odd, foreseeable).</t>
  </si>
  <si>
    <t xml:space="preserve">H-0270</t>
  </si>
  <si>
    <t xml:space="preserve">Unrequested Function of 'Lateral control (lane centring)' while in Rural or arterial curve near R_ODD with oncoming traffic (60–90 km/h), fog, visibility below the odd bound (outside odd, foreseeable).</t>
  </si>
  <si>
    <t xml:space="preserve">H-0271</t>
  </si>
  <si>
    <t xml:space="preserve">Function Stuck of 'Lateral control (lane centring)' while in Limited-access highway, free flow, adjacent traffic (90–120 km/h), dry, daylight.</t>
  </si>
  <si>
    <t xml:space="preserve">C1: slow drift on a straight or gently curved road; a supervising driver notices and corrects it (≥ 99 %). ⚠ Credits AOU-01: the stuck request is bounded by the EPS LKA torque authority (HE-02.3).</t>
  </si>
  <si>
    <t xml:space="preserve">H-0272</t>
  </si>
  <si>
    <t xml:space="preserve">Function Stuck of 'Lateral control (lane centring)' while in Limited-access highway, free flow, adjacent traffic (90–120 km/h), wet road or light rain.</t>
  </si>
  <si>
    <t xml:space="preserve">H-0273</t>
  </si>
  <si>
    <t xml:space="preserve">Function Stuck of 'Lateral control (lane centring)' while in Limited-access highway, free flow, adjacent traffic (90–120 km/h), night, dry, headlights.</t>
  </si>
  <si>
    <t xml:space="preserve">H-0274</t>
  </si>
  <si>
    <t xml:space="preserve">Function Stuck of 'Lateral control (lane centring)' while in Limited-access highway, free flow, adjacent traffic (90–120 km/h), moderate or heavy rain (outside odd, foreseeable).</t>
  </si>
  <si>
    <t xml:space="preserve">H-0275</t>
  </si>
  <si>
    <t xml:space="preserve">Function Stuck of 'Lateral control (lane centring)' while in Limited-access highway, free flow, adjacent traffic (90–120 km/h), snow or ice (outside odd, foreseeable).</t>
  </si>
  <si>
    <t xml:space="preserve">C1: slow drift on a straight or gently curved road; a supervising driver notices and corrects it (≥ 99 %). ⚠ Credits AOU-01: the stuck request is bounded by the EPS LKA torque authority (HE-02.3). Snow/ice: low friction; a correction or braking can induce a skid (C+1).</t>
  </si>
  <si>
    <t xml:space="preserve">H-0276</t>
  </si>
  <si>
    <t xml:space="preserve">Function Stuck of 'Lateral control (lane centring)' while in Limited-access highway, free flow, adjacent traffic (90–120 km/h), fog, visibility below the odd bound (outside odd, foreseeable).</t>
  </si>
  <si>
    <t xml:space="preserve">H-0277</t>
  </si>
  <si>
    <t xml:space="preserve">Function Stuck of 'Lateral control (lane centring)' while in Highway curve near R_ODD with barrier or adjacent traffic (70–110 km/h), dry, daylight.</t>
  </si>
  <si>
    <t xml:space="preserve">C2: drift in a curve develops quickly; a supervising driver corrects it in ≥ 90 % of cases, but loss without warning delays the reaction and hands-off use is foreseeable. ⚠ Credits AOU-01: the stuck request is bounded by the EPS LKA torque authority (HE-02.3).</t>
  </si>
  <si>
    <t xml:space="preserve">H-0278</t>
  </si>
  <si>
    <t xml:space="preserve">Function Stuck of 'Lateral control (lane centring)' while in Highway curve near R_ODD with barrier or adjacent traffic (70–110 km/h), wet road or light rain.</t>
  </si>
  <si>
    <t xml:space="preserve">H-0279</t>
  </si>
  <si>
    <t xml:space="preserve">Function Stuck of 'Lateral control (lane centring)' while in Highway curve near R_ODD with barrier or adjacent traffic (70–110 km/h), night, dry, headlights.</t>
  </si>
  <si>
    <t xml:space="preserve">H-0280</t>
  </si>
  <si>
    <t xml:space="preserve">Function Stuck of 'Lateral control (lane centring)' while in Highway curve near R_ODD with barrier or adjacent traffic (70–110 km/h), moderate or heavy rain (outside odd, foreseeable).</t>
  </si>
  <si>
    <t xml:space="preserve">H-0281</t>
  </si>
  <si>
    <t xml:space="preserve">Function Stuck of 'Lateral control (lane centring)' while in Highway curve near R_ODD with barrier or adjacent traffic (70–110 km/h), snow or ice (outside odd, foreseeable).</t>
  </si>
  <si>
    <t xml:space="preserve">C2: drift in a curve develops quickly; a supervising driver corrects it in ≥ 90 % of cases, but loss without warning delays the reaction and hands-off use is foreseeable. ⚠ Credits AOU-01: the stuck request is bounded by the EPS LKA torque authority (HE-02.3). Snow/ice: low friction; a correction or braking can induce a skid (C+1).</t>
  </si>
  <si>
    <t xml:space="preserve">H-0282</t>
  </si>
  <si>
    <t xml:space="preserve">Function Stuck of 'Lateral control (lane centring)' while in Highway curve near R_ODD with barrier or adjacent traffic (70–110 km/h), fog, visibility below the odd bound (outside odd, foreseeable).</t>
  </si>
  <si>
    <t xml:space="preserve">H-0283</t>
  </si>
  <si>
    <t xml:space="preserve">Function Stuck of 'Lateral control (lane centring)' while in Undivided rural or arterial road, oncoming traffic (60–90 km/h), dry, daylight.</t>
  </si>
  <si>
    <t xml:space="preserve">H-0284</t>
  </si>
  <si>
    <t xml:space="preserve">Function Stuck of 'Lateral control (lane centring)' while in Undivided rural or arterial road, oncoming traffic (60–90 km/h), wet road or light rain.</t>
  </si>
  <si>
    <t xml:space="preserve">H-0285</t>
  </si>
  <si>
    <t xml:space="preserve">Function Stuck of 'Lateral control (lane centring)' while in Undivided rural or arterial road, oncoming traffic (60–90 km/h), night, dry, headlights.</t>
  </si>
  <si>
    <t xml:space="preserve">H-0286</t>
  </si>
  <si>
    <t xml:space="preserve">Function Stuck of 'Lateral control (lane centring)' while in Undivided rural or arterial road, oncoming traffic (60–90 km/h), moderate or heavy rain (outside odd, foreseeable).</t>
  </si>
  <si>
    <t xml:space="preserve">H-0287</t>
  </si>
  <si>
    <t xml:space="preserve">Function Stuck of 'Lateral control (lane centring)' while in Undivided rural or arterial road, oncoming traffic (60–90 km/h), snow or ice (outside odd, foreseeable).</t>
  </si>
  <si>
    <t xml:space="preserve">H-0288</t>
  </si>
  <si>
    <t xml:space="preserve">Function Stuck of 'Lateral control (lane centring)' while in Undivided rural or arterial road, oncoming traffic (60–90 km/h), fog, visibility below the odd bound (outside odd, foreseeable).</t>
  </si>
  <si>
    <t xml:space="preserve">H-0289</t>
  </si>
  <si>
    <t xml:space="preserve">Function Stuck of 'Lateral control (lane centring)' while in Urban arterial, pedestrians and cyclists near the lane edge (30–60 km/h), dry, daylight.</t>
  </si>
  <si>
    <t xml:space="preserve">H-0290</t>
  </si>
  <si>
    <t xml:space="preserve">Function Stuck of 'Lateral control (lane centring)' while in Urban arterial, pedestrians and cyclists near the lane edge (30–60 km/h), wet road or light rain.</t>
  </si>
  <si>
    <t xml:space="preserve">H-0291</t>
  </si>
  <si>
    <t xml:space="preserve">Function Stuck of 'Lateral control (lane centring)' while in Urban arterial, pedestrians and cyclists near the lane edge (30–60 km/h), night, dry, headlights.</t>
  </si>
  <si>
    <t xml:space="preserve">H-0292</t>
  </si>
  <si>
    <t xml:space="preserve">Function Stuck of 'Lateral control (lane centring)' while in Urban arterial, pedestrians and cyclists near the lane edge (30–60 km/h), moderate or heavy rain (outside odd, foreseeable).</t>
  </si>
  <si>
    <t xml:space="preserve">H-0293</t>
  </si>
  <si>
    <t xml:space="preserve">Function Stuck of 'Lateral control (lane centring)' while in Urban arterial, pedestrians and cyclists near the lane edge (30–60 km/h), snow or ice (outside odd, foreseeable).</t>
  </si>
  <si>
    <t xml:space="preserve">H-0294</t>
  </si>
  <si>
    <t xml:space="preserve">Function Stuck of 'Lateral control (lane centring)' while in Urban arterial, pedestrians and cyclists near the lane edge (30–60 km/h), fog, visibility below the odd bound (outside odd, foreseeable).</t>
  </si>
  <si>
    <t xml:space="preserve">H-0295</t>
  </si>
  <si>
    <t xml:space="preserve">Function Stuck of 'Lateral control (lane centring)' while in Following a lead vehicle at a short gap, dense traffic (30–110 km/h), dry, daylight.</t>
  </si>
  <si>
    <t xml:space="preserve">H-0296</t>
  </si>
  <si>
    <t xml:space="preserve">Function Stuck of 'Lateral control (lane centring)' while in Following a lead vehicle at a short gap, dense traffic (30–110 km/h), wet road or light rain.</t>
  </si>
  <si>
    <t xml:space="preserve">H-0297</t>
  </si>
  <si>
    <t xml:space="preserve">Function Stuck of 'Lateral control (lane centring)' while in Following a lead vehicle at a short gap, dense traffic (30–110 km/h), night, dry, headlights.</t>
  </si>
  <si>
    <t xml:space="preserve">H-0298</t>
  </si>
  <si>
    <t xml:space="preserve">Function Stuck of 'Lateral control (lane centring)' while in Following a lead vehicle at a short gap, dense traffic (30–110 km/h), moderate or heavy rain (outside odd, foreseeable).</t>
  </si>
  <si>
    <t xml:space="preserve">H-0299</t>
  </si>
  <si>
    <t xml:space="preserve">Function Stuck of 'Lateral control (lane centring)' while in Following a lead vehicle at a short gap, dense traffic (30–110 km/h), snow or ice (outside odd, foreseeable).</t>
  </si>
  <si>
    <t xml:space="preserve">H-0300</t>
  </si>
  <si>
    <t xml:space="preserve">Function Stuck of 'Lateral control (lane centring)' while in Following a lead vehicle at a short gap, dense traffic (30–110 km/h), fog, visibility below the odd bound (outside odd, foreseeable).</t>
  </si>
  <si>
    <t xml:space="preserve">H-0301</t>
  </si>
  <si>
    <t xml:space="preserve">Function Stuck of 'Lateral control (lane centring)' while in Stop-and-go queue or standstill behind a lead; pedestrians may cross (0–30 km/h), dry, daylight.</t>
  </si>
  <si>
    <t xml:space="preserve">C1: queue speed. ⚠ Credits AOU-01: the stuck request is bounded by the EPS LKA torque authority (HE-02.3).</t>
  </si>
  <si>
    <t xml:space="preserve">H-0302</t>
  </si>
  <si>
    <t xml:space="preserve">Function Stuck of 'Lateral control (lane centring)' while in Stop-and-go queue or standstill behind a lead; pedestrians may cross (0–30 km/h), wet road or light rain.</t>
  </si>
  <si>
    <t xml:space="preserve">H-0303</t>
  </si>
  <si>
    <t xml:space="preserve">Function Stuck of 'Lateral control (lane centring)' while in Stop-and-go queue or standstill behind a lead; pedestrians may cross (0–30 km/h), night, dry, headlights.</t>
  </si>
  <si>
    <t xml:space="preserve">H-0304</t>
  </si>
  <si>
    <t xml:space="preserve">Function Stuck of 'Lateral control (lane centring)' while in Stop-and-go queue or standstill behind a lead; pedestrians may cross (0–30 km/h), moderate or heavy rain (outside odd, foreseeable).</t>
  </si>
  <si>
    <t xml:space="preserve">H-0305</t>
  </si>
  <si>
    <t xml:space="preserve">Function Stuck of 'Lateral control (lane centring)' while in Stop-and-go queue or standstill behind a lead; pedestrians may cross (0–30 km/h), snow or ice (outside odd, foreseeable).</t>
  </si>
  <si>
    <t xml:space="preserve">C1: queue speed. ⚠ Credits AOU-01: the stuck request is bounded by the EPS LKA torque authority (HE-02.3). Snow/ice: low friction; a correction or braking can induce a skid (C+1).</t>
  </si>
  <si>
    <t xml:space="preserve">H-0306</t>
  </si>
  <si>
    <t xml:space="preserve">Function Stuck of 'Lateral control (lane centring)' while in Stop-and-go queue or standstill behind a lead; pedestrians may cross (0–30 km/h), fog, visibility below the odd bound (outside odd, foreseeable).</t>
  </si>
  <si>
    <t xml:space="preserve">H-0307</t>
  </si>
  <si>
    <t xml:space="preserve">Function Stuck of 'Lateral control (lane centring)' while in Approaching slower or stationary traffic from highway speed (70–120 km/h), dry, daylight.</t>
  </si>
  <si>
    <t xml:space="preserve">H-0308</t>
  </si>
  <si>
    <t xml:space="preserve">Function Stuck of 'Lateral control (lane centring)' while in Approaching slower or stationary traffic from highway speed (70–120 km/h), wet road or light rain.</t>
  </si>
  <si>
    <t xml:space="preserve">H-0309</t>
  </si>
  <si>
    <t xml:space="preserve">Function Stuck of 'Lateral control (lane centring)' while in Approaching slower or stationary traffic from highway speed (70–120 km/h), night, dry, headlights.</t>
  </si>
  <si>
    <t xml:space="preserve">H-0310</t>
  </si>
  <si>
    <t xml:space="preserve">Function Stuck of 'Lateral control (lane centring)' while in Approaching slower or stationary traffic from highway speed (70–120 km/h), moderate or heavy rain (outside odd, foreseeable).</t>
  </si>
  <si>
    <t xml:space="preserve">H-0311</t>
  </si>
  <si>
    <t xml:space="preserve">Function Stuck of 'Lateral control (lane centring)' while in Approaching slower or stationary traffic from highway speed (70–120 km/h), snow or ice (outside odd, foreseeable).</t>
  </si>
  <si>
    <t xml:space="preserve">H-0312</t>
  </si>
  <si>
    <t xml:space="preserve">Function Stuck of 'Lateral control (lane centring)' while in Approaching slower or stationary traffic from highway speed (70–120 km/h), fog, visibility below the odd bound (outside odd, foreseeable).</t>
  </si>
  <si>
    <t xml:space="preserve">H-0313</t>
  </si>
  <si>
    <t xml:space="preserve">Function Stuck of 'Lateral control (lane centring)' while in Close following vehicle behind (gap &lt; 1.5 s) (50–120 km/h), dry, daylight.</t>
  </si>
  <si>
    <t xml:space="preserve">H-0314</t>
  </si>
  <si>
    <t xml:space="preserve">Function Stuck of 'Lateral control (lane centring)' while in Close following vehicle behind (gap &lt; 1.5 s) (50–120 km/h), wet road or light rain.</t>
  </si>
  <si>
    <t xml:space="preserve">H-0315</t>
  </si>
  <si>
    <t xml:space="preserve">Function Stuck of 'Lateral control (lane centring)' while in Close following vehicle behind (gap &lt; 1.5 s) (50–120 km/h), night, dry, headlights.</t>
  </si>
  <si>
    <t xml:space="preserve">H-0316</t>
  </si>
  <si>
    <t xml:space="preserve">Function Stuck of 'Lateral control (lane centring)' while in Close following vehicle behind (gap &lt; 1.5 s) (50–120 km/h), moderate or heavy rain (outside odd, foreseeable).</t>
  </si>
  <si>
    <t xml:space="preserve">H-0317</t>
  </si>
  <si>
    <t xml:space="preserve">Function Stuck of 'Lateral control (lane centring)' while in Close following vehicle behind (gap &lt; 1.5 s) (50–120 km/h), snow or ice (outside odd, foreseeable).</t>
  </si>
  <si>
    <t xml:space="preserve">H-0318</t>
  </si>
  <si>
    <t xml:space="preserve">Function Stuck of 'Lateral control (lane centring)' while in Close following vehicle behind (gap &lt; 1.5 s) (50–120 km/h), fog, visibility below the odd bound (outside odd, foreseeable).</t>
  </si>
  <si>
    <t xml:space="preserve">H-0319</t>
  </si>
  <si>
    <t xml:space="preserve">Function Stuck of 'Lateral control (lane centring)' while in Imminent collision where the stock PCS/AEB would intervene (0–120 km/h), dry, daylight.</t>
  </si>
  <si>
    <t xml:space="preserve">C1: the driver is already acting on the collision. ⚠ Credits AOU-01: the stuck request is bounded by the EPS LKA torque authority (HE-02.3).</t>
  </si>
  <si>
    <t xml:space="preserve">H-0320</t>
  </si>
  <si>
    <t xml:space="preserve">Function Stuck of 'Lateral control (lane centring)' while in Imminent collision where the stock PCS/AEB would intervene (0–120 km/h), wet road or light rain.</t>
  </si>
  <si>
    <t xml:space="preserve">H-0321</t>
  </si>
  <si>
    <t xml:space="preserve">Function Stuck of 'Lateral control (lane centring)' while in Imminent collision where the stock PCS/AEB would intervene (0–120 km/h), night, dry, headlights.</t>
  </si>
  <si>
    <t xml:space="preserve">H-0322</t>
  </si>
  <si>
    <t xml:space="preserve">Function Stuck of 'Lateral control (lane centring)' while in Imminent collision where the stock PCS/AEB would intervene (0–120 km/h), moderate or heavy rain (outside odd, foreseeable).</t>
  </si>
  <si>
    <t xml:space="preserve">H-0323</t>
  </si>
  <si>
    <t xml:space="preserve">Function Stuck of 'Lateral control (lane centring)' while in Imminent collision where the stock PCS/AEB would intervene (0–120 km/h), snow or ice (outside odd, foreseeable).</t>
  </si>
  <si>
    <t xml:space="preserve">C1: the driver is already acting on the collision. ⚠ Credits AOU-01: the stuck request is bounded by the EPS LKA torque authority (HE-02.3). Snow/ice: low friction; a correction or braking can induce a skid (C+1).</t>
  </si>
  <si>
    <t xml:space="preserve">H-0324</t>
  </si>
  <si>
    <t xml:space="preserve">Function Stuck of 'Lateral control (lane centring)' while in Imminent collision where the stock PCS/AEB would intervene (0–120 km/h), fog, visibility below the odd bound (outside odd, foreseeable).</t>
  </si>
  <si>
    <t xml:space="preserve">H-0325</t>
  </si>
  <si>
    <t xml:space="preserve">Function Stuck of 'Lateral control (lane centring)' while in Driver override while engaged: braking, cancel or evasive steering (0–120 km/h), dry, daylight.</t>
  </si>
  <si>
    <t xml:space="preserve">H-0326</t>
  </si>
  <si>
    <t xml:space="preserve">Function Stuck of 'Lateral control (lane centring)' while in Driver override while engaged: braking, cancel or evasive steering (0–120 km/h), wet road or light rain.</t>
  </si>
  <si>
    <t xml:space="preserve">H-0327</t>
  </si>
  <si>
    <t xml:space="preserve">Function Stuck of 'Lateral control (lane centring)' while in Driver override while engaged: braking, cancel or evasive steering (0–120 km/h), night, dry, headlights.</t>
  </si>
  <si>
    <t xml:space="preserve">H-0328</t>
  </si>
  <si>
    <t xml:space="preserve">Function Stuck of 'Lateral control (lane centring)' while in Driver override while engaged: braking, cancel or evasive steering (0–120 km/h), moderate or heavy rain (outside odd, foreseeable).</t>
  </si>
  <si>
    <t xml:space="preserve">H-0329</t>
  </si>
  <si>
    <t xml:space="preserve">Function Stuck of 'Lateral control (lane centring)' while in Driver override while engaged: braking, cancel or evasive steering (0–120 km/h), snow or ice (outside odd, foreseeable).</t>
  </si>
  <si>
    <t xml:space="preserve">H-0330</t>
  </si>
  <si>
    <t xml:space="preserve">Function Stuck of 'Lateral control (lane centring)' while in Driver override while engaged: braking, cancel or evasive steering (0–120 km/h), fog, visibility below the odd bound (outside odd, foreseeable).</t>
  </si>
  <si>
    <t xml:space="preserve">H-0331</t>
  </si>
  <si>
    <t xml:space="preserve">Function Stuck of 'Lateral control (lane centring)' while in Driver-initiated assisted lane change (70–120 km/h), dry, daylight.</t>
  </si>
  <si>
    <t xml:space="preserve">H-0332</t>
  </si>
  <si>
    <t xml:space="preserve">Function Stuck of 'Lateral control (lane centring)' while in Driver-initiated assisted lane change (70–120 km/h), wet road or light rain.</t>
  </si>
  <si>
    <t xml:space="preserve">H-0333</t>
  </si>
  <si>
    <t xml:space="preserve">Function Stuck of 'Lateral control (lane centring)' while in Driver-initiated assisted lane change (70–120 km/h), night, dry, headlights.</t>
  </si>
  <si>
    <t xml:space="preserve">H-0334</t>
  </si>
  <si>
    <t xml:space="preserve">Function Stuck of 'Lateral control (lane centring)' while in Driver-initiated assisted lane change (70–120 km/h), moderate or heavy rain (outside odd, foreseeable).</t>
  </si>
  <si>
    <t xml:space="preserve">H-0335</t>
  </si>
  <si>
    <t xml:space="preserve">Function Stuck of 'Lateral control (lane centring)' while in Driver-initiated assisted lane change (70–120 km/h), snow or ice (outside odd, foreseeable).</t>
  </si>
  <si>
    <t xml:space="preserve">H-0336</t>
  </si>
  <si>
    <t xml:space="preserve">Function Stuck of 'Lateral control (lane centring)' while in Driver-initiated assisted lane change (70–120 km/h), fog, visibility below the odd bound (outside odd, foreseeable).</t>
  </si>
  <si>
    <t xml:space="preserve">H-0337</t>
  </si>
  <si>
    <t xml:space="preserve">Function Stuck of 'Lateral control (lane centring)' while in Manual driving, item powered but not engaged (0–120 km/h), dry, daylight.</t>
  </si>
  <si>
    <t xml:space="preserve">S0: item not engaged; M04 cannot occur without a request (only unrequested actuation, M03/M10, applies).</t>
  </si>
  <si>
    <t xml:space="preserve">H-0338</t>
  </si>
  <si>
    <t xml:space="preserve">Function Stuck of 'Lateral control (lane centring)' while in Manual driving, item powered but not engaged (0–120 km/h), wet road or light rain.</t>
  </si>
  <si>
    <t xml:space="preserve">H-0339</t>
  </si>
  <si>
    <t xml:space="preserve">Function Stuck of 'Lateral control (lane centring)' while in Manual driving, item powered but not engaged (0–120 km/h), night, dry, headlights.</t>
  </si>
  <si>
    <t xml:space="preserve">H-0340</t>
  </si>
  <si>
    <t xml:space="preserve">Function Stuck of 'Lateral control (lane centring)' while in Manual driving, item powered but not engaged (0–120 km/h), moderate or heavy rain (outside odd, foreseeable).</t>
  </si>
  <si>
    <t xml:space="preserve">H-0341</t>
  </si>
  <si>
    <t xml:space="preserve">Function Stuck of 'Lateral control (lane centring)' while in Manual driving, item powered but not engaged (0–120 km/h), snow or ice (outside odd, foreseeable).</t>
  </si>
  <si>
    <t xml:space="preserve">H-0342</t>
  </si>
  <si>
    <t xml:space="preserve">Function Stuck of 'Lateral control (lane centring)' while in Manual driving, item powered but not engaged (0–120 km/h), fog, visibility below the odd bound (outside odd, foreseeable).</t>
  </si>
  <si>
    <t xml:space="preserve">H-0343</t>
  </si>
  <si>
    <t xml:space="preserve">Function Stuck of 'Lateral control (lane centring)' while in Engaged outside the ODD (residential street, ramp, tight curve): foreseeable misuse (15–60 km/h), dry, daylight.</t>
  </si>
  <si>
    <t xml:space="preserve">C3: drift in a tight curve outpaces driver reaction (WP-C-03 OI-7, WP-S-04). ⚠ Credits AOU-01: the stuck request is bounded by the EPS LKA torque authority (HE-02.3).</t>
  </si>
  <si>
    <t xml:space="preserve">H-0344</t>
  </si>
  <si>
    <t xml:space="preserve">Function Stuck of 'Lateral control (lane centring)' while in Engaged outside the ODD (residential street, ramp, tight curve): foreseeable misuse (15–60 km/h), wet road or light rain.</t>
  </si>
  <si>
    <t xml:space="preserve">H-0345</t>
  </si>
  <si>
    <t xml:space="preserve">Function Stuck of 'Lateral control (lane centring)' while in Engaged outside the ODD (residential street, ramp, tight curve): foreseeable misuse (15–60 km/h), night, dry, headlights.</t>
  </si>
  <si>
    <t xml:space="preserve">H-0346</t>
  </si>
  <si>
    <t xml:space="preserve">Function Stuck of 'Lateral control (lane centring)' while in Engaged outside the ODD (residential street, ramp, tight curve): foreseeable misuse (15–60 km/h), moderate or heavy rain (outside odd, foreseeable).</t>
  </si>
  <si>
    <t xml:space="preserve">H-0347</t>
  </si>
  <si>
    <t xml:space="preserve">Function Stuck of 'Lateral control (lane centring)' while in Engaged outside the ODD (residential street, ramp, tight curve): foreseeable misuse (15–60 km/h), snow or ice (outside odd, foreseeable).</t>
  </si>
  <si>
    <t xml:space="preserve">C3: drift in a tight curve outpaces driver reaction (WP-C-03 OI-7, WP-S-04). ⚠ Credits AOU-01: the stuck request is bounded by the EPS LKA torque authority (HE-02.3). Snow/ice: low friction; a correction or braking can induce a skid (C+1).</t>
  </si>
  <si>
    <t xml:space="preserve">H-0348</t>
  </si>
  <si>
    <t xml:space="preserve">Function Stuck of 'Lateral control (lane centring)' while in Engaged outside the ODD (residential street, ramp, tight curve): foreseeable misuse (15–60 km/h), fog, visibility below the odd bound (outside odd, foreseeable).</t>
  </si>
  <si>
    <t xml:space="preserve">H-0349</t>
  </si>
  <si>
    <t xml:space="preserve">Function Stuck of 'Lateral control (lane centring)' while in Approaching a signalised or stop-controlled intersection (ODD-A) (30–90 km/h), dry, daylight.</t>
  </si>
  <si>
    <t xml:space="preserve">H-0350</t>
  </si>
  <si>
    <t xml:space="preserve">Function Stuck of 'Lateral control (lane centring)' while in Approaching a signalised or stop-controlled intersection (ODD-A) (30–90 km/h), wet road or light rain.</t>
  </si>
  <si>
    <t xml:space="preserve">H-0351</t>
  </si>
  <si>
    <t xml:space="preserve">Function Stuck of 'Lateral control (lane centring)' while in Approaching a signalised or stop-controlled intersection (ODD-A) (30–90 km/h), night, dry, headlights.</t>
  </si>
  <si>
    <t xml:space="preserve">H-0352</t>
  </si>
  <si>
    <t xml:space="preserve">Function Stuck of 'Lateral control (lane centring)' while in Approaching a signalised or stop-controlled intersection (ODD-A) (30–90 km/h), moderate or heavy rain (outside odd, foreseeable).</t>
  </si>
  <si>
    <t xml:space="preserve">H-0353</t>
  </si>
  <si>
    <t xml:space="preserve">Function Stuck of 'Lateral control (lane centring)' while in Approaching a signalised or stop-controlled intersection (ODD-A) (30–90 km/h), snow or ice (outside odd, foreseeable).</t>
  </si>
  <si>
    <t xml:space="preserve">H-0354</t>
  </si>
  <si>
    <t xml:space="preserve">Function Stuck of 'Lateral control (lane centring)' while in Approaching a signalised or stop-controlled intersection (ODD-A) (30–90 km/h), fog, visibility below the odd bound (outside odd, foreseeable).</t>
  </si>
  <si>
    <t xml:space="preserve">H-0355</t>
  </si>
  <si>
    <t xml:space="preserve">Function Stuck of 'Lateral control (lane centring)' while in Rural or arterial curve near R_ODD with oncoming traffic (60–90 km/h), dry, daylight.</t>
  </si>
  <si>
    <t xml:space="preserve">H-0356</t>
  </si>
  <si>
    <t xml:space="preserve">Function Stuck of 'Lateral control (lane centring)' while in Rural or arterial curve near R_ODD with oncoming traffic (60–90 km/h), wet road or light rain.</t>
  </si>
  <si>
    <t xml:space="preserve">H-0357</t>
  </si>
  <si>
    <t xml:space="preserve">Function Stuck of 'Lateral control (lane centring)' while in Rural or arterial curve near R_ODD with oncoming traffic (60–90 km/h), night, dry, headlights.</t>
  </si>
  <si>
    <t xml:space="preserve">H-0358</t>
  </si>
  <si>
    <t xml:space="preserve">Function Stuck of 'Lateral control (lane centring)' while in Rural or arterial curve near R_ODD with oncoming traffic (60–90 km/h), moderate or heavy rain (outside odd, foreseeable).</t>
  </si>
  <si>
    <t xml:space="preserve">H-0359</t>
  </si>
  <si>
    <t xml:space="preserve">Function Stuck of 'Lateral control (lane centring)' while in Rural or arterial curve near R_ODD with oncoming traffic (60–90 km/h), snow or ice (outside odd, foreseeable).</t>
  </si>
  <si>
    <t xml:space="preserve">H-0360</t>
  </si>
  <si>
    <t xml:space="preserve">Function Stuck of 'Lateral control (lane centring)' while in Rural or arterial curve near R_ODD with oncoming traffic (60–90 km/h), fog, visibility below the odd bound (outside odd, foreseeable).</t>
  </si>
  <si>
    <t xml:space="preserve">H-0361</t>
  </si>
  <si>
    <t xml:space="preserve">Excessive Function of 'Lateral control (lane centring)' while in Limited-access highway, free flow, adjacent traffic (90–120 km/h), dry, daylight.</t>
  </si>
  <si>
    <t xml:space="preserve">H-0362</t>
  </si>
  <si>
    <t xml:space="preserve">Excessive Function of 'Lateral control (lane centring)' while in Limited-access highway, free flow, adjacent traffic (90–120 km/h), wet road or light rain.</t>
  </si>
  <si>
    <t xml:space="preserve">H-0363</t>
  </si>
  <si>
    <t xml:space="preserve">Excessive Function of 'Lateral control (lane centring)' while in Limited-access highway, free flow, adjacent traffic (90–120 km/h), night, dry, headlights.</t>
  </si>
  <si>
    <t xml:space="preserve">H-0364</t>
  </si>
  <si>
    <t xml:space="preserve">Excessive Function of 'Lateral control (lane centring)' while in Limited-access highway, free flow, adjacent traffic (90–120 km/h), moderate or heavy rain (outside odd, foreseeable).</t>
  </si>
  <si>
    <t xml:space="preserve">H-0365</t>
  </si>
  <si>
    <t xml:space="preserve">Excessive Function of 'Lateral control (lane centring)' while in Limited-access highway, free flow, adjacent traffic (90–120 km/h), snow or ice (outside odd, foreseeable).</t>
  </si>
  <si>
    <t xml:space="preserve">H-0366</t>
  </si>
  <si>
    <t xml:space="preserve">Excessive Function of 'Lateral control (lane centring)' while in Limited-access highway, free flow, adjacent traffic (90–120 km/h), fog, visibility below the odd bound (outside odd, foreseeable).</t>
  </si>
  <si>
    <t xml:space="preserve">H-0367</t>
  </si>
  <si>
    <t xml:space="preserve">Excessive Function of 'Lateral control (lane centring)' while in Highway curve near R_ODD with barrier or adjacent traffic (70–110 km/h), dry, daylight.</t>
  </si>
  <si>
    <t xml:space="preserve">H-0368</t>
  </si>
  <si>
    <t xml:space="preserve">Excessive Function of 'Lateral control (lane centring)' while in Highway curve near R_ODD with barrier or adjacent traffic (70–110 km/h), wet road or light rain.</t>
  </si>
  <si>
    <t xml:space="preserve">H-0369</t>
  </si>
  <si>
    <t xml:space="preserve">Excessive Function of 'Lateral control (lane centring)' while in Highway curve near R_ODD with barrier or adjacent traffic (70–110 km/h), night, dry, headlights.</t>
  </si>
  <si>
    <t xml:space="preserve">H-0370</t>
  </si>
  <si>
    <t xml:space="preserve">Excessive Function of 'Lateral control (lane centring)' while in Highway curve near R_ODD with barrier or adjacent traffic (70–110 km/h), moderate or heavy rain (outside odd, foreseeable).</t>
  </si>
  <si>
    <t xml:space="preserve">H-0371</t>
  </si>
  <si>
    <t xml:space="preserve">Excessive Function of 'Lateral control (lane centring)' while in Highway curve near R_ODD with barrier or adjacent traffic (70–110 km/h), snow or ice (outside odd, foreseeable).</t>
  </si>
  <si>
    <t xml:space="preserve">H-0372</t>
  </si>
  <si>
    <t xml:space="preserve">Excessive Function of 'Lateral control (lane centring)' while in Highway curve near R_ODD with barrier or adjacent traffic (70–110 km/h), fog, visibility below the odd bound (outside odd, foreseeable).</t>
  </si>
  <si>
    <t xml:space="preserve">H-0373</t>
  </si>
  <si>
    <t xml:space="preserve">Excessive Function of 'Lateral control (lane centring)' while in Undivided rural or arterial road, oncoming traffic (60–90 km/h), dry, daylight.</t>
  </si>
  <si>
    <t xml:space="preserve">H-0374</t>
  </si>
  <si>
    <t xml:space="preserve">Excessive Function of 'Lateral control (lane centring)' while in Undivided rural or arterial road, oncoming traffic (60–90 km/h), wet road or light rain.</t>
  </si>
  <si>
    <t xml:space="preserve">H-0375</t>
  </si>
  <si>
    <t xml:space="preserve">Excessive Function of 'Lateral control (lane centring)' while in Undivided rural or arterial road, oncoming traffic (60–90 km/h), night, dry, headlights.</t>
  </si>
  <si>
    <t xml:space="preserve">H-0376</t>
  </si>
  <si>
    <t xml:space="preserve">Excessive Function of 'Lateral control (lane centring)' while in Undivided rural or arterial road, oncoming traffic (60–90 km/h), moderate or heavy rain (outside odd, foreseeable).</t>
  </si>
  <si>
    <t xml:space="preserve">H-0377</t>
  </si>
  <si>
    <t xml:space="preserve">Excessive Function of 'Lateral control (lane centring)' while in Undivided rural or arterial road, oncoming traffic (60–90 km/h), snow or ice (outside odd, foreseeable).</t>
  </si>
  <si>
    <t xml:space="preserve">H-0378</t>
  </si>
  <si>
    <t xml:space="preserve">Excessive Function of 'Lateral control (lane centring)' while in Undivided rural or arterial road, oncoming traffic (60–90 km/h), fog, visibility below the odd bound (outside odd, foreseeable).</t>
  </si>
  <si>
    <t xml:space="preserve">H-0379</t>
  </si>
  <si>
    <t xml:space="preserve">Excessive Function of 'Lateral control (lane centring)' while in Urban arterial, pedestrians and cyclists near the lane edge (30–60 km/h), dry, daylight.</t>
  </si>
  <si>
    <t xml:space="preserve">H-0380</t>
  </si>
  <si>
    <t xml:space="preserve">Excessive Function of 'Lateral control (lane centring)' while in Urban arterial, pedestrians and cyclists near the lane edge (30–60 km/h), wet road or light rain.</t>
  </si>
  <si>
    <t xml:space="preserve">H-0381</t>
  </si>
  <si>
    <t xml:space="preserve">Excessive Function of 'Lateral control (lane centring)' while in Urban arterial, pedestrians and cyclists near the lane edge (30–60 km/h), night, dry, headlights.</t>
  </si>
  <si>
    <t xml:space="preserve">H-0382</t>
  </si>
  <si>
    <t xml:space="preserve">Excessive Function of 'Lateral control (lane centring)' while in Urban arterial, pedestrians and cyclists near the lane edge (30–60 km/h), moderate or heavy rain (outside odd, foreseeable).</t>
  </si>
  <si>
    <t xml:space="preserve">H-0383</t>
  </si>
  <si>
    <t xml:space="preserve">Excessive Function of 'Lateral control (lane centring)' while in Urban arterial, pedestrians and cyclists near the lane edge (30–60 km/h), snow or ice (outside odd, foreseeable).</t>
  </si>
  <si>
    <t xml:space="preserve">H-0384</t>
  </si>
  <si>
    <t xml:space="preserve">Excessive Function of 'Lateral control (lane centring)' while in Urban arterial, pedestrians and cyclists near the lane edge (30–60 km/h), fog, visibility below the odd bound (outside odd, foreseeable).</t>
  </si>
  <si>
    <t xml:space="preserve">H-0385</t>
  </si>
  <si>
    <t xml:space="preserve">Excessive Function of 'Lateral control (lane centring)' while in Following a lead vehicle at a short gap, dense traffic (30–110 km/h), dry, daylight.</t>
  </si>
  <si>
    <t xml:space="preserve">H-0386</t>
  </si>
  <si>
    <t xml:space="preserve">Excessive Function of 'Lateral control (lane centring)' while in Following a lead vehicle at a short gap, dense traffic (30–110 km/h), wet road or light rain.</t>
  </si>
  <si>
    <t xml:space="preserve">H-0387</t>
  </si>
  <si>
    <t xml:space="preserve">Excessive Function of 'Lateral control (lane centring)' while in Following a lead vehicle at a short gap, dense traffic (30–110 km/h), night, dry, headlights.</t>
  </si>
  <si>
    <t xml:space="preserve">H-0388</t>
  </si>
  <si>
    <t xml:space="preserve">Excessive Function of 'Lateral control (lane centring)' while in Following a lead vehicle at a short gap, dense traffic (30–110 km/h), moderate or heavy rain (outside odd, foreseeable).</t>
  </si>
  <si>
    <t xml:space="preserve">H-0389</t>
  </si>
  <si>
    <t xml:space="preserve">Excessive Function of 'Lateral control (lane centring)' while in Following a lead vehicle at a short gap, dense traffic (30–110 km/h), snow or ice (outside odd, foreseeable).</t>
  </si>
  <si>
    <t xml:space="preserve">H-0390</t>
  </si>
  <si>
    <t xml:space="preserve">Excessive Function of 'Lateral control (lane centring)' while in Following a lead vehicle at a short gap, dense traffic (30–110 km/h), fog, visibility below the odd bound (outside odd, foreseeable).</t>
  </si>
  <si>
    <t xml:space="preserve">H-0391</t>
  </si>
  <si>
    <t xml:space="preserve">Excessive Function of 'Lateral control (lane centring)' while in Stop-and-go queue or standstill behind a lead; pedestrians may cross (0–30 km/h), dry, daylight.</t>
  </si>
  <si>
    <t xml:space="preserve">H-0392</t>
  </si>
  <si>
    <t xml:space="preserve">Excessive Function of 'Lateral control (lane centring)' while in Stop-and-go queue or standstill behind a lead; pedestrians may cross (0–30 km/h), wet road or light rain.</t>
  </si>
  <si>
    <t xml:space="preserve">H-0393</t>
  </si>
  <si>
    <t xml:space="preserve">Excessive Function of 'Lateral control (lane centring)' while in Stop-and-go queue or standstill behind a lead; pedestrians may cross (0–30 km/h), night, dry, headlights.</t>
  </si>
  <si>
    <t xml:space="preserve">H-0394</t>
  </si>
  <si>
    <t xml:space="preserve">Excessive Function of 'Lateral control (lane centring)' while in Stop-and-go queue or standstill behind a lead; pedestrians may cross (0–30 km/h), moderate or heavy rain (outside odd, foreseeable).</t>
  </si>
  <si>
    <t xml:space="preserve">H-0395</t>
  </si>
  <si>
    <t xml:space="preserve">Excessive Function of 'Lateral control (lane centring)' while in Stop-and-go queue or standstill behind a lead; pedestrians may cross (0–30 km/h), snow or ice (outside odd, foreseeable).</t>
  </si>
  <si>
    <t xml:space="preserve">H-0396</t>
  </si>
  <si>
    <t xml:space="preserve">Excessive Function of 'Lateral control (lane centring)' while in Stop-and-go queue or standstill behind a lead; pedestrians may cross (0–30 km/h), fog, visibility below the odd bound (outside odd, foreseeable).</t>
  </si>
  <si>
    <t xml:space="preserve">H-0397</t>
  </si>
  <si>
    <t xml:space="preserve">Excessive Function of 'Lateral control (lane centring)' while in Approaching slower or stationary traffic from highway speed (70–120 km/h), dry, daylight.</t>
  </si>
  <si>
    <t xml:space="preserve">H-0398</t>
  </si>
  <si>
    <t xml:space="preserve">Excessive Function of 'Lateral control (lane centring)' while in Approaching slower or stationary traffic from highway speed (70–120 km/h), wet road or light rain.</t>
  </si>
  <si>
    <t xml:space="preserve">H-0399</t>
  </si>
  <si>
    <t xml:space="preserve">Excessive Function of 'Lateral control (lane centring)' while in Approaching slower or stationary traffic from highway speed (70–120 km/h), night, dry, headlights.</t>
  </si>
  <si>
    <t xml:space="preserve">H-0400</t>
  </si>
  <si>
    <t xml:space="preserve">Excessive Function of 'Lateral control (lane centring)' while in Approaching slower or stationary traffic from highway speed (70–120 km/h), moderate or heavy rain (outside odd, foreseeable).</t>
  </si>
  <si>
    <t xml:space="preserve">H-0401</t>
  </si>
  <si>
    <t xml:space="preserve">Excessive Function of 'Lateral control (lane centring)' while in Approaching slower or stationary traffic from highway speed (70–120 km/h), snow or ice (outside odd, foreseeable).</t>
  </si>
  <si>
    <t xml:space="preserve">H-0402</t>
  </si>
  <si>
    <t xml:space="preserve">Excessive Function of 'Lateral control (lane centring)' while in Approaching slower or stationary traffic from highway speed (70–120 km/h), fog, visibility below the odd bound (outside odd, foreseeable).</t>
  </si>
  <si>
    <t xml:space="preserve">H-0403</t>
  </si>
  <si>
    <t xml:space="preserve">Excessive Function of 'Lateral control (lane centring)' while in Close following vehicle behind (gap &lt; 1.5 s) (50–120 km/h), dry, daylight.</t>
  </si>
  <si>
    <t xml:space="preserve">H-0404</t>
  </si>
  <si>
    <t xml:space="preserve">Excessive Function of 'Lateral control (lane centring)' while in Close following vehicle behind (gap &lt; 1.5 s) (50–120 km/h), wet road or light rain.</t>
  </si>
  <si>
    <t xml:space="preserve">H-0405</t>
  </si>
  <si>
    <t xml:space="preserve">Excessive Function of 'Lateral control (lane centring)' while in Close following vehicle behind (gap &lt; 1.5 s) (50–120 km/h), night, dry, headlights.</t>
  </si>
  <si>
    <t xml:space="preserve">H-0406</t>
  </si>
  <si>
    <t xml:space="preserve">Excessive Function of 'Lateral control (lane centring)' while in Close following vehicle behind (gap &lt; 1.5 s) (50–120 km/h), moderate or heavy rain (outside odd, foreseeable).</t>
  </si>
  <si>
    <t xml:space="preserve">H-0407</t>
  </si>
  <si>
    <t xml:space="preserve">Excessive Function of 'Lateral control (lane centring)' while in Close following vehicle behind (gap &lt; 1.5 s) (50–120 km/h), snow or ice (outside odd, foreseeable).</t>
  </si>
  <si>
    <t xml:space="preserve">H-0408</t>
  </si>
  <si>
    <t xml:space="preserve">Excessive Function of 'Lateral control (lane centring)' while in Close following vehicle behind (gap &lt; 1.5 s) (50–120 km/h), fog, visibility below the odd bound (outside odd, foreseeable).</t>
  </si>
  <si>
    <t xml:space="preserve">H-0409</t>
  </si>
  <si>
    <t xml:space="preserve">Excessive Function of 'Lateral control (lane centring)' while in Imminent collision where the stock PCS/AEB would intervene (0–120 km/h), dry, daylight.</t>
  </si>
  <si>
    <t xml:space="preserve">H-0410</t>
  </si>
  <si>
    <t xml:space="preserve">Excessive Function of 'Lateral control (lane centring)' while in Imminent collision where the stock PCS/AEB would intervene (0–120 km/h), wet road or light rain.</t>
  </si>
  <si>
    <t xml:space="preserve">H-0411</t>
  </si>
  <si>
    <t xml:space="preserve">Excessive Function of 'Lateral control (lane centring)' while in Imminent collision where the stock PCS/AEB would intervene (0–120 km/h), night, dry, headlights.</t>
  </si>
  <si>
    <t xml:space="preserve">H-0412</t>
  </si>
  <si>
    <t xml:space="preserve">Excessive Function of 'Lateral control (lane centring)' while in Imminent collision where the stock PCS/AEB would intervene (0–120 km/h), moderate or heavy rain (outside odd, foreseeable).</t>
  </si>
  <si>
    <t xml:space="preserve">H-0413</t>
  </si>
  <si>
    <t xml:space="preserve">Excessive Function of 'Lateral control (lane centring)' while in Imminent collision where the stock PCS/AEB would intervene (0–120 km/h), snow or ice (outside odd, foreseeable).</t>
  </si>
  <si>
    <t xml:space="preserve">H-0414</t>
  </si>
  <si>
    <t xml:space="preserve">Excessive Function of 'Lateral control (lane centring)' while in Imminent collision where the stock PCS/AEB would intervene (0–120 km/h), fog, visibility below the odd bound (outside odd, foreseeable).</t>
  </si>
  <si>
    <t xml:space="preserve">H-0415</t>
  </si>
  <si>
    <t xml:space="preserve">Excessive Function of 'Lateral control (lane centring)' while in Driver override while engaged: braking, cancel or evasive steering (0–120 km/h), dry, daylight.</t>
  </si>
  <si>
    <t xml:space="preserve">H-0416</t>
  </si>
  <si>
    <t xml:space="preserve">Excessive Function of 'Lateral control (lane centring)' while in Driver override while engaged: braking, cancel or evasive steering (0–120 km/h), wet road or light rain.</t>
  </si>
  <si>
    <t xml:space="preserve">H-0417</t>
  </si>
  <si>
    <t xml:space="preserve">Excessive Function of 'Lateral control (lane centring)' while in Driver override while engaged: braking, cancel or evasive steering (0–120 km/h), night, dry, headlights.</t>
  </si>
  <si>
    <t xml:space="preserve">H-0418</t>
  </si>
  <si>
    <t xml:space="preserve">Excessive Function of 'Lateral control (lane centring)' while in Driver override while engaged: braking, cancel or evasive steering (0–120 km/h), moderate or heavy rain (outside odd, foreseeable).</t>
  </si>
  <si>
    <t xml:space="preserve">H-0419</t>
  </si>
  <si>
    <t xml:space="preserve">Excessive Function of 'Lateral control (lane centring)' while in Driver override while engaged: braking, cancel or evasive steering (0–120 km/h), snow or ice (outside odd, foreseeable).</t>
  </si>
  <si>
    <t xml:space="preserve">H-0420</t>
  </si>
  <si>
    <t xml:space="preserve">Excessive Function of 'Lateral control (lane centring)' while in Driver override while engaged: braking, cancel or evasive steering (0–120 km/h), fog, visibility below the odd bound (outside odd, foreseeable).</t>
  </si>
  <si>
    <t xml:space="preserve">H-0421</t>
  </si>
  <si>
    <t xml:space="preserve">Excessive Function of 'Lateral control (lane centring)' while in Driver-initiated assisted lane change (70–120 km/h), dry, daylight.</t>
  </si>
  <si>
    <t xml:space="preserve">H-0422</t>
  </si>
  <si>
    <t xml:space="preserve">Excessive Function of 'Lateral control (lane centring)' while in Driver-initiated assisted lane change (70–120 km/h), wet road or light rain.</t>
  </si>
  <si>
    <t xml:space="preserve">H-0423</t>
  </si>
  <si>
    <t xml:space="preserve">Excessive Function of 'Lateral control (lane centring)' while in Driver-initiated assisted lane change (70–120 km/h), night, dry, headlights.</t>
  </si>
  <si>
    <t xml:space="preserve">H-0424</t>
  </si>
  <si>
    <t xml:space="preserve">Excessive Function of 'Lateral control (lane centring)' while in Driver-initiated assisted lane change (70–120 km/h), moderate or heavy rain (outside odd, foreseeable).</t>
  </si>
  <si>
    <t xml:space="preserve">H-0425</t>
  </si>
  <si>
    <t xml:space="preserve">Excessive Function of 'Lateral control (lane centring)' while in Driver-initiated assisted lane change (70–120 km/h), snow or ice (outside odd, foreseeable).</t>
  </si>
  <si>
    <t xml:space="preserve">H-0426</t>
  </si>
  <si>
    <t xml:space="preserve">Excessive Function of 'Lateral control (lane centring)' while in Driver-initiated assisted lane change (70–120 km/h), fog, visibility below the odd bound (outside odd, foreseeable).</t>
  </si>
  <si>
    <t xml:space="preserve">H-0427</t>
  </si>
  <si>
    <t xml:space="preserve">Excessive Function of 'Lateral control (lane centring)' while in Manual driving, item powered but not engaged (0–120 km/h), dry, daylight.</t>
  </si>
  <si>
    <t xml:space="preserve">S0: item not engaged; M05 cannot occur without a request (only unrequested actuation, M03/M10, applies).</t>
  </si>
  <si>
    <t xml:space="preserve">H-0428</t>
  </si>
  <si>
    <t xml:space="preserve">Excessive Function of 'Lateral control (lane centring)' while in Manual driving, item powered but not engaged (0–120 km/h), wet road or light rain.</t>
  </si>
  <si>
    <t xml:space="preserve">H-0429</t>
  </si>
  <si>
    <t xml:space="preserve">Excessive Function of 'Lateral control (lane centring)' while in Manual driving, item powered but not engaged (0–120 km/h), night, dry, headlights.</t>
  </si>
  <si>
    <t xml:space="preserve">H-0430</t>
  </si>
  <si>
    <t xml:space="preserve">Excessive Function of 'Lateral control (lane centring)' while in Manual driving, item powered but not engaged (0–120 km/h), moderate or heavy rain (outside odd, foreseeable).</t>
  </si>
  <si>
    <t xml:space="preserve">H-0431</t>
  </si>
  <si>
    <t xml:space="preserve">Excessive Function of 'Lateral control (lane centring)' while in Manual driving, item powered but not engaged (0–120 km/h), snow or ice (outside odd, foreseeable).</t>
  </si>
  <si>
    <t xml:space="preserve">H-0432</t>
  </si>
  <si>
    <t xml:space="preserve">Excessive Function of 'Lateral control (lane centring)' while in Manual driving, item powered but not engaged (0–120 km/h), fog, visibility below the odd bound (outside odd, foreseeable).</t>
  </si>
  <si>
    <t xml:space="preserve">H-0433</t>
  </si>
  <si>
    <t xml:space="preserve">Excessive Function of 'Lateral control (lane centring)' while in Engaged outside the ODD (residential street, ramp, tight curve): foreseeable misuse (15–60 km/h), dry, daylight.</t>
  </si>
  <si>
    <t xml:space="preserve">H-0434</t>
  </si>
  <si>
    <t xml:space="preserve">Excessive Function of 'Lateral control (lane centring)' while in Engaged outside the ODD (residential street, ramp, tight curve): foreseeable misuse (15–60 km/h), wet road or light rain.</t>
  </si>
  <si>
    <t xml:space="preserve">H-0435</t>
  </si>
  <si>
    <t xml:space="preserve">Excessive Function of 'Lateral control (lane centring)' while in Engaged outside the ODD (residential street, ramp, tight curve): foreseeable misuse (15–60 km/h), night, dry, headlights.</t>
  </si>
  <si>
    <t xml:space="preserve">H-0436</t>
  </si>
  <si>
    <t xml:space="preserve">Excessive Function of 'Lateral control (lane centring)' while in Engaged outside the ODD (residential street, ramp, tight curve): foreseeable misuse (15–60 km/h), moderate or heavy rain (outside odd, foreseeable).</t>
  </si>
  <si>
    <t xml:space="preserve">H-0437</t>
  </si>
  <si>
    <t xml:space="preserve">Excessive Function of 'Lateral control (lane centring)' while in Engaged outside the ODD (residential street, ramp, tight curve): foreseeable misuse (15–60 km/h), snow or ice (outside odd, foreseeable).</t>
  </si>
  <si>
    <t xml:space="preserve">H-0438</t>
  </si>
  <si>
    <t xml:space="preserve">Excessive Function of 'Lateral control (lane centring)' while in Engaged outside the ODD (residential street, ramp, tight curve): foreseeable misuse (15–60 km/h), fog, visibility below the odd bound (outside odd, foreseeable).</t>
  </si>
  <si>
    <t xml:space="preserve">H-0439</t>
  </si>
  <si>
    <t xml:space="preserve">Excessive Function of 'Lateral control (lane centring)' while in Approaching a signalised or stop-controlled intersection (ODD-A) (30–90 km/h), dry, daylight.</t>
  </si>
  <si>
    <t xml:space="preserve">H-0440</t>
  </si>
  <si>
    <t xml:space="preserve">Excessive Function of 'Lateral control (lane centring)' while in Approaching a signalised or stop-controlled intersection (ODD-A) (30–90 km/h), wet road or light rain.</t>
  </si>
  <si>
    <t xml:space="preserve">H-0441</t>
  </si>
  <si>
    <t xml:space="preserve">Excessive Function of 'Lateral control (lane centring)' while in Approaching a signalised or stop-controlled intersection (ODD-A) (30–90 km/h), night, dry, headlights.</t>
  </si>
  <si>
    <t xml:space="preserve">H-0442</t>
  </si>
  <si>
    <t xml:space="preserve">Excessive Function of 'Lateral control (lane centring)' while in Approaching a signalised or stop-controlled intersection (ODD-A) (30–90 km/h), moderate or heavy rain (outside odd, foreseeable).</t>
  </si>
  <si>
    <t xml:space="preserve">H-0443</t>
  </si>
  <si>
    <t xml:space="preserve">Excessive Function of 'Lateral control (lane centring)' while in Approaching a signalised or stop-controlled intersection (ODD-A) (30–90 km/h), snow or ice (outside odd, foreseeable).</t>
  </si>
  <si>
    <t xml:space="preserve">H-0444</t>
  </si>
  <si>
    <t xml:space="preserve">Excessive Function of 'Lateral control (lane centring)' while in Approaching a signalised or stop-controlled intersection (ODD-A) (30–90 km/h), fog, visibility below the odd bound (outside odd, foreseeable).</t>
  </si>
  <si>
    <t xml:space="preserve">H-0445</t>
  </si>
  <si>
    <t xml:space="preserve">Excessive Function of 'Lateral control (lane centring)' while in Rural or arterial curve near R_ODD with oncoming traffic (60–90 km/h), dry, daylight.</t>
  </si>
  <si>
    <t xml:space="preserve">H-0446</t>
  </si>
  <si>
    <t xml:space="preserve">Excessive Function of 'Lateral control (lane centring)' while in Rural or arterial curve near R_ODD with oncoming traffic (60–90 km/h), wet road or light rain.</t>
  </si>
  <si>
    <t xml:space="preserve">H-0447</t>
  </si>
  <si>
    <t xml:space="preserve">Excessive Function of 'Lateral control (lane centring)' while in Rural or arterial curve near R_ODD with oncoming traffic (60–90 km/h), night, dry, headlights.</t>
  </si>
  <si>
    <t xml:space="preserve">H-0448</t>
  </si>
  <si>
    <t xml:space="preserve">Excessive Function of 'Lateral control (lane centring)' while in Rural or arterial curve near R_ODD with oncoming traffic (60–90 km/h), moderate or heavy rain (outside odd, foreseeable).</t>
  </si>
  <si>
    <t xml:space="preserve">H-0449</t>
  </si>
  <si>
    <t xml:space="preserve">Excessive Function of 'Lateral control (lane centring)' while in Rural or arterial curve near R_ODD with oncoming traffic (60–90 km/h), snow or ice (outside odd, foreseeable).</t>
  </si>
  <si>
    <t xml:space="preserve">H-0450</t>
  </si>
  <si>
    <t xml:space="preserve">Excessive Function of 'Lateral control (lane centring)' while in Rural or arterial curve near R_ODD with oncoming traffic (60–90 km/h), fog, visibility below the odd bound (outside odd, foreseeable).</t>
  </si>
  <si>
    <t xml:space="preserve">H-0451</t>
  </si>
  <si>
    <t xml:space="preserve">Partial Function of 'Lateral control (lane centring)' while in Limited-access highway, free flow, adjacent traffic (90–120 km/h), dry, daylight.</t>
  </si>
  <si>
    <t xml:space="preserve">H-0452</t>
  </si>
  <si>
    <t xml:space="preserve">Partial Function of 'Lateral control (lane centring)' while in Limited-access highway, free flow, adjacent traffic (90–120 km/h), wet road or light rain.</t>
  </si>
  <si>
    <t xml:space="preserve">H-0453</t>
  </si>
  <si>
    <t xml:space="preserve">Partial Function of 'Lateral control (lane centring)' while in Limited-access highway, free flow, adjacent traffic (90–120 km/h), night, dry, headlights.</t>
  </si>
  <si>
    <t xml:space="preserve">H-0454</t>
  </si>
  <si>
    <t xml:space="preserve">Partial Function of 'Lateral control (lane centring)' while in Limited-access highway, free flow, adjacent traffic (90–120 km/h), moderate or heavy rain (outside odd, foreseeable).</t>
  </si>
  <si>
    <t xml:space="preserve">H-0455</t>
  </si>
  <si>
    <t xml:space="preserve">Partial Function of 'Lateral control (lane centring)' while in Limited-access highway, free flow, adjacent traffic (90–120 km/h), snow or ice (outside odd, foreseeable).</t>
  </si>
  <si>
    <t xml:space="preserve">H-0456</t>
  </si>
  <si>
    <t xml:space="preserve">Partial Function of 'Lateral control (lane centring)' while in Limited-access highway, free flow, adjacent traffic (90–120 km/h), fog, visibility below the odd bound (outside odd, foreseeable).</t>
  </si>
  <si>
    <t xml:space="preserve">H-0457</t>
  </si>
  <si>
    <t xml:space="preserve">Partial Function of 'Lateral control (lane centring)' while in Highway curve near R_ODD with barrier or adjacent traffic (70–110 km/h), dry, daylight.</t>
  </si>
  <si>
    <t xml:space="preserve">H-0458</t>
  </si>
  <si>
    <t xml:space="preserve">Partial Function of 'Lateral control (lane centring)' while in Highway curve near R_ODD with barrier or adjacent traffic (70–110 km/h), wet road or light rain.</t>
  </si>
  <si>
    <t xml:space="preserve">H-0459</t>
  </si>
  <si>
    <t xml:space="preserve">Partial Function of 'Lateral control (lane centring)' while in Highway curve near R_ODD with barrier or adjacent traffic (70–110 km/h), night, dry, headlights.</t>
  </si>
  <si>
    <t xml:space="preserve">H-0460</t>
  </si>
  <si>
    <t xml:space="preserve">Partial Function of 'Lateral control (lane centring)' while in Highway curve near R_ODD with barrier or adjacent traffic (70–110 km/h), moderate or heavy rain (outside odd, foreseeable).</t>
  </si>
  <si>
    <t xml:space="preserve">H-0461</t>
  </si>
  <si>
    <t xml:space="preserve">Partial Function of 'Lateral control (lane centring)' while in Highway curve near R_ODD with barrier or adjacent traffic (70–110 km/h), snow or ice (outside odd, foreseeable).</t>
  </si>
  <si>
    <t xml:space="preserve">H-0462</t>
  </si>
  <si>
    <t xml:space="preserve">Partial Function of 'Lateral control (lane centring)' while in Highway curve near R_ODD with barrier or adjacent traffic (70–110 km/h), fog, visibility below the odd bound (outside odd, foreseeable).</t>
  </si>
  <si>
    <t xml:space="preserve">H-0463</t>
  </si>
  <si>
    <t xml:space="preserve">Partial Function of 'Lateral control (lane centring)' while in Undivided rural or arterial road, oncoming traffic (60–90 km/h), dry, daylight.</t>
  </si>
  <si>
    <t xml:space="preserve">H-0464</t>
  </si>
  <si>
    <t xml:space="preserve">Partial Function of 'Lateral control (lane centring)' while in Undivided rural or arterial road, oncoming traffic (60–90 km/h), wet road or light rain.</t>
  </si>
  <si>
    <t xml:space="preserve">H-0465</t>
  </si>
  <si>
    <t xml:space="preserve">Partial Function of 'Lateral control (lane centring)' while in Undivided rural or arterial road, oncoming traffic (60–90 km/h), night, dry, headlights.</t>
  </si>
  <si>
    <t xml:space="preserve">H-0466</t>
  </si>
  <si>
    <t xml:space="preserve">Partial Function of 'Lateral control (lane centring)' while in Undivided rural or arterial road, oncoming traffic (60–90 km/h), moderate or heavy rain (outside odd, foreseeable).</t>
  </si>
  <si>
    <t xml:space="preserve">H-0467</t>
  </si>
  <si>
    <t xml:space="preserve">Partial Function of 'Lateral control (lane centring)' while in Undivided rural or arterial road, oncoming traffic (60–90 km/h), snow or ice (outside odd, foreseeable).</t>
  </si>
  <si>
    <t xml:space="preserve">H-0468</t>
  </si>
  <si>
    <t xml:space="preserve">Partial Function of 'Lateral control (lane centring)' while in Undivided rural or arterial road, oncoming traffic (60–90 km/h), fog, visibility below the odd bound (outside odd, foreseeable).</t>
  </si>
  <si>
    <t xml:space="preserve">H-0469</t>
  </si>
  <si>
    <t xml:space="preserve">Partial Function of 'Lateral control (lane centring)' while in Urban arterial, pedestrians and cyclists near the lane edge (30–60 km/h), dry, daylight.</t>
  </si>
  <si>
    <t xml:space="preserve">H-0470</t>
  </si>
  <si>
    <t xml:space="preserve">Partial Function of 'Lateral control (lane centring)' while in Urban arterial, pedestrians and cyclists near the lane edge (30–60 km/h), wet road or light rain.</t>
  </si>
  <si>
    <t xml:space="preserve">H-0471</t>
  </si>
  <si>
    <t xml:space="preserve">Partial Function of 'Lateral control (lane centring)' while in Urban arterial, pedestrians and cyclists near the lane edge (30–60 km/h), night, dry, headlights.</t>
  </si>
  <si>
    <t xml:space="preserve">H-0472</t>
  </si>
  <si>
    <t xml:space="preserve">Partial Function of 'Lateral control (lane centring)' while in Urban arterial, pedestrians and cyclists near the lane edge (30–60 km/h), moderate or heavy rain (outside odd, foreseeable).</t>
  </si>
  <si>
    <t xml:space="preserve">H-0473</t>
  </si>
  <si>
    <t xml:space="preserve">Partial Function of 'Lateral control (lane centring)' while in Urban arterial, pedestrians and cyclists near the lane edge (30–60 km/h), snow or ice (outside odd, foreseeable).</t>
  </si>
  <si>
    <t xml:space="preserve">H-0474</t>
  </si>
  <si>
    <t xml:space="preserve">Partial Function of 'Lateral control (lane centring)' while in Urban arterial, pedestrians and cyclists near the lane edge (30–60 km/h), fog, visibility below the odd bound (outside odd, foreseeable).</t>
  </si>
  <si>
    <t xml:space="preserve">H-0475</t>
  </si>
  <si>
    <t xml:space="preserve">Partial Function of 'Lateral control (lane centring)' while in Following a lead vehicle at a short gap, dense traffic (30–110 km/h), dry, daylight.</t>
  </si>
  <si>
    <t xml:space="preserve">H-0476</t>
  </si>
  <si>
    <t xml:space="preserve">Partial Function of 'Lateral control (lane centring)' while in Following a lead vehicle at a short gap, dense traffic (30–110 km/h), wet road or light rain.</t>
  </si>
  <si>
    <t xml:space="preserve">H-0477</t>
  </si>
  <si>
    <t xml:space="preserve">Partial Function of 'Lateral control (lane centring)' while in Following a lead vehicle at a short gap, dense traffic (30–110 km/h), night, dry, headlights.</t>
  </si>
  <si>
    <t xml:space="preserve">H-0478</t>
  </si>
  <si>
    <t xml:space="preserve">Partial Function of 'Lateral control (lane centring)' while in Following a lead vehicle at a short gap, dense traffic (30–110 km/h), moderate or heavy rain (outside odd, foreseeable).</t>
  </si>
  <si>
    <t xml:space="preserve">H-0479</t>
  </si>
  <si>
    <t xml:space="preserve">Partial Function of 'Lateral control (lane centring)' while in Following a lead vehicle at a short gap, dense traffic (30–110 km/h), snow or ice (outside odd, foreseeable).</t>
  </si>
  <si>
    <t xml:space="preserve">H-0480</t>
  </si>
  <si>
    <t xml:space="preserve">Partial Function of 'Lateral control (lane centring)' while in Following a lead vehicle at a short gap, dense traffic (30–110 km/h), fog, visibility below the odd bound (outside odd, foreseeable).</t>
  </si>
  <si>
    <t xml:space="preserve">H-0481</t>
  </si>
  <si>
    <t xml:space="preserve">Partial Function of 'Lateral control (lane centring)' while in Stop-and-go queue or standstill behind a lead; pedestrians may cross (0–30 km/h), dry, daylight.</t>
  </si>
  <si>
    <t xml:space="preserve">H-0482</t>
  </si>
  <si>
    <t xml:space="preserve">Partial Function of 'Lateral control (lane centring)' while in Stop-and-go queue or standstill behind a lead; pedestrians may cross (0–30 km/h), wet road or light rain.</t>
  </si>
  <si>
    <t xml:space="preserve">H-0483</t>
  </si>
  <si>
    <t xml:space="preserve">Partial Function of 'Lateral control (lane centring)' while in Stop-and-go queue or standstill behind a lead; pedestrians may cross (0–30 km/h), night, dry, headlights.</t>
  </si>
  <si>
    <t xml:space="preserve">H-0484</t>
  </si>
  <si>
    <t xml:space="preserve">Partial Function of 'Lateral control (lane centring)' while in Stop-and-go queue or standstill behind a lead; pedestrians may cross (0–30 km/h), moderate or heavy rain (outside odd, foreseeable).</t>
  </si>
  <si>
    <t xml:space="preserve">H-0485</t>
  </si>
  <si>
    <t xml:space="preserve">Partial Function of 'Lateral control (lane centring)' while in Stop-and-go queue or standstill behind a lead; pedestrians may cross (0–30 km/h), snow or ice (outside odd, foreseeable).</t>
  </si>
  <si>
    <t xml:space="preserve">H-0486</t>
  </si>
  <si>
    <t xml:space="preserve">Partial Function of 'Lateral control (lane centring)' while in Stop-and-go queue or standstill behind a lead; pedestrians may cross (0–30 km/h), fog, visibility below the odd bound (outside odd, foreseeable).</t>
  </si>
  <si>
    <t xml:space="preserve">H-0487</t>
  </si>
  <si>
    <t xml:space="preserve">Partial Function of 'Lateral control (lane centring)' while in Approaching slower or stationary traffic from highway speed (70–120 km/h), dry, daylight.</t>
  </si>
  <si>
    <t xml:space="preserve">H-0488</t>
  </si>
  <si>
    <t xml:space="preserve">Partial Function of 'Lateral control (lane centring)' while in Approaching slower or stationary traffic from highway speed (70–120 km/h), wet road or light rain.</t>
  </si>
  <si>
    <t xml:space="preserve">H-0489</t>
  </si>
  <si>
    <t xml:space="preserve">Partial Function of 'Lateral control (lane centring)' while in Approaching slower or stationary traffic from highway speed (70–120 km/h), night, dry, headlights.</t>
  </si>
  <si>
    <t xml:space="preserve">H-0490</t>
  </si>
  <si>
    <t xml:space="preserve">Partial Function of 'Lateral control (lane centring)' while in Approaching slower or stationary traffic from highway speed (70–120 km/h), moderate or heavy rain (outside odd, foreseeable).</t>
  </si>
  <si>
    <t xml:space="preserve">H-0491</t>
  </si>
  <si>
    <t xml:space="preserve">Partial Function of 'Lateral control (lane centring)' while in Approaching slower or stationary traffic from highway speed (70–120 km/h), snow or ice (outside odd, foreseeable).</t>
  </si>
  <si>
    <t xml:space="preserve">H-0492</t>
  </si>
  <si>
    <t xml:space="preserve">Partial Function of 'Lateral control (lane centring)' while in Approaching slower or stationary traffic from highway speed (70–120 km/h), fog, visibility below the odd bound (outside odd, foreseeable).</t>
  </si>
  <si>
    <t xml:space="preserve">H-0493</t>
  </si>
  <si>
    <t xml:space="preserve">Partial Function of 'Lateral control (lane centring)' while in Close following vehicle behind (gap &lt; 1.5 s) (50–120 km/h), dry, daylight.</t>
  </si>
  <si>
    <t xml:space="preserve">H-0494</t>
  </si>
  <si>
    <t xml:space="preserve">Partial Function of 'Lateral control (lane centring)' while in Close following vehicle behind (gap &lt; 1.5 s) (50–120 km/h), wet road or light rain.</t>
  </si>
  <si>
    <t xml:space="preserve">H-0495</t>
  </si>
  <si>
    <t xml:space="preserve">Partial Function of 'Lateral control (lane centring)' while in Close following vehicle behind (gap &lt; 1.5 s) (50–120 km/h), night, dry, headlights.</t>
  </si>
  <si>
    <t xml:space="preserve">H-0496</t>
  </si>
  <si>
    <t xml:space="preserve">Partial Function of 'Lateral control (lane centring)' while in Close following vehicle behind (gap &lt; 1.5 s) (50–120 km/h), moderate or heavy rain (outside odd, foreseeable).</t>
  </si>
  <si>
    <t xml:space="preserve">H-0497</t>
  </si>
  <si>
    <t xml:space="preserve">Partial Function of 'Lateral control (lane centring)' while in Close following vehicle behind (gap &lt; 1.5 s) (50–120 km/h), snow or ice (outside odd, foreseeable).</t>
  </si>
  <si>
    <t xml:space="preserve">H-0498</t>
  </si>
  <si>
    <t xml:space="preserve">Partial Function of 'Lateral control (lane centring)' while in Close following vehicle behind (gap &lt; 1.5 s) (50–120 km/h), fog, visibility below the odd bound (outside odd, foreseeable).</t>
  </si>
  <si>
    <t xml:space="preserve">H-0499</t>
  </si>
  <si>
    <t xml:space="preserve">Partial Function of 'Lateral control (lane centring)' while in Imminent collision where the stock PCS/AEB would intervene (0–120 km/h), dry, daylight.</t>
  </si>
  <si>
    <t xml:space="preserve">H-0500</t>
  </si>
  <si>
    <t xml:space="preserve">Partial Function of 'Lateral control (lane centring)' while in Imminent collision where the stock PCS/AEB would intervene (0–120 km/h), wet road or light rain.</t>
  </si>
  <si>
    <t xml:space="preserve">H-0501</t>
  </si>
  <si>
    <t xml:space="preserve">Partial Function of 'Lateral control (lane centring)' while in Imminent collision where the stock PCS/AEB would intervene (0–120 km/h), night, dry, headlights.</t>
  </si>
  <si>
    <t xml:space="preserve">H-0502</t>
  </si>
  <si>
    <t xml:space="preserve">Partial Function of 'Lateral control (lane centring)' while in Imminent collision where the stock PCS/AEB would intervene (0–120 km/h), moderate or heavy rain (outside odd, foreseeable).</t>
  </si>
  <si>
    <t xml:space="preserve">H-0503</t>
  </si>
  <si>
    <t xml:space="preserve">Partial Function of 'Lateral control (lane centring)' while in Imminent collision where the stock PCS/AEB would intervene (0–120 km/h), snow or ice (outside odd, foreseeable).</t>
  </si>
  <si>
    <t xml:space="preserve">H-0504</t>
  </si>
  <si>
    <t xml:space="preserve">Partial Function of 'Lateral control (lane centring)' while in Imminent collision where the stock PCS/AEB would intervene (0–120 km/h), fog, visibility below the odd bound (outside odd, foreseeable).</t>
  </si>
  <si>
    <t xml:space="preserve">H-0505</t>
  </si>
  <si>
    <t xml:space="preserve">Partial Function of 'Lateral control (lane centring)' while in Driver override while engaged: braking, cancel or evasive steering (0–120 km/h), dry, daylight.</t>
  </si>
  <si>
    <t xml:space="preserve">H-0506</t>
  </si>
  <si>
    <t xml:space="preserve">Partial Function of 'Lateral control (lane centring)' while in Driver override while engaged: braking, cancel or evasive steering (0–120 km/h), wet road or light rain.</t>
  </si>
  <si>
    <t xml:space="preserve">H-0507</t>
  </si>
  <si>
    <t xml:space="preserve">Partial Function of 'Lateral control (lane centring)' while in Driver override while engaged: braking, cancel or evasive steering (0–120 km/h), night, dry, headlights.</t>
  </si>
  <si>
    <t xml:space="preserve">H-0508</t>
  </si>
  <si>
    <t xml:space="preserve">Partial Function of 'Lateral control (lane centring)' while in Driver override while engaged: braking, cancel or evasive steering (0–120 km/h), moderate or heavy rain (outside odd, foreseeable).</t>
  </si>
  <si>
    <t xml:space="preserve">H-0509</t>
  </si>
  <si>
    <t xml:space="preserve">Partial Function of 'Lateral control (lane centring)' while in Driver override while engaged: braking, cancel or evasive steering (0–120 km/h), snow or ice (outside odd, foreseeable).</t>
  </si>
  <si>
    <t xml:space="preserve">H-0510</t>
  </si>
  <si>
    <t xml:space="preserve">Partial Function of 'Lateral control (lane centring)' while in Driver override while engaged: braking, cancel or evasive steering (0–120 km/h), fog, visibility below the odd bound (outside odd, foreseeable).</t>
  </si>
  <si>
    <t xml:space="preserve">H-0511</t>
  </si>
  <si>
    <t xml:space="preserve">Partial Function of 'Lateral control (lane centring)' while in Driver-initiated assisted lane change (70–120 km/h), dry, daylight.</t>
  </si>
  <si>
    <t xml:space="preserve">H-0512</t>
  </si>
  <si>
    <t xml:space="preserve">Partial Function of 'Lateral control (lane centring)' while in Driver-initiated assisted lane change (70–120 km/h), wet road or light rain.</t>
  </si>
  <si>
    <t xml:space="preserve">H-0513</t>
  </si>
  <si>
    <t xml:space="preserve">Partial Function of 'Lateral control (lane centring)' while in Driver-initiated assisted lane change (70–120 km/h), night, dry, headlights.</t>
  </si>
  <si>
    <t xml:space="preserve">H-0514</t>
  </si>
  <si>
    <t xml:space="preserve">Partial Function of 'Lateral control (lane centring)' while in Driver-initiated assisted lane change (70–120 km/h), moderate or heavy rain (outside odd, foreseeable).</t>
  </si>
  <si>
    <t xml:space="preserve">H-0515</t>
  </si>
  <si>
    <t xml:space="preserve">Partial Function of 'Lateral control (lane centring)' while in Driver-initiated assisted lane change (70–120 km/h), snow or ice (outside odd, foreseeable).</t>
  </si>
  <si>
    <t xml:space="preserve">H-0516</t>
  </si>
  <si>
    <t xml:space="preserve">Partial Function of 'Lateral control (lane centring)' while in Driver-initiated assisted lane change (70–120 km/h), fog, visibility below the odd bound (outside odd, foreseeable).</t>
  </si>
  <si>
    <t xml:space="preserve">H-0517</t>
  </si>
  <si>
    <t xml:space="preserve">Partial Function of 'Lateral control (lane centring)' while in Manual driving, item powered but not engaged (0–120 km/h), dry, daylight.</t>
  </si>
  <si>
    <t xml:space="preserve">S0: item not engaged; M06 cannot occur without a request (only unrequested actuation, M03/M10, applies).</t>
  </si>
  <si>
    <t xml:space="preserve">H-0518</t>
  </si>
  <si>
    <t xml:space="preserve">Partial Function of 'Lateral control (lane centring)' while in Manual driving, item powered but not engaged (0–120 km/h), wet road or light rain.</t>
  </si>
  <si>
    <t xml:space="preserve">H-0519</t>
  </si>
  <si>
    <t xml:space="preserve">Partial Function of 'Lateral control (lane centring)' while in Manual driving, item powered but not engaged (0–120 km/h), night, dry, headlights.</t>
  </si>
  <si>
    <t xml:space="preserve">H-0520</t>
  </si>
  <si>
    <t xml:space="preserve">Partial Function of 'Lateral control (lane centring)' while in Manual driving, item powered but not engaged (0–120 km/h), moderate or heavy rain (outside odd, foreseeable).</t>
  </si>
  <si>
    <t xml:space="preserve">H-0521</t>
  </si>
  <si>
    <t xml:space="preserve">Partial Function of 'Lateral control (lane centring)' while in Manual driving, item powered but not engaged (0–120 km/h), snow or ice (outside odd, foreseeable).</t>
  </si>
  <si>
    <t xml:space="preserve">H-0522</t>
  </si>
  <si>
    <t xml:space="preserve">Partial Function of 'Lateral control (lane centring)' while in Manual driving, item powered but not engaged (0–120 km/h), fog, visibility below the odd bound (outside odd, foreseeable).</t>
  </si>
  <si>
    <t xml:space="preserve">H-0523</t>
  </si>
  <si>
    <t xml:space="preserve">Partial Function of 'Lateral control (lane centring)' while in Engaged outside the ODD (residential street, ramp, tight curve): foreseeable misuse (15–60 km/h), dry, daylight.</t>
  </si>
  <si>
    <t xml:space="preserve">H-0524</t>
  </si>
  <si>
    <t xml:space="preserve">Partial Function of 'Lateral control (lane centring)' while in Engaged outside the ODD (residential street, ramp, tight curve): foreseeable misuse (15–60 km/h), wet road or light rain.</t>
  </si>
  <si>
    <t xml:space="preserve">H-0525</t>
  </si>
  <si>
    <t xml:space="preserve">Partial Function of 'Lateral control (lane centring)' while in Engaged outside the ODD (residential street, ramp, tight curve): foreseeable misuse (15–60 km/h), night, dry, headlights.</t>
  </si>
  <si>
    <t xml:space="preserve">H-0526</t>
  </si>
  <si>
    <t xml:space="preserve">Partial Function of 'Lateral control (lane centring)' while in Engaged outside the ODD (residential street, ramp, tight curve): foreseeable misuse (15–60 km/h), moderate or heavy rain (outside odd, foreseeable).</t>
  </si>
  <si>
    <t xml:space="preserve">H-0527</t>
  </si>
  <si>
    <t xml:space="preserve">Partial Function of 'Lateral control (lane centring)' while in Engaged outside the ODD (residential street, ramp, tight curve): foreseeable misuse (15–60 km/h), snow or ice (outside odd, foreseeable).</t>
  </si>
  <si>
    <t xml:space="preserve">H-0528</t>
  </si>
  <si>
    <t xml:space="preserve">Partial Function of 'Lateral control (lane centring)' while in Engaged outside the ODD (residential street, ramp, tight curve): foreseeable misuse (15–60 km/h), fog, visibility below the odd bound (outside odd, foreseeable).</t>
  </si>
  <si>
    <t xml:space="preserve">H-0529</t>
  </si>
  <si>
    <t xml:space="preserve">Partial Function of 'Lateral control (lane centring)' while in Approaching a signalised or stop-controlled intersection (ODD-A) (30–90 km/h), dry, daylight.</t>
  </si>
  <si>
    <t xml:space="preserve">H-0530</t>
  </si>
  <si>
    <t xml:space="preserve">Partial Function of 'Lateral control (lane centring)' while in Approaching a signalised or stop-controlled intersection (ODD-A) (30–90 km/h), wet road or light rain.</t>
  </si>
  <si>
    <t xml:space="preserve">H-0531</t>
  </si>
  <si>
    <t xml:space="preserve">Partial Function of 'Lateral control (lane centring)' while in Approaching a signalised or stop-controlled intersection (ODD-A) (30–90 km/h), night, dry, headlights.</t>
  </si>
  <si>
    <t xml:space="preserve">H-0532</t>
  </si>
  <si>
    <t xml:space="preserve">Partial Function of 'Lateral control (lane centring)' while in Approaching a signalised or stop-controlled intersection (ODD-A) (30–90 km/h), moderate or heavy rain (outside odd, foreseeable).</t>
  </si>
  <si>
    <t xml:space="preserve">H-0533</t>
  </si>
  <si>
    <t xml:space="preserve">Partial Function of 'Lateral control (lane centring)' while in Approaching a signalised or stop-controlled intersection (ODD-A) (30–90 km/h), snow or ice (outside odd, foreseeable).</t>
  </si>
  <si>
    <t xml:space="preserve">H-0534</t>
  </si>
  <si>
    <t xml:space="preserve">Partial Function of 'Lateral control (lane centring)' while in Approaching a signalised or stop-controlled intersection (ODD-A) (30–90 km/h), fog, visibility below the odd bound (outside odd, foreseeable).</t>
  </si>
  <si>
    <t xml:space="preserve">H-0535</t>
  </si>
  <si>
    <t xml:space="preserve">Partial Function of 'Lateral control (lane centring)' while in Rural or arterial curve near R_ODD with oncoming traffic (60–90 km/h), dry, daylight.</t>
  </si>
  <si>
    <t xml:space="preserve">H-0536</t>
  </si>
  <si>
    <t xml:space="preserve">Partial Function of 'Lateral control (lane centring)' while in Rural or arterial curve near R_ODD with oncoming traffic (60–90 km/h), wet road or light rain.</t>
  </si>
  <si>
    <t xml:space="preserve">H-0537</t>
  </si>
  <si>
    <t xml:space="preserve">Partial Function of 'Lateral control (lane centring)' while in Rural or arterial curve near R_ODD with oncoming traffic (60–90 km/h), night, dry, headlights.</t>
  </si>
  <si>
    <t xml:space="preserve">H-0538</t>
  </si>
  <si>
    <t xml:space="preserve">Partial Function of 'Lateral control (lane centring)' while in Rural or arterial curve near R_ODD with oncoming traffic (60–90 km/h), moderate or heavy rain (outside odd, foreseeable).</t>
  </si>
  <si>
    <t xml:space="preserve">H-0539</t>
  </si>
  <si>
    <t xml:space="preserve">Partial Function of 'Lateral control (lane centring)' while in Rural or arterial curve near R_ODD with oncoming traffic (60–90 km/h), snow or ice (outside odd, foreseeable).</t>
  </si>
  <si>
    <t xml:space="preserve">H-0540</t>
  </si>
  <si>
    <t xml:space="preserve">Partial Function of 'Lateral control (lane centring)' while in Rural or arterial curve near R_ODD with oncoming traffic (60–90 km/h), fog, visibility below the odd bound (outside odd, foreseeable).</t>
  </si>
  <si>
    <t xml:space="preserve">H-0541</t>
  </si>
  <si>
    <t xml:space="preserve">Functions Early of 'Lateral control (lane centring)' while in Limited-access highway, free flow, adjacent traffic (90–120 km/h), dry, daylight.</t>
  </si>
  <si>
    <t xml:space="preserve">H-0542</t>
  </si>
  <si>
    <t xml:space="preserve">Functions Early of 'Lateral control (lane centring)' while in Limited-access highway, free flow, adjacent traffic (90–120 km/h), wet road or light rain.</t>
  </si>
  <si>
    <t xml:space="preserve">H-0543</t>
  </si>
  <si>
    <t xml:space="preserve">Functions Early of 'Lateral control (lane centring)' while in Limited-access highway, free flow, adjacent traffic (90–120 km/h), night, dry, headlights.</t>
  </si>
  <si>
    <t xml:space="preserve">H-0544</t>
  </si>
  <si>
    <t xml:space="preserve">Functions Early of 'Lateral control (lane centring)' while in Limited-access highway, free flow, adjacent traffic (90–120 km/h), moderate or heavy rain (outside odd, foreseeable).</t>
  </si>
  <si>
    <t xml:space="preserve">H-0545</t>
  </si>
  <si>
    <t xml:space="preserve">Functions Early of 'Lateral control (lane centring)' while in Limited-access highway, free flow, adjacent traffic (90–120 km/h), snow or ice (outside odd, foreseeable).</t>
  </si>
  <si>
    <t xml:space="preserve">H-0546</t>
  </si>
  <si>
    <t xml:space="preserve">Functions Early of 'Lateral control (lane centring)' while in Limited-access highway, free flow, adjacent traffic (90–120 km/h), fog, visibility below the odd bound (outside odd, foreseeable).</t>
  </si>
  <si>
    <t xml:space="preserve">H-0547</t>
  </si>
  <si>
    <t xml:space="preserve">Functions Early of 'Lateral control (lane centring)' while in Highway curve near R_ODD with barrier or adjacent traffic (70–110 km/h), dry, daylight.</t>
  </si>
  <si>
    <t xml:space="preserve">H-0548</t>
  </si>
  <si>
    <t xml:space="preserve">Functions Early of 'Lateral control (lane centring)' while in Highway curve near R_ODD with barrier or adjacent traffic (70–110 km/h), wet road or light rain.</t>
  </si>
  <si>
    <t xml:space="preserve">H-0549</t>
  </si>
  <si>
    <t xml:space="preserve">Functions Early of 'Lateral control (lane centring)' while in Highway curve near R_ODD with barrier or adjacent traffic (70–110 km/h), night, dry, headlights.</t>
  </si>
  <si>
    <t xml:space="preserve">H-0550</t>
  </si>
  <si>
    <t xml:space="preserve">Functions Early of 'Lateral control (lane centring)' while in Highway curve near R_ODD with barrier or adjacent traffic (70–110 km/h), moderate or heavy rain (outside odd, foreseeable).</t>
  </si>
  <si>
    <t xml:space="preserve">H-0551</t>
  </si>
  <si>
    <t xml:space="preserve">Functions Early of 'Lateral control (lane centring)' while in Highway curve near R_ODD with barrier or adjacent traffic (70–110 km/h), snow or ice (outside odd, foreseeable).</t>
  </si>
  <si>
    <t xml:space="preserve">H-0552</t>
  </si>
  <si>
    <t xml:space="preserve">Functions Early of 'Lateral control (lane centring)' while in Highway curve near R_ODD with barrier or adjacent traffic (70–110 km/h), fog, visibility below the odd bound (outside odd, foreseeable).</t>
  </si>
  <si>
    <t xml:space="preserve">H-0553</t>
  </si>
  <si>
    <t xml:space="preserve">Functions Early of 'Lateral control (lane centring)' while in Undivided rural or arterial road, oncoming traffic (60–90 km/h), dry, daylight.</t>
  </si>
  <si>
    <t xml:space="preserve">H-0554</t>
  </si>
  <si>
    <t xml:space="preserve">Functions Early of 'Lateral control (lane centring)' while in Undivided rural or arterial road, oncoming traffic (60–90 km/h), wet road or light rain.</t>
  </si>
  <si>
    <t xml:space="preserve">H-0555</t>
  </si>
  <si>
    <t xml:space="preserve">Functions Early of 'Lateral control (lane centring)' while in Undivided rural or arterial road, oncoming traffic (60–90 km/h), night, dry, headlights.</t>
  </si>
  <si>
    <t xml:space="preserve">H-0556</t>
  </si>
  <si>
    <t xml:space="preserve">Functions Early of 'Lateral control (lane centring)' while in Undivided rural or arterial road, oncoming traffic (60–90 km/h), moderate or heavy rain (outside odd, foreseeable).</t>
  </si>
  <si>
    <t xml:space="preserve">H-0557</t>
  </si>
  <si>
    <t xml:space="preserve">Functions Early of 'Lateral control (lane centring)' while in Undivided rural or arterial road, oncoming traffic (60–90 km/h), snow or ice (outside odd, foreseeable).</t>
  </si>
  <si>
    <t xml:space="preserve">H-0558</t>
  </si>
  <si>
    <t xml:space="preserve">Functions Early of 'Lateral control (lane centring)' while in Undivided rural or arterial road, oncoming traffic (60–90 km/h), fog, visibility below the odd bound (outside odd, foreseeable).</t>
  </si>
  <si>
    <t xml:space="preserve">H-0559</t>
  </si>
  <si>
    <t xml:space="preserve">Functions Early of 'Lateral control (lane centring)' while in Urban arterial, pedestrians and cyclists near the lane edge (30–60 km/h), dry, daylight.</t>
  </si>
  <si>
    <t xml:space="preserve">H-0560</t>
  </si>
  <si>
    <t xml:space="preserve">Functions Early of 'Lateral control (lane centring)' while in Urban arterial, pedestrians and cyclists near the lane edge (30–60 km/h), wet road or light rain.</t>
  </si>
  <si>
    <t xml:space="preserve">H-0561</t>
  </si>
  <si>
    <t xml:space="preserve">Functions Early of 'Lateral control (lane centring)' while in Urban arterial, pedestrians and cyclists near the lane edge (30–60 km/h), night, dry, headlights.</t>
  </si>
  <si>
    <t xml:space="preserve">H-0562</t>
  </si>
  <si>
    <t xml:space="preserve">Functions Early of 'Lateral control (lane centring)' while in Urban arterial, pedestrians and cyclists near the lane edge (30–60 km/h), moderate or heavy rain (outside odd, foreseeable).</t>
  </si>
  <si>
    <t xml:space="preserve">H-0563</t>
  </si>
  <si>
    <t xml:space="preserve">Functions Early of 'Lateral control (lane centring)' while in Urban arterial, pedestrians and cyclists near the lane edge (30–60 km/h), snow or ice (outside odd, foreseeable).</t>
  </si>
  <si>
    <t xml:space="preserve">H-0564</t>
  </si>
  <si>
    <t xml:space="preserve">Functions Early of 'Lateral control (lane centring)' while in Urban arterial, pedestrians and cyclists near the lane edge (30–60 km/h), fog, visibility below the odd bound (outside odd, foreseeable).</t>
  </si>
  <si>
    <t xml:space="preserve">H-0565</t>
  </si>
  <si>
    <t xml:space="preserve">Functions Early of 'Lateral control (lane centring)' while in Following a lead vehicle at a short gap, dense traffic (30–110 km/h), dry, daylight.</t>
  </si>
  <si>
    <t xml:space="preserve">H-0566</t>
  </si>
  <si>
    <t xml:space="preserve">Functions Early of 'Lateral control (lane centring)' while in Following a lead vehicle at a short gap, dense traffic (30–110 km/h), wet road or light rain.</t>
  </si>
  <si>
    <t xml:space="preserve">H-0567</t>
  </si>
  <si>
    <t xml:space="preserve">Functions Early of 'Lateral control (lane centring)' while in Following a lead vehicle at a short gap, dense traffic (30–110 km/h), night, dry, headlights.</t>
  </si>
  <si>
    <t xml:space="preserve">H-0568</t>
  </si>
  <si>
    <t xml:space="preserve">Functions Early of 'Lateral control (lane centring)' while in Following a lead vehicle at a short gap, dense traffic (30–110 km/h), moderate or heavy rain (outside odd, foreseeable).</t>
  </si>
  <si>
    <t xml:space="preserve">H-0569</t>
  </si>
  <si>
    <t xml:space="preserve">Functions Early of 'Lateral control (lane centring)' while in Following a lead vehicle at a short gap, dense traffic (30–110 km/h), snow or ice (outside odd, foreseeable).</t>
  </si>
  <si>
    <t xml:space="preserve">H-0570</t>
  </si>
  <si>
    <t xml:space="preserve">Functions Early of 'Lateral control (lane centring)' while in Following a lead vehicle at a short gap, dense traffic (30–110 km/h), fog, visibility below the odd bound (outside odd, foreseeable).</t>
  </si>
  <si>
    <t xml:space="preserve">H-0571</t>
  </si>
  <si>
    <t xml:space="preserve">Functions Early of 'Lateral control (lane centring)' while in Stop-and-go queue or standstill behind a lead; pedestrians may cross (0–30 km/h), dry, daylight.</t>
  </si>
  <si>
    <t xml:space="preserve">H-0572</t>
  </si>
  <si>
    <t xml:space="preserve">Functions Early of 'Lateral control (lane centring)' while in Stop-and-go queue or standstill behind a lead; pedestrians may cross (0–30 km/h), wet road or light rain.</t>
  </si>
  <si>
    <t xml:space="preserve">H-0573</t>
  </si>
  <si>
    <t xml:space="preserve">Functions Early of 'Lateral control (lane centring)' while in Stop-and-go queue or standstill behind a lead; pedestrians may cross (0–30 km/h), night, dry, headlights.</t>
  </si>
  <si>
    <t xml:space="preserve">H-0574</t>
  </si>
  <si>
    <t xml:space="preserve">Functions Early of 'Lateral control (lane centring)' while in Stop-and-go queue or standstill behind a lead; pedestrians may cross (0–30 km/h), moderate or heavy rain (outside odd, foreseeable).</t>
  </si>
  <si>
    <t xml:space="preserve">H-0575</t>
  </si>
  <si>
    <t xml:space="preserve">Functions Early of 'Lateral control (lane centring)' while in Stop-and-go queue or standstill behind a lead; pedestrians may cross (0–30 km/h), snow or ice (outside odd, foreseeable).</t>
  </si>
  <si>
    <t xml:space="preserve">H-0576</t>
  </si>
  <si>
    <t xml:space="preserve">Functions Early of 'Lateral control (lane centring)' while in Stop-and-go queue or standstill behind a lead; pedestrians may cross (0–30 km/h), fog, visibility below the odd bound (outside odd, foreseeable).</t>
  </si>
  <si>
    <t xml:space="preserve">H-0577</t>
  </si>
  <si>
    <t xml:space="preserve">Functions Early of 'Lateral control (lane centring)' while in Approaching slower or stationary traffic from highway speed (70–120 km/h), dry, daylight.</t>
  </si>
  <si>
    <t xml:space="preserve">H-0578</t>
  </si>
  <si>
    <t xml:space="preserve">Functions Early of 'Lateral control (lane centring)' while in Approaching slower or stationary traffic from highway speed (70–120 km/h), wet road or light rain.</t>
  </si>
  <si>
    <t xml:space="preserve">H-0579</t>
  </si>
  <si>
    <t xml:space="preserve">Functions Early of 'Lateral control (lane centring)' while in Approaching slower or stationary traffic from highway speed (70–120 km/h), night, dry, headlights.</t>
  </si>
  <si>
    <t xml:space="preserve">H-0580</t>
  </si>
  <si>
    <t xml:space="preserve">Functions Early of 'Lateral control (lane centring)' while in Approaching slower or stationary traffic from highway speed (70–120 km/h), moderate or heavy rain (outside odd, foreseeable).</t>
  </si>
  <si>
    <t xml:space="preserve">H-0581</t>
  </si>
  <si>
    <t xml:space="preserve">Functions Early of 'Lateral control (lane centring)' while in Approaching slower or stationary traffic from highway speed (70–120 km/h), snow or ice (outside odd, foreseeable).</t>
  </si>
  <si>
    <t xml:space="preserve">H-0582</t>
  </si>
  <si>
    <t xml:space="preserve">Functions Early of 'Lateral control (lane centring)' while in Approaching slower or stationary traffic from highway speed (70–120 km/h), fog, visibility below the odd bound (outside odd, foreseeable).</t>
  </si>
  <si>
    <t xml:space="preserve">H-0583</t>
  </si>
  <si>
    <t xml:space="preserve">Functions Early of 'Lateral control (lane centring)' while in Close following vehicle behind (gap &lt; 1.5 s) (50–120 km/h), dry, daylight.</t>
  </si>
  <si>
    <t xml:space="preserve">H-0584</t>
  </si>
  <si>
    <t xml:space="preserve">Functions Early of 'Lateral control (lane centring)' while in Close following vehicle behind (gap &lt; 1.5 s) (50–120 km/h), wet road or light rain.</t>
  </si>
  <si>
    <t xml:space="preserve">H-0585</t>
  </si>
  <si>
    <t xml:space="preserve">Functions Early of 'Lateral control (lane centring)' while in Close following vehicle behind (gap &lt; 1.5 s) (50–120 km/h), night, dry, headlights.</t>
  </si>
  <si>
    <t xml:space="preserve">H-0586</t>
  </si>
  <si>
    <t xml:space="preserve">Functions Early of 'Lateral control (lane centring)' while in Close following vehicle behind (gap &lt; 1.5 s) (50–120 km/h), moderate or heavy rain (outside odd, foreseeable).</t>
  </si>
  <si>
    <t xml:space="preserve">H-0587</t>
  </si>
  <si>
    <t xml:space="preserve">Functions Early of 'Lateral control (lane centring)' while in Close following vehicle behind (gap &lt; 1.5 s) (50–120 km/h), snow or ice (outside odd, foreseeable).</t>
  </si>
  <si>
    <t xml:space="preserve">H-0588</t>
  </si>
  <si>
    <t xml:space="preserve">Functions Early of 'Lateral control (lane centring)' while in Close following vehicle behind (gap &lt; 1.5 s) (50–120 km/h), fog, visibility below the odd bound (outside odd, foreseeable).</t>
  </si>
  <si>
    <t xml:space="preserve">H-0589</t>
  </si>
  <si>
    <t xml:space="preserve">Functions Early of 'Lateral control (lane centring)' while in Imminent collision where the stock PCS/AEB would intervene (0–120 km/h), dry, daylight.</t>
  </si>
  <si>
    <t xml:space="preserve">H-0590</t>
  </si>
  <si>
    <t xml:space="preserve">Functions Early of 'Lateral control (lane centring)' while in Imminent collision where the stock PCS/AEB would intervene (0–120 km/h), wet road or light rain.</t>
  </si>
  <si>
    <t xml:space="preserve">H-0591</t>
  </si>
  <si>
    <t xml:space="preserve">Functions Early of 'Lateral control (lane centring)' while in Imminent collision where the stock PCS/AEB would intervene (0–120 km/h), night, dry, headlights.</t>
  </si>
  <si>
    <t xml:space="preserve">H-0592</t>
  </si>
  <si>
    <t xml:space="preserve">Functions Early of 'Lateral control (lane centring)' while in Imminent collision where the stock PCS/AEB would intervene (0–120 km/h), moderate or heavy rain (outside odd, foreseeable).</t>
  </si>
  <si>
    <t xml:space="preserve">H-0593</t>
  </si>
  <si>
    <t xml:space="preserve">Functions Early of 'Lateral control (lane centring)' while in Imminent collision where the stock PCS/AEB would intervene (0–120 km/h), snow or ice (outside odd, foreseeable).</t>
  </si>
  <si>
    <t xml:space="preserve">H-0594</t>
  </si>
  <si>
    <t xml:space="preserve">Functions Early of 'Lateral control (lane centring)' while in Imminent collision where the stock PCS/AEB would intervene (0–120 km/h), fog, visibility below the odd bound (outside odd, foreseeable).</t>
  </si>
  <si>
    <t xml:space="preserve">H-0595</t>
  </si>
  <si>
    <t xml:space="preserve">Functions Early of 'Lateral control (lane centring)' while in Driver override while engaged: braking, cancel or evasive steering (0–120 km/h), dry, daylight.</t>
  </si>
  <si>
    <t xml:space="preserve">H-0596</t>
  </si>
  <si>
    <t xml:space="preserve">Functions Early of 'Lateral control (lane centring)' while in Driver override while engaged: braking, cancel or evasive steering (0–120 km/h), wet road or light rain.</t>
  </si>
  <si>
    <t xml:space="preserve">H-0597</t>
  </si>
  <si>
    <t xml:space="preserve">Functions Early of 'Lateral control (lane centring)' while in Driver override while engaged: braking, cancel or evasive steering (0–120 km/h), night, dry, headlights.</t>
  </si>
  <si>
    <t xml:space="preserve">H-0598</t>
  </si>
  <si>
    <t xml:space="preserve">Functions Early of 'Lateral control (lane centring)' while in Driver override while engaged: braking, cancel or evasive steering (0–120 km/h), moderate or heavy rain (outside odd, foreseeable).</t>
  </si>
  <si>
    <t xml:space="preserve">H-0599</t>
  </si>
  <si>
    <t xml:space="preserve">Functions Early of 'Lateral control (lane centring)' while in Driver override while engaged: braking, cancel or evasive steering (0–120 km/h), snow or ice (outside odd, foreseeable).</t>
  </si>
  <si>
    <t xml:space="preserve">H-0600</t>
  </si>
  <si>
    <t xml:space="preserve">Functions Early of 'Lateral control (lane centring)' while in Driver override while engaged: braking, cancel or evasive steering (0–120 km/h), fog, visibility below the odd bound (outside odd, foreseeable).</t>
  </si>
  <si>
    <t xml:space="preserve">H-0601</t>
  </si>
  <si>
    <t xml:space="preserve">Functions Early of 'Lateral control (lane centring)' while in Driver-initiated assisted lane change (70–120 km/h), dry, daylight.</t>
  </si>
  <si>
    <t xml:space="preserve">H-0602</t>
  </si>
  <si>
    <t xml:space="preserve">Functions Early of 'Lateral control (lane centring)' while in Driver-initiated assisted lane change (70–120 km/h), wet road or light rain.</t>
  </si>
  <si>
    <t xml:space="preserve">H-0603</t>
  </si>
  <si>
    <t xml:space="preserve">Functions Early of 'Lateral control (lane centring)' while in Driver-initiated assisted lane change (70–120 km/h), night, dry, headlights.</t>
  </si>
  <si>
    <t xml:space="preserve">H-0604</t>
  </si>
  <si>
    <t xml:space="preserve">Functions Early of 'Lateral control (lane centring)' while in Driver-initiated assisted lane change (70–120 km/h), moderate or heavy rain (outside odd, foreseeable).</t>
  </si>
  <si>
    <t xml:space="preserve">H-0605</t>
  </si>
  <si>
    <t xml:space="preserve">Functions Early of 'Lateral control (lane centring)' while in Driver-initiated assisted lane change (70–120 km/h), snow or ice (outside odd, foreseeable).</t>
  </si>
  <si>
    <t xml:space="preserve">H-0606</t>
  </si>
  <si>
    <t xml:space="preserve">Functions Early of 'Lateral control (lane centring)' while in Driver-initiated assisted lane change (70–120 km/h), fog, visibility below the odd bound (outside odd, foreseeable).</t>
  </si>
  <si>
    <t xml:space="preserve">H-0607</t>
  </si>
  <si>
    <t xml:space="preserve">Functions Early of 'Lateral control (lane centring)' while in Manual driving, item powered but not engaged (0–120 km/h), dry, daylight.</t>
  </si>
  <si>
    <t xml:space="preserve">S0: item not engaged; M07 cannot occur without a request (only unrequested actuation, M03/M10, applies).</t>
  </si>
  <si>
    <t xml:space="preserve">H-0608</t>
  </si>
  <si>
    <t xml:space="preserve">Functions Early of 'Lateral control (lane centring)' while in Manual driving, item powered but not engaged (0–120 km/h), wet road or light rain.</t>
  </si>
  <si>
    <t xml:space="preserve">H-0609</t>
  </si>
  <si>
    <t xml:space="preserve">Functions Early of 'Lateral control (lane centring)' while in Manual driving, item powered but not engaged (0–120 km/h), night, dry, headlights.</t>
  </si>
  <si>
    <t xml:space="preserve">H-0610</t>
  </si>
  <si>
    <t xml:space="preserve">Functions Early of 'Lateral control (lane centring)' while in Manual driving, item powered but not engaged (0–120 km/h), moderate or heavy rain (outside odd, foreseeable).</t>
  </si>
  <si>
    <t xml:space="preserve">H-0611</t>
  </si>
  <si>
    <t xml:space="preserve">Functions Early of 'Lateral control (lane centring)' while in Manual driving, item powered but not engaged (0–120 km/h), snow or ice (outside odd, foreseeable).</t>
  </si>
  <si>
    <t xml:space="preserve">H-0612</t>
  </si>
  <si>
    <t xml:space="preserve">Functions Early of 'Lateral control (lane centring)' while in Manual driving, item powered but not engaged (0–120 km/h), fog, visibility below the odd bound (outside odd, foreseeable).</t>
  </si>
  <si>
    <t xml:space="preserve">H-0613</t>
  </si>
  <si>
    <t xml:space="preserve">Functions Early of 'Lateral control (lane centring)' while in Engaged outside the ODD (residential street, ramp, tight curve): foreseeable misuse (15–60 km/h), dry, daylight.</t>
  </si>
  <si>
    <t xml:space="preserve">H-0614</t>
  </si>
  <si>
    <t xml:space="preserve">Functions Early of 'Lateral control (lane centring)' while in Engaged outside the ODD (residential street, ramp, tight curve): foreseeable misuse (15–60 km/h), wet road or light rain.</t>
  </si>
  <si>
    <t xml:space="preserve">H-0615</t>
  </si>
  <si>
    <t xml:space="preserve">Functions Early of 'Lateral control (lane centring)' while in Engaged outside the ODD (residential street, ramp, tight curve): foreseeable misuse (15–60 km/h), night, dry, headlights.</t>
  </si>
  <si>
    <t xml:space="preserve">H-0616</t>
  </si>
  <si>
    <t xml:space="preserve">Functions Early of 'Lateral control (lane centring)' while in Engaged outside the ODD (residential street, ramp, tight curve): foreseeable misuse (15–60 km/h), moderate or heavy rain (outside odd, foreseeable).</t>
  </si>
  <si>
    <t xml:space="preserve">H-0617</t>
  </si>
  <si>
    <t xml:space="preserve">Functions Early of 'Lateral control (lane centring)' while in Engaged outside the ODD (residential street, ramp, tight curve): foreseeable misuse (15–60 km/h), snow or ice (outside odd, foreseeable).</t>
  </si>
  <si>
    <t xml:space="preserve">H-0618</t>
  </si>
  <si>
    <t xml:space="preserve">Functions Early of 'Lateral control (lane centring)' while in Engaged outside the ODD (residential street, ramp, tight curve): foreseeable misuse (15–60 km/h), fog, visibility below the odd bound (outside odd, foreseeable).</t>
  </si>
  <si>
    <t xml:space="preserve">H-0619</t>
  </si>
  <si>
    <t xml:space="preserve">Functions Early of 'Lateral control (lane centring)' while in Approaching a signalised or stop-controlled intersection (ODD-A) (30–90 km/h), dry, daylight.</t>
  </si>
  <si>
    <t xml:space="preserve">H-0620</t>
  </si>
  <si>
    <t xml:space="preserve">Functions Early of 'Lateral control (lane centring)' while in Approaching a signalised or stop-controlled intersection (ODD-A) (30–90 km/h), wet road or light rain.</t>
  </si>
  <si>
    <t xml:space="preserve">H-0621</t>
  </si>
  <si>
    <t xml:space="preserve">Functions Early of 'Lateral control (lane centring)' while in Approaching a signalised or stop-controlled intersection (ODD-A) (30–90 km/h), night, dry, headlights.</t>
  </si>
  <si>
    <t xml:space="preserve">H-0622</t>
  </si>
  <si>
    <t xml:space="preserve">Functions Early of 'Lateral control (lane centring)' while in Approaching a signalised or stop-controlled intersection (ODD-A) (30–90 km/h), moderate or heavy rain (outside odd, foreseeable).</t>
  </si>
  <si>
    <t xml:space="preserve">H-0623</t>
  </si>
  <si>
    <t xml:space="preserve">Functions Early of 'Lateral control (lane centring)' while in Approaching a signalised or stop-controlled intersection (ODD-A) (30–90 km/h), snow or ice (outside odd, foreseeable).</t>
  </si>
  <si>
    <t xml:space="preserve">H-0624</t>
  </si>
  <si>
    <t xml:space="preserve">Functions Early of 'Lateral control (lane centring)' while in Approaching a signalised or stop-controlled intersection (ODD-A) (30–90 km/h), fog, visibility below the odd bound (outside odd, foreseeable).</t>
  </si>
  <si>
    <t xml:space="preserve">H-0625</t>
  </si>
  <si>
    <t xml:space="preserve">Functions Early of 'Lateral control (lane centring)' while in Rural or arterial curve near R_ODD with oncoming traffic (60–90 km/h), dry, daylight.</t>
  </si>
  <si>
    <t xml:space="preserve">H-0626</t>
  </si>
  <si>
    <t xml:space="preserve">Functions Early of 'Lateral control (lane centring)' while in Rural or arterial curve near R_ODD with oncoming traffic (60–90 km/h), wet road or light rain.</t>
  </si>
  <si>
    <t xml:space="preserve">H-0627</t>
  </si>
  <si>
    <t xml:space="preserve">Functions Early of 'Lateral control (lane centring)' while in Rural or arterial curve near R_ODD with oncoming traffic (60–90 km/h), night, dry, headlights.</t>
  </si>
  <si>
    <t xml:space="preserve">H-0628</t>
  </si>
  <si>
    <t xml:space="preserve">Functions Early of 'Lateral control (lane centring)' while in Rural or arterial curve near R_ODD with oncoming traffic (60–90 km/h), moderate or heavy rain (outside odd, foreseeable).</t>
  </si>
  <si>
    <t xml:space="preserve">H-0629</t>
  </si>
  <si>
    <t xml:space="preserve">Functions Early of 'Lateral control (lane centring)' while in Rural or arterial curve near R_ODD with oncoming traffic (60–90 km/h), snow or ice (outside odd, foreseeable).</t>
  </si>
  <si>
    <t xml:space="preserve">H-0630</t>
  </si>
  <si>
    <t xml:space="preserve">Functions Early of 'Lateral control (lane centring)' while in Rural or arterial curve near R_ODD with oncoming traffic (60–90 km/h), fog, visibility below the odd bound (outside odd, foreseeable).</t>
  </si>
  <si>
    <t xml:space="preserve">H-0631</t>
  </si>
  <si>
    <t xml:space="preserve">Function is Delayed of 'Lateral control (lane centring)' while in Limited-access highway, free flow, adjacent traffic (90–120 km/h), dry, daylight.</t>
  </si>
  <si>
    <t xml:space="preserve">H-0632</t>
  </si>
  <si>
    <t xml:space="preserve">Function is Delayed of 'Lateral control (lane centring)' while in Limited-access highway, free flow, adjacent traffic (90–120 km/h), wet road or light rain.</t>
  </si>
  <si>
    <t xml:space="preserve">H-0633</t>
  </si>
  <si>
    <t xml:space="preserve">Function is Delayed of 'Lateral control (lane centring)' while in Limited-access highway, free flow, adjacent traffic (90–120 km/h), night, dry, headlights.</t>
  </si>
  <si>
    <t xml:space="preserve">H-0634</t>
  </si>
  <si>
    <t xml:space="preserve">Function is Delayed of 'Lateral control (lane centring)' while in Limited-access highway, free flow, adjacent traffic (90–120 km/h), moderate or heavy rain (outside odd, foreseeable).</t>
  </si>
  <si>
    <t xml:space="preserve">H-0635</t>
  </si>
  <si>
    <t xml:space="preserve">Function is Delayed of 'Lateral control (lane centring)' while in Limited-access highway, free flow, adjacent traffic (90–120 km/h), snow or ice (outside odd, foreseeable).</t>
  </si>
  <si>
    <t xml:space="preserve">H-0636</t>
  </si>
  <si>
    <t xml:space="preserve">Function is Delayed of 'Lateral control (lane centring)' while in Limited-access highway, free flow, adjacent traffic (90–120 km/h), fog, visibility below the odd bound (outside odd, foreseeable).</t>
  </si>
  <si>
    <t xml:space="preserve">H-0637</t>
  </si>
  <si>
    <t xml:space="preserve">Function is Delayed of 'Lateral control (lane centring)' while in Highway curve near R_ODD with barrier or adjacent traffic (70–110 km/h), dry, daylight.</t>
  </si>
  <si>
    <t xml:space="preserve">H-0638</t>
  </si>
  <si>
    <t xml:space="preserve">Function is Delayed of 'Lateral control (lane centring)' while in Highway curve near R_ODD with barrier or adjacent traffic (70–110 km/h), wet road or light rain.</t>
  </si>
  <si>
    <t xml:space="preserve">H-0639</t>
  </si>
  <si>
    <t xml:space="preserve">Function is Delayed of 'Lateral control (lane centring)' while in Highway curve near R_ODD with barrier or adjacent traffic (70–110 km/h), night, dry, headlights.</t>
  </si>
  <si>
    <t xml:space="preserve">H-0640</t>
  </si>
  <si>
    <t xml:space="preserve">Function is Delayed of 'Lateral control (lane centring)' while in Highway curve near R_ODD with barrier or adjacent traffic (70–110 km/h), moderate or heavy rain (outside odd, foreseeable).</t>
  </si>
  <si>
    <t xml:space="preserve">H-0641</t>
  </si>
  <si>
    <t xml:space="preserve">Function is Delayed of 'Lateral control (lane centring)' while in Highway curve near R_ODD with barrier or adjacent traffic (70–110 km/h), snow or ice (outside odd, foreseeable).</t>
  </si>
  <si>
    <t xml:space="preserve">H-0642</t>
  </si>
  <si>
    <t xml:space="preserve">Function is Delayed of 'Lateral control (lane centring)' while in Highway curve near R_ODD with barrier or adjacent traffic (70–110 km/h), fog, visibility below the odd bound (outside odd, foreseeable).</t>
  </si>
  <si>
    <t xml:space="preserve">H-0643</t>
  </si>
  <si>
    <t xml:space="preserve">Function is Delayed of 'Lateral control (lane centring)' while in Undivided rural or arterial road, oncoming traffic (60–90 km/h), dry, daylight.</t>
  </si>
  <si>
    <t xml:space="preserve">H-0644</t>
  </si>
  <si>
    <t xml:space="preserve">Function is Delayed of 'Lateral control (lane centring)' while in Undivided rural or arterial road, oncoming traffic (60–90 km/h), wet road or light rain.</t>
  </si>
  <si>
    <t xml:space="preserve">H-0645</t>
  </si>
  <si>
    <t xml:space="preserve">Function is Delayed of 'Lateral control (lane centring)' while in Undivided rural or arterial road, oncoming traffic (60–90 km/h), night, dry, headlights.</t>
  </si>
  <si>
    <t xml:space="preserve">H-0646</t>
  </si>
  <si>
    <t xml:space="preserve">Function is Delayed of 'Lateral control (lane centring)' while in Undivided rural or arterial road, oncoming traffic (60–90 km/h), moderate or heavy rain (outside odd, foreseeable).</t>
  </si>
  <si>
    <t xml:space="preserve">H-0647</t>
  </si>
  <si>
    <t xml:space="preserve">Function is Delayed of 'Lateral control (lane centring)' while in Undivided rural or arterial road, oncoming traffic (60–90 km/h), snow or ice (outside odd, foreseeable).</t>
  </si>
  <si>
    <t xml:space="preserve">H-0648</t>
  </si>
  <si>
    <t xml:space="preserve">Function is Delayed of 'Lateral control (lane centring)' while in Undivided rural or arterial road, oncoming traffic (60–90 km/h), fog, visibility below the odd bound (outside odd, foreseeable).</t>
  </si>
  <si>
    <t xml:space="preserve">H-0649</t>
  </si>
  <si>
    <t xml:space="preserve">Function is Delayed of 'Lateral control (lane centring)' while in Urban arterial, pedestrians and cyclists near the lane edge (30–60 km/h), dry, daylight.</t>
  </si>
  <si>
    <t xml:space="preserve">H-0650</t>
  </si>
  <si>
    <t xml:space="preserve">Function is Delayed of 'Lateral control (lane centring)' while in Urban arterial, pedestrians and cyclists near the lane edge (30–60 km/h), wet road or light rain.</t>
  </si>
  <si>
    <t xml:space="preserve">H-0651</t>
  </si>
  <si>
    <t xml:space="preserve">Function is Delayed of 'Lateral control (lane centring)' while in Urban arterial, pedestrians and cyclists near the lane edge (30–60 km/h), night, dry, headlights.</t>
  </si>
  <si>
    <t xml:space="preserve">H-0652</t>
  </si>
  <si>
    <t xml:space="preserve">Function is Delayed of 'Lateral control (lane centring)' while in Urban arterial, pedestrians and cyclists near the lane edge (30–60 km/h), moderate or heavy rain (outside odd, foreseeable).</t>
  </si>
  <si>
    <t xml:space="preserve">H-0653</t>
  </si>
  <si>
    <t xml:space="preserve">Function is Delayed of 'Lateral control (lane centring)' while in Urban arterial, pedestrians and cyclists near the lane edge (30–60 km/h), snow or ice (outside odd, foreseeable).</t>
  </si>
  <si>
    <t xml:space="preserve">H-0654</t>
  </si>
  <si>
    <t xml:space="preserve">Function is Delayed of 'Lateral control (lane centring)' while in Urban arterial, pedestrians and cyclists near the lane edge (30–60 km/h), fog, visibility below the odd bound (outside odd, foreseeable).</t>
  </si>
  <si>
    <t xml:space="preserve">H-0655</t>
  </si>
  <si>
    <t xml:space="preserve">Function is Delayed of 'Lateral control (lane centring)' while in Following a lead vehicle at a short gap, dense traffic (30–110 km/h), dry, daylight.</t>
  </si>
  <si>
    <t xml:space="preserve">H-0656</t>
  </si>
  <si>
    <t xml:space="preserve">Function is Delayed of 'Lateral control (lane centring)' while in Following a lead vehicle at a short gap, dense traffic (30–110 km/h), wet road or light rain.</t>
  </si>
  <si>
    <t xml:space="preserve">H-0657</t>
  </si>
  <si>
    <t xml:space="preserve">Function is Delayed of 'Lateral control (lane centring)' while in Following a lead vehicle at a short gap, dense traffic (30–110 km/h), night, dry, headlights.</t>
  </si>
  <si>
    <t xml:space="preserve">H-0658</t>
  </si>
  <si>
    <t xml:space="preserve">Function is Delayed of 'Lateral control (lane centring)' while in Following a lead vehicle at a short gap, dense traffic (30–110 km/h), moderate or heavy rain (outside odd, foreseeable).</t>
  </si>
  <si>
    <t xml:space="preserve">H-0659</t>
  </si>
  <si>
    <t xml:space="preserve">Function is Delayed of 'Lateral control (lane centring)' while in Following a lead vehicle at a short gap, dense traffic (30–110 km/h), snow or ice (outside odd, foreseeable).</t>
  </si>
  <si>
    <t xml:space="preserve">H-0660</t>
  </si>
  <si>
    <t xml:space="preserve">Function is Delayed of 'Lateral control (lane centring)' while in Following a lead vehicle at a short gap, dense traffic (30–110 km/h), fog, visibility below the odd bound (outside odd, foreseeable).</t>
  </si>
  <si>
    <t xml:space="preserve">H-0661</t>
  </si>
  <si>
    <t xml:space="preserve">Function is Delayed of 'Lateral control (lane centring)' while in Stop-and-go queue or standstill behind a lead; pedestrians may cross (0–30 km/h), dry, daylight.</t>
  </si>
  <si>
    <t xml:space="preserve">H-0662</t>
  </si>
  <si>
    <t xml:space="preserve">Function is Delayed of 'Lateral control (lane centring)' while in Stop-and-go queue or standstill behind a lead; pedestrians may cross (0–30 km/h), wet road or light rain.</t>
  </si>
  <si>
    <t xml:space="preserve">H-0663</t>
  </si>
  <si>
    <t xml:space="preserve">Function is Delayed of 'Lateral control (lane centring)' while in Stop-and-go queue or standstill behind a lead; pedestrians may cross (0–30 km/h), night, dry, headlights.</t>
  </si>
  <si>
    <t xml:space="preserve">H-0664</t>
  </si>
  <si>
    <t xml:space="preserve">Function is Delayed of 'Lateral control (lane centring)' while in Stop-and-go queue or standstill behind a lead; pedestrians may cross (0–30 km/h), moderate or heavy rain (outside odd, foreseeable).</t>
  </si>
  <si>
    <t xml:space="preserve">H-0665</t>
  </si>
  <si>
    <t xml:space="preserve">Function is Delayed of 'Lateral control (lane centring)' while in Stop-and-go queue or standstill behind a lead; pedestrians may cross (0–30 km/h), snow or ice (outside odd, foreseeable).</t>
  </si>
  <si>
    <t xml:space="preserve">H-0666</t>
  </si>
  <si>
    <t xml:space="preserve">Function is Delayed of 'Lateral control (lane centring)' while in Stop-and-go queue or standstill behind a lead; pedestrians may cross (0–30 km/h), fog, visibility below the odd bound (outside odd, foreseeable).</t>
  </si>
  <si>
    <t xml:space="preserve">H-0667</t>
  </si>
  <si>
    <t xml:space="preserve">Function is Delayed of 'Lateral control (lane centring)' while in Approaching slower or stationary traffic from highway speed (70–120 km/h), dry, daylight.</t>
  </si>
  <si>
    <t xml:space="preserve">H-0668</t>
  </si>
  <si>
    <t xml:space="preserve">Function is Delayed of 'Lateral control (lane centring)' while in Approaching slower or stationary traffic from highway speed (70–120 km/h), wet road or light rain.</t>
  </si>
  <si>
    <t xml:space="preserve">H-0669</t>
  </si>
  <si>
    <t xml:space="preserve">Function is Delayed of 'Lateral control (lane centring)' while in Approaching slower or stationary traffic from highway speed (70–120 km/h), night, dry, headlights.</t>
  </si>
  <si>
    <t xml:space="preserve">H-0670</t>
  </si>
  <si>
    <t xml:space="preserve">Function is Delayed of 'Lateral control (lane centring)' while in Approaching slower or stationary traffic from highway speed (70–120 km/h), moderate or heavy rain (outside odd, foreseeable).</t>
  </si>
  <si>
    <t xml:space="preserve">H-0671</t>
  </si>
  <si>
    <t xml:space="preserve">Function is Delayed of 'Lateral control (lane centring)' while in Approaching slower or stationary traffic from highway speed (70–120 km/h), snow or ice (outside odd, foreseeable).</t>
  </si>
  <si>
    <t xml:space="preserve">H-0672</t>
  </si>
  <si>
    <t xml:space="preserve">Function is Delayed of 'Lateral control (lane centring)' while in Approaching slower or stationary traffic from highway speed (70–120 km/h), fog, visibility below the odd bound (outside odd, foreseeable).</t>
  </si>
  <si>
    <t xml:space="preserve">H-0673</t>
  </si>
  <si>
    <t xml:space="preserve">Function is Delayed of 'Lateral control (lane centring)' while in Close following vehicle behind (gap &lt; 1.5 s) (50–120 km/h), dry, daylight.</t>
  </si>
  <si>
    <t xml:space="preserve">H-0674</t>
  </si>
  <si>
    <t xml:space="preserve">Function is Delayed of 'Lateral control (lane centring)' while in Close following vehicle behind (gap &lt; 1.5 s) (50–120 km/h), wet road or light rain.</t>
  </si>
  <si>
    <t xml:space="preserve">H-0675</t>
  </si>
  <si>
    <t xml:space="preserve">Function is Delayed of 'Lateral control (lane centring)' while in Close following vehicle behind (gap &lt; 1.5 s) (50–120 km/h), night, dry, headlights.</t>
  </si>
  <si>
    <t xml:space="preserve">H-0676</t>
  </si>
  <si>
    <t xml:space="preserve">Function is Delayed of 'Lateral control (lane centring)' while in Close following vehicle behind (gap &lt; 1.5 s) (50–120 km/h), moderate or heavy rain (outside odd, foreseeable).</t>
  </si>
  <si>
    <t xml:space="preserve">H-0677</t>
  </si>
  <si>
    <t xml:space="preserve">Function is Delayed of 'Lateral control (lane centring)' while in Close following vehicle behind (gap &lt; 1.5 s) (50–120 km/h), snow or ice (outside odd, foreseeable).</t>
  </si>
  <si>
    <t xml:space="preserve">H-0678</t>
  </si>
  <si>
    <t xml:space="preserve">Function is Delayed of 'Lateral control (lane centring)' while in Close following vehicle behind (gap &lt; 1.5 s) (50–120 km/h), fog, visibility below the odd bound (outside odd, foreseeable).</t>
  </si>
  <si>
    <t xml:space="preserve">H-0679</t>
  </si>
  <si>
    <t xml:space="preserve">Function is Delayed of 'Lateral control (lane centring)' while in Imminent collision where the stock PCS/AEB would intervene (0–120 km/h), dry, daylight.</t>
  </si>
  <si>
    <t xml:space="preserve">H-0680</t>
  </si>
  <si>
    <t xml:space="preserve">Function is Delayed of 'Lateral control (lane centring)' while in Imminent collision where the stock PCS/AEB would intervene (0–120 km/h), wet road or light rain.</t>
  </si>
  <si>
    <t xml:space="preserve">H-0681</t>
  </si>
  <si>
    <t xml:space="preserve">Function is Delayed of 'Lateral control (lane centring)' while in Imminent collision where the stock PCS/AEB would intervene (0–120 km/h), night, dry, headlights.</t>
  </si>
  <si>
    <t xml:space="preserve">H-0682</t>
  </si>
  <si>
    <t xml:space="preserve">Function is Delayed of 'Lateral control (lane centring)' while in Imminent collision where the stock PCS/AEB would intervene (0–120 km/h), moderate or heavy rain (outside odd, foreseeable).</t>
  </si>
  <si>
    <t xml:space="preserve">H-0683</t>
  </si>
  <si>
    <t xml:space="preserve">Function is Delayed of 'Lateral control (lane centring)' while in Imminent collision where the stock PCS/AEB would intervene (0–120 km/h), snow or ice (outside odd, foreseeable).</t>
  </si>
  <si>
    <t xml:space="preserve">H-0684</t>
  </si>
  <si>
    <t xml:space="preserve">Function is Delayed of 'Lateral control (lane centring)' while in Imminent collision where the stock PCS/AEB would intervene (0–120 km/h), fog, visibility below the odd bound (outside odd, foreseeable).</t>
  </si>
  <si>
    <t xml:space="preserve">H-0685</t>
  </si>
  <si>
    <t xml:space="preserve">Function is Delayed of 'Lateral control (lane centring)' while in Driver override while engaged: braking, cancel or evasive steering (0–120 km/h), dry, daylight.</t>
  </si>
  <si>
    <t xml:space="preserve">H-0686</t>
  </si>
  <si>
    <t xml:space="preserve">Function is Delayed of 'Lateral control (lane centring)' while in Driver override while engaged: braking, cancel or evasive steering (0–120 km/h), wet road or light rain.</t>
  </si>
  <si>
    <t xml:space="preserve">H-0687</t>
  </si>
  <si>
    <t xml:space="preserve">Function is Delayed of 'Lateral control (lane centring)' while in Driver override while engaged: braking, cancel or evasive steering (0–120 km/h), night, dry, headlights.</t>
  </si>
  <si>
    <t xml:space="preserve">H-0688</t>
  </si>
  <si>
    <t xml:space="preserve">Function is Delayed of 'Lateral control (lane centring)' while in Driver override while engaged: braking, cancel or evasive steering (0–120 km/h), moderate or heavy rain (outside odd, foreseeable).</t>
  </si>
  <si>
    <t xml:space="preserve">H-0689</t>
  </si>
  <si>
    <t xml:space="preserve">Function is Delayed of 'Lateral control (lane centring)' while in Driver override while engaged: braking, cancel or evasive steering (0–120 km/h), snow or ice (outside odd, foreseeable).</t>
  </si>
  <si>
    <t xml:space="preserve">H-0690</t>
  </si>
  <si>
    <t xml:space="preserve">Function is Delayed of 'Lateral control (lane centring)' while in Driver override while engaged: braking, cancel or evasive steering (0–120 km/h), fog, visibility below the odd bound (outside odd, foreseeable).</t>
  </si>
  <si>
    <t xml:space="preserve">H-0691</t>
  </si>
  <si>
    <t xml:space="preserve">Function is Delayed of 'Lateral control (lane centring)' while in Driver-initiated assisted lane change (70–120 km/h), dry, daylight.</t>
  </si>
  <si>
    <t xml:space="preserve">H-0692</t>
  </si>
  <si>
    <t xml:space="preserve">Function is Delayed of 'Lateral control (lane centring)' while in Driver-initiated assisted lane change (70–120 km/h), wet road or light rain.</t>
  </si>
  <si>
    <t xml:space="preserve">H-0693</t>
  </si>
  <si>
    <t xml:space="preserve">Function is Delayed of 'Lateral control (lane centring)' while in Driver-initiated assisted lane change (70–120 km/h), night, dry, headlights.</t>
  </si>
  <si>
    <t xml:space="preserve">H-0694</t>
  </si>
  <si>
    <t xml:space="preserve">Function is Delayed of 'Lateral control (lane centring)' while in Driver-initiated assisted lane change (70–120 km/h), moderate or heavy rain (outside odd, foreseeable).</t>
  </si>
  <si>
    <t xml:space="preserve">H-0695</t>
  </si>
  <si>
    <t xml:space="preserve">Function is Delayed of 'Lateral control (lane centring)' while in Driver-initiated assisted lane change (70–120 km/h), snow or ice (outside odd, foreseeable).</t>
  </si>
  <si>
    <t xml:space="preserve">H-0696</t>
  </si>
  <si>
    <t xml:space="preserve">Function is Delayed of 'Lateral control (lane centring)' while in Driver-initiated assisted lane change (70–120 km/h), fog, visibility below the odd bound (outside odd, foreseeable).</t>
  </si>
  <si>
    <t xml:space="preserve">H-0697</t>
  </si>
  <si>
    <t xml:space="preserve">Function is Delayed of 'Lateral control (lane centring)' while in Manual driving, item powered but not engaged (0–120 km/h), dry, daylight.</t>
  </si>
  <si>
    <t xml:space="preserve">S0: item not engaged; M11 cannot occur without a request (only unrequested actuation, M03/M10, applies).</t>
  </si>
  <si>
    <t xml:space="preserve">H-0698</t>
  </si>
  <si>
    <t xml:space="preserve">Function is Delayed of 'Lateral control (lane centring)' while in Manual driving, item powered but not engaged (0–120 km/h), wet road or light rain.</t>
  </si>
  <si>
    <t xml:space="preserve">H-0699</t>
  </si>
  <si>
    <t xml:space="preserve">Function is Delayed of 'Lateral control (lane centring)' while in Manual driving, item powered but not engaged (0–120 km/h), night, dry, headlights.</t>
  </si>
  <si>
    <t xml:space="preserve">H-0700</t>
  </si>
  <si>
    <t xml:space="preserve">Function is Delayed of 'Lateral control (lane centring)' while in Manual driving, item powered but not engaged (0–120 km/h), moderate or heavy rain (outside odd, foreseeable).</t>
  </si>
  <si>
    <t xml:space="preserve">H-0701</t>
  </si>
  <si>
    <t xml:space="preserve">Function is Delayed of 'Lateral control (lane centring)' while in Manual driving, item powered but not engaged (0–120 km/h), snow or ice (outside odd, foreseeable).</t>
  </si>
  <si>
    <t xml:space="preserve">H-0702</t>
  </si>
  <si>
    <t xml:space="preserve">Function is Delayed of 'Lateral control (lane centring)' while in Manual driving, item powered but not engaged (0–120 km/h), fog, visibility below the odd bound (outside odd, foreseeable).</t>
  </si>
  <si>
    <t xml:space="preserve">H-0703</t>
  </si>
  <si>
    <t xml:space="preserve">Function is Delayed of 'Lateral control (lane centring)' while in Engaged outside the ODD (residential street, ramp, tight curve): foreseeable misuse (15–60 km/h), dry, daylight.</t>
  </si>
  <si>
    <t xml:space="preserve">H-0704</t>
  </si>
  <si>
    <t xml:space="preserve">Function is Delayed of 'Lateral control (lane centring)' while in Engaged outside the ODD (residential street, ramp, tight curve): foreseeable misuse (15–60 km/h), wet road or light rain.</t>
  </si>
  <si>
    <t xml:space="preserve">H-0705</t>
  </si>
  <si>
    <t xml:space="preserve">Function is Delayed of 'Lateral control (lane centring)' while in Engaged outside the ODD (residential street, ramp, tight curve): foreseeable misuse (15–60 km/h), night, dry, headlights.</t>
  </si>
  <si>
    <t xml:space="preserve">H-0706</t>
  </si>
  <si>
    <t xml:space="preserve">Function is Delayed of 'Lateral control (lane centring)' while in Engaged outside the ODD (residential street, ramp, tight curve): foreseeable misuse (15–60 km/h), moderate or heavy rain (outside odd, foreseeable).</t>
  </si>
  <si>
    <t xml:space="preserve">H-0707</t>
  </si>
  <si>
    <t xml:space="preserve">Function is Delayed of 'Lateral control (lane centring)' while in Engaged outside the ODD (residential street, ramp, tight curve): foreseeable misuse (15–60 km/h), snow or ice (outside odd, foreseeable).</t>
  </si>
  <si>
    <t xml:space="preserve">H-0708</t>
  </si>
  <si>
    <t xml:space="preserve">Function is Delayed of 'Lateral control (lane centring)' while in Engaged outside the ODD (residential street, ramp, tight curve): foreseeable misuse (15–60 km/h), fog, visibility below the odd bound (outside odd, foreseeable).</t>
  </si>
  <si>
    <t xml:space="preserve">H-0709</t>
  </si>
  <si>
    <t xml:space="preserve">Function is Delayed of 'Lateral control (lane centring)' while in Approaching a signalised or stop-controlled intersection (ODD-A) (30–90 km/h), dry, daylight.</t>
  </si>
  <si>
    <t xml:space="preserve">H-0710</t>
  </si>
  <si>
    <t xml:space="preserve">Function is Delayed of 'Lateral control (lane centring)' while in Approaching a signalised or stop-controlled intersection (ODD-A) (30–90 km/h), wet road or light rain.</t>
  </si>
  <si>
    <t xml:space="preserve">H-0711</t>
  </si>
  <si>
    <t xml:space="preserve">Function is Delayed of 'Lateral control (lane centring)' while in Approaching a signalised or stop-controlled intersection (ODD-A) (30–90 km/h), night, dry, headlights.</t>
  </si>
  <si>
    <t xml:space="preserve">H-0712</t>
  </si>
  <si>
    <t xml:space="preserve">Function is Delayed of 'Lateral control (lane centring)' while in Approaching a signalised or stop-controlled intersection (ODD-A) (30–90 km/h), moderate or heavy rain (outside odd, foreseeable).</t>
  </si>
  <si>
    <t xml:space="preserve">H-0713</t>
  </si>
  <si>
    <t xml:space="preserve">Function is Delayed of 'Lateral control (lane centring)' while in Approaching a signalised or stop-controlled intersection (ODD-A) (30–90 km/h), snow or ice (outside odd, foreseeable).</t>
  </si>
  <si>
    <t xml:space="preserve">H-0714</t>
  </si>
  <si>
    <t xml:space="preserve">Function is Delayed of 'Lateral control (lane centring)' while in Approaching a signalised or stop-controlled intersection (ODD-A) (30–90 km/h), fog, visibility below the odd bound (outside odd, foreseeable).</t>
  </si>
  <si>
    <t xml:space="preserve">H-0715</t>
  </si>
  <si>
    <t xml:space="preserve">Function is Delayed of 'Lateral control (lane centring)' while in Rural or arterial curve near R_ODD with oncoming traffic (60–90 km/h), dry, daylight.</t>
  </si>
  <si>
    <t xml:space="preserve">H-0716</t>
  </si>
  <si>
    <t xml:space="preserve">Function is Delayed of 'Lateral control (lane centring)' while in Rural or arterial curve near R_ODD with oncoming traffic (60–90 km/h), wet road or light rain.</t>
  </si>
  <si>
    <t xml:space="preserve">H-0717</t>
  </si>
  <si>
    <t xml:space="preserve">Function is Delayed of 'Lateral control (lane centring)' while in Rural or arterial curve near R_ODD with oncoming traffic (60–90 km/h), night, dry, headlights.</t>
  </si>
  <si>
    <t xml:space="preserve">H-0718</t>
  </si>
  <si>
    <t xml:space="preserve">Function is Delayed of 'Lateral control (lane centring)' while in Rural or arterial curve near R_ODD with oncoming traffic (60–90 km/h), moderate or heavy rain (outside odd, foreseeable).</t>
  </si>
  <si>
    <t xml:space="preserve">H-0719</t>
  </si>
  <si>
    <t xml:space="preserve">Function is Delayed of 'Lateral control (lane centring)' while in Rural or arterial curve near R_ODD with oncoming traffic (60–90 km/h), snow or ice (outside odd, foreseeable).</t>
  </si>
  <si>
    <t xml:space="preserve">H-0720</t>
  </si>
  <si>
    <t xml:space="preserve">Function is Delayed of 'Lateral control (lane centring)' while in Rural or arterial curve near R_ODD with oncoming traffic (60–90 km/h), fog, visibility below the odd bound (outside odd, foreseeable).</t>
  </si>
  <si>
    <t xml:space="preserve">H-0721</t>
  </si>
  <si>
    <t xml:space="preserve">Inverse Function of 'Lateral control (lane centring)' while in Limited-access highway, free flow, adjacent traffic (90–120 km/h), dry, daylight.</t>
  </si>
  <si>
    <t xml:space="preserve">H-0722</t>
  </si>
  <si>
    <t xml:space="preserve">Inverse Function of 'Lateral control (lane centring)' while in Limited-access highway, free flow, adjacent traffic (90–120 km/h), wet road or light rain.</t>
  </si>
  <si>
    <t xml:space="preserve">H-0723</t>
  </si>
  <si>
    <t xml:space="preserve">Inverse Function of 'Lateral control (lane centring)' while in Limited-access highway, free flow, adjacent traffic (90–120 km/h), night, dry, headlights.</t>
  </si>
  <si>
    <t xml:space="preserve">H-0724</t>
  </si>
  <si>
    <t xml:space="preserve">Inverse Function of 'Lateral control (lane centring)' while in Limited-access highway, free flow, adjacent traffic (90–120 km/h), moderate or heavy rain (outside odd, foreseeable).</t>
  </si>
  <si>
    <t xml:space="preserve">H-0725</t>
  </si>
  <si>
    <t xml:space="preserve">Inverse Function of 'Lateral control (lane centring)' while in Limited-access highway, free flow, adjacent traffic (90–120 km/h), snow or ice (outside odd, foreseeable).</t>
  </si>
  <si>
    <t xml:space="preserve">H-0726</t>
  </si>
  <si>
    <t xml:space="preserve">Inverse Function of 'Lateral control (lane centring)' while in Limited-access highway, free flow, adjacent traffic (90–120 km/h), fog, visibility below the odd bound (outside odd, foreseeable).</t>
  </si>
  <si>
    <t xml:space="preserve">H-0727</t>
  </si>
  <si>
    <t xml:space="preserve">Inverse Function of 'Lateral control (lane centring)' while in Highway curve near R_ODD with barrier or adjacent traffic (70–110 km/h), dry, daylight.</t>
  </si>
  <si>
    <t xml:space="preserve">H-0728</t>
  </si>
  <si>
    <t xml:space="preserve">Inverse Function of 'Lateral control (lane centring)' while in Highway curve near R_ODD with barrier or adjacent traffic (70–110 km/h), wet road or light rain.</t>
  </si>
  <si>
    <t xml:space="preserve">H-0729</t>
  </si>
  <si>
    <t xml:space="preserve">Inverse Function of 'Lateral control (lane centring)' while in Highway curve near R_ODD with barrier or adjacent traffic (70–110 km/h), night, dry, headlights.</t>
  </si>
  <si>
    <t xml:space="preserve">H-0730</t>
  </si>
  <si>
    <t xml:space="preserve">Inverse Function of 'Lateral control (lane centring)' while in Highway curve near R_ODD with barrier or adjacent traffic (70–110 km/h), moderate or heavy rain (outside odd, foreseeable).</t>
  </si>
  <si>
    <t xml:space="preserve">H-0731</t>
  </si>
  <si>
    <t xml:space="preserve">Inverse Function of 'Lateral control (lane centring)' while in Highway curve near R_ODD with barrier or adjacent traffic (70–110 km/h), snow or ice (outside odd, foreseeable).</t>
  </si>
  <si>
    <t xml:space="preserve">H-0732</t>
  </si>
  <si>
    <t xml:space="preserve">Inverse Function of 'Lateral control (lane centring)' while in Highway curve near R_ODD with barrier or adjacent traffic (70–110 km/h), fog, visibility below the odd bound (outside odd, foreseeable).</t>
  </si>
  <si>
    <t xml:space="preserve">H-0733</t>
  </si>
  <si>
    <t xml:space="preserve">Inverse Function of 'Lateral control (lane centring)' while in Undivided rural or arterial road, oncoming traffic (60–90 km/h), dry, daylight.</t>
  </si>
  <si>
    <t xml:space="preserve">H-0734</t>
  </si>
  <si>
    <t xml:space="preserve">Inverse Function of 'Lateral control (lane centring)' while in Undivided rural or arterial road, oncoming traffic (60–90 km/h), wet road or light rain.</t>
  </si>
  <si>
    <t xml:space="preserve">H-0735</t>
  </si>
  <si>
    <t xml:space="preserve">Inverse Function of 'Lateral control (lane centring)' while in Undivided rural or arterial road, oncoming traffic (60–90 km/h), night, dry, headlights.</t>
  </si>
  <si>
    <t xml:space="preserve">H-0736</t>
  </si>
  <si>
    <t xml:space="preserve">Inverse Function of 'Lateral control (lane centring)' while in Undivided rural or arterial road, oncoming traffic (60–90 km/h), moderate or heavy rain (outside odd, foreseeable).</t>
  </si>
  <si>
    <t xml:space="preserve">H-0737</t>
  </si>
  <si>
    <t xml:space="preserve">Inverse Function of 'Lateral control (lane centring)' while in Undivided rural or arterial road, oncoming traffic (60–90 km/h), snow or ice (outside odd, foreseeable).</t>
  </si>
  <si>
    <t xml:space="preserve">H-0738</t>
  </si>
  <si>
    <t xml:space="preserve">Inverse Function of 'Lateral control (lane centring)' while in Undivided rural or arterial road, oncoming traffic (60–90 km/h), fog, visibility below the odd bound (outside odd, foreseeable).</t>
  </si>
  <si>
    <t xml:space="preserve">H-0739</t>
  </si>
  <si>
    <t xml:space="preserve">Inverse Function of 'Lateral control (lane centring)' while in Urban arterial, pedestrians and cyclists near the lane edge (30–60 km/h), dry, daylight.</t>
  </si>
  <si>
    <t xml:space="preserve">H-0740</t>
  </si>
  <si>
    <t xml:space="preserve">Inverse Function of 'Lateral control (lane centring)' while in Urban arterial, pedestrians and cyclists near the lane edge (30–60 km/h), wet road or light rain.</t>
  </si>
  <si>
    <t xml:space="preserve">H-0741</t>
  </si>
  <si>
    <t xml:space="preserve">Inverse Function of 'Lateral control (lane centring)' while in Urban arterial, pedestrians and cyclists near the lane edge (30–60 km/h), night, dry, headlights.</t>
  </si>
  <si>
    <t xml:space="preserve">H-0742</t>
  </si>
  <si>
    <t xml:space="preserve">Inverse Function of 'Lateral control (lane centring)' while in Urban arterial, pedestrians and cyclists near the lane edge (30–60 km/h), moderate or heavy rain (outside odd, foreseeable).</t>
  </si>
  <si>
    <t xml:space="preserve">H-0743</t>
  </si>
  <si>
    <t xml:space="preserve">Inverse Function of 'Lateral control (lane centring)' while in Urban arterial, pedestrians and cyclists near the lane edge (30–60 km/h), snow or ice (outside odd, foreseeable).</t>
  </si>
  <si>
    <t xml:space="preserve">H-0744</t>
  </si>
  <si>
    <t xml:space="preserve">Inverse Function of 'Lateral control (lane centring)' while in Urban arterial, pedestrians and cyclists near the lane edge (30–60 km/h), fog, visibility below the odd bound (outside odd, foreseeable).</t>
  </si>
  <si>
    <t xml:space="preserve">H-0745</t>
  </si>
  <si>
    <t xml:space="preserve">Inverse Function of 'Lateral control (lane centring)' while in Following a lead vehicle at a short gap, dense traffic (30–110 km/h), dry, daylight.</t>
  </si>
  <si>
    <t xml:space="preserve">H-0746</t>
  </si>
  <si>
    <t xml:space="preserve">Inverse Function of 'Lateral control (lane centring)' while in Following a lead vehicle at a short gap, dense traffic (30–110 km/h), wet road or light rain.</t>
  </si>
  <si>
    <t xml:space="preserve">H-0747</t>
  </si>
  <si>
    <t xml:space="preserve">Inverse Function of 'Lateral control (lane centring)' while in Following a lead vehicle at a short gap, dense traffic (30–110 km/h), night, dry, headlights.</t>
  </si>
  <si>
    <t xml:space="preserve">H-0748</t>
  </si>
  <si>
    <t xml:space="preserve">Inverse Function of 'Lateral control (lane centring)' while in Following a lead vehicle at a short gap, dense traffic (30–110 km/h), moderate or heavy rain (outside odd, foreseeable).</t>
  </si>
  <si>
    <t xml:space="preserve">H-0749</t>
  </si>
  <si>
    <t xml:space="preserve">Inverse Function of 'Lateral control (lane centring)' while in Following a lead vehicle at a short gap, dense traffic (30–110 km/h), snow or ice (outside odd, foreseeable).</t>
  </si>
  <si>
    <t xml:space="preserve">H-0750</t>
  </si>
  <si>
    <t xml:space="preserve">Inverse Function of 'Lateral control (lane centring)' while in Following a lead vehicle at a short gap, dense traffic (30–110 km/h), fog, visibility below the odd bound (outside odd, foreseeable).</t>
  </si>
  <si>
    <t xml:space="preserve">H-0751</t>
  </si>
  <si>
    <t xml:space="preserve">Inverse Function of 'Lateral control (lane centring)' while in Stop-and-go queue or standstill behind a lead; pedestrians may cross (0–30 km/h), dry, daylight.</t>
  </si>
  <si>
    <t xml:space="preserve">H-0752</t>
  </si>
  <si>
    <t xml:space="preserve">Inverse Function of 'Lateral control (lane centring)' while in Stop-and-go queue or standstill behind a lead; pedestrians may cross (0–30 km/h), wet road or light rain.</t>
  </si>
  <si>
    <t xml:space="preserve">H-0753</t>
  </si>
  <si>
    <t xml:space="preserve">Inverse Function of 'Lateral control (lane centring)' while in Stop-and-go queue or standstill behind a lead; pedestrians may cross (0–30 km/h), night, dry, headlights.</t>
  </si>
  <si>
    <t xml:space="preserve">H-0754</t>
  </si>
  <si>
    <t xml:space="preserve">Inverse Function of 'Lateral control (lane centring)' while in Stop-and-go queue or standstill behind a lead; pedestrians may cross (0–30 km/h), moderate or heavy rain (outside odd, foreseeable).</t>
  </si>
  <si>
    <t xml:space="preserve">H-0755</t>
  </si>
  <si>
    <t xml:space="preserve">Inverse Function of 'Lateral control (lane centring)' while in Stop-and-go queue or standstill behind a lead; pedestrians may cross (0–30 km/h), snow or ice (outside odd, foreseeable).</t>
  </si>
  <si>
    <t xml:space="preserve">H-0756</t>
  </si>
  <si>
    <t xml:space="preserve">Inverse Function of 'Lateral control (lane centring)' while in Stop-and-go queue or standstill behind a lead; pedestrians may cross (0–30 km/h), fog, visibility below the odd bound (outside odd, foreseeable).</t>
  </si>
  <si>
    <t xml:space="preserve">H-0757</t>
  </si>
  <si>
    <t xml:space="preserve">Inverse Function of 'Lateral control (lane centring)' while in Approaching slower or stationary traffic from highway speed (70–120 km/h), dry, daylight.</t>
  </si>
  <si>
    <t xml:space="preserve">H-0758</t>
  </si>
  <si>
    <t xml:space="preserve">Inverse Function of 'Lateral control (lane centring)' while in Approaching slower or stationary traffic from highway speed (70–120 km/h), wet road or light rain.</t>
  </si>
  <si>
    <t xml:space="preserve">H-0759</t>
  </si>
  <si>
    <t xml:space="preserve">Inverse Function of 'Lateral control (lane centring)' while in Approaching slower or stationary traffic from highway speed (70–120 km/h), night, dry, headlights.</t>
  </si>
  <si>
    <t xml:space="preserve">H-0760</t>
  </si>
  <si>
    <t xml:space="preserve">Inverse Function of 'Lateral control (lane centring)' while in Approaching slower or stationary traffic from highway speed (70–120 km/h), moderate or heavy rain (outside odd, foreseeable).</t>
  </si>
  <si>
    <t xml:space="preserve">H-0761</t>
  </si>
  <si>
    <t xml:space="preserve">Inverse Function of 'Lateral control (lane centring)' while in Approaching slower or stationary traffic from highway speed (70–120 km/h), snow or ice (outside odd, foreseeable).</t>
  </si>
  <si>
    <t xml:space="preserve">H-0762</t>
  </si>
  <si>
    <t xml:space="preserve">Inverse Function of 'Lateral control (lane centring)' while in Approaching slower or stationary traffic from highway speed (70–120 km/h), fog, visibility below the odd bound (outside odd, foreseeable).</t>
  </si>
  <si>
    <t xml:space="preserve">H-0763</t>
  </si>
  <si>
    <t xml:space="preserve">Inverse Function of 'Lateral control (lane centring)' while in Close following vehicle behind (gap &lt; 1.5 s) (50–120 km/h), dry, daylight.</t>
  </si>
  <si>
    <t xml:space="preserve">H-0764</t>
  </si>
  <si>
    <t xml:space="preserve">Inverse Function of 'Lateral control (lane centring)' while in Close following vehicle behind (gap &lt; 1.5 s) (50–120 km/h), wet road or light rain.</t>
  </si>
  <si>
    <t xml:space="preserve">H-0765</t>
  </si>
  <si>
    <t xml:space="preserve">Inverse Function of 'Lateral control (lane centring)' while in Close following vehicle behind (gap &lt; 1.5 s) (50–120 km/h), night, dry, headlights.</t>
  </si>
  <si>
    <t xml:space="preserve">H-0766</t>
  </si>
  <si>
    <t xml:space="preserve">Inverse Function of 'Lateral control (lane centring)' while in Close following vehicle behind (gap &lt; 1.5 s) (50–120 km/h), moderate or heavy rain (outside odd, foreseeable).</t>
  </si>
  <si>
    <t xml:space="preserve">H-0767</t>
  </si>
  <si>
    <t xml:space="preserve">Inverse Function of 'Lateral control (lane centring)' while in Close following vehicle behind (gap &lt; 1.5 s) (50–120 km/h), snow or ice (outside odd, foreseeable).</t>
  </si>
  <si>
    <t xml:space="preserve">H-0768</t>
  </si>
  <si>
    <t xml:space="preserve">Inverse Function of 'Lateral control (lane centring)' while in Close following vehicle behind (gap &lt; 1.5 s) (50–120 km/h), fog, visibility below the odd bound (outside odd, foreseeable).</t>
  </si>
  <si>
    <t xml:space="preserve">H-0769</t>
  </si>
  <si>
    <t xml:space="preserve">Inverse Function of 'Lateral control (lane centring)' while in Imminent collision where the stock PCS/AEB would intervene (0–120 km/h), dry, daylight.</t>
  </si>
  <si>
    <t xml:space="preserve">H-0770</t>
  </si>
  <si>
    <t xml:space="preserve">Inverse Function of 'Lateral control (lane centring)' while in Imminent collision where the stock PCS/AEB would intervene (0–120 km/h), wet road or light rain.</t>
  </si>
  <si>
    <t xml:space="preserve">H-0771</t>
  </si>
  <si>
    <t xml:space="preserve">Inverse Function of 'Lateral control (lane centring)' while in Imminent collision where the stock PCS/AEB would intervene (0–120 km/h), night, dry, headlights.</t>
  </si>
  <si>
    <t xml:space="preserve">H-0772</t>
  </si>
  <si>
    <t xml:space="preserve">Inverse Function of 'Lateral control (lane centring)' while in Imminent collision where the stock PCS/AEB would intervene (0–120 km/h), moderate or heavy rain (outside odd, foreseeable).</t>
  </si>
  <si>
    <t xml:space="preserve">H-0773</t>
  </si>
  <si>
    <t xml:space="preserve">Inverse Function of 'Lateral control (lane centring)' while in Imminent collision where the stock PCS/AEB would intervene (0–120 km/h), snow or ice (outside odd, foreseeable).</t>
  </si>
  <si>
    <t xml:space="preserve">H-0774</t>
  </si>
  <si>
    <t xml:space="preserve">Inverse Function of 'Lateral control (lane centring)' while in Imminent collision where the stock PCS/AEB would intervene (0–120 km/h), fog, visibility below the odd bound (outside odd, foreseeable).</t>
  </si>
  <si>
    <t xml:space="preserve">H-0775</t>
  </si>
  <si>
    <t xml:space="preserve">Inverse Function of 'Lateral control (lane centring)' while in Driver override while engaged: braking, cancel or evasive steering (0–120 km/h), dry, daylight.</t>
  </si>
  <si>
    <t xml:space="preserve">H-0776</t>
  </si>
  <si>
    <t xml:space="preserve">Inverse Function of 'Lateral control (lane centring)' while in Driver override while engaged: braking, cancel or evasive steering (0–120 km/h), wet road or light rain.</t>
  </si>
  <si>
    <t xml:space="preserve">H-0777</t>
  </si>
  <si>
    <t xml:space="preserve">Inverse Function of 'Lateral control (lane centring)' while in Driver override while engaged: braking, cancel or evasive steering (0–120 km/h), night, dry, headlights.</t>
  </si>
  <si>
    <t xml:space="preserve">H-0778</t>
  </si>
  <si>
    <t xml:space="preserve">Inverse Function of 'Lateral control (lane centring)' while in Driver override while engaged: braking, cancel or evasive steering (0–120 km/h), moderate or heavy rain (outside odd, foreseeable).</t>
  </si>
  <si>
    <t xml:space="preserve">H-0779</t>
  </si>
  <si>
    <t xml:space="preserve">Inverse Function of 'Lateral control (lane centring)' while in Driver override while engaged: braking, cancel or evasive steering (0–120 km/h), snow or ice (outside odd, foreseeable).</t>
  </si>
  <si>
    <t xml:space="preserve">H-0780</t>
  </si>
  <si>
    <t xml:space="preserve">Inverse Function of 'Lateral control (lane centring)' while in Driver override while engaged: braking, cancel or evasive steering (0–120 km/h), fog, visibility below the odd bound (outside odd, foreseeable).</t>
  </si>
  <si>
    <t xml:space="preserve">H-0781</t>
  </si>
  <si>
    <t xml:space="preserve">Inverse Function of 'Lateral control (lane centring)' while in Driver-initiated assisted lane change (70–120 km/h), dry, daylight.</t>
  </si>
  <si>
    <t xml:space="preserve">H-0782</t>
  </si>
  <si>
    <t xml:space="preserve">Inverse Function of 'Lateral control (lane centring)' while in Driver-initiated assisted lane change (70–120 km/h), wet road or light rain.</t>
  </si>
  <si>
    <t xml:space="preserve">H-0783</t>
  </si>
  <si>
    <t xml:space="preserve">Inverse Function of 'Lateral control (lane centring)' while in Driver-initiated assisted lane change (70–120 km/h), night, dry, headlights.</t>
  </si>
  <si>
    <t xml:space="preserve">H-0784</t>
  </si>
  <si>
    <t xml:space="preserve">Inverse Function of 'Lateral control (lane centring)' while in Driver-initiated assisted lane change (70–120 km/h), moderate or heavy rain (outside odd, foreseeable).</t>
  </si>
  <si>
    <t xml:space="preserve">H-0785</t>
  </si>
  <si>
    <t xml:space="preserve">Inverse Function of 'Lateral control (lane centring)' while in Driver-initiated assisted lane change (70–120 km/h), snow or ice (outside odd, foreseeable).</t>
  </si>
  <si>
    <t xml:space="preserve">H-0786</t>
  </si>
  <si>
    <t xml:space="preserve">Inverse Function of 'Lateral control (lane centring)' while in Driver-initiated assisted lane change (70–120 km/h), fog, visibility below the odd bound (outside odd, foreseeable).</t>
  </si>
  <si>
    <t xml:space="preserve">H-0787</t>
  </si>
  <si>
    <t xml:space="preserve">Inverse Function of 'Lateral control (lane centring)' while in Manual driving, item powered but not engaged (0–120 km/h), dry, daylight.</t>
  </si>
  <si>
    <t xml:space="preserve">S0: item not engaged; M12 cannot occur without a request (only unrequested actuation, M03/M10, applies).</t>
  </si>
  <si>
    <t xml:space="preserve">H-0788</t>
  </si>
  <si>
    <t xml:space="preserve">Inverse Function of 'Lateral control (lane centring)' while in Manual driving, item powered but not engaged (0–120 km/h), wet road or light rain.</t>
  </si>
  <si>
    <t xml:space="preserve">H-0789</t>
  </si>
  <si>
    <t xml:space="preserve">Inverse Function of 'Lateral control (lane centring)' while in Manual driving, item powered but not engaged (0–120 km/h), night, dry, headlights.</t>
  </si>
  <si>
    <t xml:space="preserve">H-0790</t>
  </si>
  <si>
    <t xml:space="preserve">Inverse Function of 'Lateral control (lane centring)' while in Manual driving, item powered but not engaged (0–120 km/h), moderate or heavy rain (outside odd, foreseeable).</t>
  </si>
  <si>
    <t xml:space="preserve">H-0791</t>
  </si>
  <si>
    <t xml:space="preserve">Inverse Function of 'Lateral control (lane centring)' while in Manual driving, item powered but not engaged (0–120 km/h), snow or ice (outside odd, foreseeable).</t>
  </si>
  <si>
    <t xml:space="preserve">H-0792</t>
  </si>
  <si>
    <t xml:space="preserve">Inverse Function of 'Lateral control (lane centring)' while in Manual driving, item powered but not engaged (0–120 km/h), fog, visibility below the odd bound (outside odd, foreseeable).</t>
  </si>
  <si>
    <t xml:space="preserve">H-0793</t>
  </si>
  <si>
    <t xml:space="preserve">Inverse Function of 'Lateral control (lane centring)' while in Engaged outside the ODD (residential street, ramp, tight curve): foreseeable misuse (15–60 km/h), dry, daylight.</t>
  </si>
  <si>
    <t xml:space="preserve">H-0794</t>
  </si>
  <si>
    <t xml:space="preserve">Inverse Function of 'Lateral control (lane centring)' while in Engaged outside the ODD (residential street, ramp, tight curve): foreseeable misuse (15–60 km/h), wet road or light rain.</t>
  </si>
  <si>
    <t xml:space="preserve">H-0795</t>
  </si>
  <si>
    <t xml:space="preserve">Inverse Function of 'Lateral control (lane centring)' while in Engaged outside the ODD (residential street, ramp, tight curve): foreseeable misuse (15–60 km/h), night, dry, headlights.</t>
  </si>
  <si>
    <t xml:space="preserve">H-0796</t>
  </si>
  <si>
    <t xml:space="preserve">Inverse Function of 'Lateral control (lane centring)' while in Engaged outside the ODD (residential street, ramp, tight curve): foreseeable misuse (15–60 km/h), moderate or heavy rain (outside odd, foreseeable).</t>
  </si>
  <si>
    <t xml:space="preserve">H-0797</t>
  </si>
  <si>
    <t xml:space="preserve">Inverse Function of 'Lateral control (lane centring)' while in Engaged outside the ODD (residential street, ramp, tight curve): foreseeable misuse (15–60 km/h), snow or ice (outside odd, foreseeable).</t>
  </si>
  <si>
    <t xml:space="preserve">H-0798</t>
  </si>
  <si>
    <t xml:space="preserve">Inverse Function of 'Lateral control (lane centring)' while in Engaged outside the ODD (residential street, ramp, tight curve): foreseeable misuse (15–60 km/h), fog, visibility below the odd bound (outside odd, foreseeable).</t>
  </si>
  <si>
    <t xml:space="preserve">H-0799</t>
  </si>
  <si>
    <t xml:space="preserve">Inverse Function of 'Lateral control (lane centring)' while in Approaching a signalised or stop-controlled intersection (ODD-A) (30–90 km/h), dry, daylight.</t>
  </si>
  <si>
    <t xml:space="preserve">H-0800</t>
  </si>
  <si>
    <t xml:space="preserve">Inverse Function of 'Lateral control (lane centring)' while in Approaching a signalised or stop-controlled intersection (ODD-A) (30–90 km/h), wet road or light rain.</t>
  </si>
  <si>
    <t xml:space="preserve">H-0801</t>
  </si>
  <si>
    <t xml:space="preserve">Inverse Function of 'Lateral control (lane centring)' while in Approaching a signalised or stop-controlled intersection (ODD-A) (30–90 km/h), night, dry, headlights.</t>
  </si>
  <si>
    <t xml:space="preserve">H-0802</t>
  </si>
  <si>
    <t xml:space="preserve">Inverse Function of 'Lateral control (lane centring)' while in Approaching a signalised or stop-controlled intersection (ODD-A) (30–90 km/h), moderate or heavy rain (outside odd, foreseeable).</t>
  </si>
  <si>
    <t xml:space="preserve">H-0803</t>
  </si>
  <si>
    <t xml:space="preserve">Inverse Function of 'Lateral control (lane centring)' while in Approaching a signalised or stop-controlled intersection (ODD-A) (30–90 km/h), snow or ice (outside odd, foreseeable).</t>
  </si>
  <si>
    <t xml:space="preserve">H-0804</t>
  </si>
  <si>
    <t xml:space="preserve">Inverse Function of 'Lateral control (lane centring)' while in Approaching a signalised or stop-controlled intersection (ODD-A) (30–90 km/h), fog, visibility below the odd bound (outside odd, foreseeable).</t>
  </si>
  <si>
    <t xml:space="preserve">H-0805</t>
  </si>
  <si>
    <t xml:space="preserve">Inverse Function of 'Lateral control (lane centring)' while in Rural or arterial curve near R_ODD with oncoming traffic (60–90 km/h), dry, daylight.</t>
  </si>
  <si>
    <t xml:space="preserve">H-0806</t>
  </si>
  <si>
    <t xml:space="preserve">Inverse Function of 'Lateral control (lane centring)' while in Rural or arterial curve near R_ODD with oncoming traffic (60–90 km/h), wet road or light rain.</t>
  </si>
  <si>
    <t xml:space="preserve">H-0807</t>
  </si>
  <si>
    <t xml:space="preserve">Inverse Function of 'Lateral control (lane centring)' while in Rural or arterial curve near R_ODD with oncoming traffic (60–90 km/h), night, dry, headlights.</t>
  </si>
  <si>
    <t xml:space="preserve">H-0808</t>
  </si>
  <si>
    <t xml:space="preserve">Inverse Function of 'Lateral control (lane centring)' while in Rural or arterial curve near R_ODD with oncoming traffic (60–90 km/h), moderate or heavy rain (outside odd, foreseeable).</t>
  </si>
  <si>
    <t xml:space="preserve">H-0809</t>
  </si>
  <si>
    <t xml:space="preserve">Inverse Function of 'Lateral control (lane centring)' while in Rural or arterial curve near R_ODD with oncoming traffic (60–90 km/h), snow or ice (outside odd, foreseeable).</t>
  </si>
  <si>
    <t xml:space="preserve">H-0810</t>
  </si>
  <si>
    <t xml:space="preserve">Inverse Function of 'Lateral control (lane centring)' while in Rural or arterial curve near R_ODD with oncoming traffic (60–90 km/h), fog, visibility below the odd bound (outside odd, foreseeable).</t>
  </si>
  <si>
    <t xml:space="preserve">H-0811</t>
  </si>
  <si>
    <t xml:space="preserve">Erratic or Intermittent of 'Lateral control (lane centring)' while in Limited-access highway, free flow, adjacent traffic (90–120 km/h), dry, daylight.</t>
  </si>
  <si>
    <t xml:space="preserve">H-0812</t>
  </si>
  <si>
    <t xml:space="preserve">Erratic or Intermittent of 'Lateral control (lane centring)' while in Limited-access highway, free flow, adjacent traffic (90–120 km/h), wet road or light rain.</t>
  </si>
  <si>
    <t xml:space="preserve">H-0813</t>
  </si>
  <si>
    <t xml:space="preserve">Erratic or Intermittent of 'Lateral control (lane centring)' while in Limited-access highway, free flow, adjacent traffic (90–120 km/h), night, dry, headlights.</t>
  </si>
  <si>
    <t xml:space="preserve">H-0814</t>
  </si>
  <si>
    <t xml:space="preserve">Erratic or Intermittent of 'Lateral control (lane centring)' while in Limited-access highway, free flow, adjacent traffic (90–120 km/h), moderate or heavy rain (outside odd, foreseeable).</t>
  </si>
  <si>
    <t xml:space="preserve">H-0815</t>
  </si>
  <si>
    <t xml:space="preserve">Erratic or Intermittent of 'Lateral control (lane centring)' while in Limited-access highway, free flow, adjacent traffic (90–120 km/h), snow or ice (outside odd, foreseeable).</t>
  </si>
  <si>
    <t xml:space="preserve">H-0816</t>
  </si>
  <si>
    <t xml:space="preserve">Erratic or Intermittent of 'Lateral control (lane centring)' while in Limited-access highway, free flow, adjacent traffic (90–120 km/h), fog, visibility below the odd bound (outside odd, foreseeable).</t>
  </si>
  <si>
    <t xml:space="preserve">H-0817</t>
  </si>
  <si>
    <t xml:space="preserve">Erratic or Intermittent of 'Lateral control (lane centring)' while in Highway curve near R_ODD with barrier or adjacent traffic (70–110 km/h), dry, daylight.</t>
  </si>
  <si>
    <t xml:space="preserve">H-0818</t>
  </si>
  <si>
    <t xml:space="preserve">Erratic or Intermittent of 'Lateral control (lane centring)' while in Highway curve near R_ODD with barrier or adjacent traffic (70–110 km/h), wet road or light rain.</t>
  </si>
  <si>
    <t xml:space="preserve">H-0819</t>
  </si>
  <si>
    <t xml:space="preserve">Erratic or Intermittent of 'Lateral control (lane centring)' while in Highway curve near R_ODD with barrier or adjacent traffic (70–110 km/h), night, dry, headlights.</t>
  </si>
  <si>
    <t xml:space="preserve">H-0820</t>
  </si>
  <si>
    <t xml:space="preserve">Erratic or Intermittent of 'Lateral control (lane centring)' while in Highway curve near R_ODD with barrier or adjacent traffic (70–110 km/h), moderate or heavy rain (outside odd, foreseeable).</t>
  </si>
  <si>
    <t xml:space="preserve">H-0821</t>
  </si>
  <si>
    <t xml:space="preserve">Erratic or Intermittent of 'Lateral control (lane centring)' while in Highway curve near R_ODD with barrier or adjacent traffic (70–110 km/h), snow or ice (outside odd, foreseeable).</t>
  </si>
  <si>
    <t xml:space="preserve">H-0822</t>
  </si>
  <si>
    <t xml:space="preserve">Erratic or Intermittent of 'Lateral control (lane centring)' while in Highway curve near R_ODD with barrier or adjacent traffic (70–110 km/h), fog, visibility below the odd bound (outside odd, foreseeable).</t>
  </si>
  <si>
    <t xml:space="preserve">H-0823</t>
  </si>
  <si>
    <t xml:space="preserve">Erratic or Intermittent of 'Lateral control (lane centring)' while in Undivided rural or arterial road, oncoming traffic (60–90 km/h), dry, daylight.</t>
  </si>
  <si>
    <t xml:space="preserve">H-0824</t>
  </si>
  <si>
    <t xml:space="preserve">Erratic or Intermittent of 'Lateral control (lane centring)' while in Undivided rural or arterial road, oncoming traffic (60–90 km/h), wet road or light rain.</t>
  </si>
  <si>
    <t xml:space="preserve">H-0825</t>
  </si>
  <si>
    <t xml:space="preserve">Erratic or Intermittent of 'Lateral control (lane centring)' while in Undivided rural or arterial road, oncoming traffic (60–90 km/h), night, dry, headlights.</t>
  </si>
  <si>
    <t xml:space="preserve">H-0826</t>
  </si>
  <si>
    <t xml:space="preserve">Erratic or Intermittent of 'Lateral control (lane centring)' while in Undivided rural or arterial road, oncoming traffic (60–90 km/h), moderate or heavy rain (outside odd, foreseeable).</t>
  </si>
  <si>
    <t xml:space="preserve">H-0827</t>
  </si>
  <si>
    <t xml:space="preserve">Erratic or Intermittent of 'Lateral control (lane centring)' while in Undivided rural or arterial road, oncoming traffic (60–90 km/h), snow or ice (outside odd, foreseeable).</t>
  </si>
  <si>
    <t xml:space="preserve">H-0828</t>
  </si>
  <si>
    <t xml:space="preserve">Erratic or Intermittent of 'Lateral control (lane centring)' while in Undivided rural or arterial road, oncoming traffic (60–90 km/h), fog, visibility below the odd bound (outside odd, foreseeable).</t>
  </si>
  <si>
    <t xml:space="preserve">H-0829</t>
  </si>
  <si>
    <t xml:space="preserve">Erratic or Intermittent of 'Lateral control (lane centring)' while in Urban arterial, pedestrians and cyclists near the lane edge (30–60 km/h), dry, daylight.</t>
  </si>
  <si>
    <t xml:space="preserve">H-0830</t>
  </si>
  <si>
    <t xml:space="preserve">Erratic or Intermittent of 'Lateral control (lane centring)' while in Urban arterial, pedestrians and cyclists near the lane edge (30–60 km/h), wet road or light rain.</t>
  </si>
  <si>
    <t xml:space="preserve">H-0831</t>
  </si>
  <si>
    <t xml:space="preserve">Erratic or Intermittent of 'Lateral control (lane centring)' while in Urban arterial, pedestrians and cyclists near the lane edge (30–60 km/h), night, dry, headlights.</t>
  </si>
  <si>
    <t xml:space="preserve">H-0832</t>
  </si>
  <si>
    <t xml:space="preserve">Erratic or Intermittent of 'Lateral control (lane centring)' while in Urban arterial, pedestrians and cyclists near the lane edge (30–60 km/h), moderate or heavy rain (outside odd, foreseeable).</t>
  </si>
  <si>
    <t xml:space="preserve">H-0833</t>
  </si>
  <si>
    <t xml:space="preserve">Erratic or Intermittent of 'Lateral control (lane centring)' while in Urban arterial, pedestrians and cyclists near the lane edge (30–60 km/h), snow or ice (outside odd, foreseeable).</t>
  </si>
  <si>
    <t xml:space="preserve">H-0834</t>
  </si>
  <si>
    <t xml:space="preserve">Erratic or Intermittent of 'Lateral control (lane centring)' while in Urban arterial, pedestrians and cyclists near the lane edge (30–60 km/h), fog, visibility below the odd bound (outside odd, foreseeable).</t>
  </si>
  <si>
    <t xml:space="preserve">H-0835</t>
  </si>
  <si>
    <t xml:space="preserve">Erratic or Intermittent of 'Lateral control (lane centring)' while in Following a lead vehicle at a short gap, dense traffic (30–110 km/h), dry, daylight.</t>
  </si>
  <si>
    <t xml:space="preserve">H-0836</t>
  </si>
  <si>
    <t xml:space="preserve">Erratic or Intermittent of 'Lateral control (lane centring)' while in Following a lead vehicle at a short gap, dense traffic (30–110 km/h), wet road or light rain.</t>
  </si>
  <si>
    <t xml:space="preserve">H-0837</t>
  </si>
  <si>
    <t xml:space="preserve">Erratic or Intermittent of 'Lateral control (lane centring)' while in Following a lead vehicle at a short gap, dense traffic (30–110 km/h), night, dry, headlights.</t>
  </si>
  <si>
    <t xml:space="preserve">H-0838</t>
  </si>
  <si>
    <t xml:space="preserve">Erratic or Intermittent of 'Lateral control (lane centring)' while in Following a lead vehicle at a short gap, dense traffic (30–110 km/h), moderate or heavy rain (outside odd, foreseeable).</t>
  </si>
  <si>
    <t xml:space="preserve">H-0839</t>
  </si>
  <si>
    <t xml:space="preserve">Erratic or Intermittent of 'Lateral control (lane centring)' while in Following a lead vehicle at a short gap, dense traffic (30–110 km/h), snow or ice (outside odd, foreseeable).</t>
  </si>
  <si>
    <t xml:space="preserve">H-0840</t>
  </si>
  <si>
    <t xml:space="preserve">Erratic or Intermittent of 'Lateral control (lane centring)' while in Following a lead vehicle at a short gap, dense traffic (30–110 km/h), fog, visibility below the odd bound (outside odd, foreseeable).</t>
  </si>
  <si>
    <t xml:space="preserve">H-0841</t>
  </si>
  <si>
    <t xml:space="preserve">Erratic or Intermittent of 'Lateral control (lane centring)' while in Stop-and-go queue or standstill behind a lead; pedestrians may cross (0–30 km/h), dry, daylight.</t>
  </si>
  <si>
    <t xml:space="preserve">H-0842</t>
  </si>
  <si>
    <t xml:space="preserve">Erratic or Intermittent of 'Lateral control (lane centring)' while in Stop-and-go queue or standstill behind a lead; pedestrians may cross (0–30 km/h), wet road or light rain.</t>
  </si>
  <si>
    <t xml:space="preserve">H-0843</t>
  </si>
  <si>
    <t xml:space="preserve">Erratic or Intermittent of 'Lateral control (lane centring)' while in Stop-and-go queue or standstill behind a lead; pedestrians may cross (0–30 km/h), night, dry, headlights.</t>
  </si>
  <si>
    <t xml:space="preserve">H-0844</t>
  </si>
  <si>
    <t xml:space="preserve">Erratic or Intermittent of 'Lateral control (lane centring)' while in Stop-and-go queue or standstill behind a lead; pedestrians may cross (0–30 km/h), moderate or heavy rain (outside odd, foreseeable).</t>
  </si>
  <si>
    <t xml:space="preserve">H-0845</t>
  </si>
  <si>
    <t xml:space="preserve">Erratic or Intermittent of 'Lateral control (lane centring)' while in Stop-and-go queue or standstill behind a lead; pedestrians may cross (0–30 km/h), snow or ice (outside odd, foreseeable).</t>
  </si>
  <si>
    <t xml:space="preserve">H-0846</t>
  </si>
  <si>
    <t xml:space="preserve">Erratic or Intermittent of 'Lateral control (lane centring)' while in Stop-and-go queue or standstill behind a lead; pedestrians may cross (0–30 km/h), fog, visibility below the odd bound (outside odd, foreseeable).</t>
  </si>
  <si>
    <t xml:space="preserve">H-0847</t>
  </si>
  <si>
    <t xml:space="preserve">Erratic or Intermittent of 'Lateral control (lane centring)' while in Approaching slower or stationary traffic from highway speed (70–120 km/h), dry, daylight.</t>
  </si>
  <si>
    <t xml:space="preserve">H-0848</t>
  </si>
  <si>
    <t xml:space="preserve">Erratic or Intermittent of 'Lateral control (lane centring)' while in Approaching slower or stationary traffic from highway speed (70–120 km/h), wet road or light rain.</t>
  </si>
  <si>
    <t xml:space="preserve">H-0849</t>
  </si>
  <si>
    <t xml:space="preserve">Erratic or Intermittent of 'Lateral control (lane centring)' while in Approaching slower or stationary traffic from highway speed (70–120 km/h), night, dry, headlights.</t>
  </si>
  <si>
    <t xml:space="preserve">H-0850</t>
  </si>
  <si>
    <t xml:space="preserve">Erratic or Intermittent of 'Lateral control (lane centring)' while in Approaching slower or stationary traffic from highway speed (70–120 km/h), moderate or heavy rain (outside odd, foreseeable).</t>
  </si>
  <si>
    <t xml:space="preserve">H-0851</t>
  </si>
  <si>
    <t xml:space="preserve">Erratic or Intermittent of 'Lateral control (lane centring)' while in Approaching slower or stationary traffic from highway speed (70–120 km/h), snow or ice (outside odd, foreseeable).</t>
  </si>
  <si>
    <t xml:space="preserve">H-0852</t>
  </si>
  <si>
    <t xml:space="preserve">Erratic or Intermittent of 'Lateral control (lane centring)' while in Approaching slower or stationary traffic from highway speed (70–120 km/h), fog, visibility below the odd bound (outside odd, foreseeable).</t>
  </si>
  <si>
    <t xml:space="preserve">H-0853</t>
  </si>
  <si>
    <t xml:space="preserve">Erratic or Intermittent of 'Lateral control (lane centring)' while in Close following vehicle behind (gap &lt; 1.5 s) (50–120 km/h), dry, daylight.</t>
  </si>
  <si>
    <t xml:space="preserve">H-0854</t>
  </si>
  <si>
    <t xml:space="preserve">Erratic or Intermittent of 'Lateral control (lane centring)' while in Close following vehicle behind (gap &lt; 1.5 s) (50–120 km/h), wet road or light rain.</t>
  </si>
  <si>
    <t xml:space="preserve">H-0855</t>
  </si>
  <si>
    <t xml:space="preserve">Erratic or Intermittent of 'Lateral control (lane centring)' while in Close following vehicle behind (gap &lt; 1.5 s) (50–120 km/h), night, dry, headlights.</t>
  </si>
  <si>
    <t xml:space="preserve">H-0856</t>
  </si>
  <si>
    <t xml:space="preserve">Erratic or Intermittent of 'Lateral control (lane centring)' while in Close following vehicle behind (gap &lt; 1.5 s) (50–120 km/h), moderate or heavy rain (outside odd, foreseeable).</t>
  </si>
  <si>
    <t xml:space="preserve">H-0857</t>
  </si>
  <si>
    <t xml:space="preserve">Erratic or Intermittent of 'Lateral control (lane centring)' while in Close following vehicle behind (gap &lt; 1.5 s) (50–120 km/h), snow or ice (outside odd, foreseeable).</t>
  </si>
  <si>
    <t xml:space="preserve">H-0858</t>
  </si>
  <si>
    <t xml:space="preserve">Erratic or Intermittent of 'Lateral control (lane centring)' while in Close following vehicle behind (gap &lt; 1.5 s) (50–120 km/h), fog, visibility below the odd bound (outside odd, foreseeable).</t>
  </si>
  <si>
    <t xml:space="preserve">H-0859</t>
  </si>
  <si>
    <t xml:space="preserve">Erratic or Intermittent of 'Lateral control (lane centring)' while in Imminent collision where the stock PCS/AEB would intervene (0–120 km/h), dry, daylight.</t>
  </si>
  <si>
    <t xml:space="preserve">H-0860</t>
  </si>
  <si>
    <t xml:space="preserve">Erratic or Intermittent of 'Lateral control (lane centring)' while in Imminent collision where the stock PCS/AEB would intervene (0–120 km/h), wet road or light rain.</t>
  </si>
  <si>
    <t xml:space="preserve">H-0861</t>
  </si>
  <si>
    <t xml:space="preserve">Erratic or Intermittent of 'Lateral control (lane centring)' while in Imminent collision where the stock PCS/AEB would intervene (0–120 km/h), night, dry, headlights.</t>
  </si>
  <si>
    <t xml:space="preserve">H-0862</t>
  </si>
  <si>
    <t xml:space="preserve">Erratic or Intermittent of 'Lateral control (lane centring)' while in Imminent collision where the stock PCS/AEB would intervene (0–120 km/h), moderate or heavy rain (outside odd, foreseeable).</t>
  </si>
  <si>
    <t xml:space="preserve">H-0863</t>
  </si>
  <si>
    <t xml:space="preserve">Erratic or Intermittent of 'Lateral control (lane centring)' while in Imminent collision where the stock PCS/AEB would intervene (0–120 km/h), snow or ice (outside odd, foreseeable).</t>
  </si>
  <si>
    <t xml:space="preserve">H-0864</t>
  </si>
  <si>
    <t xml:space="preserve">Erratic or Intermittent of 'Lateral control (lane centring)' while in Imminent collision where the stock PCS/AEB would intervene (0–120 km/h), fog, visibility below the odd bound (outside odd, foreseeable).</t>
  </si>
  <si>
    <t xml:space="preserve">H-0865</t>
  </si>
  <si>
    <t xml:space="preserve">Erratic or Intermittent of 'Lateral control (lane centring)' while in Driver override while engaged: braking, cancel or evasive steering (0–120 km/h), dry, daylight.</t>
  </si>
  <si>
    <t xml:space="preserve">H-0866</t>
  </si>
  <si>
    <t xml:space="preserve">Erratic or Intermittent of 'Lateral control (lane centring)' while in Driver override while engaged: braking, cancel or evasive steering (0–120 km/h), wet road or light rain.</t>
  </si>
  <si>
    <t xml:space="preserve">H-0867</t>
  </si>
  <si>
    <t xml:space="preserve">Erratic or Intermittent of 'Lateral control (lane centring)' while in Driver override while engaged: braking, cancel or evasive steering (0–120 km/h), night, dry, headlights.</t>
  </si>
  <si>
    <t xml:space="preserve">H-0868</t>
  </si>
  <si>
    <t xml:space="preserve">Erratic or Intermittent of 'Lateral control (lane centring)' while in Driver override while engaged: braking, cancel or evasive steering (0–120 km/h), moderate or heavy rain (outside odd, foreseeable).</t>
  </si>
  <si>
    <t xml:space="preserve">H-0869</t>
  </si>
  <si>
    <t xml:space="preserve">Erratic or Intermittent of 'Lateral control (lane centring)' while in Driver override while engaged: braking, cancel or evasive steering (0–120 km/h), snow or ice (outside odd, foreseeable).</t>
  </si>
  <si>
    <t xml:space="preserve">H-0870</t>
  </si>
  <si>
    <t xml:space="preserve">Erratic or Intermittent of 'Lateral control (lane centring)' while in Driver override while engaged: braking, cancel or evasive steering (0–120 km/h), fog, visibility below the odd bound (outside odd, foreseeable).</t>
  </si>
  <si>
    <t xml:space="preserve">H-0871</t>
  </si>
  <si>
    <t xml:space="preserve">Erratic or Intermittent of 'Lateral control (lane centring)' while in Driver-initiated assisted lane change (70–120 km/h), dry, daylight.</t>
  </si>
  <si>
    <t xml:space="preserve">H-0872</t>
  </si>
  <si>
    <t xml:space="preserve">Erratic or Intermittent of 'Lateral control (lane centring)' while in Driver-initiated assisted lane change (70–120 km/h), wet road or light rain.</t>
  </si>
  <si>
    <t xml:space="preserve">H-0873</t>
  </si>
  <si>
    <t xml:space="preserve">Erratic or Intermittent of 'Lateral control (lane centring)' while in Driver-initiated assisted lane change (70–120 km/h), night, dry, headlights.</t>
  </si>
  <si>
    <t xml:space="preserve">H-0874</t>
  </si>
  <si>
    <t xml:space="preserve">Erratic or Intermittent of 'Lateral control (lane centring)' while in Driver-initiated assisted lane change (70–120 km/h), moderate or heavy rain (outside odd, foreseeable).</t>
  </si>
  <si>
    <t xml:space="preserve">H-0875</t>
  </si>
  <si>
    <t xml:space="preserve">Erratic or Intermittent of 'Lateral control (lane centring)' while in Driver-initiated assisted lane change (70–120 km/h), snow or ice (outside odd, foreseeable).</t>
  </si>
  <si>
    <t xml:space="preserve">H-0876</t>
  </si>
  <si>
    <t xml:space="preserve">Erratic or Intermittent of 'Lateral control (lane centring)' while in Driver-initiated assisted lane change (70–120 km/h), fog, visibility below the odd bound (outside odd, foreseeable).</t>
  </si>
  <si>
    <t xml:space="preserve">H-0877</t>
  </si>
  <si>
    <t xml:space="preserve">Erratic or Intermittent of 'Lateral control (lane centring)' while in Manual driving, item powered but not engaged (0–120 km/h), dry, daylight.</t>
  </si>
  <si>
    <t xml:space="preserve">S0: item not engaged; M13 cannot occur without a request (only unrequested actuation, M03/M10, applies).</t>
  </si>
  <si>
    <t xml:space="preserve">H-0878</t>
  </si>
  <si>
    <t xml:space="preserve">Erratic or Intermittent of 'Lateral control (lane centring)' while in Manual driving, item powered but not engaged (0–120 km/h), wet road or light rain.</t>
  </si>
  <si>
    <t xml:space="preserve">H-0879</t>
  </si>
  <si>
    <t xml:space="preserve">Erratic or Intermittent of 'Lateral control (lane centring)' while in Manual driving, item powered but not engaged (0–120 km/h), night, dry, headlights.</t>
  </si>
  <si>
    <t xml:space="preserve">H-0880</t>
  </si>
  <si>
    <t xml:space="preserve">Erratic or Intermittent of 'Lateral control (lane centring)' while in Manual driving, item powered but not engaged (0–120 km/h), moderate or heavy rain (outside odd, foreseeable).</t>
  </si>
  <si>
    <t xml:space="preserve">H-0881</t>
  </si>
  <si>
    <t xml:space="preserve">Erratic or Intermittent of 'Lateral control (lane centring)' while in Manual driving, item powered but not engaged (0–120 km/h), snow or ice (outside odd, foreseeable).</t>
  </si>
  <si>
    <t xml:space="preserve">H-0882</t>
  </si>
  <si>
    <t xml:space="preserve">Erratic or Intermittent of 'Lateral control (lane centring)' while in Manual driving, item powered but not engaged (0–120 km/h), fog, visibility below the odd bound (outside odd, foreseeable).</t>
  </si>
  <si>
    <t xml:space="preserve">H-0883</t>
  </si>
  <si>
    <t xml:space="preserve">Erratic or Intermittent of 'Lateral control (lane centring)' while in Engaged outside the ODD (residential street, ramp, tight curve): foreseeable misuse (15–60 km/h), dry, daylight.</t>
  </si>
  <si>
    <t xml:space="preserve">H-0884</t>
  </si>
  <si>
    <t xml:space="preserve">Erratic or Intermittent of 'Lateral control (lane centring)' while in Engaged outside the ODD (residential street, ramp, tight curve): foreseeable misuse (15–60 km/h), wet road or light rain.</t>
  </si>
  <si>
    <t xml:space="preserve">H-0885</t>
  </si>
  <si>
    <t xml:space="preserve">Erratic or Intermittent of 'Lateral control (lane centring)' while in Engaged outside the ODD (residential street, ramp, tight curve): foreseeable misuse (15–60 km/h), night, dry, headlights.</t>
  </si>
  <si>
    <t xml:space="preserve">H-0886</t>
  </si>
  <si>
    <t xml:space="preserve">Erratic or Intermittent of 'Lateral control (lane centring)' while in Engaged outside the ODD (residential street, ramp, tight curve): foreseeable misuse (15–60 km/h), moderate or heavy rain (outside odd, foreseeable).</t>
  </si>
  <si>
    <t xml:space="preserve">H-0887</t>
  </si>
  <si>
    <t xml:space="preserve">Erratic or Intermittent of 'Lateral control (lane centring)' while in Engaged outside the ODD (residential street, ramp, tight curve): foreseeable misuse (15–60 km/h), snow or ice (outside odd, foreseeable).</t>
  </si>
  <si>
    <t xml:space="preserve">H-0888</t>
  </si>
  <si>
    <t xml:space="preserve">Erratic or Intermittent of 'Lateral control (lane centring)' while in Engaged outside the ODD (residential street, ramp, tight curve): foreseeable misuse (15–60 km/h), fog, visibility below the odd bound (outside odd, foreseeable).</t>
  </si>
  <si>
    <t xml:space="preserve">H-0889</t>
  </si>
  <si>
    <t xml:space="preserve">Erratic or Intermittent of 'Lateral control (lane centring)' while in Approaching a signalised or stop-controlled intersection (ODD-A) (30–90 km/h), dry, daylight.</t>
  </si>
  <si>
    <t xml:space="preserve">H-0890</t>
  </si>
  <si>
    <t xml:space="preserve">Erratic or Intermittent of 'Lateral control (lane centring)' while in Approaching a signalised or stop-controlled intersection (ODD-A) (30–90 km/h), wet road or light rain.</t>
  </si>
  <si>
    <t xml:space="preserve">H-0891</t>
  </si>
  <si>
    <t xml:space="preserve">Erratic or Intermittent of 'Lateral control (lane centring)' while in Approaching a signalised or stop-controlled intersection (ODD-A) (30–90 km/h), night, dry, headlights.</t>
  </si>
  <si>
    <t xml:space="preserve">H-0892</t>
  </si>
  <si>
    <t xml:space="preserve">Erratic or Intermittent of 'Lateral control (lane centring)' while in Approaching a signalised or stop-controlled intersection (ODD-A) (30–90 km/h), moderate or heavy rain (outside odd, foreseeable).</t>
  </si>
  <si>
    <t xml:space="preserve">H-0893</t>
  </si>
  <si>
    <t xml:space="preserve">Erratic or Intermittent of 'Lateral control (lane centring)' while in Approaching a signalised or stop-controlled intersection (ODD-A) (30–90 km/h), snow or ice (outside odd, foreseeable).</t>
  </si>
  <si>
    <t xml:space="preserve">H-0894</t>
  </si>
  <si>
    <t xml:space="preserve">Erratic or Intermittent of 'Lateral control (lane centring)' while in Approaching a signalised or stop-controlled intersection (ODD-A) (30–90 km/h), fog, visibility below the odd bound (outside odd, foreseeable).</t>
  </si>
  <si>
    <t xml:space="preserve">H-0895</t>
  </si>
  <si>
    <t xml:space="preserve">Erratic or Intermittent of 'Lateral control (lane centring)' while in Rural or arterial curve near R_ODD with oncoming traffic (60–90 km/h), dry, daylight.</t>
  </si>
  <si>
    <t xml:space="preserve">H-0896</t>
  </si>
  <si>
    <t xml:space="preserve">Erratic or Intermittent of 'Lateral control (lane centring)' while in Rural or arterial curve near R_ODD with oncoming traffic (60–90 km/h), wet road or light rain.</t>
  </si>
  <si>
    <t xml:space="preserve">H-0897</t>
  </si>
  <si>
    <t xml:space="preserve">Erratic or Intermittent of 'Lateral control (lane centring)' while in Rural or arterial curve near R_ODD with oncoming traffic (60–90 km/h), night, dry, headlights.</t>
  </si>
  <si>
    <t xml:space="preserve">H-0898</t>
  </si>
  <si>
    <t xml:space="preserve">Erratic or Intermittent of 'Lateral control (lane centring)' while in Rural or arterial curve near R_ODD with oncoming traffic (60–90 km/h), moderate or heavy rain (outside odd, foreseeable).</t>
  </si>
  <si>
    <t xml:space="preserve">H-0899</t>
  </si>
  <si>
    <t xml:space="preserve">Erratic or Intermittent of 'Lateral control (lane centring)' while in Rural or arterial curve near R_ODD with oncoming traffic (60–90 km/h), snow or ice (outside odd, foreseeable).</t>
  </si>
  <si>
    <t xml:space="preserve">H-0900</t>
  </si>
  <si>
    <t xml:space="preserve">Erratic or Intermittent of 'Lateral control (lane centring)' while in Rural or arterial curve near R_ODD with oncoming traffic (60–90 km/h), fog, visibility below the odd bound (outside odd, foreseeable).</t>
  </si>
  <si>
    <t xml:space="preserve">H-0901</t>
  </si>
  <si>
    <t xml:space="preserve">No Function of 'Longitudinal control (ACC, Chill mode)' while in Limited-access highway, free flow, adjacent traffic (90–120 km/h), dry, daylight.</t>
  </si>
  <si>
    <t xml:space="preserve">S0: Not hazardous here: no lead or obstacle requires deceleration, or the driver is already braking, or the item is not engaged.</t>
  </si>
  <si>
    <t xml:space="preserve">H-0902</t>
  </si>
  <si>
    <t xml:space="preserve">No Function of 'Longitudinal control (ACC, Chill mode)' while in Limited-access highway, free flow, adjacent traffic (90–120 km/h), wet road or light rain.</t>
  </si>
  <si>
    <t xml:space="preserve">H-0903</t>
  </si>
  <si>
    <t xml:space="preserve">No Function of 'Longitudinal control (ACC, Chill mode)' while in Limited-access highway, free flow, adjacent traffic (90–120 km/h), night, dry, headlights.</t>
  </si>
  <si>
    <t xml:space="preserve">H-0904</t>
  </si>
  <si>
    <t xml:space="preserve">No Function of 'Longitudinal control (ACC, Chill mode)' while in Limited-access highway, free flow, adjacent traffic (90–120 km/h), moderate or heavy rain (outside odd, foreseeable).</t>
  </si>
  <si>
    <t xml:space="preserve">H-0905</t>
  </si>
  <si>
    <t xml:space="preserve">No Function of 'Longitudinal control (ACC, Chill mode)' while in Limited-access highway, free flow, adjacent traffic (90–120 km/h), snow or ice (outside odd, foreseeable).</t>
  </si>
  <si>
    <t xml:space="preserve">H-0906</t>
  </si>
  <si>
    <t xml:space="preserve">No Function of 'Longitudinal control (ACC, Chill mode)' while in Limited-access highway, free flow, adjacent traffic (90–120 km/h), fog, visibility below the odd bound (outside odd, foreseeable).</t>
  </si>
  <si>
    <t xml:space="preserve">H-0907</t>
  </si>
  <si>
    <t xml:space="preserve">No Function of 'Longitudinal control (ACC, Chill mode)' while in Highway curve near R_ODD with barrier or adjacent traffic (70–110 km/h), dry, daylight.</t>
  </si>
  <si>
    <t xml:space="preserve">H-0908</t>
  </si>
  <si>
    <t xml:space="preserve">No Function of 'Longitudinal control (ACC, Chill mode)' while in Highway curve near R_ODD with barrier or adjacent traffic (70–110 km/h), wet road or light rain.</t>
  </si>
  <si>
    <t xml:space="preserve">H-0909</t>
  </si>
  <si>
    <t xml:space="preserve">No Function of 'Longitudinal control (ACC, Chill mode)' while in Highway curve near R_ODD with barrier or adjacent traffic (70–110 km/h), night, dry, headlights.</t>
  </si>
  <si>
    <t xml:space="preserve">H-0910</t>
  </si>
  <si>
    <t xml:space="preserve">No Function of 'Longitudinal control (ACC, Chill mode)' while in Highway curve near R_ODD with barrier or adjacent traffic (70–110 km/h), moderate or heavy rain (outside odd, foreseeable).</t>
  </si>
  <si>
    <t xml:space="preserve">H-0911</t>
  </si>
  <si>
    <t xml:space="preserve">No Function of 'Longitudinal control (ACC, Chill mode)' while in Highway curve near R_ODD with barrier or adjacent traffic (70–110 km/h), snow or ice (outside odd, foreseeable).</t>
  </si>
  <si>
    <t xml:space="preserve">H-0912</t>
  </si>
  <si>
    <t xml:space="preserve">No Function of 'Longitudinal control (ACC, Chill mode)' while in Highway curve near R_ODD with barrier or adjacent traffic (70–110 km/h), fog, visibility below the odd bound (outside odd, foreseeable).</t>
  </si>
  <si>
    <t xml:space="preserve">H-0913</t>
  </si>
  <si>
    <t xml:space="preserve">No Function of 'Longitudinal control (ACC, Chill mode)' while in Undivided rural or arterial road, oncoming traffic (60–90 km/h), dry, daylight.</t>
  </si>
  <si>
    <t xml:space="preserve">H-0914</t>
  </si>
  <si>
    <t xml:space="preserve">No Function of 'Longitudinal control (ACC, Chill mode)' while in Undivided rural or arterial road, oncoming traffic (60–90 km/h), wet road or light rain.</t>
  </si>
  <si>
    <t xml:space="preserve">H-0915</t>
  </si>
  <si>
    <t xml:space="preserve">No Function of 'Longitudinal control (ACC, Chill mode)' while in Undivided rural or arterial road, oncoming traffic (60–90 km/h), night, dry, headlights.</t>
  </si>
  <si>
    <t xml:space="preserve">H-0916</t>
  </si>
  <si>
    <t xml:space="preserve">No Function of 'Longitudinal control (ACC, Chill mode)' while in Undivided rural or arterial road, oncoming traffic (60–90 km/h), moderate or heavy rain (outside odd, foreseeable).</t>
  </si>
  <si>
    <t xml:space="preserve">H-0917</t>
  </si>
  <si>
    <t xml:space="preserve">No Function of 'Longitudinal control (ACC, Chill mode)' while in Undivided rural or arterial road, oncoming traffic (60–90 km/h), snow or ice (outside odd, foreseeable).</t>
  </si>
  <si>
    <t xml:space="preserve">H-0918</t>
  </si>
  <si>
    <t xml:space="preserve">No Function of 'Longitudinal control (ACC, Chill mode)' while in Undivided rural or arterial road, oncoming traffic (60–90 km/h), fog, visibility below the odd bound (outside odd, foreseeable).</t>
  </si>
  <si>
    <t xml:space="preserve">H-0919</t>
  </si>
  <si>
    <t xml:space="preserve">No Function of 'Longitudinal control (ACC, Chill mode)' while in Urban arterial, pedestrians and cyclists near the lane edge (30–60 km/h), dry, daylight.</t>
  </si>
  <si>
    <t xml:space="preserve">H-0920</t>
  </si>
  <si>
    <t xml:space="preserve">No Function of 'Longitudinal control (ACC, Chill mode)' while in Urban arterial, pedestrians and cyclists near the lane edge (30–60 km/h), wet road or light rain.</t>
  </si>
  <si>
    <t xml:space="preserve">H-0921</t>
  </si>
  <si>
    <t xml:space="preserve">No Function of 'Longitudinal control (ACC, Chill mode)' while in Urban arterial, pedestrians and cyclists near the lane edge (30–60 km/h), night, dry, headlights.</t>
  </si>
  <si>
    <t xml:space="preserve">H-0922</t>
  </si>
  <si>
    <t xml:space="preserve">No Function of 'Longitudinal control (ACC, Chill mode)' while in Urban arterial, pedestrians and cyclists near the lane edge (30–60 km/h), moderate or heavy rain (outside odd, foreseeable).</t>
  </si>
  <si>
    <t xml:space="preserve">H-0923</t>
  </si>
  <si>
    <t xml:space="preserve">No Function of 'Longitudinal control (ACC, Chill mode)' while in Urban arterial, pedestrians and cyclists near the lane edge (30–60 km/h), snow or ice (outside odd, foreseeable).</t>
  </si>
  <si>
    <t xml:space="preserve">H-0924</t>
  </si>
  <si>
    <t xml:space="preserve">No Function of 'Longitudinal control (ACC, Chill mode)' while in Urban arterial, pedestrians and cyclists near the lane edge (30–60 km/h), fog, visibility below the odd bound (outside odd, foreseeable).</t>
  </si>
  <si>
    <t xml:space="preserve">H-0925</t>
  </si>
  <si>
    <t xml:space="preserve">No Function of 'Longitudinal control (ACC, Chill mode)' while in Following a lead vehicle at a short gap, dense traffic (30–110 km/h), dry, daylight.</t>
  </si>
  <si>
    <t xml:space="preserve">S2: lead brakes and the ego vehicle does not; rear-end at moderate speed difference.</t>
  </si>
  <si>
    <t xml:space="preserve">C2: supervising driver, but reliance on ACC delays the reaction.</t>
  </si>
  <si>
    <t xml:space="preserve">H-0926</t>
  </si>
  <si>
    <t xml:space="preserve">No Function of 'Longitudinal control (ACC, Chill mode)' while in Following a lead vehicle at a short gap, dense traffic (30–110 km/h), wet road or light rain.</t>
  </si>
  <si>
    <t xml:space="preserve">H-0927</t>
  </si>
  <si>
    <t xml:space="preserve">No Function of 'Longitudinal control (ACC, Chill mode)' while in Following a lead vehicle at a short gap, dense traffic (30–110 km/h), night, dry, headlights.</t>
  </si>
  <si>
    <t xml:space="preserve">H-0928</t>
  </si>
  <si>
    <t xml:space="preserve">No Function of 'Longitudinal control (ACC, Chill mode)' while in Following a lead vehicle at a short gap, dense traffic (30–110 km/h), moderate or heavy rain (outside odd, foreseeable).</t>
  </si>
  <si>
    <t xml:space="preserve">C2: supervising driver, but reliance on ACC delays the reaction. Reduced visibility outside the ODD delays the driver's detection of the hazard (C+1).</t>
  </si>
  <si>
    <t xml:space="preserve">H-0929</t>
  </si>
  <si>
    <t xml:space="preserve">No Function of 'Longitudinal control (ACC, Chill mode)' while in Following a lead vehicle at a short gap, dense traffic (30–110 km/h), snow or ice (outside odd, foreseeable).</t>
  </si>
  <si>
    <t xml:space="preserve">C2: supervising driver, but reliance on ACC delays the reaction. Snow/ice: low friction; a correction or braking can induce a skid (C+1).</t>
  </si>
  <si>
    <t xml:space="preserve">H-0930</t>
  </si>
  <si>
    <t xml:space="preserve">No Function of 'Longitudinal control (ACC, Chill mode)' while in Following a lead vehicle at a short gap, dense traffic (30–110 km/h), fog, visibility below the odd bound (outside odd, foreseeable).</t>
  </si>
  <si>
    <t xml:space="preserve">H-0931</t>
  </si>
  <si>
    <t xml:space="preserve">No Function of 'Longitudinal control (ACC, Chill mode)' while in Stop-and-go queue or standstill behind a lead; pedestrians may cross (0–30 km/h), dry, daylight.</t>
  </si>
  <si>
    <t xml:space="preserve">S1: low-speed rear-end (HE-06.2).</t>
  </si>
  <si>
    <t xml:space="preserve">C2: reliance on ACC.</t>
  </si>
  <si>
    <t xml:space="preserve">H-0932</t>
  </si>
  <si>
    <t xml:space="preserve">No Function of 'Longitudinal control (ACC, Chill mode)' while in Stop-and-go queue or standstill behind a lead; pedestrians may cross (0–30 km/h), wet road or light rain.</t>
  </si>
  <si>
    <t xml:space="preserve">H-0933</t>
  </si>
  <si>
    <t xml:space="preserve">No Function of 'Longitudinal control (ACC, Chill mode)' while in Stop-and-go queue or standstill behind a lead; pedestrians may cross (0–30 km/h), night, dry, headlights.</t>
  </si>
  <si>
    <t xml:space="preserve">H-0934</t>
  </si>
  <si>
    <t xml:space="preserve">No Function of 'Longitudinal control (ACC, Chill mode)' while in Stop-and-go queue or standstill behind a lead; pedestrians may cross (0–30 km/h), moderate or heavy rain (outside odd, foreseeable).</t>
  </si>
  <si>
    <t xml:space="preserve">C2: reliance on ACC. Reduced visibility outside the ODD delays the driver's detection of the hazard (C+1).</t>
  </si>
  <si>
    <t xml:space="preserve">H-0935</t>
  </si>
  <si>
    <t xml:space="preserve">No Function of 'Longitudinal control (ACC, Chill mode)' while in Stop-and-go queue or standstill behind a lead; pedestrians may cross (0–30 km/h), snow or ice (outside odd, foreseeable).</t>
  </si>
  <si>
    <t xml:space="preserve">C2: reliance on ACC. Snow/ice: low friction; a correction or braking can induce a skid (C+1).</t>
  </si>
  <si>
    <t xml:space="preserve">H-0936</t>
  </si>
  <si>
    <t xml:space="preserve">No Function of 'Longitudinal control (ACC, Chill mode)' while in Stop-and-go queue or standstill behind a lead; pedestrians may cross (0–30 km/h), fog, visibility below the odd bound (outside odd, foreseeable).</t>
  </si>
  <si>
    <t xml:space="preserve">H-0937</t>
  </si>
  <si>
    <t xml:space="preserve">No Function of 'Longitudinal control (ACC, Chill mode)' while in Approaching slower or stationary traffic from highway speed (70–120 km/h), dry, daylight.</t>
  </si>
  <si>
    <t xml:space="preserve">S3: high closing speed on stationary or slow traffic (HE-06.1).</t>
  </si>
  <si>
    <t xml:space="preserve">C2: supervising driver; the stock PCS is not credited.</t>
  </si>
  <si>
    <t xml:space="preserve">H-0938</t>
  </si>
  <si>
    <t xml:space="preserve">No Function of 'Longitudinal control (ACC, Chill mode)' while in Approaching slower or stationary traffic from highway speed (70–120 km/h), wet road or light rain.</t>
  </si>
  <si>
    <t xml:space="preserve">H-0939</t>
  </si>
  <si>
    <t xml:space="preserve">No Function of 'Longitudinal control (ACC, Chill mode)' while in Approaching slower or stationary traffic from highway speed (70–120 km/h), night, dry, headlights.</t>
  </si>
  <si>
    <t xml:space="preserve">H-0940</t>
  </si>
  <si>
    <t xml:space="preserve">No Function of 'Longitudinal control (ACC, Chill mode)' while in Approaching slower or stationary traffic from highway speed (70–120 km/h), moderate or heavy rain (outside odd, foreseeable).</t>
  </si>
  <si>
    <t xml:space="preserve">C2: supervising driver; the stock PCS is not credited. Reduced visibility outside the ODD delays the driver's detection of the hazard (C+1).</t>
  </si>
  <si>
    <t xml:space="preserve">H-0941</t>
  </si>
  <si>
    <t xml:space="preserve">No Function of 'Longitudinal control (ACC, Chill mode)' while in Approaching slower or stationary traffic from highway speed (70–120 km/h), snow or ice (outside odd, foreseeable).</t>
  </si>
  <si>
    <t xml:space="preserve">C2: supervising driver; the stock PCS is not credited. Snow/ice: low friction; a correction or braking can induce a skid (C+1).</t>
  </si>
  <si>
    <t xml:space="preserve">H-0942</t>
  </si>
  <si>
    <t xml:space="preserve">No Function of 'Longitudinal control (ACC, Chill mode)' while in Approaching slower or stationary traffic from highway speed (70–120 km/h), fog, visibility below the odd bound (outside odd, foreseeable).</t>
  </si>
  <si>
    <t xml:space="preserve">H-0943</t>
  </si>
  <si>
    <t xml:space="preserve">No Function of 'Longitudinal control (ACC, Chill mode)' while in Close following vehicle behind (gap &lt; 1.5 s) (50–120 km/h), dry, daylight.</t>
  </si>
  <si>
    <t xml:space="preserve">H-0944</t>
  </si>
  <si>
    <t xml:space="preserve">No Function of 'Longitudinal control (ACC, Chill mode)' while in Close following vehicle behind (gap &lt; 1.5 s) (50–120 km/h), wet road or light rain.</t>
  </si>
  <si>
    <t xml:space="preserve">H-0945</t>
  </si>
  <si>
    <t xml:space="preserve">No Function of 'Longitudinal control (ACC, Chill mode)' while in Close following vehicle behind (gap &lt; 1.5 s) (50–120 km/h), night, dry, headlights.</t>
  </si>
  <si>
    <t xml:space="preserve">H-0946</t>
  </si>
  <si>
    <t xml:space="preserve">No Function of 'Longitudinal control (ACC, Chill mode)' while in Close following vehicle behind (gap &lt; 1.5 s) (50–120 km/h), moderate or heavy rain (outside odd, foreseeable).</t>
  </si>
  <si>
    <t xml:space="preserve">H-0947</t>
  </si>
  <si>
    <t xml:space="preserve">No Function of 'Longitudinal control (ACC, Chill mode)' while in Close following vehicle behind (gap &lt; 1.5 s) (50–120 km/h), snow or ice (outside odd, foreseeable).</t>
  </si>
  <si>
    <t xml:space="preserve">H-0948</t>
  </si>
  <si>
    <t xml:space="preserve">No Function of 'Longitudinal control (ACC, Chill mode)' while in Close following vehicle behind (gap &lt; 1.5 s) (50–120 km/h), fog, visibility below the odd bound (outside odd, foreseeable).</t>
  </si>
  <si>
    <t xml:space="preserve">H-0949</t>
  </si>
  <si>
    <t xml:space="preserve">No Function of 'Longitudinal control (ACC, Chill mode)' while in Imminent collision where the stock PCS/AEB would intervene (0–120 km/h), dry, daylight.</t>
  </si>
  <si>
    <t xml:space="preserve">S3: imminent collision while ACC deceleration is silently lost.</t>
  </si>
  <si>
    <t xml:space="preserve">C3: by definition the driver has not avoided the situation.</t>
  </si>
  <si>
    <t xml:space="preserve">H-0950</t>
  </si>
  <si>
    <t xml:space="preserve">No Function of 'Longitudinal control (ACC, Chill mode)' while in Imminent collision where the stock PCS/AEB would intervene (0–120 km/h), wet road or light rain.</t>
  </si>
  <si>
    <t xml:space="preserve">H-0951</t>
  </si>
  <si>
    <t xml:space="preserve">No Function of 'Longitudinal control (ACC, Chill mode)' while in Imminent collision where the stock PCS/AEB would intervene (0–120 km/h), night, dry, headlights.</t>
  </si>
  <si>
    <t xml:space="preserve">H-0952</t>
  </si>
  <si>
    <t xml:space="preserve">No Function of 'Longitudinal control (ACC, Chill mode)' while in Imminent collision where the stock PCS/AEB would intervene (0–120 km/h), moderate or heavy rain (outside odd, foreseeable).</t>
  </si>
  <si>
    <t xml:space="preserve">C3: by definition the driver has not avoided the situation. Reduced visibility outside the ODD delays the driver's detection of the hazard (C+1).</t>
  </si>
  <si>
    <t xml:space="preserve">H-0953</t>
  </si>
  <si>
    <t xml:space="preserve">No Function of 'Longitudinal control (ACC, Chill mode)' while in Imminent collision where the stock PCS/AEB would intervene (0–120 km/h), snow or ice (outside odd, foreseeable).</t>
  </si>
  <si>
    <t xml:space="preserve">C3: by definition the driver has not avoided the situation. Snow/ice: low friction; a correction or braking can induce a skid (C+1).</t>
  </si>
  <si>
    <t xml:space="preserve">H-0954</t>
  </si>
  <si>
    <t xml:space="preserve">No Function of 'Longitudinal control (ACC, Chill mode)' while in Imminent collision where the stock PCS/AEB would intervene (0–120 km/h), fog, visibility below the odd bound (outside odd, foreseeable).</t>
  </si>
  <si>
    <t xml:space="preserve">H-0955</t>
  </si>
  <si>
    <t xml:space="preserve">No Function of 'Longitudinal control (ACC, Chill mode)' while in Driver override while engaged: braking, cancel or evasive steering (0–120 km/h), dry, daylight.</t>
  </si>
  <si>
    <t xml:space="preserve">H-0956</t>
  </si>
  <si>
    <t xml:space="preserve">No Function of 'Longitudinal control (ACC, Chill mode)' while in Driver override while engaged: braking, cancel or evasive steering (0–120 km/h), wet road or light rain.</t>
  </si>
  <si>
    <t xml:space="preserve">H-0957</t>
  </si>
  <si>
    <t xml:space="preserve">No Function of 'Longitudinal control (ACC, Chill mode)' while in Driver override while engaged: braking, cancel or evasive steering (0–120 km/h), night, dry, headlights.</t>
  </si>
  <si>
    <t xml:space="preserve">H-0958</t>
  </si>
  <si>
    <t xml:space="preserve">No Function of 'Longitudinal control (ACC, Chill mode)' while in Driver override while engaged: braking, cancel or evasive steering (0–120 km/h), moderate or heavy rain (outside odd, foreseeable).</t>
  </si>
  <si>
    <t xml:space="preserve">H-0959</t>
  </si>
  <si>
    <t xml:space="preserve">No Function of 'Longitudinal control (ACC, Chill mode)' while in Driver override while engaged: braking, cancel or evasive steering (0–120 km/h), snow or ice (outside odd, foreseeable).</t>
  </si>
  <si>
    <t xml:space="preserve">H-0960</t>
  </si>
  <si>
    <t xml:space="preserve">No Function of 'Longitudinal control (ACC, Chill mode)' while in Driver override while engaged: braking, cancel or evasive steering (0–120 km/h), fog, visibility below the odd bound (outside odd, foreseeable).</t>
  </si>
  <si>
    <t xml:space="preserve">H-0961</t>
  </si>
  <si>
    <t xml:space="preserve">No Function of 'Longitudinal control (ACC, Chill mode)' while in Driver-initiated assisted lane change (70–120 km/h), dry, daylight.</t>
  </si>
  <si>
    <t xml:space="preserve">H-0962</t>
  </si>
  <si>
    <t xml:space="preserve">No Function of 'Longitudinal control (ACC, Chill mode)' while in Driver-initiated assisted lane change (70–120 km/h), wet road or light rain.</t>
  </si>
  <si>
    <t xml:space="preserve">H-0963</t>
  </si>
  <si>
    <t xml:space="preserve">No Function of 'Longitudinal control (ACC, Chill mode)' while in Driver-initiated assisted lane change (70–120 km/h), night, dry, headlights.</t>
  </si>
  <si>
    <t xml:space="preserve">H-0964</t>
  </si>
  <si>
    <t xml:space="preserve">No Function of 'Longitudinal control (ACC, Chill mode)' while in Driver-initiated assisted lane change (70–120 km/h), moderate or heavy rain (outside odd, foreseeable).</t>
  </si>
  <si>
    <t xml:space="preserve">H-0965</t>
  </si>
  <si>
    <t xml:space="preserve">No Function of 'Longitudinal control (ACC, Chill mode)' while in Driver-initiated assisted lane change (70–120 km/h), snow or ice (outside odd, foreseeable).</t>
  </si>
  <si>
    <t xml:space="preserve">H-0966</t>
  </si>
  <si>
    <t xml:space="preserve">No Function of 'Longitudinal control (ACC, Chill mode)' while in Driver-initiated assisted lane change (70–120 km/h), fog, visibility below the odd bound (outside odd, foreseeable).</t>
  </si>
  <si>
    <t xml:space="preserve">H-0967</t>
  </si>
  <si>
    <t xml:space="preserve">No Function of 'Longitudinal control (ACC, Chill mode)' while in Manual driving, item powered but not engaged (0–120 km/h), dry, daylight.</t>
  </si>
  <si>
    <t xml:space="preserve">H-0968</t>
  </si>
  <si>
    <t xml:space="preserve">No Function of 'Longitudinal control (ACC, Chill mode)' while in Manual driving, item powered but not engaged (0–120 km/h), wet road or light rain.</t>
  </si>
  <si>
    <t xml:space="preserve">H-0969</t>
  </si>
  <si>
    <t xml:space="preserve">No Function of 'Longitudinal control (ACC, Chill mode)' while in Manual driving, item powered but not engaged (0–120 km/h), night, dry, headlights.</t>
  </si>
  <si>
    <t xml:space="preserve">H-0970</t>
  </si>
  <si>
    <t xml:space="preserve">No Function of 'Longitudinal control (ACC, Chill mode)' while in Manual driving, item powered but not engaged (0–120 km/h), moderate or heavy rain (outside odd, foreseeable).</t>
  </si>
  <si>
    <t xml:space="preserve">H-0971</t>
  </si>
  <si>
    <t xml:space="preserve">No Function of 'Longitudinal control (ACC, Chill mode)' while in Manual driving, item powered but not engaged (0–120 km/h), snow or ice (outside odd, foreseeable).</t>
  </si>
  <si>
    <t xml:space="preserve">H-0972</t>
  </si>
  <si>
    <t xml:space="preserve">No Function of 'Longitudinal control (ACC, Chill mode)' while in Manual driving, item powered but not engaged (0–120 km/h), fog, visibility below the odd bound (outside odd, foreseeable).</t>
  </si>
  <si>
    <t xml:space="preserve">H-0973</t>
  </si>
  <si>
    <t xml:space="preserve">No Function of 'Longitudinal control (ACC, Chill mode)' while in Engaged outside the ODD (residential street, ramp, tight curve): foreseeable misuse (15–60 km/h), dry, daylight.</t>
  </si>
  <si>
    <t xml:space="preserve">S2: lead or obstacle outside the ODD at up to 60 km/h.</t>
  </si>
  <si>
    <t xml:space="preserve">H-0974</t>
  </si>
  <si>
    <t xml:space="preserve">No Function of 'Longitudinal control (ACC, Chill mode)' while in Engaged outside the ODD (residential street, ramp, tight curve): foreseeable misuse (15–60 km/h), wet road or light rain.</t>
  </si>
  <si>
    <t xml:space="preserve">H-0975</t>
  </si>
  <si>
    <t xml:space="preserve">No Function of 'Longitudinal control (ACC, Chill mode)' while in Engaged outside the ODD (residential street, ramp, tight curve): foreseeable misuse (15–60 km/h), night, dry, headlights.</t>
  </si>
  <si>
    <t xml:space="preserve">H-0976</t>
  </si>
  <si>
    <t xml:space="preserve">No Function of 'Longitudinal control (ACC, Chill mode)' while in Engaged outside the ODD (residential street, ramp, tight curve): foreseeable misuse (15–60 km/h), moderate or heavy rain (outside odd, foreseeable).</t>
  </si>
  <si>
    <t xml:space="preserve">H-0977</t>
  </si>
  <si>
    <t xml:space="preserve">No Function of 'Longitudinal control (ACC, Chill mode)' while in Engaged outside the ODD (residential street, ramp, tight curve): foreseeable misuse (15–60 km/h), snow or ice (outside odd, foreseeable).</t>
  </si>
  <si>
    <t xml:space="preserve">H-0978</t>
  </si>
  <si>
    <t xml:space="preserve">No Function of 'Longitudinal control (ACC, Chill mode)' while in Engaged outside the ODD (residential street, ramp, tight curve): foreseeable misuse (15–60 km/h), fog, visibility below the odd bound (outside odd, foreseeable).</t>
  </si>
  <si>
    <t xml:space="preserve">H-0979</t>
  </si>
  <si>
    <t xml:space="preserve">No Function of 'Longitudinal control (ACC, Chill mode)' while in Approaching a signalised or stop-controlled intersection (ODD-A) (30–90 km/h), dry, daylight.</t>
  </si>
  <si>
    <t xml:space="preserve">S2: queue at an intersection; rear-end at moderate speed.</t>
  </si>
  <si>
    <t xml:space="preserve">H-0980</t>
  </si>
  <si>
    <t xml:space="preserve">No Function of 'Longitudinal control (ACC, Chill mode)' while in Approaching a signalised or stop-controlled intersection (ODD-A) (30–90 km/h), wet road or light rain.</t>
  </si>
  <si>
    <t xml:space="preserve">H-0981</t>
  </si>
  <si>
    <t xml:space="preserve">No Function of 'Longitudinal control (ACC, Chill mode)' while in Approaching a signalised or stop-controlled intersection (ODD-A) (30–90 km/h), night, dry, headlights.</t>
  </si>
  <si>
    <t xml:space="preserve">H-0982</t>
  </si>
  <si>
    <t xml:space="preserve">No Function of 'Longitudinal control (ACC, Chill mode)' while in Approaching a signalised or stop-controlled intersection (ODD-A) (30–90 km/h), moderate or heavy rain (outside odd, foreseeable).</t>
  </si>
  <si>
    <t xml:space="preserve">H-0983</t>
  </si>
  <si>
    <t xml:space="preserve">No Function of 'Longitudinal control (ACC, Chill mode)' while in Approaching a signalised or stop-controlled intersection (ODD-A) (30–90 km/h), snow or ice (outside odd, foreseeable).</t>
  </si>
  <si>
    <t xml:space="preserve">H-0984</t>
  </si>
  <si>
    <t xml:space="preserve">No Function of 'Longitudinal control (ACC, Chill mode)' while in Approaching a signalised or stop-controlled intersection (ODD-A) (30–90 km/h), fog, visibility below the odd bound (outside odd, foreseeable).</t>
  </si>
  <si>
    <t xml:space="preserve">H-0985</t>
  </si>
  <si>
    <t xml:space="preserve">No Function of 'Longitudinal control (ACC, Chill mode)' while in Rural or arterial curve near R_ODD with oncoming traffic (60–90 km/h), dry, daylight.</t>
  </si>
  <si>
    <t xml:space="preserve">H-0986</t>
  </si>
  <si>
    <t xml:space="preserve">No Function of 'Longitudinal control (ACC, Chill mode)' while in Rural or arterial curve near R_ODD with oncoming traffic (60–90 km/h), wet road or light rain.</t>
  </si>
  <si>
    <t xml:space="preserve">H-0987</t>
  </si>
  <si>
    <t xml:space="preserve">No Function of 'Longitudinal control (ACC, Chill mode)' while in Rural or arterial curve near R_ODD with oncoming traffic (60–90 km/h), night, dry, headlights.</t>
  </si>
  <si>
    <t xml:space="preserve">H-0988</t>
  </si>
  <si>
    <t xml:space="preserve">No Function of 'Longitudinal control (ACC, Chill mode)' while in Rural or arterial curve near R_ODD with oncoming traffic (60–90 km/h), moderate or heavy rain (outside odd, foreseeable).</t>
  </si>
  <si>
    <t xml:space="preserve">H-0989</t>
  </si>
  <si>
    <t xml:space="preserve">No Function of 'Longitudinal control (ACC, Chill mode)' while in Rural or arterial curve near R_ODD with oncoming traffic (60–90 km/h), snow or ice (outside odd, foreseeable).</t>
  </si>
  <si>
    <t xml:space="preserve">H-0990</t>
  </si>
  <si>
    <t xml:space="preserve">No Function of 'Longitudinal control (ACC, Chill mode)' while in Rural or arterial curve near R_ODD with oncoming traffic (60–90 km/h), fog, visibility below the odd bound (outside odd, foreseeable).</t>
  </si>
  <si>
    <t xml:space="preserve">H-0991</t>
  </si>
  <si>
    <t xml:space="preserve">Stops Functioning of 'Longitudinal control (ACC, Chill mode)' while in Limited-access highway, free flow, adjacent traffic (90–120 km/h), dry, daylight.</t>
  </si>
  <si>
    <t xml:space="preserve">H-0992</t>
  </si>
  <si>
    <t xml:space="preserve">Stops Functioning of 'Longitudinal control (ACC, Chill mode)' while in Limited-access highway, free flow, adjacent traffic (90–120 km/h), wet road or light rain.</t>
  </si>
  <si>
    <t xml:space="preserve">H-0993</t>
  </si>
  <si>
    <t xml:space="preserve">Stops Functioning of 'Longitudinal control (ACC, Chill mode)' while in Limited-access highway, free flow, adjacent traffic (90–120 km/h), night, dry, headlights.</t>
  </si>
  <si>
    <t xml:space="preserve">H-0994</t>
  </si>
  <si>
    <t xml:space="preserve">Stops Functioning of 'Longitudinal control (ACC, Chill mode)' while in Limited-access highway, free flow, adjacent traffic (90–120 km/h), moderate or heavy rain (outside odd, foreseeable).</t>
  </si>
  <si>
    <t xml:space="preserve">H-0995</t>
  </si>
  <si>
    <t xml:space="preserve">Stops Functioning of 'Longitudinal control (ACC, Chill mode)' while in Limited-access highway, free flow, adjacent traffic (90–120 km/h), snow or ice (outside odd, foreseeable).</t>
  </si>
  <si>
    <t xml:space="preserve">H-0996</t>
  </si>
  <si>
    <t xml:space="preserve">Stops Functioning of 'Longitudinal control (ACC, Chill mode)' while in Limited-access highway, free flow, adjacent traffic (90–120 km/h), fog, visibility below the odd bound (outside odd, foreseeable).</t>
  </si>
  <si>
    <t xml:space="preserve">H-0997</t>
  </si>
  <si>
    <t xml:space="preserve">Stops Functioning of 'Longitudinal control (ACC, Chill mode)' while in Highway curve near R_ODD with barrier or adjacent traffic (70–110 km/h), dry, daylight.</t>
  </si>
  <si>
    <t xml:space="preserve">H-0998</t>
  </si>
  <si>
    <t xml:space="preserve">Stops Functioning of 'Longitudinal control (ACC, Chill mode)' while in Highway curve near R_ODD with barrier or adjacent traffic (70–110 km/h), wet road or light rain.</t>
  </si>
  <si>
    <t xml:space="preserve">H-0999</t>
  </si>
  <si>
    <t xml:space="preserve">Stops Functioning of 'Longitudinal control (ACC, Chill mode)' while in Highway curve near R_ODD with barrier or adjacent traffic (70–110 km/h), night, dry, headlights.</t>
  </si>
  <si>
    <t xml:space="preserve">H-1000</t>
  </si>
  <si>
    <t xml:space="preserve">Stops Functioning of 'Longitudinal control (ACC, Chill mode)' while in Highway curve near R_ODD with barrier or adjacent traffic (70–110 km/h), moderate or heavy rain (outside odd, foreseeable).</t>
  </si>
  <si>
    <t xml:space="preserve">H-1001</t>
  </si>
  <si>
    <t xml:space="preserve">Stops Functioning of 'Longitudinal control (ACC, Chill mode)' while in Highway curve near R_ODD with barrier or adjacent traffic (70–110 km/h), snow or ice (outside odd, foreseeable).</t>
  </si>
  <si>
    <t xml:space="preserve">H-1002</t>
  </si>
  <si>
    <t xml:space="preserve">Stops Functioning of 'Longitudinal control (ACC, Chill mode)' while in Highway curve near R_ODD with barrier or adjacent traffic (70–110 km/h), fog, visibility below the odd bound (outside odd, foreseeable).</t>
  </si>
  <si>
    <t xml:space="preserve">H-1003</t>
  </si>
  <si>
    <t xml:space="preserve">Stops Functioning of 'Longitudinal control (ACC, Chill mode)' while in Undivided rural or arterial road, oncoming traffic (60–90 km/h), dry, daylight.</t>
  </si>
  <si>
    <t xml:space="preserve">H-1004</t>
  </si>
  <si>
    <t xml:space="preserve">Stops Functioning of 'Longitudinal control (ACC, Chill mode)' while in Undivided rural or arterial road, oncoming traffic (60–90 km/h), wet road or light rain.</t>
  </si>
  <si>
    <t xml:space="preserve">H-1005</t>
  </si>
  <si>
    <t xml:space="preserve">Stops Functioning of 'Longitudinal control (ACC, Chill mode)' while in Undivided rural or arterial road, oncoming traffic (60–90 km/h), night, dry, headlights.</t>
  </si>
  <si>
    <t xml:space="preserve">H-1006</t>
  </si>
  <si>
    <t xml:space="preserve">Stops Functioning of 'Longitudinal control (ACC, Chill mode)' while in Undivided rural or arterial road, oncoming traffic (60–90 km/h), moderate or heavy rain (outside odd, foreseeable).</t>
  </si>
  <si>
    <t xml:space="preserve">H-1007</t>
  </si>
  <si>
    <t xml:space="preserve">Stops Functioning of 'Longitudinal control (ACC, Chill mode)' while in Undivided rural or arterial road, oncoming traffic (60–90 km/h), snow or ice (outside odd, foreseeable).</t>
  </si>
  <si>
    <t xml:space="preserve">H-1008</t>
  </si>
  <si>
    <t xml:space="preserve">Stops Functioning of 'Longitudinal control (ACC, Chill mode)' while in Undivided rural or arterial road, oncoming traffic (60–90 km/h), fog, visibility below the odd bound (outside odd, foreseeable).</t>
  </si>
  <si>
    <t xml:space="preserve">H-1009</t>
  </si>
  <si>
    <t xml:space="preserve">Stops Functioning of 'Longitudinal control (ACC, Chill mode)' while in Urban arterial, pedestrians and cyclists near the lane edge (30–60 km/h), dry, daylight.</t>
  </si>
  <si>
    <t xml:space="preserve">H-1010</t>
  </si>
  <si>
    <t xml:space="preserve">Stops Functioning of 'Longitudinal control (ACC, Chill mode)' while in Urban arterial, pedestrians and cyclists near the lane edge (30–60 km/h), wet road or light rain.</t>
  </si>
  <si>
    <t xml:space="preserve">H-1011</t>
  </si>
  <si>
    <t xml:space="preserve">Stops Functioning of 'Longitudinal control (ACC, Chill mode)' while in Urban arterial, pedestrians and cyclists near the lane edge (30–60 km/h), night, dry, headlights.</t>
  </si>
  <si>
    <t xml:space="preserve">H-1012</t>
  </si>
  <si>
    <t xml:space="preserve">Stops Functioning of 'Longitudinal control (ACC, Chill mode)' while in Urban arterial, pedestrians and cyclists near the lane edge (30–60 km/h), moderate or heavy rain (outside odd, foreseeable).</t>
  </si>
  <si>
    <t xml:space="preserve">H-1013</t>
  </si>
  <si>
    <t xml:space="preserve">Stops Functioning of 'Longitudinal control (ACC, Chill mode)' while in Urban arterial, pedestrians and cyclists near the lane edge (30–60 km/h), snow or ice (outside odd, foreseeable).</t>
  </si>
  <si>
    <t xml:space="preserve">H-1014</t>
  </si>
  <si>
    <t xml:space="preserve">Stops Functioning of 'Longitudinal control (ACC, Chill mode)' while in Urban arterial, pedestrians and cyclists near the lane edge (30–60 km/h), fog, visibility below the odd bound (outside odd, foreseeable).</t>
  </si>
  <si>
    <t xml:space="preserve">H-1015</t>
  </si>
  <si>
    <t xml:space="preserve">Stops Functioning of 'Longitudinal control (ACC, Chill mode)' while in Following a lead vehicle at a short gap, dense traffic (30–110 km/h), dry, daylight.</t>
  </si>
  <si>
    <t xml:space="preserve">H-1016</t>
  </si>
  <si>
    <t xml:space="preserve">Stops Functioning of 'Longitudinal control (ACC, Chill mode)' while in Following a lead vehicle at a short gap, dense traffic (30–110 km/h), wet road or light rain.</t>
  </si>
  <si>
    <t xml:space="preserve">H-1017</t>
  </si>
  <si>
    <t xml:space="preserve">Stops Functioning of 'Longitudinal control (ACC, Chill mode)' while in Following a lead vehicle at a short gap, dense traffic (30–110 km/h), night, dry, headlights.</t>
  </si>
  <si>
    <t xml:space="preserve">H-1018</t>
  </si>
  <si>
    <t xml:space="preserve">Stops Functioning of 'Longitudinal control (ACC, Chill mode)' while in Following a lead vehicle at a short gap, dense traffic (30–110 km/h), moderate or heavy rain (outside odd, foreseeable).</t>
  </si>
  <si>
    <t xml:space="preserve">H-1019</t>
  </si>
  <si>
    <t xml:space="preserve">Stops Functioning of 'Longitudinal control (ACC, Chill mode)' while in Following a lead vehicle at a short gap, dense traffic (30–110 km/h), snow or ice (outside odd, foreseeable).</t>
  </si>
  <si>
    <t xml:space="preserve">H-1020</t>
  </si>
  <si>
    <t xml:space="preserve">Stops Functioning of 'Longitudinal control (ACC, Chill mode)' while in Following a lead vehicle at a short gap, dense traffic (30–110 km/h), fog, visibility below the odd bound (outside odd, foreseeable).</t>
  </si>
  <si>
    <t xml:space="preserve">H-1021</t>
  </si>
  <si>
    <t xml:space="preserve">Stops Functioning of 'Longitudinal control (ACC, Chill mode)' while in Stop-and-go queue or standstill behind a lead; pedestrians may cross (0–30 km/h), dry, daylight.</t>
  </si>
  <si>
    <t xml:space="preserve">H-1022</t>
  </si>
  <si>
    <t xml:space="preserve">Stops Functioning of 'Longitudinal control (ACC, Chill mode)' while in Stop-and-go queue or standstill behind a lead; pedestrians may cross (0–30 km/h), wet road or light rain.</t>
  </si>
  <si>
    <t xml:space="preserve">H-1023</t>
  </si>
  <si>
    <t xml:space="preserve">Stops Functioning of 'Longitudinal control (ACC, Chill mode)' while in Stop-and-go queue or standstill behind a lead; pedestrians may cross (0–30 km/h), night, dry, headlights.</t>
  </si>
  <si>
    <t xml:space="preserve">H-1024</t>
  </si>
  <si>
    <t xml:space="preserve">Stops Functioning of 'Longitudinal control (ACC, Chill mode)' while in Stop-and-go queue or standstill behind a lead; pedestrians may cross (0–30 km/h), moderate or heavy rain (outside odd, foreseeable).</t>
  </si>
  <si>
    <t xml:space="preserve">H-1025</t>
  </si>
  <si>
    <t xml:space="preserve">Stops Functioning of 'Longitudinal control (ACC, Chill mode)' while in Stop-and-go queue or standstill behind a lead; pedestrians may cross (0–30 km/h), snow or ice (outside odd, foreseeable).</t>
  </si>
  <si>
    <t xml:space="preserve">H-1026</t>
  </si>
  <si>
    <t xml:space="preserve">Stops Functioning of 'Longitudinal control (ACC, Chill mode)' while in Stop-and-go queue or standstill behind a lead; pedestrians may cross (0–30 km/h), fog, visibility below the odd bound (outside odd, foreseeable).</t>
  </si>
  <si>
    <t xml:space="preserve">H-1027</t>
  </si>
  <si>
    <t xml:space="preserve">Stops Functioning of 'Longitudinal control (ACC, Chill mode)' while in Approaching slower or stationary traffic from highway speed (70–120 km/h), dry, daylight.</t>
  </si>
  <si>
    <t xml:space="preserve">H-1028</t>
  </si>
  <si>
    <t xml:space="preserve">Stops Functioning of 'Longitudinal control (ACC, Chill mode)' while in Approaching slower or stationary traffic from highway speed (70–120 km/h), wet road or light rain.</t>
  </si>
  <si>
    <t xml:space="preserve">H-1029</t>
  </si>
  <si>
    <t xml:space="preserve">Stops Functioning of 'Longitudinal control (ACC, Chill mode)' while in Approaching slower or stationary traffic from highway speed (70–120 km/h), night, dry, headlights.</t>
  </si>
  <si>
    <t xml:space="preserve">H-1030</t>
  </si>
  <si>
    <t xml:space="preserve">Stops Functioning of 'Longitudinal control (ACC, Chill mode)' while in Approaching slower or stationary traffic from highway speed (70–120 km/h), moderate or heavy rain (outside odd, foreseeable).</t>
  </si>
  <si>
    <t xml:space="preserve">H-1031</t>
  </si>
  <si>
    <t xml:space="preserve">Stops Functioning of 'Longitudinal control (ACC, Chill mode)' while in Approaching slower or stationary traffic from highway speed (70–120 km/h), snow or ice (outside odd, foreseeable).</t>
  </si>
  <si>
    <t xml:space="preserve">H-1032</t>
  </si>
  <si>
    <t xml:space="preserve">Stops Functioning of 'Longitudinal control (ACC, Chill mode)' while in Approaching slower or stationary traffic from highway speed (70–120 km/h), fog, visibility below the odd bound (outside odd, foreseeable).</t>
  </si>
  <si>
    <t xml:space="preserve">H-1033</t>
  </si>
  <si>
    <t xml:space="preserve">Stops Functioning of 'Longitudinal control (ACC, Chill mode)' while in Close following vehicle behind (gap &lt; 1.5 s) (50–120 km/h), dry, daylight.</t>
  </si>
  <si>
    <t xml:space="preserve">H-1034</t>
  </si>
  <si>
    <t xml:space="preserve">Stops Functioning of 'Longitudinal control (ACC, Chill mode)' while in Close following vehicle behind (gap &lt; 1.5 s) (50–120 km/h), wet road or light rain.</t>
  </si>
  <si>
    <t xml:space="preserve">H-1035</t>
  </si>
  <si>
    <t xml:space="preserve">Stops Functioning of 'Longitudinal control (ACC, Chill mode)' while in Close following vehicle behind (gap &lt; 1.5 s) (50–120 km/h), night, dry, headlights.</t>
  </si>
  <si>
    <t xml:space="preserve">H-1036</t>
  </si>
  <si>
    <t xml:space="preserve">Stops Functioning of 'Longitudinal control (ACC, Chill mode)' while in Close following vehicle behind (gap &lt; 1.5 s) (50–120 km/h), moderate or heavy rain (outside odd, foreseeable).</t>
  </si>
  <si>
    <t xml:space="preserve">H-1037</t>
  </si>
  <si>
    <t xml:space="preserve">Stops Functioning of 'Longitudinal control (ACC, Chill mode)' while in Close following vehicle behind (gap &lt; 1.5 s) (50–120 km/h), snow or ice (outside odd, foreseeable).</t>
  </si>
  <si>
    <t xml:space="preserve">H-1038</t>
  </si>
  <si>
    <t xml:space="preserve">Stops Functioning of 'Longitudinal control (ACC, Chill mode)' while in Close following vehicle behind (gap &lt; 1.5 s) (50–120 km/h), fog, visibility below the odd bound (outside odd, foreseeable).</t>
  </si>
  <si>
    <t xml:space="preserve">H-1039</t>
  </si>
  <si>
    <t xml:space="preserve">Stops Functioning of 'Longitudinal control (ACC, Chill mode)' while in Imminent collision where the stock PCS/AEB would intervene (0–120 km/h), dry, daylight.</t>
  </si>
  <si>
    <t xml:space="preserve">H-1040</t>
  </si>
  <si>
    <t xml:space="preserve">Stops Functioning of 'Longitudinal control (ACC, Chill mode)' while in Imminent collision where the stock PCS/AEB would intervene (0–120 km/h), wet road or light rain.</t>
  </si>
  <si>
    <t xml:space="preserve">H-1041</t>
  </si>
  <si>
    <t xml:space="preserve">Stops Functioning of 'Longitudinal control (ACC, Chill mode)' while in Imminent collision where the stock PCS/AEB would intervene (0–120 km/h), night, dry, headlights.</t>
  </si>
  <si>
    <t xml:space="preserve">H-1042</t>
  </si>
  <si>
    <t xml:space="preserve">Stops Functioning of 'Longitudinal control (ACC, Chill mode)' while in Imminent collision where the stock PCS/AEB would intervene (0–120 km/h), moderate or heavy rain (outside odd, foreseeable).</t>
  </si>
  <si>
    <t xml:space="preserve">H-1043</t>
  </si>
  <si>
    <t xml:space="preserve">Stops Functioning of 'Longitudinal control (ACC, Chill mode)' while in Imminent collision where the stock PCS/AEB would intervene (0–120 km/h), snow or ice (outside odd, foreseeable).</t>
  </si>
  <si>
    <t xml:space="preserve">H-1044</t>
  </si>
  <si>
    <t xml:space="preserve">Stops Functioning of 'Longitudinal control (ACC, Chill mode)' while in Imminent collision where the stock PCS/AEB would intervene (0–120 km/h), fog, visibility below the odd bound (outside odd, foreseeable).</t>
  </si>
  <si>
    <t xml:space="preserve">H-1045</t>
  </si>
  <si>
    <t xml:space="preserve">Stops Functioning of 'Longitudinal control (ACC, Chill mode)' while in Driver override while engaged: braking, cancel or evasive steering (0–120 km/h), dry, daylight.</t>
  </si>
  <si>
    <t xml:space="preserve">H-1046</t>
  </si>
  <si>
    <t xml:space="preserve">Stops Functioning of 'Longitudinal control (ACC, Chill mode)' while in Driver override while engaged: braking, cancel or evasive steering (0–120 km/h), wet road or light rain.</t>
  </si>
  <si>
    <t xml:space="preserve">H-1047</t>
  </si>
  <si>
    <t xml:space="preserve">Stops Functioning of 'Longitudinal control (ACC, Chill mode)' while in Driver override while engaged: braking, cancel or evasive steering (0–120 km/h), night, dry, headlights.</t>
  </si>
  <si>
    <t xml:space="preserve">H-1048</t>
  </si>
  <si>
    <t xml:space="preserve">Stops Functioning of 'Longitudinal control (ACC, Chill mode)' while in Driver override while engaged: braking, cancel or evasive steering (0–120 km/h), moderate or heavy rain (outside odd, foreseeable).</t>
  </si>
  <si>
    <t xml:space="preserve">H-1049</t>
  </si>
  <si>
    <t xml:space="preserve">Stops Functioning of 'Longitudinal control (ACC, Chill mode)' while in Driver override while engaged: braking, cancel or evasive steering (0–120 km/h), snow or ice (outside odd, foreseeable).</t>
  </si>
  <si>
    <t xml:space="preserve">H-1050</t>
  </si>
  <si>
    <t xml:space="preserve">Stops Functioning of 'Longitudinal control (ACC, Chill mode)' while in Driver override while engaged: braking, cancel or evasive steering (0–120 km/h), fog, visibility below the odd bound (outside odd, foreseeable).</t>
  </si>
  <si>
    <t xml:space="preserve">H-1051</t>
  </si>
  <si>
    <t xml:space="preserve">Stops Functioning of 'Longitudinal control (ACC, Chill mode)' while in Driver-initiated assisted lane change (70–120 km/h), dry, daylight.</t>
  </si>
  <si>
    <t xml:space="preserve">H-1052</t>
  </si>
  <si>
    <t xml:space="preserve">Stops Functioning of 'Longitudinal control (ACC, Chill mode)' while in Driver-initiated assisted lane change (70–120 km/h), wet road or light rain.</t>
  </si>
  <si>
    <t xml:space="preserve">H-1053</t>
  </si>
  <si>
    <t xml:space="preserve">Stops Functioning of 'Longitudinal control (ACC, Chill mode)' while in Driver-initiated assisted lane change (70–120 km/h), night, dry, headlights.</t>
  </si>
  <si>
    <t xml:space="preserve">H-1054</t>
  </si>
  <si>
    <t xml:space="preserve">Stops Functioning of 'Longitudinal control (ACC, Chill mode)' while in Driver-initiated assisted lane change (70–120 km/h), moderate or heavy rain (outside odd, foreseeable).</t>
  </si>
  <si>
    <t xml:space="preserve">H-1055</t>
  </si>
  <si>
    <t xml:space="preserve">Stops Functioning of 'Longitudinal control (ACC, Chill mode)' while in Driver-initiated assisted lane change (70–120 km/h), snow or ice (outside odd, foreseeable).</t>
  </si>
  <si>
    <t xml:space="preserve">H-1056</t>
  </si>
  <si>
    <t xml:space="preserve">Stops Functioning of 'Longitudinal control (ACC, Chill mode)' while in Driver-initiated assisted lane change (70–120 km/h), fog, visibility below the odd bound (outside odd, foreseeable).</t>
  </si>
  <si>
    <t xml:space="preserve">H-1057</t>
  </si>
  <si>
    <t xml:space="preserve">Stops Functioning of 'Longitudinal control (ACC, Chill mode)' while in Manual driving, item powered but not engaged (0–120 km/h), dry, daylight.</t>
  </si>
  <si>
    <t xml:space="preserve">H-1058</t>
  </si>
  <si>
    <t xml:space="preserve">Stops Functioning of 'Longitudinal control (ACC, Chill mode)' while in Manual driving, item powered but not engaged (0–120 km/h), wet road or light rain.</t>
  </si>
  <si>
    <t xml:space="preserve">H-1059</t>
  </si>
  <si>
    <t xml:space="preserve">Stops Functioning of 'Longitudinal control (ACC, Chill mode)' while in Manual driving, item powered but not engaged (0–120 km/h), night, dry, headlights.</t>
  </si>
  <si>
    <t xml:space="preserve">H-1060</t>
  </si>
  <si>
    <t xml:space="preserve">Stops Functioning of 'Longitudinal control (ACC, Chill mode)' while in Manual driving, item powered but not engaged (0–120 km/h), moderate or heavy rain (outside odd, foreseeable).</t>
  </si>
  <si>
    <t xml:space="preserve">H-1061</t>
  </si>
  <si>
    <t xml:space="preserve">Stops Functioning of 'Longitudinal control (ACC, Chill mode)' while in Manual driving, item powered but not engaged (0–120 km/h), snow or ice (outside odd, foreseeable).</t>
  </si>
  <si>
    <t xml:space="preserve">H-1062</t>
  </si>
  <si>
    <t xml:space="preserve">Stops Functioning of 'Longitudinal control (ACC, Chill mode)' while in Manual driving, item powered but not engaged (0–120 km/h), fog, visibility below the odd bound (outside odd, foreseeable).</t>
  </si>
  <si>
    <t xml:space="preserve">H-1063</t>
  </si>
  <si>
    <t xml:space="preserve">Stops Functioning of 'Longitudinal control (ACC, Chill mode)' while in Engaged outside the ODD (residential street, ramp, tight curve): foreseeable misuse (15–60 km/h), dry, daylight.</t>
  </si>
  <si>
    <t xml:space="preserve">H-1064</t>
  </si>
  <si>
    <t xml:space="preserve">Stops Functioning of 'Longitudinal control (ACC, Chill mode)' while in Engaged outside the ODD (residential street, ramp, tight curve): foreseeable misuse (15–60 km/h), wet road or light rain.</t>
  </si>
  <si>
    <t xml:space="preserve">H-1065</t>
  </si>
  <si>
    <t xml:space="preserve">Stops Functioning of 'Longitudinal control (ACC, Chill mode)' while in Engaged outside the ODD (residential street, ramp, tight curve): foreseeable misuse (15–60 km/h), night, dry, headlights.</t>
  </si>
  <si>
    <t xml:space="preserve">H-1066</t>
  </si>
  <si>
    <t xml:space="preserve">Stops Functioning of 'Longitudinal control (ACC, Chill mode)' while in Engaged outside the ODD (residential street, ramp, tight curve): foreseeable misuse (15–60 km/h), moderate or heavy rain (outside odd, foreseeable).</t>
  </si>
  <si>
    <t xml:space="preserve">H-1067</t>
  </si>
  <si>
    <t xml:space="preserve">Stops Functioning of 'Longitudinal control (ACC, Chill mode)' while in Engaged outside the ODD (residential street, ramp, tight curve): foreseeable misuse (15–60 km/h), snow or ice (outside odd, foreseeable).</t>
  </si>
  <si>
    <t xml:space="preserve">H-1068</t>
  </si>
  <si>
    <t xml:space="preserve">Stops Functioning of 'Longitudinal control (ACC, Chill mode)' while in Engaged outside the ODD (residential street, ramp, tight curve): foreseeable misuse (15–60 km/h), fog, visibility below the odd bound (outside odd, foreseeable).</t>
  </si>
  <si>
    <t xml:space="preserve">H-1069</t>
  </si>
  <si>
    <t xml:space="preserve">Stops Functioning of 'Longitudinal control (ACC, Chill mode)' while in Approaching a signalised or stop-controlled intersection (ODD-A) (30–90 km/h), dry, daylight.</t>
  </si>
  <si>
    <t xml:space="preserve">H-1070</t>
  </si>
  <si>
    <t xml:space="preserve">Stops Functioning of 'Longitudinal control (ACC, Chill mode)' while in Approaching a signalised or stop-controlled intersection (ODD-A) (30–90 km/h), wet road or light rain.</t>
  </si>
  <si>
    <t xml:space="preserve">H-1071</t>
  </si>
  <si>
    <t xml:space="preserve">Stops Functioning of 'Longitudinal control (ACC, Chill mode)' while in Approaching a signalised or stop-controlled intersection (ODD-A) (30–90 km/h), night, dry, headlights.</t>
  </si>
  <si>
    <t xml:space="preserve">H-1072</t>
  </si>
  <si>
    <t xml:space="preserve">Stops Functioning of 'Longitudinal control (ACC, Chill mode)' while in Approaching a signalised or stop-controlled intersection (ODD-A) (30–90 km/h), moderate or heavy rain (outside odd, foreseeable).</t>
  </si>
  <si>
    <t xml:space="preserve">H-1073</t>
  </si>
  <si>
    <t xml:space="preserve">Stops Functioning of 'Longitudinal control (ACC, Chill mode)' while in Approaching a signalised or stop-controlled intersection (ODD-A) (30–90 km/h), snow or ice (outside odd, foreseeable).</t>
  </si>
  <si>
    <t xml:space="preserve">H-1074</t>
  </si>
  <si>
    <t xml:space="preserve">Stops Functioning of 'Longitudinal control (ACC, Chill mode)' while in Approaching a signalised or stop-controlled intersection (ODD-A) (30–90 km/h), fog, visibility below the odd bound (outside odd, foreseeable).</t>
  </si>
  <si>
    <t xml:space="preserve">H-1075</t>
  </si>
  <si>
    <t xml:space="preserve">Stops Functioning of 'Longitudinal control (ACC, Chill mode)' while in Rural or arterial curve near R_ODD with oncoming traffic (60–90 km/h), dry, daylight.</t>
  </si>
  <si>
    <t xml:space="preserve">H-1076</t>
  </si>
  <si>
    <t xml:space="preserve">Stops Functioning of 'Longitudinal control (ACC, Chill mode)' while in Rural or arterial curve near R_ODD with oncoming traffic (60–90 km/h), wet road or light rain.</t>
  </si>
  <si>
    <t xml:space="preserve">H-1077</t>
  </si>
  <si>
    <t xml:space="preserve">Stops Functioning of 'Longitudinal control (ACC, Chill mode)' while in Rural or arterial curve near R_ODD with oncoming traffic (60–90 km/h), night, dry, headlights.</t>
  </si>
  <si>
    <t xml:space="preserve">H-1078</t>
  </si>
  <si>
    <t xml:space="preserve">Stops Functioning of 'Longitudinal control (ACC, Chill mode)' while in Rural or arterial curve near R_ODD with oncoming traffic (60–90 km/h), moderate or heavy rain (outside odd, foreseeable).</t>
  </si>
  <si>
    <t xml:space="preserve">H-1079</t>
  </si>
  <si>
    <t xml:space="preserve">Stops Functioning of 'Longitudinal control (ACC, Chill mode)' while in Rural or arterial curve near R_ODD with oncoming traffic (60–90 km/h), snow or ice (outside odd, foreseeable).</t>
  </si>
  <si>
    <t xml:space="preserve">H-1080</t>
  </si>
  <si>
    <t xml:space="preserve">Stops Functioning of 'Longitudinal control (ACC, Chill mode)' while in Rural or arterial curve near R_ODD with oncoming traffic (60–90 km/h), fog, visibility below the odd bound (outside odd, foreseeable).</t>
  </si>
  <si>
    <t xml:space="preserve">H-1081</t>
  </si>
  <si>
    <t xml:space="preserve">Unrequested Function of 'Longitudinal control (ACC, Chill mode)' while in Limited-access highway, free flow, adjacent traffic (90–120 km/h), dry, daylight.</t>
  </si>
  <si>
    <t xml:space="preserve">S2: rear impact by following traffic at a normal gap.</t>
  </si>
  <si>
    <t xml:space="preserve">C1 ⚠: deceleration bounded by the PCM ACC envelope (AOU-05); the following driver and the ego driver (gas override) react in ≥ 99 % of cases.</t>
  </si>
  <si>
    <t xml:space="preserve">H-1082</t>
  </si>
  <si>
    <t xml:space="preserve">Unrequested Function of 'Longitudinal control (ACC, Chill mode)' while in Limited-access highway, free flow, adjacent traffic (90–120 km/h), wet road or light rain.</t>
  </si>
  <si>
    <t xml:space="preserve">H-1083</t>
  </si>
  <si>
    <t xml:space="preserve">Unrequested Function of 'Longitudinal control (ACC, Chill mode)' while in Limited-access highway, free flow, adjacent traffic (90–120 km/h), night, dry, headlights.</t>
  </si>
  <si>
    <t xml:space="preserve">H-1084</t>
  </si>
  <si>
    <t xml:space="preserve">Unrequested Function of 'Longitudinal control (ACC, Chill mode)' while in Limited-access highway, free flow, adjacent traffic (90–120 km/h), moderate or heavy rain (outside odd, foreseeable).</t>
  </si>
  <si>
    <t xml:space="preserve">H-1085</t>
  </si>
  <si>
    <t xml:space="preserve">Unrequested Function of 'Longitudinal control (ACC, Chill mode)' while in Limited-access highway, free flow, adjacent traffic (90–120 km/h), snow or ice (outside odd, foreseeable).</t>
  </si>
  <si>
    <t xml:space="preserve">S2: rear impact by following traffic at a normal gap. Snow/ice: unexpected braking can destabilise the vehicle (S+1).</t>
  </si>
  <si>
    <t xml:space="preserve">C1 ⚠: deceleration bounded by the PCM ACC envelope (AOU-05); the following driver and the ego driver (gas override) react in ≥ 99 % of cases. Snow/ice (C+1).</t>
  </si>
  <si>
    <t xml:space="preserve">H-1086</t>
  </si>
  <si>
    <t xml:space="preserve">Unrequested Function of 'Longitudinal control (ACC, Chill mode)' while in Limited-access highway, free flow, adjacent traffic (90–120 km/h), fog, visibility below the odd bound (outside odd, foreseeable).</t>
  </si>
  <si>
    <t xml:space="preserve">H-1087</t>
  </si>
  <si>
    <t xml:space="preserve">Unrequested Function of 'Longitudinal control (ACC, Chill mode)' while in Highway curve near R_ODD with barrier or adjacent traffic (70–110 km/h), dry, daylight.</t>
  </si>
  <si>
    <t xml:space="preserve">S2: unexpected braking in a curve; rear impact or yaw disturbance.</t>
  </si>
  <si>
    <t xml:space="preserve">H-1088</t>
  </si>
  <si>
    <t xml:space="preserve">Unrequested Function of 'Longitudinal control (ACC, Chill mode)' while in Highway curve near R_ODD with barrier or adjacent traffic (70–110 km/h), wet road or light rain.</t>
  </si>
  <si>
    <t xml:space="preserve">S2: unexpected braking in a curve; rear impact or yaw disturbance. Wet: unexpected braking in a curve can cause instability (HE-04.2).</t>
  </si>
  <si>
    <t xml:space="preserve">C1 ⚠: VSC available (AOU-10); moderate ACC deceleration on wet roads is controllable for most drivers.</t>
  </si>
  <si>
    <t xml:space="preserve">H-1089</t>
  </si>
  <si>
    <t xml:space="preserve">Unrequested Function of 'Longitudinal control (ACC, Chill mode)' while in Highway curve near R_ODD with barrier or adjacent traffic (70–110 km/h), night, dry, headlights.</t>
  </si>
  <si>
    <t xml:space="preserve">H-1090</t>
  </si>
  <si>
    <t xml:space="preserve">Unrequested Function of 'Longitudinal control (ACC, Chill mode)' while in Highway curve near R_ODD with barrier or adjacent traffic (70–110 km/h), moderate or heavy rain (outside odd, foreseeable).</t>
  </si>
  <si>
    <t xml:space="preserve">H-1091</t>
  </si>
  <si>
    <t xml:space="preserve">Unrequested Function of 'Longitudinal control (ACC, Chill mode)' while in Highway curve near R_ODD with barrier or adjacent traffic (70–110 km/h), snow or ice (outside odd, foreseeable).</t>
  </si>
  <si>
    <t xml:space="preserve">S2: unexpected braking in a curve; rear impact or yaw disturbance. Snow/ice: unexpected braking can destabilise the vehicle (S+1).</t>
  </si>
  <si>
    <t xml:space="preserve">H-1092</t>
  </si>
  <si>
    <t xml:space="preserve">Unrequested Function of 'Longitudinal control (ACC, Chill mode)' while in Highway curve near R_ODD with barrier or adjacent traffic (70–110 km/h), fog, visibility below the odd bound (outside odd, foreseeable).</t>
  </si>
  <si>
    <t xml:space="preserve">H-1093</t>
  </si>
  <si>
    <t xml:space="preserve">Unrequested Function of 'Longitudinal control (ACC, Chill mode)' while in Undivided rural or arterial road, oncoming traffic (60–90 km/h), dry, daylight.</t>
  </si>
  <si>
    <t xml:space="preserve">S2: rear impact by following traffic.</t>
  </si>
  <si>
    <t xml:space="preserve">H-1094</t>
  </si>
  <si>
    <t xml:space="preserve">Unrequested Function of 'Longitudinal control (ACC, Chill mode)' while in Undivided rural or arterial road, oncoming traffic (60–90 km/h), wet road or light rain.</t>
  </si>
  <si>
    <t xml:space="preserve">H-1095</t>
  </si>
  <si>
    <t xml:space="preserve">Unrequested Function of 'Longitudinal control (ACC, Chill mode)' while in Undivided rural or arterial road, oncoming traffic (60–90 km/h), night, dry, headlights.</t>
  </si>
  <si>
    <t xml:space="preserve">H-1096</t>
  </si>
  <si>
    <t xml:space="preserve">Unrequested Function of 'Longitudinal control (ACC, Chill mode)' while in Undivided rural or arterial road, oncoming traffic (60–90 km/h), moderate or heavy rain (outside odd, foreseeable).</t>
  </si>
  <si>
    <t xml:space="preserve">H-1097</t>
  </si>
  <si>
    <t xml:space="preserve">Unrequested Function of 'Longitudinal control (ACC, Chill mode)' while in Undivided rural or arterial road, oncoming traffic (60–90 km/h), snow or ice (outside odd, foreseeable).</t>
  </si>
  <si>
    <t xml:space="preserve">S2: rear impact by following traffic. Snow/ice: unexpected braking can destabilise the vehicle (S+1).</t>
  </si>
  <si>
    <t xml:space="preserve">H-1098</t>
  </si>
  <si>
    <t xml:space="preserve">Unrequested Function of 'Longitudinal control (ACC, Chill mode)' while in Undivided rural or arterial road, oncoming traffic (60–90 km/h), fog, visibility below the odd bound (outside odd, foreseeable).</t>
  </si>
  <si>
    <t xml:space="preserve">H-1099</t>
  </si>
  <si>
    <t xml:space="preserve">Unrequested Function of 'Longitudinal control (ACC, Chill mode)' while in Urban arterial, pedestrians and cyclists near the lane edge (30–60 km/h), dry, daylight.</t>
  </si>
  <si>
    <t xml:space="preserve">S1: low-speed rear impact.</t>
  </si>
  <si>
    <t xml:space="preserve">H-1100</t>
  </si>
  <si>
    <t xml:space="preserve">Unrequested Function of 'Longitudinal control (ACC, Chill mode)' while in Urban arterial, pedestrians and cyclists near the lane edge (30–60 km/h), wet road or light rain.</t>
  </si>
  <si>
    <t xml:space="preserve">H-1101</t>
  </si>
  <si>
    <t xml:space="preserve">Unrequested Function of 'Longitudinal control (ACC, Chill mode)' while in Urban arterial, pedestrians and cyclists near the lane edge (30–60 km/h), night, dry, headlights.</t>
  </si>
  <si>
    <t xml:space="preserve">H-1102</t>
  </si>
  <si>
    <t xml:space="preserve">Unrequested Function of 'Longitudinal control (ACC, Chill mode)' while in Urban arterial, pedestrians and cyclists near the lane edge (30–60 km/h), moderate or heavy rain (outside odd, foreseeable).</t>
  </si>
  <si>
    <t xml:space="preserve">H-1103</t>
  </si>
  <si>
    <t xml:space="preserve">Unrequested Function of 'Longitudinal control (ACC, Chill mode)' while in Urban arterial, pedestrians and cyclists near the lane edge (30–60 km/h), snow or ice (outside odd, foreseeable).</t>
  </si>
  <si>
    <t xml:space="preserve">S1: low-speed rear impact. Snow/ice: unexpected braking can destabilise the vehicle (S+1).</t>
  </si>
  <si>
    <t xml:space="preserve">H-1104</t>
  </si>
  <si>
    <t xml:space="preserve">Unrequested Function of 'Longitudinal control (ACC, Chill mode)' while in Urban arterial, pedestrians and cyclists near the lane edge (30–60 km/h), fog, visibility below the odd bound (outside odd, foreseeable).</t>
  </si>
  <si>
    <t xml:space="preserve">H-1105</t>
  </si>
  <si>
    <t xml:space="preserve">Unrequested Function of 'Longitudinal control (ACC, Chill mode)' while in Following a lead vehicle at a short gap, dense traffic (30–110 km/h), dry, daylight.</t>
  </si>
  <si>
    <t xml:space="preserve">S2: in dense traffic a follower is close; rear impact.</t>
  </si>
  <si>
    <t xml:space="preserve">C2 ⚠: close follower; credits AOU-05 (deceleration bounded by the PCM).</t>
  </si>
  <si>
    <t xml:space="preserve">H-1106</t>
  </si>
  <si>
    <t xml:space="preserve">Unrequested Function of 'Longitudinal control (ACC, Chill mode)' while in Following a lead vehicle at a short gap, dense traffic (30–110 km/h), wet road or light rain.</t>
  </si>
  <si>
    <t xml:space="preserve">H-1107</t>
  </si>
  <si>
    <t xml:space="preserve">Unrequested Function of 'Longitudinal control (ACC, Chill mode)' while in Following a lead vehicle at a short gap, dense traffic (30–110 km/h), night, dry, headlights.</t>
  </si>
  <si>
    <t xml:space="preserve">H-1108</t>
  </si>
  <si>
    <t xml:space="preserve">Unrequested Function of 'Longitudinal control (ACC, Chill mode)' while in Following a lead vehicle at a short gap, dense traffic (30–110 km/h), moderate or heavy rain (outside odd, foreseeable).</t>
  </si>
  <si>
    <t xml:space="preserve">H-1109</t>
  </si>
  <si>
    <t xml:space="preserve">Unrequested Function of 'Longitudinal control (ACC, Chill mode)' while in Following a lead vehicle at a short gap, dense traffic (30–110 km/h), snow or ice (outside odd, foreseeable).</t>
  </si>
  <si>
    <t xml:space="preserve">S2: in dense traffic a follower is close; rear impact. Snow/ice: unexpected braking can destabilise the vehicle (S+1).</t>
  </si>
  <si>
    <t xml:space="preserve">C2 ⚠: close follower; credits AOU-05 (deceleration bounded by the PCM). Snow/ice (C+1).</t>
  </si>
  <si>
    <t xml:space="preserve">H-1110</t>
  </si>
  <si>
    <t xml:space="preserve">Unrequested Function of 'Longitudinal control (ACC, Chill mode)' while in Following a lead vehicle at a short gap, dense traffic (30–110 km/h), fog, visibility below the odd bound (outside odd, foreseeable).</t>
  </si>
  <si>
    <t xml:space="preserve">H-1111</t>
  </si>
  <si>
    <t xml:space="preserve">Unrequested Function of 'Longitudinal control (ACC, Chill mode)' while in Stop-and-go queue or standstill behind a lead; pedestrians may cross (0–30 km/h), dry, daylight.</t>
  </si>
  <si>
    <t xml:space="preserve">S1: queue speed.</t>
  </si>
  <si>
    <t xml:space="preserve">H-1112</t>
  </si>
  <si>
    <t xml:space="preserve">Unrequested Function of 'Longitudinal control (ACC, Chill mode)' while in Stop-and-go queue or standstill behind a lead; pedestrians may cross (0–30 km/h), wet road or light rain.</t>
  </si>
  <si>
    <t xml:space="preserve">H-1113</t>
  </si>
  <si>
    <t xml:space="preserve">Unrequested Function of 'Longitudinal control (ACC, Chill mode)' while in Stop-and-go queue or standstill behind a lead; pedestrians may cross (0–30 km/h), night, dry, headlights.</t>
  </si>
  <si>
    <t xml:space="preserve">H-1114</t>
  </si>
  <si>
    <t xml:space="preserve">Unrequested Function of 'Longitudinal control (ACC, Chill mode)' while in Stop-and-go queue or standstill behind a lead; pedestrians may cross (0–30 km/h), moderate or heavy rain (outside odd, foreseeable).</t>
  </si>
  <si>
    <t xml:space="preserve">H-1115</t>
  </si>
  <si>
    <t xml:space="preserve">Unrequested Function of 'Longitudinal control (ACC, Chill mode)' while in Stop-and-go queue or standstill behind a lead; pedestrians may cross (0–30 km/h), snow or ice (outside odd, foreseeable).</t>
  </si>
  <si>
    <t xml:space="preserve">S1: queue speed. Snow/ice: unexpected braking can destabilise the vehicle (S+1).</t>
  </si>
  <si>
    <t xml:space="preserve">H-1116</t>
  </si>
  <si>
    <t xml:space="preserve">Unrequested Function of 'Longitudinal control (ACC, Chill mode)' while in Stop-and-go queue or standstill behind a lead; pedestrians may cross (0–30 km/h), fog, visibility below the odd bound (outside odd, foreseeable).</t>
  </si>
  <si>
    <t xml:space="preserve">H-1117</t>
  </si>
  <si>
    <t xml:space="preserve">Unrequested Function of 'Longitudinal control (ACC, Chill mode)' while in Approaching slower or stationary traffic from highway speed (70–120 km/h), dry, daylight.</t>
  </si>
  <si>
    <t xml:space="preserve">S1: the vehicle is about to slow anyway; earlier braking is benign for following traffic that is also slowing.</t>
  </si>
  <si>
    <t xml:space="preserve">H-1118</t>
  </si>
  <si>
    <t xml:space="preserve">Unrequested Function of 'Longitudinal control (ACC, Chill mode)' while in Approaching slower or stationary traffic from highway speed (70–120 km/h), wet road or light rain.</t>
  </si>
  <si>
    <t xml:space="preserve">H-1119</t>
  </si>
  <si>
    <t xml:space="preserve">Unrequested Function of 'Longitudinal control (ACC, Chill mode)' while in Approaching slower or stationary traffic from highway speed (70–120 km/h), night, dry, headlights.</t>
  </si>
  <si>
    <t xml:space="preserve">H-1120</t>
  </si>
  <si>
    <t xml:space="preserve">Unrequested Function of 'Longitudinal control (ACC, Chill mode)' while in Approaching slower or stationary traffic from highway speed (70–120 km/h), moderate or heavy rain (outside odd, foreseeable).</t>
  </si>
  <si>
    <t xml:space="preserve">H-1121</t>
  </si>
  <si>
    <t xml:space="preserve">Unrequested Function of 'Longitudinal control (ACC, Chill mode)' while in Approaching slower or stationary traffic from highway speed (70–120 km/h), snow or ice (outside odd, foreseeable).</t>
  </si>
  <si>
    <t xml:space="preserve">S1: the vehicle is about to slow anyway; earlier braking is benign for following traffic that is also slowing. Snow/ice: unexpected braking can destabilise the vehicle (S+1).</t>
  </si>
  <si>
    <t xml:space="preserve">H-1122</t>
  </si>
  <si>
    <t xml:space="preserve">Unrequested Function of 'Longitudinal control (ACC, Chill mode)' while in Approaching slower or stationary traffic from highway speed (70–120 km/h), fog, visibility below the odd bound (outside odd, foreseeable).</t>
  </si>
  <si>
    <t xml:space="preserve">H-1123</t>
  </si>
  <si>
    <t xml:space="preserve">Unrequested Function of 'Longitudinal control (ACC, Chill mode)' while in Close following vehicle behind (gap &lt; 1.5 s) (50–120 km/h), dry, daylight.</t>
  </si>
  <si>
    <t xml:space="preserve">S2: rear impact by a close follower (HE-04.1).</t>
  </si>
  <si>
    <t xml:space="preserve">H-1124</t>
  </si>
  <si>
    <t xml:space="preserve">Unrequested Function of 'Longitudinal control (ACC, Chill mode)' while in Close following vehicle behind (gap &lt; 1.5 s) (50–120 km/h), wet road or light rain.</t>
  </si>
  <si>
    <t xml:space="preserve">H-1125</t>
  </si>
  <si>
    <t xml:space="preserve">Unrequested Function of 'Longitudinal control (ACC, Chill mode)' while in Close following vehicle behind (gap &lt; 1.5 s) (50–120 km/h), night, dry, headlights.</t>
  </si>
  <si>
    <t xml:space="preserve">H-1126</t>
  </si>
  <si>
    <t xml:space="preserve">Unrequested Function of 'Longitudinal control (ACC, Chill mode)' while in Close following vehicle behind (gap &lt; 1.5 s) (50–120 km/h), moderate or heavy rain (outside odd, foreseeable).</t>
  </si>
  <si>
    <t xml:space="preserve">H-1127</t>
  </si>
  <si>
    <t xml:space="preserve">Unrequested Function of 'Longitudinal control (ACC, Chill mode)' while in Close following vehicle behind (gap &lt; 1.5 s) (50–120 km/h), snow or ice (outside odd, foreseeable).</t>
  </si>
  <si>
    <t xml:space="preserve">S2: rear impact by a close follower (HE-04.1). Snow/ice: unexpected braking can destabilise the vehicle (S+1).</t>
  </si>
  <si>
    <t xml:space="preserve">H-1128</t>
  </si>
  <si>
    <t xml:space="preserve">Unrequested Function of 'Longitudinal control (ACC, Chill mode)' while in Close following vehicle behind (gap &lt; 1.5 s) (50–120 km/h), fog, visibility below the odd bound (outside odd, foreseeable).</t>
  </si>
  <si>
    <t xml:space="preserve">H-1129</t>
  </si>
  <si>
    <t xml:space="preserve">Unrequested Function of 'Longitudinal control (ACC, Chill mode)' while in Imminent collision where the stock PCS/AEB would intervene (0–120 km/h), dry, daylight.</t>
  </si>
  <si>
    <t xml:space="preserve">S0: Not hazardous here: braking does not add risk (e.g. during an imminent collision braking helps).</t>
  </si>
  <si>
    <t xml:space="preserve">H-1130</t>
  </si>
  <si>
    <t xml:space="preserve">Unrequested Function of 'Longitudinal control (ACC, Chill mode)' while in Imminent collision where the stock PCS/AEB would intervene (0–120 km/h), wet road or light rain.</t>
  </si>
  <si>
    <t xml:space="preserve">H-1131</t>
  </si>
  <si>
    <t xml:space="preserve">Unrequested Function of 'Longitudinal control (ACC, Chill mode)' while in Imminent collision where the stock PCS/AEB would intervene (0–120 km/h), night, dry, headlights.</t>
  </si>
  <si>
    <t xml:space="preserve">H-1132</t>
  </si>
  <si>
    <t xml:space="preserve">Unrequested Function of 'Longitudinal control (ACC, Chill mode)' while in Imminent collision where the stock PCS/AEB would intervene (0–120 km/h), moderate or heavy rain (outside odd, foreseeable).</t>
  </si>
  <si>
    <t xml:space="preserve">H-1133</t>
  </si>
  <si>
    <t xml:space="preserve">Unrequested Function of 'Longitudinal control (ACC, Chill mode)' while in Imminent collision where the stock PCS/AEB would intervene (0–120 km/h), snow or ice (outside odd, foreseeable).</t>
  </si>
  <si>
    <t xml:space="preserve">H-1134</t>
  </si>
  <si>
    <t xml:space="preserve">Unrequested Function of 'Longitudinal control (ACC, Chill mode)' while in Imminent collision where the stock PCS/AEB would intervene (0–120 km/h), fog, visibility below the odd bound (outside odd, foreseeable).</t>
  </si>
  <si>
    <t xml:space="preserve">H-1135</t>
  </si>
  <si>
    <t xml:space="preserve">Unrequested Function of 'Longitudinal control (ACC, Chill mode)' while in Driver override while engaged: braking, cancel or evasive steering (0–120 km/h), dry, daylight.</t>
  </si>
  <si>
    <t xml:space="preserve">S2: sudden braking during a driver evasive manoeuvre.</t>
  </si>
  <si>
    <t xml:space="preserve">H-1136</t>
  </si>
  <si>
    <t xml:space="preserve">Unrequested Function of 'Longitudinal control (ACC, Chill mode)' while in Driver override while engaged: braking, cancel or evasive steering (0–120 km/h), wet road or light rain.</t>
  </si>
  <si>
    <t xml:space="preserve">H-1137</t>
  </si>
  <si>
    <t xml:space="preserve">Unrequested Function of 'Longitudinal control (ACC, Chill mode)' while in Driver override while engaged: braking, cancel or evasive steering (0–120 km/h), night, dry, headlights.</t>
  </si>
  <si>
    <t xml:space="preserve">H-1138</t>
  </si>
  <si>
    <t xml:space="preserve">Unrequested Function of 'Longitudinal control (ACC, Chill mode)' while in Driver override while engaged: braking, cancel or evasive steering (0–120 km/h), moderate or heavy rain (outside odd, foreseeable).</t>
  </si>
  <si>
    <t xml:space="preserve">H-1139</t>
  </si>
  <si>
    <t xml:space="preserve">Unrequested Function of 'Longitudinal control (ACC, Chill mode)' while in Driver override while engaged: braking, cancel or evasive steering (0–120 km/h), snow or ice (outside odd, foreseeable).</t>
  </si>
  <si>
    <t xml:space="preserve">S2: sudden braking during a driver evasive manoeuvre. Snow/ice: unexpected braking can destabilise the vehicle (S+1).</t>
  </si>
  <si>
    <t xml:space="preserve">H-1140</t>
  </si>
  <si>
    <t xml:space="preserve">Unrequested Function of 'Longitudinal control (ACC, Chill mode)' while in Driver override while engaged: braking, cancel or evasive steering (0–120 km/h), fog, visibility below the odd bound (outside odd, foreseeable).</t>
  </si>
  <si>
    <t xml:space="preserve">H-1141</t>
  </si>
  <si>
    <t xml:space="preserve">Unrequested Function of 'Longitudinal control (ACC, Chill mode)' while in Driver-initiated assisted lane change (70–120 km/h), dry, daylight.</t>
  </si>
  <si>
    <t xml:space="preserve">S2: braking during a lane change in front of traffic in the target lane.</t>
  </si>
  <si>
    <t xml:space="preserve">H-1142</t>
  </si>
  <si>
    <t xml:space="preserve">Unrequested Function of 'Longitudinal control (ACC, Chill mode)' while in Driver-initiated assisted lane change (70–120 km/h), wet road or light rain.</t>
  </si>
  <si>
    <t xml:space="preserve">H-1143</t>
  </si>
  <si>
    <t xml:space="preserve">Unrequested Function of 'Longitudinal control (ACC, Chill mode)' while in Driver-initiated assisted lane change (70–120 km/h), night, dry, headlights.</t>
  </si>
  <si>
    <t xml:space="preserve">H-1144</t>
  </si>
  <si>
    <t xml:space="preserve">Unrequested Function of 'Longitudinal control (ACC, Chill mode)' while in Driver-initiated assisted lane change (70–120 km/h), moderate or heavy rain (outside odd, foreseeable).</t>
  </si>
  <si>
    <t xml:space="preserve">H-1145</t>
  </si>
  <si>
    <t xml:space="preserve">Unrequested Function of 'Longitudinal control (ACC, Chill mode)' while in Driver-initiated assisted lane change (70–120 km/h), snow or ice (outside odd, foreseeable).</t>
  </si>
  <si>
    <t xml:space="preserve">S2: braking during a lane change in front of traffic in the target lane. Snow/ice: unexpected braking can destabilise the vehicle (S+1).</t>
  </si>
  <si>
    <t xml:space="preserve">H-1146</t>
  </si>
  <si>
    <t xml:space="preserve">Unrequested Function of 'Longitudinal control (ACC, Chill mode)' while in Driver-initiated assisted lane change (70–120 km/h), fog, visibility below the odd bound (outside odd, foreseeable).</t>
  </si>
  <si>
    <t xml:space="preserve">H-1147</t>
  </si>
  <si>
    <t xml:space="preserve">Unrequested Function of 'Longitudinal control (ACC, Chill mode)' while in Manual driving, item powered but not engaged (0–120 km/h), dry, daylight.</t>
  </si>
  <si>
    <t xml:space="preserve">S2: braking applied during manual driving, follower behind.</t>
  </si>
  <si>
    <t xml:space="preserve">H-1148</t>
  </si>
  <si>
    <t xml:space="preserve">Unrequested Function of 'Longitudinal control (ACC, Chill mode)' while in Manual driving, item powered but not engaged (0–120 km/h), wet road or light rain.</t>
  </si>
  <si>
    <t xml:space="preserve">H-1149</t>
  </si>
  <si>
    <t xml:space="preserve">Unrequested Function of 'Longitudinal control (ACC, Chill mode)' while in Manual driving, item powered but not engaged (0–120 km/h), night, dry, headlights.</t>
  </si>
  <si>
    <t xml:space="preserve">H-1150</t>
  </si>
  <si>
    <t xml:space="preserve">Unrequested Function of 'Longitudinal control (ACC, Chill mode)' while in Manual driving, item powered but not engaged (0–120 km/h), moderate or heavy rain (outside odd, foreseeable).</t>
  </si>
  <si>
    <t xml:space="preserve">H-1151</t>
  </si>
  <si>
    <t xml:space="preserve">Unrequested Function of 'Longitudinal control (ACC, Chill mode)' while in Manual driving, item powered but not engaged (0–120 km/h), snow or ice (outside odd, foreseeable).</t>
  </si>
  <si>
    <t xml:space="preserve">S2: braking applied during manual driving, follower behind. Snow/ice: unexpected braking can destabilise the vehicle (S+1).</t>
  </si>
  <si>
    <t xml:space="preserve">H-1152</t>
  </si>
  <si>
    <t xml:space="preserve">Unrequested Function of 'Longitudinal control (ACC, Chill mode)' while in Manual driving, item powered but not engaged (0–120 km/h), fog, visibility below the odd bound (outside odd, foreseeable).</t>
  </si>
  <si>
    <t xml:space="preserve">H-1153</t>
  </si>
  <si>
    <t xml:space="preserve">Unrequested Function of 'Longitudinal control (ACC, Chill mode)' while in Engaged outside the ODD (residential street, ramp, tight curve): foreseeable misuse (15–60 km/h), dry, daylight.</t>
  </si>
  <si>
    <t xml:space="preserve">S1: low speed outside the ODD.</t>
  </si>
  <si>
    <t xml:space="preserve">H-1154</t>
  </si>
  <si>
    <t xml:space="preserve">Unrequested Function of 'Longitudinal control (ACC, Chill mode)' while in Engaged outside the ODD (residential street, ramp, tight curve): foreseeable misuse (15–60 km/h), wet road or light rain.</t>
  </si>
  <si>
    <t xml:space="preserve">S1: low speed outside the ODD. Wet: unexpected braking in a curve can cause instability (HE-04.2).</t>
  </si>
  <si>
    <t xml:space="preserve">H-1155</t>
  </si>
  <si>
    <t xml:space="preserve">Unrequested Function of 'Longitudinal control (ACC, Chill mode)' while in Engaged outside the ODD (residential street, ramp, tight curve): foreseeable misuse (15–60 km/h), night, dry, headlights.</t>
  </si>
  <si>
    <t xml:space="preserve">H-1156</t>
  </si>
  <si>
    <t xml:space="preserve">Unrequested Function of 'Longitudinal control (ACC, Chill mode)' while in Engaged outside the ODD (residential street, ramp, tight curve): foreseeable misuse (15–60 km/h), moderate or heavy rain (outside odd, foreseeable).</t>
  </si>
  <si>
    <t xml:space="preserve">H-1157</t>
  </si>
  <si>
    <t xml:space="preserve">Unrequested Function of 'Longitudinal control (ACC, Chill mode)' while in Engaged outside the ODD (residential street, ramp, tight curve): foreseeable misuse (15–60 km/h), snow or ice (outside odd, foreseeable).</t>
  </si>
  <si>
    <t xml:space="preserve">S1: low speed outside the ODD. Snow/ice: unexpected braking can destabilise the vehicle (S+1).</t>
  </si>
  <si>
    <t xml:space="preserve">H-1158</t>
  </si>
  <si>
    <t xml:space="preserve">Unrequested Function of 'Longitudinal control (ACC, Chill mode)' while in Engaged outside the ODD (residential street, ramp, tight curve): foreseeable misuse (15–60 km/h), fog, visibility below the odd bound (outside odd, foreseeable).</t>
  </si>
  <si>
    <t xml:space="preserve">H-1159</t>
  </si>
  <si>
    <t xml:space="preserve">Unrequested Function of 'Longitudinal control (ACC, Chill mode)' while in Approaching a signalised or stop-controlled intersection (ODD-A) (30–90 km/h), dry, daylight.</t>
  </si>
  <si>
    <t xml:space="preserve">S2: unexpected stop before an intersection with a follower behind.</t>
  </si>
  <si>
    <t xml:space="preserve">H-1160</t>
  </si>
  <si>
    <t xml:space="preserve">Unrequested Function of 'Longitudinal control (ACC, Chill mode)' while in Approaching a signalised or stop-controlled intersection (ODD-A) (30–90 km/h), wet road or light rain.</t>
  </si>
  <si>
    <t xml:space="preserve">H-1161</t>
  </si>
  <si>
    <t xml:space="preserve">Unrequested Function of 'Longitudinal control (ACC, Chill mode)' while in Approaching a signalised or stop-controlled intersection (ODD-A) (30–90 km/h), night, dry, headlights.</t>
  </si>
  <si>
    <t xml:space="preserve">H-1162</t>
  </si>
  <si>
    <t xml:space="preserve">Unrequested Function of 'Longitudinal control (ACC, Chill mode)' while in Approaching a signalised or stop-controlled intersection (ODD-A) (30–90 km/h), moderate or heavy rain (outside odd, foreseeable).</t>
  </si>
  <si>
    <t xml:space="preserve">H-1163</t>
  </si>
  <si>
    <t xml:space="preserve">Unrequested Function of 'Longitudinal control (ACC, Chill mode)' while in Approaching a signalised or stop-controlled intersection (ODD-A) (30–90 km/h), snow or ice (outside odd, foreseeable).</t>
  </si>
  <si>
    <t xml:space="preserve">S2: unexpected stop before an intersection with a follower behind. Snow/ice: unexpected braking can destabilise the vehicle (S+1).</t>
  </si>
  <si>
    <t xml:space="preserve">H-1164</t>
  </si>
  <si>
    <t xml:space="preserve">Unrequested Function of 'Longitudinal control (ACC, Chill mode)' while in Approaching a signalised or stop-controlled intersection (ODD-A) (30–90 km/h), fog, visibility below the odd bound (outside odd, foreseeable).</t>
  </si>
  <si>
    <t xml:space="preserve">H-1165</t>
  </si>
  <si>
    <t xml:space="preserve">Unrequested Function of 'Longitudinal control (ACC, Chill mode)' while in Rural or arterial curve near R_ODD with oncoming traffic (60–90 km/h), dry, daylight.</t>
  </si>
  <si>
    <t xml:space="preserve">S2: unexpected braking in a rural curve; rear impact or yaw disturbance.</t>
  </si>
  <si>
    <t xml:space="preserve">H-1166</t>
  </si>
  <si>
    <t xml:space="preserve">Unrequested Function of 'Longitudinal control (ACC, Chill mode)' while in Rural or arterial curve near R_ODD with oncoming traffic (60–90 km/h), wet road or light rain.</t>
  </si>
  <si>
    <t xml:space="preserve">S2: unexpected braking in a rural curve; rear impact or yaw disturbance. Wet: unexpected braking in a curve can cause instability (HE-04.2).</t>
  </si>
  <si>
    <t xml:space="preserve">H-1167</t>
  </si>
  <si>
    <t xml:space="preserve">Unrequested Function of 'Longitudinal control (ACC, Chill mode)' while in Rural or arterial curve near R_ODD with oncoming traffic (60–90 km/h), night, dry, headlights.</t>
  </si>
  <si>
    <t xml:space="preserve">H-1168</t>
  </si>
  <si>
    <t xml:space="preserve">Unrequested Function of 'Longitudinal control (ACC, Chill mode)' while in Rural or arterial curve near R_ODD with oncoming traffic (60–90 km/h), moderate or heavy rain (outside odd, foreseeable).</t>
  </si>
  <si>
    <t xml:space="preserve">H-1169</t>
  </si>
  <si>
    <t xml:space="preserve">Unrequested Function of 'Longitudinal control (ACC, Chill mode)' while in Rural or arterial curve near R_ODD with oncoming traffic (60–90 km/h), snow or ice (outside odd, foreseeable).</t>
  </si>
  <si>
    <t xml:space="preserve">S2: unexpected braking in a rural curve; rear impact or yaw disturbance. Snow/ice: unexpected braking can destabilise the vehicle (S+1).</t>
  </si>
  <si>
    <t xml:space="preserve">H-1170</t>
  </si>
  <si>
    <t xml:space="preserve">Unrequested Function of 'Longitudinal control (ACC, Chill mode)' while in Rural or arterial curve near R_ODD with oncoming traffic (60–90 km/h), fog, visibility below the odd bound (outside odd, foreseeable).</t>
  </si>
  <si>
    <t xml:space="preserve">H-1171</t>
  </si>
  <si>
    <t xml:space="preserve">Function Stuck of 'Longitudinal control (ACC, Chill mode)' while in Limited-access highway, free flow, adjacent traffic (90–120 km/h), dry, daylight.</t>
  </si>
  <si>
    <t xml:space="preserve">S2: speed rises above the set speed in free flow; moderate impacts if traffic slows.</t>
  </si>
  <si>
    <t xml:space="preserve">C1 ⚠: the driver brakes (credits AOU-03); acceleration bounded to +2.0 m/s² by the envelope.</t>
  </si>
  <si>
    <t xml:space="preserve">H-1172</t>
  </si>
  <si>
    <t xml:space="preserve">Function Stuck of 'Longitudinal control (ACC, Chill mode)' while in Limited-access highway, free flow, adjacent traffic (90–120 km/h), wet road or light rain.</t>
  </si>
  <si>
    <t xml:space="preserve">H-1173</t>
  </si>
  <si>
    <t xml:space="preserve">Function Stuck of 'Longitudinal control (ACC, Chill mode)' while in Limited-access highway, free flow, adjacent traffic (90–120 km/h), night, dry, headlights.</t>
  </si>
  <si>
    <t xml:space="preserve">H-1174</t>
  </si>
  <si>
    <t xml:space="preserve">Function Stuck of 'Longitudinal control (ACC, Chill mode)' while in Limited-access highway, free flow, adjacent traffic (90–120 km/h), moderate or heavy rain (outside odd, foreseeable).</t>
  </si>
  <si>
    <t xml:space="preserve">H-1175</t>
  </si>
  <si>
    <t xml:space="preserve">Function Stuck of 'Longitudinal control (ACC, Chill mode)' while in Limited-access highway, free flow, adjacent traffic (90–120 km/h), snow or ice (outside odd, foreseeable).</t>
  </si>
  <si>
    <t xml:space="preserve">C1 ⚠: the driver brakes (credits AOU-03); acceleration bounded to +2.0 m/s² by the envelope. Snow/ice: low friction; a correction or braking can induce a skid (C+1).</t>
  </si>
  <si>
    <t xml:space="preserve">H-1176</t>
  </si>
  <si>
    <t xml:space="preserve">Function Stuck of 'Longitudinal control (ACC, Chill mode)' while in Limited-access highway, free flow, adjacent traffic (90–120 km/h), fog, visibility below the odd bound (outside odd, foreseeable).</t>
  </si>
  <si>
    <t xml:space="preserve">H-1177</t>
  </si>
  <si>
    <t xml:space="preserve">Function Stuck of 'Longitudinal control (ACC, Chill mode)' while in Highway curve near R_ODD with barrier or adjacent traffic (70–110 km/h), dry, daylight.</t>
  </si>
  <si>
    <t xml:space="preserve">S3: speed rises in a curve beyond the lateral limit; run-off.</t>
  </si>
  <si>
    <t xml:space="preserve">C2 ⚠: the driver brakes; credits AOU-03 (brake overrides ACC) and AOU-05 (PCM bounds ACC acceleration).</t>
  </si>
  <si>
    <t xml:space="preserve">H-1178</t>
  </si>
  <si>
    <t xml:space="preserve">Function Stuck of 'Longitudinal control (ACC, Chill mode)' while in Highway curve near R_ODD with barrier or adjacent traffic (70–110 km/h), wet road or light rain.</t>
  </si>
  <si>
    <t xml:space="preserve">H-1179</t>
  </si>
  <si>
    <t xml:space="preserve">Function Stuck of 'Longitudinal control (ACC, Chill mode)' while in Highway curve near R_ODD with barrier or adjacent traffic (70–110 km/h), night, dry, headlights.</t>
  </si>
  <si>
    <t xml:space="preserve">H-1180</t>
  </si>
  <si>
    <t xml:space="preserve">Function Stuck of 'Longitudinal control (ACC, Chill mode)' while in Highway curve near R_ODD with barrier or adjacent traffic (70–110 km/h), moderate or heavy rain (outside odd, foreseeable).</t>
  </si>
  <si>
    <t xml:space="preserve">H-1181</t>
  </si>
  <si>
    <t xml:space="preserve">Function Stuck of 'Longitudinal control (ACC, Chill mode)' while in Highway curve near R_ODD with barrier or adjacent traffic (70–110 km/h), snow or ice (outside odd, foreseeable).</t>
  </si>
  <si>
    <t xml:space="preserve">C2 ⚠: the driver brakes; credits AOU-03 (brake overrides ACC) and AOU-05 (PCM bounds ACC acceleration). Snow/ice: low friction; a correction or braking can induce a skid (C+1).</t>
  </si>
  <si>
    <t xml:space="preserve">H-1182</t>
  </si>
  <si>
    <t xml:space="preserve">Function Stuck of 'Longitudinal control (ACC, Chill mode)' while in Highway curve near R_ODD with barrier or adjacent traffic (70–110 km/h), fog, visibility below the odd bound (outside odd, foreseeable).</t>
  </si>
  <si>
    <t xml:space="preserve">H-1183</t>
  </si>
  <si>
    <t xml:space="preserve">Function Stuck of 'Longitudinal control (ACC, Chill mode)' while in Undivided rural or arterial road, oncoming traffic (60–90 km/h), dry, daylight.</t>
  </si>
  <si>
    <t xml:space="preserve">S2: overspeed on a rural road.</t>
  </si>
  <si>
    <t xml:space="preserve">C1 ⚠: the driver brakes (credits AOU-03).</t>
  </si>
  <si>
    <t xml:space="preserve">H-1184</t>
  </si>
  <si>
    <t xml:space="preserve">Function Stuck of 'Longitudinal control (ACC, Chill mode)' while in Undivided rural or arterial road, oncoming traffic (60–90 km/h), wet road or light rain.</t>
  </si>
  <si>
    <t xml:space="preserve">H-1185</t>
  </si>
  <si>
    <t xml:space="preserve">Function Stuck of 'Longitudinal control (ACC, Chill mode)' while in Undivided rural or arterial road, oncoming traffic (60–90 km/h), night, dry, headlights.</t>
  </si>
  <si>
    <t xml:space="preserve">H-1186</t>
  </si>
  <si>
    <t xml:space="preserve">Function Stuck of 'Longitudinal control (ACC, Chill mode)' while in Undivided rural or arterial road, oncoming traffic (60–90 km/h), moderate or heavy rain (outside odd, foreseeable).</t>
  </si>
  <si>
    <t xml:space="preserve">H-1187</t>
  </si>
  <si>
    <t xml:space="preserve">Function Stuck of 'Longitudinal control (ACC, Chill mode)' while in Undivided rural or arterial road, oncoming traffic (60–90 km/h), snow or ice (outside odd, foreseeable).</t>
  </si>
  <si>
    <t xml:space="preserve">C1 ⚠: the driver brakes (credits AOU-03). Snow/ice: low friction; a correction or braking can induce a skid (C+1).</t>
  </si>
  <si>
    <t xml:space="preserve">H-1188</t>
  </si>
  <si>
    <t xml:space="preserve">Function Stuck of 'Longitudinal control (ACC, Chill mode)' while in Undivided rural or arterial road, oncoming traffic (60–90 km/h), fog, visibility below the odd bound (outside odd, foreseeable).</t>
  </si>
  <si>
    <t xml:space="preserve">H-1189</t>
  </si>
  <si>
    <t xml:space="preserve">Function Stuck of 'Longitudinal control (ACC, Chill mode)' while in Urban arterial, pedestrians and cyclists near the lane edge (30–60 km/h), dry, daylight.</t>
  </si>
  <si>
    <t xml:space="preserve">S3: acceleration towards VRUs.</t>
  </si>
  <si>
    <t xml:space="preserve">H-1190</t>
  </si>
  <si>
    <t xml:space="preserve">Function Stuck of 'Longitudinal control (ACC, Chill mode)' while in Urban arterial, pedestrians and cyclists near the lane edge (30–60 km/h), wet road or light rain.</t>
  </si>
  <si>
    <t xml:space="preserve">H-1191</t>
  </si>
  <si>
    <t xml:space="preserve">Function Stuck of 'Longitudinal control (ACC, Chill mode)' while in Urban arterial, pedestrians and cyclists near the lane edge (30–60 km/h), night, dry, headlights.</t>
  </si>
  <si>
    <t xml:space="preserve">H-1192</t>
  </si>
  <si>
    <t xml:space="preserve">Function Stuck of 'Longitudinal control (ACC, Chill mode)' while in Urban arterial, pedestrians and cyclists near the lane edge (30–60 km/h), moderate or heavy rain (outside odd, foreseeable).</t>
  </si>
  <si>
    <t xml:space="preserve">H-1193</t>
  </si>
  <si>
    <t xml:space="preserve">Function Stuck of 'Longitudinal control (ACC, Chill mode)' while in Urban arterial, pedestrians and cyclists near the lane edge (30–60 km/h), snow or ice (outside odd, foreseeable).</t>
  </si>
  <si>
    <t xml:space="preserve">H-1194</t>
  </si>
  <si>
    <t xml:space="preserve">Function Stuck of 'Longitudinal control (ACC, Chill mode)' while in Urban arterial, pedestrians and cyclists near the lane edge (30–60 km/h), fog, visibility below the odd bound (outside odd, foreseeable).</t>
  </si>
  <si>
    <t xml:space="preserve">H-1195</t>
  </si>
  <si>
    <t xml:space="preserve">Function Stuck of 'Longitudinal control (ACC, Chill mode)' while in Following a lead vehicle at a short gap, dense traffic (30–110 km/h), dry, daylight.</t>
  </si>
  <si>
    <t xml:space="preserve">S2: rear-end impact on the lead at moderate speed difference (HE-03.1).</t>
  </si>
  <si>
    <t xml:space="preserve">H-1196</t>
  </si>
  <si>
    <t xml:space="preserve">Function Stuck of 'Longitudinal control (ACC, Chill mode)' while in Following a lead vehicle at a short gap, dense traffic (30–110 km/h), wet road or light rain.</t>
  </si>
  <si>
    <t xml:space="preserve">H-1197</t>
  </si>
  <si>
    <t xml:space="preserve">Function Stuck of 'Longitudinal control (ACC, Chill mode)' while in Following a lead vehicle at a short gap, dense traffic (30–110 km/h), night, dry, headlights.</t>
  </si>
  <si>
    <t xml:space="preserve">H-1198</t>
  </si>
  <si>
    <t xml:space="preserve">Function Stuck of 'Longitudinal control (ACC, Chill mode)' while in Following a lead vehicle at a short gap, dense traffic (30–110 km/h), moderate or heavy rain (outside odd, foreseeable).</t>
  </si>
  <si>
    <t xml:space="preserve">H-1199</t>
  </si>
  <si>
    <t xml:space="preserve">Function Stuck of 'Longitudinal control (ACC, Chill mode)' while in Following a lead vehicle at a short gap, dense traffic (30–110 km/h), snow or ice (outside odd, foreseeable).</t>
  </si>
  <si>
    <t xml:space="preserve">H-1200</t>
  </si>
  <si>
    <t xml:space="preserve">Function Stuck of 'Longitudinal control (ACC, Chill mode)' while in Following a lead vehicle at a short gap, dense traffic (30–110 km/h), fog, visibility below the odd bound (outside odd, foreseeable).</t>
  </si>
  <si>
    <t xml:space="preserve">H-1201</t>
  </si>
  <si>
    <t xml:space="preserve">Function Stuck of 'Longitudinal control (ACC, Chill mode)' while in Stop-and-go queue or standstill behind a lead; pedestrians may cross (0–30 km/h), dry, daylight.</t>
  </si>
  <si>
    <t xml:space="preserve">S3: launch from standstill into a crossing pedestrian (HE-03.2).</t>
  </si>
  <si>
    <t xml:space="preserve">C2: the driver must brake immediately; a low-speed launch is limited.</t>
  </si>
  <si>
    <t xml:space="preserve">H-1202</t>
  </si>
  <si>
    <t xml:space="preserve">Function Stuck of 'Longitudinal control (ACC, Chill mode)' while in Stop-and-go queue or standstill behind a lead; pedestrians may cross (0–30 km/h), wet road or light rain.</t>
  </si>
  <si>
    <t xml:space="preserve">H-1203</t>
  </si>
  <si>
    <t xml:space="preserve">Function Stuck of 'Longitudinal control (ACC, Chill mode)' while in Stop-and-go queue or standstill behind a lead; pedestrians may cross (0–30 km/h), night, dry, headlights.</t>
  </si>
  <si>
    <t xml:space="preserve">H-1204</t>
  </si>
  <si>
    <t xml:space="preserve">Function Stuck of 'Longitudinal control (ACC, Chill mode)' while in Stop-and-go queue or standstill behind a lead; pedestrians may cross (0–30 km/h), moderate or heavy rain (outside odd, foreseeable).</t>
  </si>
  <si>
    <t xml:space="preserve">H-1205</t>
  </si>
  <si>
    <t xml:space="preserve">Function Stuck of 'Longitudinal control (ACC, Chill mode)' while in Stop-and-go queue or standstill behind a lead; pedestrians may cross (0–30 km/h), snow or ice (outside odd, foreseeable).</t>
  </si>
  <si>
    <t xml:space="preserve">C2: the driver must brake immediately; a low-speed launch is limited. Snow/ice: low friction; a correction or braking can induce a skid (C+1).</t>
  </si>
  <si>
    <t xml:space="preserve">H-1206</t>
  </si>
  <si>
    <t xml:space="preserve">Function Stuck of 'Longitudinal control (ACC, Chill mode)' while in Stop-and-go queue or standstill behind a lead; pedestrians may cross (0–30 km/h), fog, visibility below the odd bound (outside odd, foreseeable).</t>
  </si>
  <si>
    <t xml:space="preserve">H-1207</t>
  </si>
  <si>
    <t xml:space="preserve">Function Stuck of 'Longitudinal control (ACC, Chill mode)' while in Approaching slower or stationary traffic from highway speed (70–120 km/h), dry, daylight.</t>
  </si>
  <si>
    <t xml:space="preserve">S3: acceleration towards slower traffic at high closing speed (HE-03.3).</t>
  </si>
  <si>
    <t xml:space="preserve">H-1208</t>
  </si>
  <si>
    <t xml:space="preserve">Function Stuck of 'Longitudinal control (ACC, Chill mode)' while in Approaching slower or stationary traffic from highway speed (70–120 km/h), wet road or light rain.</t>
  </si>
  <si>
    <t xml:space="preserve">H-1209</t>
  </si>
  <si>
    <t xml:space="preserve">Function Stuck of 'Longitudinal control (ACC, Chill mode)' while in Approaching slower or stationary traffic from highway speed (70–120 km/h), night, dry, headlights.</t>
  </si>
  <si>
    <t xml:space="preserve">H-1210</t>
  </si>
  <si>
    <t xml:space="preserve">Function Stuck of 'Longitudinal control (ACC, Chill mode)' while in Approaching slower or stationary traffic from highway speed (70–120 km/h), moderate or heavy rain (outside odd, foreseeable).</t>
  </si>
  <si>
    <t xml:space="preserve">H-1211</t>
  </si>
  <si>
    <t xml:space="preserve">Function Stuck of 'Longitudinal control (ACC, Chill mode)' while in Approaching slower or stationary traffic from highway speed (70–120 km/h), snow or ice (outside odd, foreseeable).</t>
  </si>
  <si>
    <t xml:space="preserve">H-1212</t>
  </si>
  <si>
    <t xml:space="preserve">Function Stuck of 'Longitudinal control (ACC, Chill mode)' while in Approaching slower or stationary traffic from highway speed (70–120 km/h), fog, visibility below the odd bound (outside odd, foreseeable).</t>
  </si>
  <si>
    <t xml:space="preserve">H-1213</t>
  </si>
  <si>
    <t xml:space="preserve">Function Stuck of 'Longitudinal control (ACC, Chill mode)' while in Close following vehicle behind (gap &lt; 1.5 s) (50–120 km/h), dry, daylight.</t>
  </si>
  <si>
    <t xml:space="preserve">S0: Not hazardous here: acceleration does not reduce the margin in this situation (e.g. pulling away from a close follower).</t>
  </si>
  <si>
    <t xml:space="preserve">H-1214</t>
  </si>
  <si>
    <t xml:space="preserve">Function Stuck of 'Longitudinal control (ACC, Chill mode)' while in Close following vehicle behind (gap &lt; 1.5 s) (50–120 km/h), wet road or light rain.</t>
  </si>
  <si>
    <t xml:space="preserve">H-1215</t>
  </si>
  <si>
    <t xml:space="preserve">Function Stuck of 'Longitudinal control (ACC, Chill mode)' while in Close following vehicle behind (gap &lt; 1.5 s) (50–120 km/h), night, dry, headlights.</t>
  </si>
  <si>
    <t xml:space="preserve">H-1216</t>
  </si>
  <si>
    <t xml:space="preserve">Function Stuck of 'Longitudinal control (ACC, Chill mode)' while in Close following vehicle behind (gap &lt; 1.5 s) (50–120 km/h), moderate or heavy rain (outside odd, foreseeable).</t>
  </si>
  <si>
    <t xml:space="preserve">H-1217</t>
  </si>
  <si>
    <t xml:space="preserve">Function Stuck of 'Longitudinal control (ACC, Chill mode)' while in Close following vehicle behind (gap &lt; 1.5 s) (50–120 km/h), snow or ice (outside odd, foreseeable).</t>
  </si>
  <si>
    <t xml:space="preserve">H-1218</t>
  </si>
  <si>
    <t xml:space="preserve">Function Stuck of 'Longitudinal control (ACC, Chill mode)' while in Close following vehicle behind (gap &lt; 1.5 s) (50–120 km/h), fog, visibility below the odd bound (outside odd, foreseeable).</t>
  </si>
  <si>
    <t xml:space="preserve">H-1219</t>
  </si>
  <si>
    <t xml:space="preserve">Function Stuck of 'Longitudinal control (ACC, Chill mode)' while in Imminent collision where the stock PCS/AEB would intervene (0–120 km/h), dry, daylight.</t>
  </si>
  <si>
    <t xml:space="preserve">S3: acceleration during an imminent collision.</t>
  </si>
  <si>
    <t xml:space="preserve">H-1220</t>
  </si>
  <si>
    <t xml:space="preserve">Function Stuck of 'Longitudinal control (ACC, Chill mode)' while in Imminent collision where the stock PCS/AEB would intervene (0–120 km/h), wet road or light rain.</t>
  </si>
  <si>
    <t xml:space="preserve">H-1221</t>
  </si>
  <si>
    <t xml:space="preserve">Function Stuck of 'Longitudinal control (ACC, Chill mode)' while in Imminent collision where the stock PCS/AEB would intervene (0–120 km/h), night, dry, headlights.</t>
  </si>
  <si>
    <t xml:space="preserve">H-1222</t>
  </si>
  <si>
    <t xml:space="preserve">Function Stuck of 'Longitudinal control (ACC, Chill mode)' while in Imminent collision where the stock PCS/AEB would intervene (0–120 km/h), moderate or heavy rain (outside odd, foreseeable).</t>
  </si>
  <si>
    <t xml:space="preserve">H-1223</t>
  </si>
  <si>
    <t xml:space="preserve">Function Stuck of 'Longitudinal control (ACC, Chill mode)' while in Imminent collision where the stock PCS/AEB would intervene (0–120 km/h), snow or ice (outside odd, foreseeable).</t>
  </si>
  <si>
    <t xml:space="preserve">H-1224</t>
  </si>
  <si>
    <t xml:space="preserve">Function Stuck of 'Longitudinal control (ACC, Chill mode)' while in Imminent collision where the stock PCS/AEB would intervene (0–120 km/h), fog, visibility below the odd bound (outside odd, foreseeable).</t>
  </si>
  <si>
    <t xml:space="preserve">H-1225</t>
  </si>
  <si>
    <t xml:space="preserve">Function Stuck of 'Longitudinal control (ACC, Chill mode)' while in Driver override while engaged: braking, cancel or evasive steering (0–120 km/h), dry, daylight.</t>
  </si>
  <si>
    <t xml:space="preserve">S3: acceleration continues while the driver brakes in an emergency.</t>
  </si>
  <si>
    <t xml:space="preserve">H-1226</t>
  </si>
  <si>
    <t xml:space="preserve">Function Stuck of 'Longitudinal control (ACC, Chill mode)' while in Driver override while engaged: braking, cancel or evasive steering (0–120 km/h), wet road or light rain.</t>
  </si>
  <si>
    <t xml:space="preserve">H-1227</t>
  </si>
  <si>
    <t xml:space="preserve">Function Stuck of 'Longitudinal control (ACC, Chill mode)' while in Driver override while engaged: braking, cancel or evasive steering (0–120 km/h), night, dry, headlights.</t>
  </si>
  <si>
    <t xml:space="preserve">H-1228</t>
  </si>
  <si>
    <t xml:space="preserve">Function Stuck of 'Longitudinal control (ACC, Chill mode)' while in Driver override while engaged: braking, cancel or evasive steering (0–120 km/h), moderate or heavy rain (outside odd, foreseeable).</t>
  </si>
  <si>
    <t xml:space="preserve">H-1229</t>
  </si>
  <si>
    <t xml:space="preserve">Function Stuck of 'Longitudinal control (ACC, Chill mode)' while in Driver override while engaged: braking, cancel or evasive steering (0–120 km/h), snow or ice (outside odd, foreseeable).</t>
  </si>
  <si>
    <t xml:space="preserve">H-1230</t>
  </si>
  <si>
    <t xml:space="preserve">Function Stuck of 'Longitudinal control (ACC, Chill mode)' while in Driver override while engaged: braking, cancel or evasive steering (0–120 km/h), fog, visibility below the odd bound (outside odd, foreseeable).</t>
  </si>
  <si>
    <t xml:space="preserve">H-1231</t>
  </si>
  <si>
    <t xml:space="preserve">Function Stuck of 'Longitudinal control (ACC, Chill mode)' while in Driver-initiated assisted lane change (70–120 km/h), dry, daylight.</t>
  </si>
  <si>
    <t xml:space="preserve">S2: acceleration during a lane change.</t>
  </si>
  <si>
    <t xml:space="preserve">C1 ⚠: the driver controls the manoeuvre and brakes (credits AOU-03).</t>
  </si>
  <si>
    <t xml:space="preserve">H-1232</t>
  </si>
  <si>
    <t xml:space="preserve">Function Stuck of 'Longitudinal control (ACC, Chill mode)' while in Driver-initiated assisted lane change (70–120 km/h), wet road or light rain.</t>
  </si>
  <si>
    <t xml:space="preserve">H-1233</t>
  </si>
  <si>
    <t xml:space="preserve">Function Stuck of 'Longitudinal control (ACC, Chill mode)' while in Driver-initiated assisted lane change (70–120 km/h), night, dry, headlights.</t>
  </si>
  <si>
    <t xml:space="preserve">H-1234</t>
  </si>
  <si>
    <t xml:space="preserve">Function Stuck of 'Longitudinal control (ACC, Chill mode)' while in Driver-initiated assisted lane change (70–120 km/h), moderate or heavy rain (outside odd, foreseeable).</t>
  </si>
  <si>
    <t xml:space="preserve">H-1235</t>
  </si>
  <si>
    <t xml:space="preserve">Function Stuck of 'Longitudinal control (ACC, Chill mode)' while in Driver-initiated assisted lane change (70–120 km/h), snow or ice (outside odd, foreseeable).</t>
  </si>
  <si>
    <t xml:space="preserve">C1 ⚠: the driver controls the manoeuvre and brakes (credits AOU-03). Snow/ice: low friction; a correction or braking can induce a skid (C+1).</t>
  </si>
  <si>
    <t xml:space="preserve">H-1236</t>
  </si>
  <si>
    <t xml:space="preserve">Function Stuck of 'Longitudinal control (ACC, Chill mode)' while in Driver-initiated assisted lane change (70–120 km/h), fog, visibility below the odd bound (outside odd, foreseeable).</t>
  </si>
  <si>
    <t xml:space="preserve">H-1237</t>
  </si>
  <si>
    <t xml:space="preserve">Function Stuck of 'Longitudinal control (ACC, Chill mode)' while in Manual driving, item powered but not engaged (0–120 km/h), dry, daylight.</t>
  </si>
  <si>
    <t xml:space="preserve">H-1238</t>
  </si>
  <si>
    <t xml:space="preserve">Function Stuck of 'Longitudinal control (ACC, Chill mode)' while in Manual driving, item powered but not engaged (0–120 km/h), wet road or light rain.</t>
  </si>
  <si>
    <t xml:space="preserve">H-1239</t>
  </si>
  <si>
    <t xml:space="preserve">Function Stuck of 'Longitudinal control (ACC, Chill mode)' while in Manual driving, item powered but not engaged (0–120 km/h), night, dry, headlights.</t>
  </si>
  <si>
    <t xml:space="preserve">H-1240</t>
  </si>
  <si>
    <t xml:space="preserve">Function Stuck of 'Longitudinal control (ACC, Chill mode)' while in Manual driving, item powered but not engaged (0–120 km/h), moderate or heavy rain (outside odd, foreseeable).</t>
  </si>
  <si>
    <t xml:space="preserve">H-1241</t>
  </si>
  <si>
    <t xml:space="preserve">Function Stuck of 'Longitudinal control (ACC, Chill mode)' while in Manual driving, item powered but not engaged (0–120 km/h), snow or ice (outside odd, foreseeable).</t>
  </si>
  <si>
    <t xml:space="preserve">H-1242</t>
  </si>
  <si>
    <t xml:space="preserve">Function Stuck of 'Longitudinal control (ACC, Chill mode)' while in Manual driving, item powered but not engaged (0–120 km/h), fog, visibility below the odd bound (outside odd, foreseeable).</t>
  </si>
  <si>
    <t xml:space="preserve">H-1243</t>
  </si>
  <si>
    <t xml:space="preserve">Function Stuck of 'Longitudinal control (ACC, Chill mode)' while in Engaged outside the ODD (residential street, ramp, tight curve): foreseeable misuse (15–60 km/h), dry, daylight.</t>
  </si>
  <si>
    <t xml:space="preserve">S3: acceleration in a residential street towards VRUs.</t>
  </si>
  <si>
    <t xml:space="preserve">H-1244</t>
  </si>
  <si>
    <t xml:space="preserve">Function Stuck of 'Longitudinal control (ACC, Chill mode)' while in Engaged outside the ODD (residential street, ramp, tight curve): foreseeable misuse (15–60 km/h), wet road or light rain.</t>
  </si>
  <si>
    <t xml:space="preserve">H-1245</t>
  </si>
  <si>
    <t xml:space="preserve">Function Stuck of 'Longitudinal control (ACC, Chill mode)' while in Engaged outside the ODD (residential street, ramp, tight curve): foreseeable misuse (15–60 km/h), night, dry, headlights.</t>
  </si>
  <si>
    <t xml:space="preserve">H-1246</t>
  </si>
  <si>
    <t xml:space="preserve">Function Stuck of 'Longitudinal control (ACC, Chill mode)' while in Engaged outside the ODD (residential street, ramp, tight curve): foreseeable misuse (15–60 km/h), moderate or heavy rain (outside odd, foreseeable).</t>
  </si>
  <si>
    <t xml:space="preserve">H-1247</t>
  </si>
  <si>
    <t xml:space="preserve">Function Stuck of 'Longitudinal control (ACC, Chill mode)' while in Engaged outside the ODD (residential street, ramp, tight curve): foreseeable misuse (15–60 km/h), snow or ice (outside odd, foreseeable).</t>
  </si>
  <si>
    <t xml:space="preserve">H-1248</t>
  </si>
  <si>
    <t xml:space="preserve">Function Stuck of 'Longitudinal control (ACC, Chill mode)' while in Engaged outside the ODD (residential street, ramp, tight curve): foreseeable misuse (15–60 km/h), fog, visibility below the odd bound (outside odd, foreseeable).</t>
  </si>
  <si>
    <t xml:space="preserve">H-1249</t>
  </si>
  <si>
    <t xml:space="preserve">Function Stuck of 'Longitudinal control (ACC, Chill mode)' while in Approaching a signalised or stop-controlled intersection (ODD-A) (30–90 km/h), dry, daylight.</t>
  </si>
  <si>
    <t xml:space="preserve">S3: acceleration into an intersection with crossing traffic or VRUs.</t>
  </si>
  <si>
    <t xml:space="preserve">H-1250</t>
  </si>
  <si>
    <t xml:space="preserve">Function Stuck of 'Longitudinal control (ACC, Chill mode)' while in Approaching a signalised or stop-controlled intersection (ODD-A) (30–90 km/h), wet road or light rain.</t>
  </si>
  <si>
    <t xml:space="preserve">H-1251</t>
  </si>
  <si>
    <t xml:space="preserve">Function Stuck of 'Longitudinal control (ACC, Chill mode)' while in Approaching a signalised or stop-controlled intersection (ODD-A) (30–90 km/h), night, dry, headlights.</t>
  </si>
  <si>
    <t xml:space="preserve">H-1252</t>
  </si>
  <si>
    <t xml:space="preserve">Function Stuck of 'Longitudinal control (ACC, Chill mode)' while in Approaching a signalised or stop-controlled intersection (ODD-A) (30–90 km/h), moderate or heavy rain (outside odd, foreseeable).</t>
  </si>
  <si>
    <t xml:space="preserve">H-1253</t>
  </si>
  <si>
    <t xml:space="preserve">Function Stuck of 'Longitudinal control (ACC, Chill mode)' while in Approaching a signalised or stop-controlled intersection (ODD-A) (30–90 km/h), snow or ice (outside odd, foreseeable).</t>
  </si>
  <si>
    <t xml:space="preserve">H-1254</t>
  </si>
  <si>
    <t xml:space="preserve">Function Stuck of 'Longitudinal control (ACC, Chill mode)' while in Approaching a signalised or stop-controlled intersection (ODD-A) (30–90 km/h), fog, visibility below the odd bound (outside odd, foreseeable).</t>
  </si>
  <si>
    <t xml:space="preserve">H-1255</t>
  </si>
  <si>
    <t xml:space="preserve">Function Stuck of 'Longitudinal control (ACC, Chill mode)' while in Rural or arterial curve near R_ODD with oncoming traffic (60–90 km/h), dry, daylight.</t>
  </si>
  <si>
    <t xml:space="preserve">S3: speed rises in a rural curve beyond the lateral limit; run-off or oncoming lane.</t>
  </si>
  <si>
    <t xml:space="preserve">H-1256</t>
  </si>
  <si>
    <t xml:space="preserve">Function Stuck of 'Longitudinal control (ACC, Chill mode)' while in Rural or arterial curve near R_ODD with oncoming traffic (60–90 km/h), wet road or light rain.</t>
  </si>
  <si>
    <t xml:space="preserve">H-1257</t>
  </si>
  <si>
    <t xml:space="preserve">Function Stuck of 'Longitudinal control (ACC, Chill mode)' while in Rural or arterial curve near R_ODD with oncoming traffic (60–90 km/h), night, dry, headlights.</t>
  </si>
  <si>
    <t xml:space="preserve">H-1258</t>
  </si>
  <si>
    <t xml:space="preserve">Function Stuck of 'Longitudinal control (ACC, Chill mode)' while in Rural or arterial curve near R_ODD with oncoming traffic (60–90 km/h), moderate or heavy rain (outside odd, foreseeable).</t>
  </si>
  <si>
    <t xml:space="preserve">H-1259</t>
  </si>
  <si>
    <t xml:space="preserve">Function Stuck of 'Longitudinal control (ACC, Chill mode)' while in Rural or arterial curve near R_ODD with oncoming traffic (60–90 km/h), snow or ice (outside odd, foreseeable).</t>
  </si>
  <si>
    <t xml:space="preserve">H-1260</t>
  </si>
  <si>
    <t xml:space="preserve">Function Stuck of 'Longitudinal control (ACC, Chill mode)' while in Rural or arterial curve near R_ODD with oncoming traffic (60–90 km/h), fog, visibility below the odd bound (outside odd, foreseeable).</t>
  </si>
  <si>
    <t xml:space="preserve">H-1261</t>
  </si>
  <si>
    <t xml:space="preserve">Excessive Function of 'Longitudinal control (ACC, Chill mode)' while in Limited-access highway, free flow, adjacent traffic (90–120 km/h), dry, daylight.</t>
  </si>
  <si>
    <t xml:space="preserve">H-1262</t>
  </si>
  <si>
    <t xml:space="preserve">Excessive Function of 'Longitudinal control (ACC, Chill mode)' while in Limited-access highway, free flow, adjacent traffic (90–120 km/h), wet road or light rain.</t>
  </si>
  <si>
    <t xml:space="preserve">H-1263</t>
  </si>
  <si>
    <t xml:space="preserve">Excessive Function of 'Longitudinal control (ACC, Chill mode)' while in Limited-access highway, free flow, adjacent traffic (90–120 km/h), night, dry, headlights.</t>
  </si>
  <si>
    <t xml:space="preserve">H-1264</t>
  </si>
  <si>
    <t xml:space="preserve">Excessive Function of 'Longitudinal control (ACC, Chill mode)' while in Limited-access highway, free flow, adjacent traffic (90–120 km/h), moderate or heavy rain (outside odd, foreseeable).</t>
  </si>
  <si>
    <t xml:space="preserve">H-1265</t>
  </si>
  <si>
    <t xml:space="preserve">Excessive Function of 'Longitudinal control (ACC, Chill mode)' while in Limited-access highway, free flow, adjacent traffic (90–120 km/h), snow or ice (outside odd, foreseeable).</t>
  </si>
  <si>
    <t xml:space="preserve">H-1266</t>
  </si>
  <si>
    <t xml:space="preserve">Excessive Function of 'Longitudinal control (ACC, Chill mode)' while in Limited-access highway, free flow, adjacent traffic (90–120 km/h), fog, visibility below the odd bound (outside odd, foreseeable).</t>
  </si>
  <si>
    <t xml:space="preserve">H-1267</t>
  </si>
  <si>
    <t xml:space="preserve">Excessive Function of 'Longitudinal control (ACC, Chill mode)' while in Highway curve near R_ODD with barrier or adjacent traffic (70–110 km/h), dry, daylight.</t>
  </si>
  <si>
    <t xml:space="preserve">H-1268</t>
  </si>
  <si>
    <t xml:space="preserve">Excessive Function of 'Longitudinal control (ACC, Chill mode)' while in Highway curve near R_ODD with barrier or adjacent traffic (70–110 km/h), wet road or light rain.</t>
  </si>
  <si>
    <t xml:space="preserve">H-1269</t>
  </si>
  <si>
    <t xml:space="preserve">Excessive Function of 'Longitudinal control (ACC, Chill mode)' while in Highway curve near R_ODD with barrier or adjacent traffic (70–110 km/h), night, dry, headlights.</t>
  </si>
  <si>
    <t xml:space="preserve">H-1270</t>
  </si>
  <si>
    <t xml:space="preserve">Excessive Function of 'Longitudinal control (ACC, Chill mode)' while in Highway curve near R_ODD with barrier or adjacent traffic (70–110 km/h), moderate or heavy rain (outside odd, foreseeable).</t>
  </si>
  <si>
    <t xml:space="preserve">H-1271</t>
  </si>
  <si>
    <t xml:space="preserve">Excessive Function of 'Longitudinal control (ACC, Chill mode)' while in Highway curve near R_ODD with barrier or adjacent traffic (70–110 km/h), snow or ice (outside odd, foreseeable).</t>
  </si>
  <si>
    <t xml:space="preserve">H-1272</t>
  </si>
  <si>
    <t xml:space="preserve">Excessive Function of 'Longitudinal control (ACC, Chill mode)' while in Highway curve near R_ODD with barrier or adjacent traffic (70–110 km/h), fog, visibility below the odd bound (outside odd, foreseeable).</t>
  </si>
  <si>
    <t xml:space="preserve">H-1273</t>
  </si>
  <si>
    <t xml:space="preserve">Excessive Function of 'Longitudinal control (ACC, Chill mode)' while in Undivided rural or arterial road, oncoming traffic (60–90 km/h), dry, daylight.</t>
  </si>
  <si>
    <t xml:space="preserve">H-1274</t>
  </si>
  <si>
    <t xml:space="preserve">Excessive Function of 'Longitudinal control (ACC, Chill mode)' while in Undivided rural or arterial road, oncoming traffic (60–90 km/h), wet road or light rain.</t>
  </si>
  <si>
    <t xml:space="preserve">H-1275</t>
  </si>
  <si>
    <t xml:space="preserve">Excessive Function of 'Longitudinal control (ACC, Chill mode)' while in Undivided rural or arterial road, oncoming traffic (60–90 km/h), night, dry, headlights.</t>
  </si>
  <si>
    <t xml:space="preserve">H-1276</t>
  </si>
  <si>
    <t xml:space="preserve">Excessive Function of 'Longitudinal control (ACC, Chill mode)' while in Undivided rural or arterial road, oncoming traffic (60–90 km/h), moderate or heavy rain (outside odd, foreseeable).</t>
  </si>
  <si>
    <t xml:space="preserve">H-1277</t>
  </si>
  <si>
    <t xml:space="preserve">Excessive Function of 'Longitudinal control (ACC, Chill mode)' while in Undivided rural or arterial road, oncoming traffic (60–90 km/h), snow or ice (outside odd, foreseeable).</t>
  </si>
  <si>
    <t xml:space="preserve">H-1278</t>
  </si>
  <si>
    <t xml:space="preserve">Excessive Function of 'Longitudinal control (ACC, Chill mode)' while in Undivided rural or arterial road, oncoming traffic (60–90 km/h), fog, visibility below the odd bound (outside odd, foreseeable).</t>
  </si>
  <si>
    <t xml:space="preserve">H-1279</t>
  </si>
  <si>
    <t xml:space="preserve">Excessive Function of 'Longitudinal control (ACC, Chill mode)' while in Urban arterial, pedestrians and cyclists near the lane edge (30–60 km/h), dry, daylight.</t>
  </si>
  <si>
    <t xml:space="preserve">H-1280</t>
  </si>
  <si>
    <t xml:space="preserve">Excessive Function of 'Longitudinal control (ACC, Chill mode)' while in Urban arterial, pedestrians and cyclists near the lane edge (30–60 km/h), wet road or light rain.</t>
  </si>
  <si>
    <t xml:space="preserve">H-1281</t>
  </si>
  <si>
    <t xml:space="preserve">Excessive Function of 'Longitudinal control (ACC, Chill mode)' while in Urban arterial, pedestrians and cyclists near the lane edge (30–60 km/h), night, dry, headlights.</t>
  </si>
  <si>
    <t xml:space="preserve">H-1282</t>
  </si>
  <si>
    <t xml:space="preserve">Excessive Function of 'Longitudinal control (ACC, Chill mode)' while in Urban arterial, pedestrians and cyclists near the lane edge (30–60 km/h), moderate or heavy rain (outside odd, foreseeable).</t>
  </si>
  <si>
    <t xml:space="preserve">H-1283</t>
  </si>
  <si>
    <t xml:space="preserve">Excessive Function of 'Longitudinal control (ACC, Chill mode)' while in Urban arterial, pedestrians and cyclists near the lane edge (30–60 km/h), snow or ice (outside odd, foreseeable).</t>
  </si>
  <si>
    <t xml:space="preserve">H-1284</t>
  </si>
  <si>
    <t xml:space="preserve">Excessive Function of 'Longitudinal control (ACC, Chill mode)' while in Urban arterial, pedestrians and cyclists near the lane edge (30–60 km/h), fog, visibility below the odd bound (outside odd, foreseeable).</t>
  </si>
  <si>
    <t xml:space="preserve">H-1285</t>
  </si>
  <si>
    <t xml:space="preserve">Excessive Function of 'Longitudinal control (ACC, Chill mode)' while in Following a lead vehicle at a short gap, dense traffic (30–110 km/h), dry, daylight.</t>
  </si>
  <si>
    <t xml:space="preserve">H-1286</t>
  </si>
  <si>
    <t xml:space="preserve">Excessive Function of 'Longitudinal control (ACC, Chill mode)' while in Following a lead vehicle at a short gap, dense traffic (30–110 km/h), wet road or light rain.</t>
  </si>
  <si>
    <t xml:space="preserve">H-1287</t>
  </si>
  <si>
    <t xml:space="preserve">Excessive Function of 'Longitudinal control (ACC, Chill mode)' while in Following a lead vehicle at a short gap, dense traffic (30–110 km/h), night, dry, headlights.</t>
  </si>
  <si>
    <t xml:space="preserve">H-1288</t>
  </si>
  <si>
    <t xml:space="preserve">Excessive Function of 'Longitudinal control (ACC, Chill mode)' while in Following a lead vehicle at a short gap, dense traffic (30–110 km/h), moderate or heavy rain (outside odd, foreseeable).</t>
  </si>
  <si>
    <t xml:space="preserve">H-1289</t>
  </si>
  <si>
    <t xml:space="preserve">Excessive Function of 'Longitudinal control (ACC, Chill mode)' while in Following a lead vehicle at a short gap, dense traffic (30–110 km/h), snow or ice (outside odd, foreseeable).</t>
  </si>
  <si>
    <t xml:space="preserve">H-1290</t>
  </si>
  <si>
    <t xml:space="preserve">Excessive Function of 'Longitudinal control (ACC, Chill mode)' while in Following a lead vehicle at a short gap, dense traffic (30–110 km/h), fog, visibility below the odd bound (outside odd, foreseeable).</t>
  </si>
  <si>
    <t xml:space="preserve">H-1291</t>
  </si>
  <si>
    <t xml:space="preserve">Excessive Function of 'Longitudinal control (ACC, Chill mode)' while in Stop-and-go queue or standstill behind a lead; pedestrians may cross (0–30 km/h), dry, daylight.</t>
  </si>
  <si>
    <t xml:space="preserve">H-1292</t>
  </si>
  <si>
    <t xml:space="preserve">Excessive Function of 'Longitudinal control (ACC, Chill mode)' while in Stop-and-go queue or standstill behind a lead; pedestrians may cross (0–30 km/h), wet road or light rain.</t>
  </si>
  <si>
    <t xml:space="preserve">H-1293</t>
  </si>
  <si>
    <t xml:space="preserve">Excessive Function of 'Longitudinal control (ACC, Chill mode)' while in Stop-and-go queue or standstill behind a lead; pedestrians may cross (0–30 km/h), night, dry, headlights.</t>
  </si>
  <si>
    <t xml:space="preserve">H-1294</t>
  </si>
  <si>
    <t xml:space="preserve">Excessive Function of 'Longitudinal control (ACC, Chill mode)' while in Stop-and-go queue or standstill behind a lead; pedestrians may cross (0–30 km/h), moderate or heavy rain (outside odd, foreseeable).</t>
  </si>
  <si>
    <t xml:space="preserve">H-1295</t>
  </si>
  <si>
    <t xml:space="preserve">Excessive Function of 'Longitudinal control (ACC, Chill mode)' while in Stop-and-go queue or standstill behind a lead; pedestrians may cross (0–30 km/h), snow or ice (outside odd, foreseeable).</t>
  </si>
  <si>
    <t xml:space="preserve">H-1296</t>
  </si>
  <si>
    <t xml:space="preserve">Excessive Function of 'Longitudinal control (ACC, Chill mode)' while in Stop-and-go queue or standstill behind a lead; pedestrians may cross (0–30 km/h), fog, visibility below the odd bound (outside odd, foreseeable).</t>
  </si>
  <si>
    <t xml:space="preserve">H-1297</t>
  </si>
  <si>
    <t xml:space="preserve">Excessive Function of 'Longitudinal control (ACC, Chill mode)' while in Approaching slower or stationary traffic from highway speed (70–120 km/h), dry, daylight.</t>
  </si>
  <si>
    <t xml:space="preserve">H-1298</t>
  </si>
  <si>
    <t xml:space="preserve">Excessive Function of 'Longitudinal control (ACC, Chill mode)' while in Approaching slower or stationary traffic from highway speed (70–120 km/h), wet road or light rain.</t>
  </si>
  <si>
    <t xml:space="preserve">H-1299</t>
  </si>
  <si>
    <t xml:space="preserve">Excessive Function of 'Longitudinal control (ACC, Chill mode)' while in Approaching slower or stationary traffic from highway speed (70–120 km/h), night, dry, headlights.</t>
  </si>
  <si>
    <t xml:space="preserve">H-1300</t>
  </si>
  <si>
    <t xml:space="preserve">Excessive Function of 'Longitudinal control (ACC, Chill mode)' while in Approaching slower or stationary traffic from highway speed (70–120 km/h), moderate or heavy rain (outside odd, foreseeable).</t>
  </si>
  <si>
    <t xml:space="preserve">H-1301</t>
  </si>
  <si>
    <t xml:space="preserve">Excessive Function of 'Longitudinal control (ACC, Chill mode)' while in Approaching slower or stationary traffic from highway speed (70–120 km/h), snow or ice (outside odd, foreseeable).</t>
  </si>
  <si>
    <t xml:space="preserve">H-1302</t>
  </si>
  <si>
    <t xml:space="preserve">Excessive Function of 'Longitudinal control (ACC, Chill mode)' while in Approaching slower or stationary traffic from highway speed (70–120 km/h), fog, visibility below the odd bound (outside odd, foreseeable).</t>
  </si>
  <si>
    <t xml:space="preserve">H-1303</t>
  </si>
  <si>
    <t xml:space="preserve">Excessive Function of 'Longitudinal control (ACC, Chill mode)' while in Close following vehicle behind (gap &lt; 1.5 s) (50–120 km/h), dry, daylight.</t>
  </si>
  <si>
    <t xml:space="preserve">H-1304</t>
  </si>
  <si>
    <t xml:space="preserve">Excessive Function of 'Longitudinal control (ACC, Chill mode)' while in Close following vehicle behind (gap &lt; 1.5 s) (50–120 km/h), wet road or light rain.</t>
  </si>
  <si>
    <t xml:space="preserve">H-1305</t>
  </si>
  <si>
    <t xml:space="preserve">Excessive Function of 'Longitudinal control (ACC, Chill mode)' while in Close following vehicle behind (gap &lt; 1.5 s) (50–120 km/h), night, dry, headlights.</t>
  </si>
  <si>
    <t xml:space="preserve">H-1306</t>
  </si>
  <si>
    <t xml:space="preserve">Excessive Function of 'Longitudinal control (ACC, Chill mode)' while in Close following vehicle behind (gap &lt; 1.5 s) (50–120 km/h), moderate or heavy rain (outside odd, foreseeable).</t>
  </si>
  <si>
    <t xml:space="preserve">H-1307</t>
  </si>
  <si>
    <t xml:space="preserve">Excessive Function of 'Longitudinal control (ACC, Chill mode)' while in Close following vehicle behind (gap &lt; 1.5 s) (50–120 km/h), snow or ice (outside odd, foreseeable).</t>
  </si>
  <si>
    <t xml:space="preserve">H-1308</t>
  </si>
  <si>
    <t xml:space="preserve">Excessive Function of 'Longitudinal control (ACC, Chill mode)' while in Close following vehicle behind (gap &lt; 1.5 s) (50–120 km/h), fog, visibility below the odd bound (outside odd, foreseeable).</t>
  </si>
  <si>
    <t xml:space="preserve">H-1309</t>
  </si>
  <si>
    <t xml:space="preserve">Excessive Function of 'Longitudinal control (ACC, Chill mode)' while in Imminent collision where the stock PCS/AEB would intervene (0–120 km/h), dry, daylight.</t>
  </si>
  <si>
    <t xml:space="preserve">H-1310</t>
  </si>
  <si>
    <t xml:space="preserve">Excessive Function of 'Longitudinal control (ACC, Chill mode)' while in Imminent collision where the stock PCS/AEB would intervene (0–120 km/h), wet road or light rain.</t>
  </si>
  <si>
    <t xml:space="preserve">H-1311</t>
  </si>
  <si>
    <t xml:space="preserve">Excessive Function of 'Longitudinal control (ACC, Chill mode)' while in Imminent collision where the stock PCS/AEB would intervene (0–120 km/h), night, dry, headlights.</t>
  </si>
  <si>
    <t xml:space="preserve">H-1312</t>
  </si>
  <si>
    <t xml:space="preserve">Excessive Function of 'Longitudinal control (ACC, Chill mode)' while in Imminent collision where the stock PCS/AEB would intervene (0–120 km/h), moderate or heavy rain (outside odd, foreseeable).</t>
  </si>
  <si>
    <t xml:space="preserve">H-1313</t>
  </si>
  <si>
    <t xml:space="preserve">Excessive Function of 'Longitudinal control (ACC, Chill mode)' while in Imminent collision where the stock PCS/AEB would intervene (0–120 km/h), snow or ice (outside odd, foreseeable).</t>
  </si>
  <si>
    <t xml:space="preserve">H-1314</t>
  </si>
  <si>
    <t xml:space="preserve">Excessive Function of 'Longitudinal control (ACC, Chill mode)' while in Imminent collision where the stock PCS/AEB would intervene (0–120 km/h), fog, visibility below the odd bound (outside odd, foreseeable).</t>
  </si>
  <si>
    <t xml:space="preserve">H-1315</t>
  </si>
  <si>
    <t xml:space="preserve">Excessive Function of 'Longitudinal control (ACC, Chill mode)' while in Driver override while engaged: braking, cancel or evasive steering (0–120 km/h), dry, daylight.</t>
  </si>
  <si>
    <t xml:space="preserve">H-1316</t>
  </si>
  <si>
    <t xml:space="preserve">Excessive Function of 'Longitudinal control (ACC, Chill mode)' while in Driver override while engaged: braking, cancel or evasive steering (0–120 km/h), wet road or light rain.</t>
  </si>
  <si>
    <t xml:space="preserve">H-1317</t>
  </si>
  <si>
    <t xml:space="preserve">Excessive Function of 'Longitudinal control (ACC, Chill mode)' while in Driver override while engaged: braking, cancel or evasive steering (0–120 km/h), night, dry, headlights.</t>
  </si>
  <si>
    <t xml:space="preserve">H-1318</t>
  </si>
  <si>
    <t xml:space="preserve">Excessive Function of 'Longitudinal control (ACC, Chill mode)' while in Driver override while engaged: braking, cancel or evasive steering (0–120 km/h), moderate or heavy rain (outside odd, foreseeable).</t>
  </si>
  <si>
    <t xml:space="preserve">H-1319</t>
  </si>
  <si>
    <t xml:space="preserve">Excessive Function of 'Longitudinal control (ACC, Chill mode)' while in Driver override while engaged: braking, cancel or evasive steering (0–120 km/h), snow or ice (outside odd, foreseeable).</t>
  </si>
  <si>
    <t xml:space="preserve">H-1320</t>
  </si>
  <si>
    <t xml:space="preserve">Excessive Function of 'Longitudinal control (ACC, Chill mode)' while in Driver override while engaged: braking, cancel or evasive steering (0–120 km/h), fog, visibility below the odd bound (outside odd, foreseeable).</t>
  </si>
  <si>
    <t xml:space="preserve">H-1321</t>
  </si>
  <si>
    <t xml:space="preserve">Excessive Function of 'Longitudinal control (ACC, Chill mode)' while in Driver-initiated assisted lane change (70–120 km/h), dry, daylight.</t>
  </si>
  <si>
    <t xml:space="preserve">H-1322</t>
  </si>
  <si>
    <t xml:space="preserve">Excessive Function of 'Longitudinal control (ACC, Chill mode)' while in Driver-initiated assisted lane change (70–120 km/h), wet road or light rain.</t>
  </si>
  <si>
    <t xml:space="preserve">H-1323</t>
  </si>
  <si>
    <t xml:space="preserve">Excessive Function of 'Longitudinal control (ACC, Chill mode)' while in Driver-initiated assisted lane change (70–120 km/h), night, dry, headlights.</t>
  </si>
  <si>
    <t xml:space="preserve">H-1324</t>
  </si>
  <si>
    <t xml:space="preserve">Excessive Function of 'Longitudinal control (ACC, Chill mode)' while in Driver-initiated assisted lane change (70–120 km/h), moderate or heavy rain (outside odd, foreseeable).</t>
  </si>
  <si>
    <t xml:space="preserve">H-1325</t>
  </si>
  <si>
    <t xml:space="preserve">Excessive Function of 'Longitudinal control (ACC, Chill mode)' while in Driver-initiated assisted lane change (70–120 km/h), snow or ice (outside odd, foreseeable).</t>
  </si>
  <si>
    <t xml:space="preserve">H-1326</t>
  </si>
  <si>
    <t xml:space="preserve">Excessive Function of 'Longitudinal control (ACC, Chill mode)' while in Driver-initiated assisted lane change (70–120 km/h), fog, visibility below the odd bound (outside odd, foreseeable).</t>
  </si>
  <si>
    <t xml:space="preserve">H-1327</t>
  </si>
  <si>
    <t xml:space="preserve">Excessive Function of 'Longitudinal control (ACC, Chill mode)' while in Manual driving, item powered but not engaged (0–120 km/h), dry, daylight.</t>
  </si>
  <si>
    <t xml:space="preserve">H-1328</t>
  </si>
  <si>
    <t xml:space="preserve">Excessive Function of 'Longitudinal control (ACC, Chill mode)' while in Manual driving, item powered but not engaged (0–120 km/h), wet road or light rain.</t>
  </si>
  <si>
    <t xml:space="preserve">H-1329</t>
  </si>
  <si>
    <t xml:space="preserve">Excessive Function of 'Longitudinal control (ACC, Chill mode)' while in Manual driving, item powered but not engaged (0–120 km/h), night, dry, headlights.</t>
  </si>
  <si>
    <t xml:space="preserve">H-1330</t>
  </si>
  <si>
    <t xml:space="preserve">Excessive Function of 'Longitudinal control (ACC, Chill mode)' while in Manual driving, item powered but not engaged (0–120 km/h), moderate or heavy rain (outside odd, foreseeable).</t>
  </si>
  <si>
    <t xml:space="preserve">H-1331</t>
  </si>
  <si>
    <t xml:space="preserve">Excessive Function of 'Longitudinal control (ACC, Chill mode)' while in Manual driving, item powered but not engaged (0–120 km/h), snow or ice (outside odd, foreseeable).</t>
  </si>
  <si>
    <t xml:space="preserve">H-1332</t>
  </si>
  <si>
    <t xml:space="preserve">Excessive Function of 'Longitudinal control (ACC, Chill mode)' while in Manual driving, item powered but not engaged (0–120 km/h), fog, visibility below the odd bound (outside odd, foreseeable).</t>
  </si>
  <si>
    <t xml:space="preserve">H-1333</t>
  </si>
  <si>
    <t xml:space="preserve">Excessive Function of 'Longitudinal control (ACC, Chill mode)' while in Engaged outside the ODD (residential street, ramp, tight curve): foreseeable misuse (15–60 km/h), dry, daylight.</t>
  </si>
  <si>
    <t xml:space="preserve">H-1334</t>
  </si>
  <si>
    <t xml:space="preserve">Excessive Function of 'Longitudinal control (ACC, Chill mode)' while in Engaged outside the ODD (residential street, ramp, tight curve): foreseeable misuse (15–60 km/h), wet road or light rain.</t>
  </si>
  <si>
    <t xml:space="preserve">H-1335</t>
  </si>
  <si>
    <t xml:space="preserve">Excessive Function of 'Longitudinal control (ACC, Chill mode)' while in Engaged outside the ODD (residential street, ramp, tight curve): foreseeable misuse (15–60 km/h), night, dry, headlights.</t>
  </si>
  <si>
    <t xml:space="preserve">H-1336</t>
  </si>
  <si>
    <t xml:space="preserve">Excessive Function of 'Longitudinal control (ACC, Chill mode)' while in Engaged outside the ODD (residential street, ramp, tight curve): foreseeable misuse (15–60 km/h), moderate or heavy rain (outside odd, foreseeable).</t>
  </si>
  <si>
    <t xml:space="preserve">H-1337</t>
  </si>
  <si>
    <t xml:space="preserve">Excessive Function of 'Longitudinal control (ACC, Chill mode)' while in Engaged outside the ODD (residential street, ramp, tight curve): foreseeable misuse (15–60 km/h), snow or ice (outside odd, foreseeable).</t>
  </si>
  <si>
    <t xml:space="preserve">H-1338</t>
  </si>
  <si>
    <t xml:space="preserve">Excessive Function of 'Longitudinal control (ACC, Chill mode)' while in Engaged outside the ODD (residential street, ramp, tight curve): foreseeable misuse (15–60 km/h), fog, visibility below the odd bound (outside odd, foreseeable).</t>
  </si>
  <si>
    <t xml:space="preserve">H-1339</t>
  </si>
  <si>
    <t xml:space="preserve">Excessive Function of 'Longitudinal control (ACC, Chill mode)' while in Approaching a signalised or stop-controlled intersection (ODD-A) (30–90 km/h), dry, daylight.</t>
  </si>
  <si>
    <t xml:space="preserve">H-1340</t>
  </si>
  <si>
    <t xml:space="preserve">Excessive Function of 'Longitudinal control (ACC, Chill mode)' while in Approaching a signalised or stop-controlled intersection (ODD-A) (30–90 km/h), wet road or light rain.</t>
  </si>
  <si>
    <t xml:space="preserve">H-1341</t>
  </si>
  <si>
    <t xml:space="preserve">Excessive Function of 'Longitudinal control (ACC, Chill mode)' while in Approaching a signalised or stop-controlled intersection (ODD-A) (30–90 km/h), night, dry, headlights.</t>
  </si>
  <si>
    <t xml:space="preserve">H-1342</t>
  </si>
  <si>
    <t xml:space="preserve">Excessive Function of 'Longitudinal control (ACC, Chill mode)' while in Approaching a signalised or stop-controlled intersection (ODD-A) (30–90 km/h), moderate or heavy rain (outside odd, foreseeable).</t>
  </si>
  <si>
    <t xml:space="preserve">H-1343</t>
  </si>
  <si>
    <t xml:space="preserve">Excessive Function of 'Longitudinal control (ACC, Chill mode)' while in Approaching a signalised or stop-controlled intersection (ODD-A) (30–90 km/h), snow or ice (outside odd, foreseeable).</t>
  </si>
  <si>
    <t xml:space="preserve">H-1344</t>
  </si>
  <si>
    <t xml:space="preserve">Excessive Function of 'Longitudinal control (ACC, Chill mode)' while in Approaching a signalised or stop-controlled intersection (ODD-A) (30–90 km/h), fog, visibility below the odd bound (outside odd, foreseeable).</t>
  </si>
  <si>
    <t xml:space="preserve">H-1345</t>
  </si>
  <si>
    <t xml:space="preserve">Excessive Function of 'Longitudinal control (ACC, Chill mode)' while in Rural or arterial curve near R_ODD with oncoming traffic (60–90 km/h), dry, daylight.</t>
  </si>
  <si>
    <t xml:space="preserve">H-1346</t>
  </si>
  <si>
    <t xml:space="preserve">Excessive Function of 'Longitudinal control (ACC, Chill mode)' while in Rural or arterial curve near R_ODD with oncoming traffic (60–90 km/h), wet road or light rain.</t>
  </si>
  <si>
    <t xml:space="preserve">H-1347</t>
  </si>
  <si>
    <t xml:space="preserve">Excessive Function of 'Longitudinal control (ACC, Chill mode)' while in Rural or arterial curve near R_ODD with oncoming traffic (60–90 km/h), night, dry, headlights.</t>
  </si>
  <si>
    <t xml:space="preserve">H-1348</t>
  </si>
  <si>
    <t xml:space="preserve">Excessive Function of 'Longitudinal control (ACC, Chill mode)' while in Rural or arterial curve near R_ODD with oncoming traffic (60–90 km/h), moderate or heavy rain (outside odd, foreseeable).</t>
  </si>
  <si>
    <t xml:space="preserve">H-1349</t>
  </si>
  <si>
    <t xml:space="preserve">Excessive Function of 'Longitudinal control (ACC, Chill mode)' while in Rural or arterial curve near R_ODD with oncoming traffic (60–90 km/h), snow or ice (outside odd, foreseeable).</t>
  </si>
  <si>
    <t xml:space="preserve">H-1350</t>
  </si>
  <si>
    <t xml:space="preserve">Excessive Function of 'Longitudinal control (ACC, Chill mode)' while in Rural or arterial curve near R_ODD with oncoming traffic (60–90 km/h), fog, visibility below the odd bound (outside odd, foreseeable).</t>
  </si>
  <si>
    <t xml:space="preserve">H-1351</t>
  </si>
  <si>
    <t xml:space="preserve">Partial Function of 'Longitudinal control (ACC, Chill mode)' while in Limited-access highway, free flow, adjacent traffic (90–120 km/h), dry, daylight.</t>
  </si>
  <si>
    <t xml:space="preserve">H-1352</t>
  </si>
  <si>
    <t xml:space="preserve">Partial Function of 'Longitudinal control (ACC, Chill mode)' while in Limited-access highway, free flow, adjacent traffic (90–120 km/h), wet road or light rain.</t>
  </si>
  <si>
    <t xml:space="preserve">H-1353</t>
  </si>
  <si>
    <t xml:space="preserve">Partial Function of 'Longitudinal control (ACC, Chill mode)' while in Limited-access highway, free flow, adjacent traffic (90–120 km/h), night, dry, headlights.</t>
  </si>
  <si>
    <t xml:space="preserve">H-1354</t>
  </si>
  <si>
    <t xml:space="preserve">Partial Function of 'Longitudinal control (ACC, Chill mode)' while in Limited-access highway, free flow, adjacent traffic (90–120 km/h), moderate or heavy rain (outside odd, foreseeable).</t>
  </si>
  <si>
    <t xml:space="preserve">H-1355</t>
  </si>
  <si>
    <t xml:space="preserve">Partial Function of 'Longitudinal control (ACC, Chill mode)' while in Limited-access highway, free flow, adjacent traffic (90–120 km/h), snow or ice (outside odd, foreseeable).</t>
  </si>
  <si>
    <t xml:space="preserve">H-1356</t>
  </si>
  <si>
    <t xml:space="preserve">Partial Function of 'Longitudinal control (ACC, Chill mode)' while in Limited-access highway, free flow, adjacent traffic (90–120 km/h), fog, visibility below the odd bound (outside odd, foreseeable).</t>
  </si>
  <si>
    <t xml:space="preserve">H-1357</t>
  </si>
  <si>
    <t xml:space="preserve">Partial Function of 'Longitudinal control (ACC, Chill mode)' while in Highway curve near R_ODD with barrier or adjacent traffic (70–110 km/h), dry, daylight.</t>
  </si>
  <si>
    <t xml:space="preserve">H-1358</t>
  </si>
  <si>
    <t xml:space="preserve">Partial Function of 'Longitudinal control (ACC, Chill mode)' while in Highway curve near R_ODD with barrier or adjacent traffic (70–110 km/h), wet road or light rain.</t>
  </si>
  <si>
    <t xml:space="preserve">H-1359</t>
  </si>
  <si>
    <t xml:space="preserve">Partial Function of 'Longitudinal control (ACC, Chill mode)' while in Highway curve near R_ODD with barrier or adjacent traffic (70–110 km/h), night, dry, headlights.</t>
  </si>
  <si>
    <t xml:space="preserve">H-1360</t>
  </si>
  <si>
    <t xml:space="preserve">Partial Function of 'Longitudinal control (ACC, Chill mode)' while in Highway curve near R_ODD with barrier or adjacent traffic (70–110 km/h), moderate or heavy rain (outside odd, foreseeable).</t>
  </si>
  <si>
    <t xml:space="preserve">H-1361</t>
  </si>
  <si>
    <t xml:space="preserve">Partial Function of 'Longitudinal control (ACC, Chill mode)' while in Highway curve near R_ODD with barrier or adjacent traffic (70–110 km/h), snow or ice (outside odd, foreseeable).</t>
  </si>
  <si>
    <t xml:space="preserve">H-1362</t>
  </si>
  <si>
    <t xml:space="preserve">Partial Function of 'Longitudinal control (ACC, Chill mode)' while in Highway curve near R_ODD with barrier or adjacent traffic (70–110 km/h), fog, visibility below the odd bound (outside odd, foreseeable).</t>
  </si>
  <si>
    <t xml:space="preserve">H-1363</t>
  </si>
  <si>
    <t xml:space="preserve">Partial Function of 'Longitudinal control (ACC, Chill mode)' while in Undivided rural or arterial road, oncoming traffic (60–90 km/h), dry, daylight.</t>
  </si>
  <si>
    <t xml:space="preserve">H-1364</t>
  </si>
  <si>
    <t xml:space="preserve">Partial Function of 'Longitudinal control (ACC, Chill mode)' while in Undivided rural or arterial road, oncoming traffic (60–90 km/h), wet road or light rain.</t>
  </si>
  <si>
    <t xml:space="preserve">H-1365</t>
  </si>
  <si>
    <t xml:space="preserve">Partial Function of 'Longitudinal control (ACC, Chill mode)' while in Undivided rural or arterial road, oncoming traffic (60–90 km/h), night, dry, headlights.</t>
  </si>
  <si>
    <t xml:space="preserve">H-1366</t>
  </si>
  <si>
    <t xml:space="preserve">Partial Function of 'Longitudinal control (ACC, Chill mode)' while in Undivided rural or arterial road, oncoming traffic (60–90 km/h), moderate or heavy rain (outside odd, foreseeable).</t>
  </si>
  <si>
    <t xml:space="preserve">H-1367</t>
  </si>
  <si>
    <t xml:space="preserve">Partial Function of 'Longitudinal control (ACC, Chill mode)' while in Undivided rural or arterial road, oncoming traffic (60–90 km/h), snow or ice (outside odd, foreseeable).</t>
  </si>
  <si>
    <t xml:space="preserve">H-1368</t>
  </si>
  <si>
    <t xml:space="preserve">Partial Function of 'Longitudinal control (ACC, Chill mode)' while in Undivided rural or arterial road, oncoming traffic (60–90 km/h), fog, visibility below the odd bound (outside odd, foreseeable).</t>
  </si>
  <si>
    <t xml:space="preserve">H-1369</t>
  </si>
  <si>
    <t xml:space="preserve">Partial Function of 'Longitudinal control (ACC, Chill mode)' while in Urban arterial, pedestrians and cyclists near the lane edge (30–60 km/h), dry, daylight.</t>
  </si>
  <si>
    <t xml:space="preserve">H-1370</t>
  </si>
  <si>
    <t xml:space="preserve">Partial Function of 'Longitudinal control (ACC, Chill mode)' while in Urban arterial, pedestrians and cyclists near the lane edge (30–60 km/h), wet road or light rain.</t>
  </si>
  <si>
    <t xml:space="preserve">H-1371</t>
  </si>
  <si>
    <t xml:space="preserve">Partial Function of 'Longitudinal control (ACC, Chill mode)' while in Urban arterial, pedestrians and cyclists near the lane edge (30–60 km/h), night, dry, headlights.</t>
  </si>
  <si>
    <t xml:space="preserve">H-1372</t>
  </si>
  <si>
    <t xml:space="preserve">Partial Function of 'Longitudinal control (ACC, Chill mode)' while in Urban arterial, pedestrians and cyclists near the lane edge (30–60 km/h), moderate or heavy rain (outside odd, foreseeable).</t>
  </si>
  <si>
    <t xml:space="preserve">H-1373</t>
  </si>
  <si>
    <t xml:space="preserve">Partial Function of 'Longitudinal control (ACC, Chill mode)' while in Urban arterial, pedestrians and cyclists near the lane edge (30–60 km/h), snow or ice (outside odd, foreseeable).</t>
  </si>
  <si>
    <t xml:space="preserve">H-1374</t>
  </si>
  <si>
    <t xml:space="preserve">Partial Function of 'Longitudinal control (ACC, Chill mode)' while in Urban arterial, pedestrians and cyclists near the lane edge (30–60 km/h), fog, visibility below the odd bound (outside odd, foreseeable).</t>
  </si>
  <si>
    <t xml:space="preserve">H-1375</t>
  </si>
  <si>
    <t xml:space="preserve">Partial Function of 'Longitudinal control (ACC, Chill mode)' while in Following a lead vehicle at a short gap, dense traffic (30–110 km/h), dry, daylight.</t>
  </si>
  <si>
    <t xml:space="preserve">H-1376</t>
  </si>
  <si>
    <t xml:space="preserve">Partial Function of 'Longitudinal control (ACC, Chill mode)' while in Following a lead vehicle at a short gap, dense traffic (30–110 km/h), wet road or light rain.</t>
  </si>
  <si>
    <t xml:space="preserve">H-1377</t>
  </si>
  <si>
    <t xml:space="preserve">Partial Function of 'Longitudinal control (ACC, Chill mode)' while in Following a lead vehicle at a short gap, dense traffic (30–110 km/h), night, dry, headlights.</t>
  </si>
  <si>
    <t xml:space="preserve">H-1378</t>
  </si>
  <si>
    <t xml:space="preserve">Partial Function of 'Longitudinal control (ACC, Chill mode)' while in Following a lead vehicle at a short gap, dense traffic (30–110 km/h), moderate or heavy rain (outside odd, foreseeable).</t>
  </si>
  <si>
    <t xml:space="preserve">H-1379</t>
  </si>
  <si>
    <t xml:space="preserve">Partial Function of 'Longitudinal control (ACC, Chill mode)' while in Following a lead vehicle at a short gap, dense traffic (30–110 km/h), snow or ice (outside odd, foreseeable).</t>
  </si>
  <si>
    <t xml:space="preserve">H-1380</t>
  </si>
  <si>
    <t xml:space="preserve">Partial Function of 'Longitudinal control (ACC, Chill mode)' while in Following a lead vehicle at a short gap, dense traffic (30–110 km/h), fog, visibility below the odd bound (outside odd, foreseeable).</t>
  </si>
  <si>
    <t xml:space="preserve">H-1381</t>
  </si>
  <si>
    <t xml:space="preserve">Partial Function of 'Longitudinal control (ACC, Chill mode)' while in Stop-and-go queue or standstill behind a lead; pedestrians may cross (0–30 km/h), dry, daylight.</t>
  </si>
  <si>
    <t xml:space="preserve">H-1382</t>
  </si>
  <si>
    <t xml:space="preserve">Partial Function of 'Longitudinal control (ACC, Chill mode)' while in Stop-and-go queue or standstill behind a lead; pedestrians may cross (0–30 km/h), wet road or light rain.</t>
  </si>
  <si>
    <t xml:space="preserve">H-1383</t>
  </si>
  <si>
    <t xml:space="preserve">Partial Function of 'Longitudinal control (ACC, Chill mode)' while in Stop-and-go queue or standstill behind a lead; pedestrians may cross (0–30 km/h), night, dry, headlights.</t>
  </si>
  <si>
    <t xml:space="preserve">H-1384</t>
  </si>
  <si>
    <t xml:space="preserve">Partial Function of 'Longitudinal control (ACC, Chill mode)' while in Stop-and-go queue or standstill behind a lead; pedestrians may cross (0–30 km/h), moderate or heavy rain (outside odd, foreseeable).</t>
  </si>
  <si>
    <t xml:space="preserve">H-1385</t>
  </si>
  <si>
    <t xml:space="preserve">Partial Function of 'Longitudinal control (ACC, Chill mode)' while in Stop-and-go queue or standstill behind a lead; pedestrians may cross (0–30 km/h), snow or ice (outside odd, foreseeable).</t>
  </si>
  <si>
    <t xml:space="preserve">H-1386</t>
  </si>
  <si>
    <t xml:space="preserve">Partial Function of 'Longitudinal control (ACC, Chill mode)' while in Stop-and-go queue or standstill behind a lead; pedestrians may cross (0–30 km/h), fog, visibility below the odd bound (outside odd, foreseeable).</t>
  </si>
  <si>
    <t xml:space="preserve">H-1387</t>
  </si>
  <si>
    <t xml:space="preserve">Partial Function of 'Longitudinal control (ACC, Chill mode)' while in Approaching slower or stationary traffic from highway speed (70–120 km/h), dry, daylight.</t>
  </si>
  <si>
    <t xml:space="preserve">H-1388</t>
  </si>
  <si>
    <t xml:space="preserve">Partial Function of 'Longitudinal control (ACC, Chill mode)' while in Approaching slower or stationary traffic from highway speed (70–120 km/h), wet road or light rain.</t>
  </si>
  <si>
    <t xml:space="preserve">H-1389</t>
  </si>
  <si>
    <t xml:space="preserve">Partial Function of 'Longitudinal control (ACC, Chill mode)' while in Approaching slower or stationary traffic from highway speed (70–120 km/h), night, dry, headlights.</t>
  </si>
  <si>
    <t xml:space="preserve">H-1390</t>
  </si>
  <si>
    <t xml:space="preserve">Partial Function of 'Longitudinal control (ACC, Chill mode)' while in Approaching slower or stationary traffic from highway speed (70–120 km/h), moderate or heavy rain (outside odd, foreseeable).</t>
  </si>
  <si>
    <t xml:space="preserve">H-1391</t>
  </si>
  <si>
    <t xml:space="preserve">Partial Function of 'Longitudinal control (ACC, Chill mode)' while in Approaching slower or stationary traffic from highway speed (70–120 km/h), snow or ice (outside odd, foreseeable).</t>
  </si>
  <si>
    <t xml:space="preserve">H-1392</t>
  </si>
  <si>
    <t xml:space="preserve">Partial Function of 'Longitudinal control (ACC, Chill mode)' while in Approaching slower or stationary traffic from highway speed (70–120 km/h), fog, visibility below the odd bound (outside odd, foreseeable).</t>
  </si>
  <si>
    <t xml:space="preserve">H-1393</t>
  </si>
  <si>
    <t xml:space="preserve">Partial Function of 'Longitudinal control (ACC, Chill mode)' while in Close following vehicle behind (gap &lt; 1.5 s) (50–120 km/h), dry, daylight.</t>
  </si>
  <si>
    <t xml:space="preserve">H-1394</t>
  </si>
  <si>
    <t xml:space="preserve">Partial Function of 'Longitudinal control (ACC, Chill mode)' while in Close following vehicle behind (gap &lt; 1.5 s) (50–120 km/h), wet road or light rain.</t>
  </si>
  <si>
    <t xml:space="preserve">H-1395</t>
  </si>
  <si>
    <t xml:space="preserve">Partial Function of 'Longitudinal control (ACC, Chill mode)' while in Close following vehicle behind (gap &lt; 1.5 s) (50–120 km/h), night, dry, headlights.</t>
  </si>
  <si>
    <t xml:space="preserve">H-1396</t>
  </si>
  <si>
    <t xml:space="preserve">Partial Function of 'Longitudinal control (ACC, Chill mode)' while in Close following vehicle behind (gap &lt; 1.5 s) (50–120 km/h), moderate or heavy rain (outside odd, foreseeable).</t>
  </si>
  <si>
    <t xml:space="preserve">H-1397</t>
  </si>
  <si>
    <t xml:space="preserve">Partial Function of 'Longitudinal control (ACC, Chill mode)' while in Close following vehicle behind (gap &lt; 1.5 s) (50–120 km/h), snow or ice (outside odd, foreseeable).</t>
  </si>
  <si>
    <t xml:space="preserve">H-1398</t>
  </si>
  <si>
    <t xml:space="preserve">Partial Function of 'Longitudinal control (ACC, Chill mode)' while in Close following vehicle behind (gap &lt; 1.5 s) (50–120 km/h), fog, visibility below the odd bound (outside odd, foreseeable).</t>
  </si>
  <si>
    <t xml:space="preserve">H-1399</t>
  </si>
  <si>
    <t xml:space="preserve">Partial Function of 'Longitudinal control (ACC, Chill mode)' while in Imminent collision where the stock PCS/AEB would intervene (0–120 km/h), dry, daylight.</t>
  </si>
  <si>
    <t xml:space="preserve">H-1400</t>
  </si>
  <si>
    <t xml:space="preserve">Partial Function of 'Longitudinal control (ACC, Chill mode)' while in Imminent collision where the stock PCS/AEB would intervene (0–120 km/h), wet road or light rain.</t>
  </si>
  <si>
    <t xml:space="preserve">H-1401</t>
  </si>
  <si>
    <t xml:space="preserve">Partial Function of 'Longitudinal control (ACC, Chill mode)' while in Imminent collision where the stock PCS/AEB would intervene (0–120 km/h), night, dry, headlights.</t>
  </si>
  <si>
    <t xml:space="preserve">H-1402</t>
  </si>
  <si>
    <t xml:space="preserve">Partial Function of 'Longitudinal control (ACC, Chill mode)' while in Imminent collision where the stock PCS/AEB would intervene (0–120 km/h), moderate or heavy rain (outside odd, foreseeable).</t>
  </si>
  <si>
    <t xml:space="preserve">H-1403</t>
  </si>
  <si>
    <t xml:space="preserve">Partial Function of 'Longitudinal control (ACC, Chill mode)' while in Imminent collision where the stock PCS/AEB would intervene (0–120 km/h), snow or ice (outside odd, foreseeable).</t>
  </si>
  <si>
    <t xml:space="preserve">H-1404</t>
  </si>
  <si>
    <t xml:space="preserve">Partial Function of 'Longitudinal control (ACC, Chill mode)' while in Imminent collision where the stock PCS/AEB would intervene (0–120 km/h), fog, visibility below the odd bound (outside odd, foreseeable).</t>
  </si>
  <si>
    <t xml:space="preserve">H-1405</t>
  </si>
  <si>
    <t xml:space="preserve">Partial Function of 'Longitudinal control (ACC, Chill mode)' while in Driver override while engaged: braking, cancel or evasive steering (0–120 km/h), dry, daylight.</t>
  </si>
  <si>
    <t xml:space="preserve">H-1406</t>
  </si>
  <si>
    <t xml:space="preserve">Partial Function of 'Longitudinal control (ACC, Chill mode)' while in Driver override while engaged: braking, cancel or evasive steering (0–120 km/h), wet road or light rain.</t>
  </si>
  <si>
    <t xml:space="preserve">H-1407</t>
  </si>
  <si>
    <t xml:space="preserve">Partial Function of 'Longitudinal control (ACC, Chill mode)' while in Driver override while engaged: braking, cancel or evasive steering (0–120 km/h), night, dry, headlights.</t>
  </si>
  <si>
    <t xml:space="preserve">H-1408</t>
  </si>
  <si>
    <t xml:space="preserve">Partial Function of 'Longitudinal control (ACC, Chill mode)' while in Driver override while engaged: braking, cancel or evasive steering (0–120 km/h), moderate or heavy rain (outside odd, foreseeable).</t>
  </si>
  <si>
    <t xml:space="preserve">H-1409</t>
  </si>
  <si>
    <t xml:space="preserve">Partial Function of 'Longitudinal control (ACC, Chill mode)' while in Driver override while engaged: braking, cancel or evasive steering (0–120 km/h), snow or ice (outside odd, foreseeable).</t>
  </si>
  <si>
    <t xml:space="preserve">H-1410</t>
  </si>
  <si>
    <t xml:space="preserve">Partial Function of 'Longitudinal control (ACC, Chill mode)' while in Driver override while engaged: braking, cancel or evasive steering (0–120 km/h), fog, visibility below the odd bound (outside odd, foreseeable).</t>
  </si>
  <si>
    <t xml:space="preserve">H-1411</t>
  </si>
  <si>
    <t xml:space="preserve">Partial Function of 'Longitudinal control (ACC, Chill mode)' while in Driver-initiated assisted lane change (70–120 km/h), dry, daylight.</t>
  </si>
  <si>
    <t xml:space="preserve">H-1412</t>
  </si>
  <si>
    <t xml:space="preserve">Partial Function of 'Longitudinal control (ACC, Chill mode)' while in Driver-initiated assisted lane change (70–120 km/h), wet road or light rain.</t>
  </si>
  <si>
    <t xml:space="preserve">H-1413</t>
  </si>
  <si>
    <t xml:space="preserve">Partial Function of 'Longitudinal control (ACC, Chill mode)' while in Driver-initiated assisted lane change (70–120 km/h), night, dry, headlights.</t>
  </si>
  <si>
    <t xml:space="preserve">H-1414</t>
  </si>
  <si>
    <t xml:space="preserve">Partial Function of 'Longitudinal control (ACC, Chill mode)' while in Driver-initiated assisted lane change (70–120 km/h), moderate or heavy rain (outside odd, foreseeable).</t>
  </si>
  <si>
    <t xml:space="preserve">H-1415</t>
  </si>
  <si>
    <t xml:space="preserve">Partial Function of 'Longitudinal control (ACC, Chill mode)' while in Driver-initiated assisted lane change (70–120 km/h), snow or ice (outside odd, foreseeable).</t>
  </si>
  <si>
    <t xml:space="preserve">H-1416</t>
  </si>
  <si>
    <t xml:space="preserve">Partial Function of 'Longitudinal control (ACC, Chill mode)' while in Driver-initiated assisted lane change (70–120 km/h), fog, visibility below the odd bound (outside odd, foreseeable).</t>
  </si>
  <si>
    <t xml:space="preserve">H-1417</t>
  </si>
  <si>
    <t xml:space="preserve">Partial Function of 'Longitudinal control (ACC, Chill mode)' while in Manual driving, item powered but not engaged (0–120 km/h), dry, daylight.</t>
  </si>
  <si>
    <t xml:space="preserve">H-1418</t>
  </si>
  <si>
    <t xml:space="preserve">Partial Function of 'Longitudinal control (ACC, Chill mode)' while in Manual driving, item powered but not engaged (0–120 km/h), wet road or light rain.</t>
  </si>
  <si>
    <t xml:space="preserve">H-1419</t>
  </si>
  <si>
    <t xml:space="preserve">Partial Function of 'Longitudinal control (ACC, Chill mode)' while in Manual driving, item powered but not engaged (0–120 km/h), night, dry, headlights.</t>
  </si>
  <si>
    <t xml:space="preserve">H-1420</t>
  </si>
  <si>
    <t xml:space="preserve">Partial Function of 'Longitudinal control (ACC, Chill mode)' while in Manual driving, item powered but not engaged (0–120 km/h), moderate or heavy rain (outside odd, foreseeable).</t>
  </si>
  <si>
    <t xml:space="preserve">H-1421</t>
  </si>
  <si>
    <t xml:space="preserve">Partial Function of 'Longitudinal control (ACC, Chill mode)' while in Manual driving, item powered but not engaged (0–120 km/h), snow or ice (outside odd, foreseeable).</t>
  </si>
  <si>
    <t xml:space="preserve">H-1422</t>
  </si>
  <si>
    <t xml:space="preserve">Partial Function of 'Longitudinal control (ACC, Chill mode)' while in Manual driving, item powered but not engaged (0–120 km/h), fog, visibility below the odd bound (outside odd, foreseeable).</t>
  </si>
  <si>
    <t xml:space="preserve">H-1423</t>
  </si>
  <si>
    <t xml:space="preserve">Partial Function of 'Longitudinal control (ACC, Chill mode)' while in Engaged outside the ODD (residential street, ramp, tight curve): foreseeable misuse (15–60 km/h), dry, daylight.</t>
  </si>
  <si>
    <t xml:space="preserve">H-1424</t>
  </si>
  <si>
    <t xml:space="preserve">Partial Function of 'Longitudinal control (ACC, Chill mode)' while in Engaged outside the ODD (residential street, ramp, tight curve): foreseeable misuse (15–60 km/h), wet road or light rain.</t>
  </si>
  <si>
    <t xml:space="preserve">H-1425</t>
  </si>
  <si>
    <t xml:space="preserve">Partial Function of 'Longitudinal control (ACC, Chill mode)' while in Engaged outside the ODD (residential street, ramp, tight curve): foreseeable misuse (15–60 km/h), night, dry, headlights.</t>
  </si>
  <si>
    <t xml:space="preserve">H-1426</t>
  </si>
  <si>
    <t xml:space="preserve">Partial Function of 'Longitudinal control (ACC, Chill mode)' while in Engaged outside the ODD (residential street, ramp, tight curve): foreseeable misuse (15–60 km/h), moderate or heavy rain (outside odd, foreseeable).</t>
  </si>
  <si>
    <t xml:space="preserve">H-1427</t>
  </si>
  <si>
    <t xml:space="preserve">Partial Function of 'Longitudinal control (ACC, Chill mode)' while in Engaged outside the ODD (residential street, ramp, tight curve): foreseeable misuse (15–60 km/h), snow or ice (outside odd, foreseeable).</t>
  </si>
  <si>
    <t xml:space="preserve">H-1428</t>
  </si>
  <si>
    <t xml:space="preserve">Partial Function of 'Longitudinal control (ACC, Chill mode)' while in Engaged outside the ODD (residential street, ramp, tight curve): foreseeable misuse (15–60 km/h), fog, visibility below the odd bound (outside odd, foreseeable).</t>
  </si>
  <si>
    <t xml:space="preserve">H-1429</t>
  </si>
  <si>
    <t xml:space="preserve">Partial Function of 'Longitudinal control (ACC, Chill mode)' while in Approaching a signalised or stop-controlled intersection (ODD-A) (30–90 km/h), dry, daylight.</t>
  </si>
  <si>
    <t xml:space="preserve">H-1430</t>
  </si>
  <si>
    <t xml:space="preserve">Partial Function of 'Longitudinal control (ACC, Chill mode)' while in Approaching a signalised or stop-controlled intersection (ODD-A) (30–90 km/h), wet road or light rain.</t>
  </si>
  <si>
    <t xml:space="preserve">H-1431</t>
  </si>
  <si>
    <t xml:space="preserve">Partial Function of 'Longitudinal control (ACC, Chill mode)' while in Approaching a signalised or stop-controlled intersection (ODD-A) (30–90 km/h), night, dry, headlights.</t>
  </si>
  <si>
    <t xml:space="preserve">H-1432</t>
  </si>
  <si>
    <t xml:space="preserve">Partial Function of 'Longitudinal control (ACC, Chill mode)' while in Approaching a signalised or stop-controlled intersection (ODD-A) (30–90 km/h), moderate or heavy rain (outside odd, foreseeable).</t>
  </si>
  <si>
    <t xml:space="preserve">H-1433</t>
  </si>
  <si>
    <t xml:space="preserve">Partial Function of 'Longitudinal control (ACC, Chill mode)' while in Approaching a signalised or stop-controlled intersection (ODD-A) (30–90 km/h), snow or ice (outside odd, foreseeable).</t>
  </si>
  <si>
    <t xml:space="preserve">H-1434</t>
  </si>
  <si>
    <t xml:space="preserve">Partial Function of 'Longitudinal control (ACC, Chill mode)' while in Approaching a signalised or stop-controlled intersection (ODD-A) (30–90 km/h), fog, visibility below the odd bound (outside odd, foreseeable).</t>
  </si>
  <si>
    <t xml:space="preserve">H-1435</t>
  </si>
  <si>
    <t xml:space="preserve">Partial Function of 'Longitudinal control (ACC, Chill mode)' while in Rural or arterial curve near R_ODD with oncoming traffic (60–90 km/h), dry, daylight.</t>
  </si>
  <si>
    <t xml:space="preserve">H-1436</t>
  </si>
  <si>
    <t xml:space="preserve">Partial Function of 'Longitudinal control (ACC, Chill mode)' while in Rural or arterial curve near R_ODD with oncoming traffic (60–90 km/h), wet road or light rain.</t>
  </si>
  <si>
    <t xml:space="preserve">H-1437</t>
  </si>
  <si>
    <t xml:space="preserve">Partial Function of 'Longitudinal control (ACC, Chill mode)' while in Rural or arterial curve near R_ODD with oncoming traffic (60–90 km/h), night, dry, headlights.</t>
  </si>
  <si>
    <t xml:space="preserve">H-1438</t>
  </si>
  <si>
    <t xml:space="preserve">Partial Function of 'Longitudinal control (ACC, Chill mode)' while in Rural or arterial curve near R_ODD with oncoming traffic (60–90 km/h), moderate or heavy rain (outside odd, foreseeable).</t>
  </si>
  <si>
    <t xml:space="preserve">H-1439</t>
  </si>
  <si>
    <t xml:space="preserve">Partial Function of 'Longitudinal control (ACC, Chill mode)' while in Rural or arterial curve near R_ODD with oncoming traffic (60–90 km/h), snow or ice (outside odd, foreseeable).</t>
  </si>
  <si>
    <t xml:space="preserve">H-1440</t>
  </si>
  <si>
    <t xml:space="preserve">Partial Function of 'Longitudinal control (ACC, Chill mode)' while in Rural or arterial curve near R_ODD with oncoming traffic (60–90 km/h), fog, visibility below the odd bound (outside odd, foreseeable).</t>
  </si>
  <si>
    <t xml:space="preserve">H-1441</t>
  </si>
  <si>
    <t xml:space="preserve">Function Applies Too Long of 'Longitudinal control (ACC, Chill mode)' while in Limited-access highway, free flow, adjacent traffic (90–120 km/h), dry, daylight.</t>
  </si>
  <si>
    <t xml:space="preserve">H-1442</t>
  </si>
  <si>
    <t xml:space="preserve">Function Applies Too Long of 'Longitudinal control (ACC, Chill mode)' while in Limited-access highway, free flow, adjacent traffic (90–120 km/h), wet road or light rain.</t>
  </si>
  <si>
    <t xml:space="preserve">H-1443</t>
  </si>
  <si>
    <t xml:space="preserve">Function Applies Too Long of 'Longitudinal control (ACC, Chill mode)' while in Limited-access highway, free flow, adjacent traffic (90–120 km/h), night, dry, headlights.</t>
  </si>
  <si>
    <t xml:space="preserve">H-1444</t>
  </si>
  <si>
    <t xml:space="preserve">Function Applies Too Long of 'Longitudinal control (ACC, Chill mode)' while in Limited-access highway, free flow, adjacent traffic (90–120 km/h), moderate or heavy rain (outside odd, foreseeable).</t>
  </si>
  <si>
    <t xml:space="preserve">H-1445</t>
  </si>
  <si>
    <t xml:space="preserve">Function Applies Too Long of 'Longitudinal control (ACC, Chill mode)' while in Limited-access highway, free flow, adjacent traffic (90–120 km/h), snow or ice (outside odd, foreseeable).</t>
  </si>
  <si>
    <t xml:space="preserve">H-1446</t>
  </si>
  <si>
    <t xml:space="preserve">Function Applies Too Long of 'Longitudinal control (ACC, Chill mode)' while in Limited-access highway, free flow, adjacent traffic (90–120 km/h), fog, visibility below the odd bound (outside odd, foreseeable).</t>
  </si>
  <si>
    <t xml:space="preserve">H-1447</t>
  </si>
  <si>
    <t xml:space="preserve">Function Applies Too Long of 'Longitudinal control (ACC, Chill mode)' while in Highway curve near R_ODD with barrier or adjacent traffic (70–110 km/h), dry, daylight.</t>
  </si>
  <si>
    <t xml:space="preserve">H-1448</t>
  </si>
  <si>
    <t xml:space="preserve">Function Applies Too Long of 'Longitudinal control (ACC, Chill mode)' while in Highway curve near R_ODD with barrier or adjacent traffic (70–110 km/h), wet road or light rain.</t>
  </si>
  <si>
    <t xml:space="preserve">H-1449</t>
  </si>
  <si>
    <t xml:space="preserve">Function Applies Too Long of 'Longitudinal control (ACC, Chill mode)' while in Highway curve near R_ODD with barrier or adjacent traffic (70–110 km/h), night, dry, headlights.</t>
  </si>
  <si>
    <t xml:space="preserve">H-1450</t>
  </si>
  <si>
    <t xml:space="preserve">Function Applies Too Long of 'Longitudinal control (ACC, Chill mode)' while in Highway curve near R_ODD with barrier or adjacent traffic (70–110 km/h), moderate or heavy rain (outside odd, foreseeable).</t>
  </si>
  <si>
    <t xml:space="preserve">H-1451</t>
  </si>
  <si>
    <t xml:space="preserve">Function Applies Too Long of 'Longitudinal control (ACC, Chill mode)' while in Highway curve near R_ODD with barrier or adjacent traffic (70–110 km/h), snow or ice (outside odd, foreseeable).</t>
  </si>
  <si>
    <t xml:space="preserve">H-1452</t>
  </si>
  <si>
    <t xml:space="preserve">Function Applies Too Long of 'Longitudinal control (ACC, Chill mode)' while in Highway curve near R_ODD with barrier or adjacent traffic (70–110 km/h), fog, visibility below the odd bound (outside odd, foreseeable).</t>
  </si>
  <si>
    <t xml:space="preserve">H-1453</t>
  </si>
  <si>
    <t xml:space="preserve">Function Applies Too Long of 'Longitudinal control (ACC, Chill mode)' while in Undivided rural or arterial road, oncoming traffic (60–90 km/h), dry, daylight.</t>
  </si>
  <si>
    <t xml:space="preserve">H-1454</t>
  </si>
  <si>
    <t xml:space="preserve">Function Applies Too Long of 'Longitudinal control (ACC, Chill mode)' while in Undivided rural or arterial road, oncoming traffic (60–90 km/h), wet road or light rain.</t>
  </si>
  <si>
    <t xml:space="preserve">H-1455</t>
  </si>
  <si>
    <t xml:space="preserve">Function Applies Too Long of 'Longitudinal control (ACC, Chill mode)' while in Undivided rural or arterial road, oncoming traffic (60–90 km/h), night, dry, headlights.</t>
  </si>
  <si>
    <t xml:space="preserve">H-1456</t>
  </si>
  <si>
    <t xml:space="preserve">Function Applies Too Long of 'Longitudinal control (ACC, Chill mode)' while in Undivided rural or arterial road, oncoming traffic (60–90 km/h), moderate or heavy rain (outside odd, foreseeable).</t>
  </si>
  <si>
    <t xml:space="preserve">H-1457</t>
  </si>
  <si>
    <t xml:space="preserve">Function Applies Too Long of 'Longitudinal control (ACC, Chill mode)' while in Undivided rural or arterial road, oncoming traffic (60–90 km/h), snow or ice (outside odd, foreseeable).</t>
  </si>
  <si>
    <t xml:space="preserve">H-1458</t>
  </si>
  <si>
    <t xml:space="preserve">Function Applies Too Long of 'Longitudinal control (ACC, Chill mode)' while in Undivided rural or arterial road, oncoming traffic (60–90 km/h), fog, visibility below the odd bound (outside odd, foreseeable).</t>
  </si>
  <si>
    <t xml:space="preserve">H-1459</t>
  </si>
  <si>
    <t xml:space="preserve">Function Applies Too Long of 'Longitudinal control (ACC, Chill mode)' while in Urban arterial, pedestrians and cyclists near the lane edge (30–60 km/h), dry, daylight.</t>
  </si>
  <si>
    <t xml:space="preserve">H-1460</t>
  </si>
  <si>
    <t xml:space="preserve">Function Applies Too Long of 'Longitudinal control (ACC, Chill mode)' while in Urban arterial, pedestrians and cyclists near the lane edge (30–60 km/h), wet road or light rain.</t>
  </si>
  <si>
    <t xml:space="preserve">H-1461</t>
  </si>
  <si>
    <t xml:space="preserve">Function Applies Too Long of 'Longitudinal control (ACC, Chill mode)' while in Urban arterial, pedestrians and cyclists near the lane edge (30–60 km/h), night, dry, headlights.</t>
  </si>
  <si>
    <t xml:space="preserve">H-1462</t>
  </si>
  <si>
    <t xml:space="preserve">Function Applies Too Long of 'Longitudinal control (ACC, Chill mode)' while in Urban arterial, pedestrians and cyclists near the lane edge (30–60 km/h), moderate or heavy rain (outside odd, foreseeable).</t>
  </si>
  <si>
    <t xml:space="preserve">H-1463</t>
  </si>
  <si>
    <t xml:space="preserve">Function Applies Too Long of 'Longitudinal control (ACC, Chill mode)' while in Urban arterial, pedestrians and cyclists near the lane edge (30–60 km/h), snow or ice (outside odd, foreseeable).</t>
  </si>
  <si>
    <t xml:space="preserve">H-1464</t>
  </si>
  <si>
    <t xml:space="preserve">Function Applies Too Long of 'Longitudinal control (ACC, Chill mode)' while in Urban arterial, pedestrians and cyclists near the lane edge (30–60 km/h), fog, visibility below the odd bound (outside odd, foreseeable).</t>
  </si>
  <si>
    <t xml:space="preserve">H-1465</t>
  </si>
  <si>
    <t xml:space="preserve">Function Applies Too Long of 'Longitudinal control (ACC, Chill mode)' while in Following a lead vehicle at a short gap, dense traffic (30–110 km/h), dry, daylight.</t>
  </si>
  <si>
    <t xml:space="preserve">H-1466</t>
  </si>
  <si>
    <t xml:space="preserve">Function Applies Too Long of 'Longitudinal control (ACC, Chill mode)' while in Following a lead vehicle at a short gap, dense traffic (30–110 km/h), wet road or light rain.</t>
  </si>
  <si>
    <t xml:space="preserve">H-1467</t>
  </si>
  <si>
    <t xml:space="preserve">Function Applies Too Long of 'Longitudinal control (ACC, Chill mode)' while in Following a lead vehicle at a short gap, dense traffic (30–110 km/h), night, dry, headlights.</t>
  </si>
  <si>
    <t xml:space="preserve">H-1468</t>
  </si>
  <si>
    <t xml:space="preserve">Function Applies Too Long of 'Longitudinal control (ACC, Chill mode)' while in Following a lead vehicle at a short gap, dense traffic (30–110 km/h), moderate or heavy rain (outside odd, foreseeable).</t>
  </si>
  <si>
    <t xml:space="preserve">H-1469</t>
  </si>
  <si>
    <t xml:space="preserve">Function Applies Too Long of 'Longitudinal control (ACC, Chill mode)' while in Following a lead vehicle at a short gap, dense traffic (30–110 km/h), snow or ice (outside odd, foreseeable).</t>
  </si>
  <si>
    <t xml:space="preserve">H-1470</t>
  </si>
  <si>
    <t xml:space="preserve">Function Applies Too Long of 'Longitudinal control (ACC, Chill mode)' while in Following a lead vehicle at a short gap, dense traffic (30–110 km/h), fog, visibility below the odd bound (outside odd, foreseeable).</t>
  </si>
  <si>
    <t xml:space="preserve">H-1471</t>
  </si>
  <si>
    <t xml:space="preserve">Function Applies Too Long of 'Longitudinal control (ACC, Chill mode)' while in Stop-and-go queue or standstill behind a lead; pedestrians may cross (0–30 km/h), dry, daylight.</t>
  </si>
  <si>
    <t xml:space="preserve">H-1472</t>
  </si>
  <si>
    <t xml:space="preserve">Function Applies Too Long of 'Longitudinal control (ACC, Chill mode)' while in Stop-and-go queue or standstill behind a lead; pedestrians may cross (0–30 km/h), wet road or light rain.</t>
  </si>
  <si>
    <t xml:space="preserve">H-1473</t>
  </si>
  <si>
    <t xml:space="preserve">Function Applies Too Long of 'Longitudinal control (ACC, Chill mode)' while in Stop-and-go queue or standstill behind a lead; pedestrians may cross (0–30 km/h), night, dry, headlights.</t>
  </si>
  <si>
    <t xml:space="preserve">H-1474</t>
  </si>
  <si>
    <t xml:space="preserve">Function Applies Too Long of 'Longitudinal control (ACC, Chill mode)' while in Stop-and-go queue or standstill behind a lead; pedestrians may cross (0–30 km/h), moderate or heavy rain (outside odd, foreseeable).</t>
  </si>
  <si>
    <t xml:space="preserve">H-1475</t>
  </si>
  <si>
    <t xml:space="preserve">Function Applies Too Long of 'Longitudinal control (ACC, Chill mode)' while in Stop-and-go queue or standstill behind a lead; pedestrians may cross (0–30 km/h), snow or ice (outside odd, foreseeable).</t>
  </si>
  <si>
    <t xml:space="preserve">H-1476</t>
  </si>
  <si>
    <t xml:space="preserve">Function Applies Too Long of 'Longitudinal control (ACC, Chill mode)' while in Stop-and-go queue or standstill behind a lead; pedestrians may cross (0–30 km/h), fog, visibility below the odd bound (outside odd, foreseeable).</t>
  </si>
  <si>
    <t xml:space="preserve">H-1477</t>
  </si>
  <si>
    <t xml:space="preserve">Function Applies Too Long of 'Longitudinal control (ACC, Chill mode)' while in Approaching slower or stationary traffic from highway speed (70–120 km/h), dry, daylight.</t>
  </si>
  <si>
    <t xml:space="preserve">H-1478</t>
  </si>
  <si>
    <t xml:space="preserve">Function Applies Too Long of 'Longitudinal control (ACC, Chill mode)' while in Approaching slower or stationary traffic from highway speed (70–120 km/h), wet road or light rain.</t>
  </si>
  <si>
    <t xml:space="preserve">H-1479</t>
  </si>
  <si>
    <t xml:space="preserve">Function Applies Too Long of 'Longitudinal control (ACC, Chill mode)' while in Approaching slower or stationary traffic from highway speed (70–120 km/h), night, dry, headlights.</t>
  </si>
  <si>
    <t xml:space="preserve">H-1480</t>
  </si>
  <si>
    <t xml:space="preserve">Function Applies Too Long of 'Longitudinal control (ACC, Chill mode)' while in Approaching slower or stationary traffic from highway speed (70–120 km/h), moderate or heavy rain (outside odd, foreseeable).</t>
  </si>
  <si>
    <t xml:space="preserve">H-1481</t>
  </si>
  <si>
    <t xml:space="preserve">Function Applies Too Long of 'Longitudinal control (ACC, Chill mode)' while in Approaching slower or stationary traffic from highway speed (70–120 km/h), snow or ice (outside odd, foreseeable).</t>
  </si>
  <si>
    <t xml:space="preserve">H-1482</t>
  </si>
  <si>
    <t xml:space="preserve">Function Applies Too Long of 'Longitudinal control (ACC, Chill mode)' while in Approaching slower or stationary traffic from highway speed (70–120 km/h), fog, visibility below the odd bound (outside odd, foreseeable).</t>
  </si>
  <si>
    <t xml:space="preserve">H-1483</t>
  </si>
  <si>
    <t xml:space="preserve">Function Applies Too Long of 'Longitudinal control (ACC, Chill mode)' while in Close following vehicle behind (gap &lt; 1.5 s) (50–120 km/h), dry, daylight.</t>
  </si>
  <si>
    <t xml:space="preserve">H-1484</t>
  </si>
  <si>
    <t xml:space="preserve">Function Applies Too Long of 'Longitudinal control (ACC, Chill mode)' while in Close following vehicle behind (gap &lt; 1.5 s) (50–120 km/h), wet road or light rain.</t>
  </si>
  <si>
    <t xml:space="preserve">H-1485</t>
  </si>
  <si>
    <t xml:space="preserve">Function Applies Too Long of 'Longitudinal control (ACC, Chill mode)' while in Close following vehicle behind (gap &lt; 1.5 s) (50–120 km/h), night, dry, headlights.</t>
  </si>
  <si>
    <t xml:space="preserve">H-1486</t>
  </si>
  <si>
    <t xml:space="preserve">Function Applies Too Long of 'Longitudinal control (ACC, Chill mode)' while in Close following vehicle behind (gap &lt; 1.5 s) (50–120 km/h), moderate or heavy rain (outside odd, foreseeable).</t>
  </si>
  <si>
    <t xml:space="preserve">H-1487</t>
  </si>
  <si>
    <t xml:space="preserve">Function Applies Too Long of 'Longitudinal control (ACC, Chill mode)' while in Close following vehicle behind (gap &lt; 1.5 s) (50–120 km/h), snow or ice (outside odd, foreseeable).</t>
  </si>
  <si>
    <t xml:space="preserve">H-1488</t>
  </si>
  <si>
    <t xml:space="preserve">Function Applies Too Long of 'Longitudinal control (ACC, Chill mode)' while in Close following vehicle behind (gap &lt; 1.5 s) (50–120 km/h), fog, visibility below the odd bound (outside odd, foreseeable).</t>
  </si>
  <si>
    <t xml:space="preserve">H-1489</t>
  </si>
  <si>
    <t xml:space="preserve">Function Applies Too Long of 'Longitudinal control (ACC, Chill mode)' while in Imminent collision where the stock PCS/AEB would intervene (0–120 km/h), dry, daylight.</t>
  </si>
  <si>
    <t xml:space="preserve">H-1490</t>
  </si>
  <si>
    <t xml:space="preserve">Function Applies Too Long of 'Longitudinal control (ACC, Chill mode)' while in Imminent collision where the stock PCS/AEB would intervene (0–120 km/h), wet road or light rain.</t>
  </si>
  <si>
    <t xml:space="preserve">H-1491</t>
  </si>
  <si>
    <t xml:space="preserve">Function Applies Too Long of 'Longitudinal control (ACC, Chill mode)' while in Imminent collision where the stock PCS/AEB would intervene (0–120 km/h), night, dry, headlights.</t>
  </si>
  <si>
    <t xml:space="preserve">H-1492</t>
  </si>
  <si>
    <t xml:space="preserve">Function Applies Too Long of 'Longitudinal control (ACC, Chill mode)' while in Imminent collision where the stock PCS/AEB would intervene (0–120 km/h), moderate or heavy rain (outside odd, foreseeable).</t>
  </si>
  <si>
    <t xml:space="preserve">H-1493</t>
  </si>
  <si>
    <t xml:space="preserve">Function Applies Too Long of 'Longitudinal control (ACC, Chill mode)' while in Imminent collision where the stock PCS/AEB would intervene (0–120 km/h), snow or ice (outside odd, foreseeable).</t>
  </si>
  <si>
    <t xml:space="preserve">H-1494</t>
  </si>
  <si>
    <t xml:space="preserve">Function Applies Too Long of 'Longitudinal control (ACC, Chill mode)' while in Imminent collision where the stock PCS/AEB would intervene (0–120 km/h), fog, visibility below the odd bound (outside odd, foreseeable).</t>
  </si>
  <si>
    <t xml:space="preserve">H-1495</t>
  </si>
  <si>
    <t xml:space="preserve">Function Applies Too Long of 'Longitudinal control (ACC, Chill mode)' while in Driver override while engaged: braking, cancel or evasive steering (0–120 km/h), dry, daylight.</t>
  </si>
  <si>
    <t xml:space="preserve">H-1496</t>
  </si>
  <si>
    <t xml:space="preserve">Function Applies Too Long of 'Longitudinal control (ACC, Chill mode)' while in Driver override while engaged: braking, cancel or evasive steering (0–120 km/h), wet road or light rain.</t>
  </si>
  <si>
    <t xml:space="preserve">H-1497</t>
  </si>
  <si>
    <t xml:space="preserve">Function Applies Too Long of 'Longitudinal control (ACC, Chill mode)' while in Driver override while engaged: braking, cancel or evasive steering (0–120 km/h), night, dry, headlights.</t>
  </si>
  <si>
    <t xml:space="preserve">H-1498</t>
  </si>
  <si>
    <t xml:space="preserve">Function Applies Too Long of 'Longitudinal control (ACC, Chill mode)' while in Driver override while engaged: braking, cancel or evasive steering (0–120 km/h), moderate or heavy rain (outside odd, foreseeable).</t>
  </si>
  <si>
    <t xml:space="preserve">H-1499</t>
  </si>
  <si>
    <t xml:space="preserve">Function Applies Too Long of 'Longitudinal control (ACC, Chill mode)' while in Driver override while engaged: braking, cancel or evasive steering (0–120 km/h), snow or ice (outside odd, foreseeable).</t>
  </si>
  <si>
    <t xml:space="preserve">H-1500</t>
  </si>
  <si>
    <t xml:space="preserve">Function Applies Too Long of 'Longitudinal control (ACC, Chill mode)' while in Driver override while engaged: braking, cancel or evasive steering (0–120 km/h), fog, visibility below the odd bound (outside odd, foreseeable).</t>
  </si>
  <si>
    <t xml:space="preserve">H-1501</t>
  </si>
  <si>
    <t xml:space="preserve">Function Applies Too Long of 'Longitudinal control (ACC, Chill mode)' while in Driver-initiated assisted lane change (70–120 km/h), dry, daylight.</t>
  </si>
  <si>
    <t xml:space="preserve">H-1502</t>
  </si>
  <si>
    <t xml:space="preserve">Function Applies Too Long of 'Longitudinal control (ACC, Chill mode)' while in Driver-initiated assisted lane change (70–120 km/h), wet road or light rain.</t>
  </si>
  <si>
    <t xml:space="preserve">H-1503</t>
  </si>
  <si>
    <t xml:space="preserve">Function Applies Too Long of 'Longitudinal control (ACC, Chill mode)' while in Driver-initiated assisted lane change (70–120 km/h), night, dry, headlights.</t>
  </si>
  <si>
    <t xml:space="preserve">H-1504</t>
  </si>
  <si>
    <t xml:space="preserve">Function Applies Too Long of 'Longitudinal control (ACC, Chill mode)' while in Driver-initiated assisted lane change (70–120 km/h), moderate or heavy rain (outside odd, foreseeable).</t>
  </si>
  <si>
    <t xml:space="preserve">H-1505</t>
  </si>
  <si>
    <t xml:space="preserve">Function Applies Too Long of 'Longitudinal control (ACC, Chill mode)' while in Driver-initiated assisted lane change (70–120 km/h), snow or ice (outside odd, foreseeable).</t>
  </si>
  <si>
    <t xml:space="preserve">H-1506</t>
  </si>
  <si>
    <t xml:space="preserve">Function Applies Too Long of 'Longitudinal control (ACC, Chill mode)' while in Driver-initiated assisted lane change (70–120 km/h), fog, visibility below the odd bound (outside odd, foreseeable).</t>
  </si>
  <si>
    <t xml:space="preserve">H-1507</t>
  </si>
  <si>
    <t xml:space="preserve">Function Applies Too Long of 'Longitudinal control (ACC, Chill mode)' while in Manual driving, item powered but not engaged (0–120 km/h), dry, daylight.</t>
  </si>
  <si>
    <t xml:space="preserve">H-1508</t>
  </si>
  <si>
    <t xml:space="preserve">Function Applies Too Long of 'Longitudinal control (ACC, Chill mode)' while in Manual driving, item powered but not engaged (0–120 km/h), wet road or light rain.</t>
  </si>
  <si>
    <t xml:space="preserve">H-1509</t>
  </si>
  <si>
    <t xml:space="preserve">Function Applies Too Long of 'Longitudinal control (ACC, Chill mode)' while in Manual driving, item powered but not engaged (0–120 km/h), night, dry, headlights.</t>
  </si>
  <si>
    <t xml:space="preserve">H-1510</t>
  </si>
  <si>
    <t xml:space="preserve">Function Applies Too Long of 'Longitudinal control (ACC, Chill mode)' while in Manual driving, item powered but not engaged (0–120 km/h), moderate or heavy rain (outside odd, foreseeable).</t>
  </si>
  <si>
    <t xml:space="preserve">H-1511</t>
  </si>
  <si>
    <t xml:space="preserve">Function Applies Too Long of 'Longitudinal control (ACC, Chill mode)' while in Manual driving, item powered but not engaged (0–120 km/h), snow or ice (outside odd, foreseeable).</t>
  </si>
  <si>
    <t xml:space="preserve">H-1512</t>
  </si>
  <si>
    <t xml:space="preserve">Function Applies Too Long of 'Longitudinal control (ACC, Chill mode)' while in Manual driving, item powered but not engaged (0–120 km/h), fog, visibility below the odd bound (outside odd, foreseeable).</t>
  </si>
  <si>
    <t xml:space="preserve">H-1513</t>
  </si>
  <si>
    <t xml:space="preserve">Function Applies Too Long of 'Longitudinal control (ACC, Chill mode)' while in Engaged outside the ODD (residential street, ramp, tight curve): foreseeable misuse (15–60 km/h), dry, daylight.</t>
  </si>
  <si>
    <t xml:space="preserve">H-1514</t>
  </si>
  <si>
    <t xml:space="preserve">Function Applies Too Long of 'Longitudinal control (ACC, Chill mode)' while in Engaged outside the ODD (residential street, ramp, tight curve): foreseeable misuse (15–60 km/h), wet road or light rain.</t>
  </si>
  <si>
    <t xml:space="preserve">H-1515</t>
  </si>
  <si>
    <t xml:space="preserve">Function Applies Too Long of 'Longitudinal control (ACC, Chill mode)' while in Engaged outside the ODD (residential street, ramp, tight curve): foreseeable misuse (15–60 km/h), night, dry, headlights.</t>
  </si>
  <si>
    <t xml:space="preserve">H-1516</t>
  </si>
  <si>
    <t xml:space="preserve">Function Applies Too Long of 'Longitudinal control (ACC, Chill mode)' while in Engaged outside the ODD (residential street, ramp, tight curve): foreseeable misuse (15–60 km/h), moderate or heavy rain (outside odd, foreseeable).</t>
  </si>
  <si>
    <t xml:space="preserve">H-1517</t>
  </si>
  <si>
    <t xml:space="preserve">Function Applies Too Long of 'Longitudinal control (ACC, Chill mode)' while in Engaged outside the ODD (residential street, ramp, tight curve): foreseeable misuse (15–60 km/h), snow or ice (outside odd, foreseeable).</t>
  </si>
  <si>
    <t xml:space="preserve">H-1518</t>
  </si>
  <si>
    <t xml:space="preserve">Function Applies Too Long of 'Longitudinal control (ACC, Chill mode)' while in Engaged outside the ODD (residential street, ramp, tight curve): foreseeable misuse (15–60 km/h), fog, visibility below the odd bound (outside odd, foreseeable).</t>
  </si>
  <si>
    <t xml:space="preserve">H-1519</t>
  </si>
  <si>
    <t xml:space="preserve">Function Applies Too Long of 'Longitudinal control (ACC, Chill mode)' while in Approaching a signalised or stop-controlled intersection (ODD-A) (30–90 km/h), dry, daylight.</t>
  </si>
  <si>
    <t xml:space="preserve">H-1520</t>
  </si>
  <si>
    <t xml:space="preserve">Function Applies Too Long of 'Longitudinal control (ACC, Chill mode)' while in Approaching a signalised or stop-controlled intersection (ODD-A) (30–90 km/h), wet road or light rain.</t>
  </si>
  <si>
    <t xml:space="preserve">H-1521</t>
  </si>
  <si>
    <t xml:space="preserve">Function Applies Too Long of 'Longitudinal control (ACC, Chill mode)' while in Approaching a signalised or stop-controlled intersection (ODD-A) (30–90 km/h), night, dry, headlights.</t>
  </si>
  <si>
    <t xml:space="preserve">H-1522</t>
  </si>
  <si>
    <t xml:space="preserve">Function Applies Too Long of 'Longitudinal control (ACC, Chill mode)' while in Approaching a signalised or stop-controlled intersection (ODD-A) (30–90 km/h), moderate or heavy rain (outside odd, foreseeable).</t>
  </si>
  <si>
    <t xml:space="preserve">H-1523</t>
  </si>
  <si>
    <t xml:space="preserve">Function Applies Too Long of 'Longitudinal control (ACC, Chill mode)' while in Approaching a signalised or stop-controlled intersection (ODD-A) (30–90 km/h), snow or ice (outside odd, foreseeable).</t>
  </si>
  <si>
    <t xml:space="preserve">H-1524</t>
  </si>
  <si>
    <t xml:space="preserve">Function Applies Too Long of 'Longitudinal control (ACC, Chill mode)' while in Approaching a signalised or stop-controlled intersection (ODD-A) (30–90 km/h), fog, visibility below the odd bound (outside odd, foreseeable).</t>
  </si>
  <si>
    <t xml:space="preserve">H-1525</t>
  </si>
  <si>
    <t xml:space="preserve">Function Applies Too Long of 'Longitudinal control (ACC, Chill mode)' while in Rural or arterial curve near R_ODD with oncoming traffic (60–90 km/h), dry, daylight.</t>
  </si>
  <si>
    <t xml:space="preserve">H-1526</t>
  </si>
  <si>
    <t xml:space="preserve">Function Applies Too Long of 'Longitudinal control (ACC, Chill mode)' while in Rural or arterial curve near R_ODD with oncoming traffic (60–90 km/h), wet road or light rain.</t>
  </si>
  <si>
    <t xml:space="preserve">H-1527</t>
  </si>
  <si>
    <t xml:space="preserve">Function Applies Too Long of 'Longitudinal control (ACC, Chill mode)' while in Rural or arterial curve near R_ODD with oncoming traffic (60–90 km/h), night, dry, headlights.</t>
  </si>
  <si>
    <t xml:space="preserve">H-1528</t>
  </si>
  <si>
    <t xml:space="preserve">Function Applies Too Long of 'Longitudinal control (ACC, Chill mode)' while in Rural or arterial curve near R_ODD with oncoming traffic (60–90 km/h), moderate or heavy rain (outside odd, foreseeable).</t>
  </si>
  <si>
    <t xml:space="preserve">H-1529</t>
  </si>
  <si>
    <t xml:space="preserve">Function Applies Too Long of 'Longitudinal control (ACC, Chill mode)' while in Rural or arterial curve near R_ODD with oncoming traffic (60–90 km/h), snow or ice (outside odd, foreseeable).</t>
  </si>
  <si>
    <t xml:space="preserve">H-1530</t>
  </si>
  <si>
    <t xml:space="preserve">Function Applies Too Long of 'Longitudinal control (ACC, Chill mode)' while in Rural or arterial curve near R_ODD with oncoming traffic (60–90 km/h), fog, visibility below the odd bound (outside odd, foreseeable).</t>
  </si>
  <si>
    <t xml:space="preserve">H-1531</t>
  </si>
  <si>
    <t xml:space="preserve">Function is Delayed of 'Longitudinal control (ACC, Chill mode)' while in Limited-access highway, free flow, adjacent traffic (90–120 km/h), dry, daylight.</t>
  </si>
  <si>
    <t xml:space="preserve">H-1532</t>
  </si>
  <si>
    <t xml:space="preserve">Function is Delayed of 'Longitudinal control (ACC, Chill mode)' while in Limited-access highway, free flow, adjacent traffic (90–120 km/h), wet road or light rain.</t>
  </si>
  <si>
    <t xml:space="preserve">H-1533</t>
  </si>
  <si>
    <t xml:space="preserve">Function is Delayed of 'Longitudinal control (ACC, Chill mode)' while in Limited-access highway, free flow, adjacent traffic (90–120 km/h), night, dry, headlights.</t>
  </si>
  <si>
    <t xml:space="preserve">H-1534</t>
  </si>
  <si>
    <t xml:space="preserve">Function is Delayed of 'Longitudinal control (ACC, Chill mode)' while in Limited-access highway, free flow, adjacent traffic (90–120 km/h), moderate or heavy rain (outside odd, foreseeable).</t>
  </si>
  <si>
    <t xml:space="preserve">H-1535</t>
  </si>
  <si>
    <t xml:space="preserve">Function is Delayed of 'Longitudinal control (ACC, Chill mode)' while in Limited-access highway, free flow, adjacent traffic (90–120 km/h), snow or ice (outside odd, foreseeable).</t>
  </si>
  <si>
    <t xml:space="preserve">H-1536</t>
  </si>
  <si>
    <t xml:space="preserve">Function is Delayed of 'Longitudinal control (ACC, Chill mode)' while in Limited-access highway, free flow, adjacent traffic (90–120 km/h), fog, visibility below the odd bound (outside odd, foreseeable).</t>
  </si>
  <si>
    <t xml:space="preserve">H-1537</t>
  </si>
  <si>
    <t xml:space="preserve">Function is Delayed of 'Longitudinal control (ACC, Chill mode)' while in Highway curve near R_ODD with barrier or adjacent traffic (70–110 km/h), dry, daylight.</t>
  </si>
  <si>
    <t xml:space="preserve">H-1538</t>
  </si>
  <si>
    <t xml:space="preserve">Function is Delayed of 'Longitudinal control (ACC, Chill mode)' while in Highway curve near R_ODD with barrier or adjacent traffic (70–110 km/h), wet road or light rain.</t>
  </si>
  <si>
    <t xml:space="preserve">H-1539</t>
  </si>
  <si>
    <t xml:space="preserve">Function is Delayed of 'Longitudinal control (ACC, Chill mode)' while in Highway curve near R_ODD with barrier or adjacent traffic (70–110 km/h), night, dry, headlights.</t>
  </si>
  <si>
    <t xml:space="preserve">H-1540</t>
  </si>
  <si>
    <t xml:space="preserve">Function is Delayed of 'Longitudinal control (ACC, Chill mode)' while in Highway curve near R_ODD with barrier or adjacent traffic (70–110 km/h), moderate or heavy rain (outside odd, foreseeable).</t>
  </si>
  <si>
    <t xml:space="preserve">H-1541</t>
  </si>
  <si>
    <t xml:space="preserve">Function is Delayed of 'Longitudinal control (ACC, Chill mode)' while in Highway curve near R_ODD with barrier or adjacent traffic (70–110 km/h), snow or ice (outside odd, foreseeable).</t>
  </si>
  <si>
    <t xml:space="preserve">H-1542</t>
  </si>
  <si>
    <t xml:space="preserve">Function is Delayed of 'Longitudinal control (ACC, Chill mode)' while in Highway curve near R_ODD with barrier or adjacent traffic (70–110 km/h), fog, visibility below the odd bound (outside odd, foreseeable).</t>
  </si>
  <si>
    <t xml:space="preserve">H-1543</t>
  </si>
  <si>
    <t xml:space="preserve">Function is Delayed of 'Longitudinal control (ACC, Chill mode)' while in Undivided rural or arterial road, oncoming traffic (60–90 km/h), dry, daylight.</t>
  </si>
  <si>
    <t xml:space="preserve">H-1544</t>
  </si>
  <si>
    <t xml:space="preserve">Function is Delayed of 'Longitudinal control (ACC, Chill mode)' while in Undivided rural or arterial road, oncoming traffic (60–90 km/h), wet road or light rain.</t>
  </si>
  <si>
    <t xml:space="preserve">H-1545</t>
  </si>
  <si>
    <t xml:space="preserve">Function is Delayed of 'Longitudinal control (ACC, Chill mode)' while in Undivided rural or arterial road, oncoming traffic (60–90 km/h), night, dry, headlights.</t>
  </si>
  <si>
    <t xml:space="preserve">H-1546</t>
  </si>
  <si>
    <t xml:space="preserve">Function is Delayed of 'Longitudinal control (ACC, Chill mode)' while in Undivided rural or arterial road, oncoming traffic (60–90 km/h), moderate or heavy rain (outside odd, foreseeable).</t>
  </si>
  <si>
    <t xml:space="preserve">H-1547</t>
  </si>
  <si>
    <t xml:space="preserve">Function is Delayed of 'Longitudinal control (ACC, Chill mode)' while in Undivided rural or arterial road, oncoming traffic (60–90 km/h), snow or ice (outside odd, foreseeable).</t>
  </si>
  <si>
    <t xml:space="preserve">H-1548</t>
  </si>
  <si>
    <t xml:space="preserve">Function is Delayed of 'Longitudinal control (ACC, Chill mode)' while in Undivided rural or arterial road, oncoming traffic (60–90 km/h), fog, visibility below the odd bound (outside odd, foreseeable).</t>
  </si>
  <si>
    <t xml:space="preserve">H-1549</t>
  </si>
  <si>
    <t xml:space="preserve">Function is Delayed of 'Longitudinal control (ACC, Chill mode)' while in Urban arterial, pedestrians and cyclists near the lane edge (30–60 km/h), dry, daylight.</t>
  </si>
  <si>
    <t xml:space="preserve">H-1550</t>
  </si>
  <si>
    <t xml:space="preserve">Function is Delayed of 'Longitudinal control (ACC, Chill mode)' while in Urban arterial, pedestrians and cyclists near the lane edge (30–60 km/h), wet road or light rain.</t>
  </si>
  <si>
    <t xml:space="preserve">H-1551</t>
  </si>
  <si>
    <t xml:space="preserve">Function is Delayed of 'Longitudinal control (ACC, Chill mode)' while in Urban arterial, pedestrians and cyclists near the lane edge (30–60 km/h), night, dry, headlights.</t>
  </si>
  <si>
    <t xml:space="preserve">H-1552</t>
  </si>
  <si>
    <t xml:space="preserve">Function is Delayed of 'Longitudinal control (ACC, Chill mode)' while in Urban arterial, pedestrians and cyclists near the lane edge (30–60 km/h), moderate or heavy rain (outside odd, foreseeable).</t>
  </si>
  <si>
    <t xml:space="preserve">H-1553</t>
  </si>
  <si>
    <t xml:space="preserve">Function is Delayed of 'Longitudinal control (ACC, Chill mode)' while in Urban arterial, pedestrians and cyclists near the lane edge (30–60 km/h), snow or ice (outside odd, foreseeable).</t>
  </si>
  <si>
    <t xml:space="preserve">H-1554</t>
  </si>
  <si>
    <t xml:space="preserve">Function is Delayed of 'Longitudinal control (ACC, Chill mode)' while in Urban arterial, pedestrians and cyclists near the lane edge (30–60 km/h), fog, visibility below the odd bound (outside odd, foreseeable).</t>
  </si>
  <si>
    <t xml:space="preserve">H-1555</t>
  </si>
  <si>
    <t xml:space="preserve">Function is Delayed of 'Longitudinal control (ACC, Chill mode)' while in Following a lead vehicle at a short gap, dense traffic (30–110 km/h), dry, daylight.</t>
  </si>
  <si>
    <t xml:space="preserve">H-1556</t>
  </si>
  <si>
    <t xml:space="preserve">Function is Delayed of 'Longitudinal control (ACC, Chill mode)' while in Following a lead vehicle at a short gap, dense traffic (30–110 km/h), wet road or light rain.</t>
  </si>
  <si>
    <t xml:space="preserve">H-1557</t>
  </si>
  <si>
    <t xml:space="preserve">Function is Delayed of 'Longitudinal control (ACC, Chill mode)' while in Following a lead vehicle at a short gap, dense traffic (30–110 km/h), night, dry, headlights.</t>
  </si>
  <si>
    <t xml:space="preserve">H-1558</t>
  </si>
  <si>
    <t xml:space="preserve">Function is Delayed of 'Longitudinal control (ACC, Chill mode)' while in Following a lead vehicle at a short gap, dense traffic (30–110 km/h), moderate or heavy rain (outside odd, foreseeable).</t>
  </si>
  <si>
    <t xml:space="preserve">H-1559</t>
  </si>
  <si>
    <t xml:space="preserve">Function is Delayed of 'Longitudinal control (ACC, Chill mode)' while in Following a lead vehicle at a short gap, dense traffic (30–110 km/h), snow or ice (outside odd, foreseeable).</t>
  </si>
  <si>
    <t xml:space="preserve">H-1560</t>
  </si>
  <si>
    <t xml:space="preserve">Function is Delayed of 'Longitudinal control (ACC, Chill mode)' while in Following a lead vehicle at a short gap, dense traffic (30–110 km/h), fog, visibility below the odd bound (outside odd, foreseeable).</t>
  </si>
  <si>
    <t xml:space="preserve">H-1561</t>
  </si>
  <si>
    <t xml:space="preserve">Function is Delayed of 'Longitudinal control (ACC, Chill mode)' while in Stop-and-go queue or standstill behind a lead; pedestrians may cross (0–30 km/h), dry, daylight.</t>
  </si>
  <si>
    <t xml:space="preserve">H-1562</t>
  </si>
  <si>
    <t xml:space="preserve">Function is Delayed of 'Longitudinal control (ACC, Chill mode)' while in Stop-and-go queue or standstill behind a lead; pedestrians may cross (0–30 km/h), wet road or light rain.</t>
  </si>
  <si>
    <t xml:space="preserve">H-1563</t>
  </si>
  <si>
    <t xml:space="preserve">Function is Delayed of 'Longitudinal control (ACC, Chill mode)' while in Stop-and-go queue or standstill behind a lead; pedestrians may cross (0–30 km/h), night, dry, headlights.</t>
  </si>
  <si>
    <t xml:space="preserve">H-1564</t>
  </si>
  <si>
    <t xml:space="preserve">Function is Delayed of 'Longitudinal control (ACC, Chill mode)' while in Stop-and-go queue or standstill behind a lead; pedestrians may cross (0–30 km/h), moderate or heavy rain (outside odd, foreseeable).</t>
  </si>
  <si>
    <t xml:space="preserve">H-1565</t>
  </si>
  <si>
    <t xml:space="preserve">Function is Delayed of 'Longitudinal control (ACC, Chill mode)' while in Stop-and-go queue or standstill behind a lead; pedestrians may cross (0–30 km/h), snow or ice (outside odd, foreseeable).</t>
  </si>
  <si>
    <t xml:space="preserve">H-1566</t>
  </si>
  <si>
    <t xml:space="preserve">Function is Delayed of 'Longitudinal control (ACC, Chill mode)' while in Stop-and-go queue or standstill behind a lead; pedestrians may cross (0–30 km/h), fog, visibility below the odd bound (outside odd, foreseeable).</t>
  </si>
  <si>
    <t xml:space="preserve">H-1567</t>
  </si>
  <si>
    <t xml:space="preserve">Function is Delayed of 'Longitudinal control (ACC, Chill mode)' while in Approaching slower or stationary traffic from highway speed (70–120 km/h), dry, daylight.</t>
  </si>
  <si>
    <t xml:space="preserve">H-1568</t>
  </si>
  <si>
    <t xml:space="preserve">Function is Delayed of 'Longitudinal control (ACC, Chill mode)' while in Approaching slower or stationary traffic from highway speed (70–120 km/h), wet road or light rain.</t>
  </si>
  <si>
    <t xml:space="preserve">H-1569</t>
  </si>
  <si>
    <t xml:space="preserve">Function is Delayed of 'Longitudinal control (ACC, Chill mode)' while in Approaching slower or stationary traffic from highway speed (70–120 km/h), night, dry, headlights.</t>
  </si>
  <si>
    <t xml:space="preserve">H-1570</t>
  </si>
  <si>
    <t xml:space="preserve">Function is Delayed of 'Longitudinal control (ACC, Chill mode)' while in Approaching slower or stationary traffic from highway speed (70–120 km/h), moderate or heavy rain (outside odd, foreseeable).</t>
  </si>
  <si>
    <t xml:space="preserve">H-1571</t>
  </si>
  <si>
    <t xml:space="preserve">Function is Delayed of 'Longitudinal control (ACC, Chill mode)' while in Approaching slower or stationary traffic from highway speed (70–120 km/h), snow or ice (outside odd, foreseeable).</t>
  </si>
  <si>
    <t xml:space="preserve">H-1572</t>
  </si>
  <si>
    <t xml:space="preserve">Function is Delayed of 'Longitudinal control (ACC, Chill mode)' while in Approaching slower or stationary traffic from highway speed (70–120 km/h), fog, visibility below the odd bound (outside odd, foreseeable).</t>
  </si>
  <si>
    <t xml:space="preserve">H-1573</t>
  </si>
  <si>
    <t xml:space="preserve">Function is Delayed of 'Longitudinal control (ACC, Chill mode)' while in Close following vehicle behind (gap &lt; 1.5 s) (50–120 km/h), dry, daylight.</t>
  </si>
  <si>
    <t xml:space="preserve">H-1574</t>
  </si>
  <si>
    <t xml:space="preserve">Function is Delayed of 'Longitudinal control (ACC, Chill mode)' while in Close following vehicle behind (gap &lt; 1.5 s) (50–120 km/h), wet road or light rain.</t>
  </si>
  <si>
    <t xml:space="preserve">H-1575</t>
  </si>
  <si>
    <t xml:space="preserve">Function is Delayed of 'Longitudinal control (ACC, Chill mode)' while in Close following vehicle behind (gap &lt; 1.5 s) (50–120 km/h), night, dry, headlights.</t>
  </si>
  <si>
    <t xml:space="preserve">H-1576</t>
  </si>
  <si>
    <t xml:space="preserve">Function is Delayed of 'Longitudinal control (ACC, Chill mode)' while in Close following vehicle behind (gap &lt; 1.5 s) (50–120 km/h), moderate or heavy rain (outside odd, foreseeable).</t>
  </si>
  <si>
    <t xml:space="preserve">H-1577</t>
  </si>
  <si>
    <t xml:space="preserve">Function is Delayed of 'Longitudinal control (ACC, Chill mode)' while in Close following vehicle behind (gap &lt; 1.5 s) (50–120 km/h), snow or ice (outside odd, foreseeable).</t>
  </si>
  <si>
    <t xml:space="preserve">H-1578</t>
  </si>
  <si>
    <t xml:space="preserve">Function is Delayed of 'Longitudinal control (ACC, Chill mode)' while in Close following vehicle behind (gap &lt; 1.5 s) (50–120 km/h), fog, visibility below the odd bound (outside odd, foreseeable).</t>
  </si>
  <si>
    <t xml:space="preserve">H-1579</t>
  </si>
  <si>
    <t xml:space="preserve">Function is Delayed of 'Longitudinal control (ACC, Chill mode)' while in Imminent collision where the stock PCS/AEB would intervene (0–120 km/h), dry, daylight.</t>
  </si>
  <si>
    <t xml:space="preserve">H-1580</t>
  </si>
  <si>
    <t xml:space="preserve">Function is Delayed of 'Longitudinal control (ACC, Chill mode)' while in Imminent collision where the stock PCS/AEB would intervene (0–120 km/h), wet road or light rain.</t>
  </si>
  <si>
    <t xml:space="preserve">H-1581</t>
  </si>
  <si>
    <t xml:space="preserve">Function is Delayed of 'Longitudinal control (ACC, Chill mode)' while in Imminent collision where the stock PCS/AEB would intervene (0–120 km/h), night, dry, headlights.</t>
  </si>
  <si>
    <t xml:space="preserve">H-1582</t>
  </si>
  <si>
    <t xml:space="preserve">Function is Delayed of 'Longitudinal control (ACC, Chill mode)' while in Imminent collision where the stock PCS/AEB would intervene (0–120 km/h), moderate or heavy rain (outside odd, foreseeable).</t>
  </si>
  <si>
    <t xml:space="preserve">H-1583</t>
  </si>
  <si>
    <t xml:space="preserve">Function is Delayed of 'Longitudinal control (ACC, Chill mode)' while in Imminent collision where the stock PCS/AEB would intervene (0–120 km/h), snow or ice (outside odd, foreseeable).</t>
  </si>
  <si>
    <t xml:space="preserve">H-1584</t>
  </si>
  <si>
    <t xml:space="preserve">Function is Delayed of 'Longitudinal control (ACC, Chill mode)' while in Imminent collision where the stock PCS/AEB would intervene (0–120 km/h), fog, visibility below the odd bound (outside odd, foreseeable).</t>
  </si>
  <si>
    <t xml:space="preserve">H-1585</t>
  </si>
  <si>
    <t xml:space="preserve">Function is Delayed of 'Longitudinal control (ACC, Chill mode)' while in Driver override while engaged: braking, cancel or evasive steering (0–120 km/h), dry, daylight.</t>
  </si>
  <si>
    <t xml:space="preserve">H-1586</t>
  </si>
  <si>
    <t xml:space="preserve">Function is Delayed of 'Longitudinal control (ACC, Chill mode)' while in Driver override while engaged: braking, cancel or evasive steering (0–120 km/h), wet road or light rain.</t>
  </si>
  <si>
    <t xml:space="preserve">H-1587</t>
  </si>
  <si>
    <t xml:space="preserve">Function is Delayed of 'Longitudinal control (ACC, Chill mode)' while in Driver override while engaged: braking, cancel or evasive steering (0–120 km/h), night, dry, headlights.</t>
  </si>
  <si>
    <t xml:space="preserve">H-1588</t>
  </si>
  <si>
    <t xml:space="preserve">Function is Delayed of 'Longitudinal control (ACC, Chill mode)' while in Driver override while engaged: braking, cancel or evasive steering (0–120 km/h), moderate or heavy rain (outside odd, foreseeable).</t>
  </si>
  <si>
    <t xml:space="preserve">H-1589</t>
  </si>
  <si>
    <t xml:space="preserve">Function is Delayed of 'Longitudinal control (ACC, Chill mode)' while in Driver override while engaged: braking, cancel or evasive steering (0–120 km/h), snow or ice (outside odd, foreseeable).</t>
  </si>
  <si>
    <t xml:space="preserve">H-1590</t>
  </si>
  <si>
    <t xml:space="preserve">Function is Delayed of 'Longitudinal control (ACC, Chill mode)' while in Driver override while engaged: braking, cancel or evasive steering (0–120 km/h), fog, visibility below the odd bound (outside odd, foreseeable).</t>
  </si>
  <si>
    <t xml:space="preserve">H-1591</t>
  </si>
  <si>
    <t xml:space="preserve">Function is Delayed of 'Longitudinal control (ACC, Chill mode)' while in Driver-initiated assisted lane change (70–120 km/h), dry, daylight.</t>
  </si>
  <si>
    <t xml:space="preserve">H-1592</t>
  </si>
  <si>
    <t xml:space="preserve">Function is Delayed of 'Longitudinal control (ACC, Chill mode)' while in Driver-initiated assisted lane change (70–120 km/h), wet road or light rain.</t>
  </si>
  <si>
    <t xml:space="preserve">H-1593</t>
  </si>
  <si>
    <t xml:space="preserve">Function is Delayed of 'Longitudinal control (ACC, Chill mode)' while in Driver-initiated assisted lane change (70–120 km/h), night, dry, headlights.</t>
  </si>
  <si>
    <t xml:space="preserve">H-1594</t>
  </si>
  <si>
    <t xml:space="preserve">Function is Delayed of 'Longitudinal control (ACC, Chill mode)' while in Driver-initiated assisted lane change (70–120 km/h), moderate or heavy rain (outside odd, foreseeable).</t>
  </si>
  <si>
    <t xml:space="preserve">H-1595</t>
  </si>
  <si>
    <t xml:space="preserve">Function is Delayed of 'Longitudinal control (ACC, Chill mode)' while in Driver-initiated assisted lane change (70–120 km/h), snow or ice (outside odd, foreseeable).</t>
  </si>
  <si>
    <t xml:space="preserve">H-1596</t>
  </si>
  <si>
    <t xml:space="preserve">Function is Delayed of 'Longitudinal control (ACC, Chill mode)' while in Driver-initiated assisted lane change (70–120 km/h), fog, visibility below the odd bound (outside odd, foreseeable).</t>
  </si>
  <si>
    <t xml:space="preserve">H-1597</t>
  </si>
  <si>
    <t xml:space="preserve">Function is Delayed of 'Longitudinal control (ACC, Chill mode)' while in Manual driving, item powered but not engaged (0–120 km/h), dry, daylight.</t>
  </si>
  <si>
    <t xml:space="preserve">H-1598</t>
  </si>
  <si>
    <t xml:space="preserve">Function is Delayed of 'Longitudinal control (ACC, Chill mode)' while in Manual driving, item powered but not engaged (0–120 km/h), wet road or light rain.</t>
  </si>
  <si>
    <t xml:space="preserve">H-1599</t>
  </si>
  <si>
    <t xml:space="preserve">Function is Delayed of 'Longitudinal control (ACC, Chill mode)' while in Manual driving, item powered but not engaged (0–120 km/h), night, dry, headlights.</t>
  </si>
  <si>
    <t xml:space="preserve">H-1600</t>
  </si>
  <si>
    <t xml:space="preserve">Function is Delayed of 'Longitudinal control (ACC, Chill mode)' while in Manual driving, item powered but not engaged (0–120 km/h), moderate or heavy rain (outside odd, foreseeable).</t>
  </si>
  <si>
    <t xml:space="preserve">H-1601</t>
  </si>
  <si>
    <t xml:space="preserve">Function is Delayed of 'Longitudinal control (ACC, Chill mode)' while in Manual driving, item powered but not engaged (0–120 km/h), snow or ice (outside odd, foreseeable).</t>
  </si>
  <si>
    <t xml:space="preserve">H-1602</t>
  </si>
  <si>
    <t xml:space="preserve">Function is Delayed of 'Longitudinal control (ACC, Chill mode)' while in Manual driving, item powered but not engaged (0–120 km/h), fog, visibility below the odd bound (outside odd, foreseeable).</t>
  </si>
  <si>
    <t xml:space="preserve">H-1603</t>
  </si>
  <si>
    <t xml:space="preserve">Function is Delayed of 'Longitudinal control (ACC, Chill mode)' while in Engaged outside the ODD (residential street, ramp, tight curve): foreseeable misuse (15–60 km/h), dry, daylight.</t>
  </si>
  <si>
    <t xml:space="preserve">H-1604</t>
  </si>
  <si>
    <t xml:space="preserve">Function is Delayed of 'Longitudinal control (ACC, Chill mode)' while in Engaged outside the ODD (residential street, ramp, tight curve): foreseeable misuse (15–60 km/h), wet road or light rain.</t>
  </si>
  <si>
    <t xml:space="preserve">H-1605</t>
  </si>
  <si>
    <t xml:space="preserve">Function is Delayed of 'Longitudinal control (ACC, Chill mode)' while in Engaged outside the ODD (residential street, ramp, tight curve): foreseeable misuse (15–60 km/h), night, dry, headlights.</t>
  </si>
  <si>
    <t xml:space="preserve">H-1606</t>
  </si>
  <si>
    <t xml:space="preserve">Function is Delayed of 'Longitudinal control (ACC, Chill mode)' while in Engaged outside the ODD (residential street, ramp, tight curve): foreseeable misuse (15–60 km/h), moderate or heavy rain (outside odd, foreseeable).</t>
  </si>
  <si>
    <t xml:space="preserve">H-1607</t>
  </si>
  <si>
    <t xml:space="preserve">Function is Delayed of 'Longitudinal control (ACC, Chill mode)' while in Engaged outside the ODD (residential street, ramp, tight curve): foreseeable misuse (15–60 km/h), snow or ice (outside odd, foreseeable).</t>
  </si>
  <si>
    <t xml:space="preserve">H-1608</t>
  </si>
  <si>
    <t xml:space="preserve">Function is Delayed of 'Longitudinal control (ACC, Chill mode)' while in Engaged outside the ODD (residential street, ramp, tight curve): foreseeable misuse (15–60 km/h), fog, visibility below the odd bound (outside odd, foreseeable).</t>
  </si>
  <si>
    <t xml:space="preserve">H-1609</t>
  </si>
  <si>
    <t xml:space="preserve">Function is Delayed of 'Longitudinal control (ACC, Chill mode)' while in Approaching a signalised or stop-controlled intersection (ODD-A) (30–90 km/h), dry, daylight.</t>
  </si>
  <si>
    <t xml:space="preserve">H-1610</t>
  </si>
  <si>
    <t xml:space="preserve">Function is Delayed of 'Longitudinal control (ACC, Chill mode)' while in Approaching a signalised or stop-controlled intersection (ODD-A) (30–90 km/h), wet road or light rain.</t>
  </si>
  <si>
    <t xml:space="preserve">H-1611</t>
  </si>
  <si>
    <t xml:space="preserve">Function is Delayed of 'Longitudinal control (ACC, Chill mode)' while in Approaching a signalised or stop-controlled intersection (ODD-A) (30–90 km/h), night, dry, headlights.</t>
  </si>
  <si>
    <t xml:space="preserve">H-1612</t>
  </si>
  <si>
    <t xml:space="preserve">Function is Delayed of 'Longitudinal control (ACC, Chill mode)' while in Approaching a signalised or stop-controlled intersection (ODD-A) (30–90 km/h), moderate or heavy rain (outside odd, foreseeable).</t>
  </si>
  <si>
    <t xml:space="preserve">H-1613</t>
  </si>
  <si>
    <t xml:space="preserve">Function is Delayed of 'Longitudinal control (ACC, Chill mode)' while in Approaching a signalised or stop-controlled intersection (ODD-A) (30–90 km/h), snow or ice (outside odd, foreseeable).</t>
  </si>
  <si>
    <t xml:space="preserve">H-1614</t>
  </si>
  <si>
    <t xml:space="preserve">Function is Delayed of 'Longitudinal control (ACC, Chill mode)' while in Approaching a signalised or stop-controlled intersection (ODD-A) (30–90 km/h), fog, visibility below the odd bound (outside odd, foreseeable).</t>
  </si>
  <si>
    <t xml:space="preserve">H-1615</t>
  </si>
  <si>
    <t xml:space="preserve">Function is Delayed of 'Longitudinal control (ACC, Chill mode)' while in Rural or arterial curve near R_ODD with oncoming traffic (60–90 km/h), dry, daylight.</t>
  </si>
  <si>
    <t xml:space="preserve">H-1616</t>
  </si>
  <si>
    <t xml:space="preserve">Function is Delayed of 'Longitudinal control (ACC, Chill mode)' while in Rural or arterial curve near R_ODD with oncoming traffic (60–90 km/h), wet road or light rain.</t>
  </si>
  <si>
    <t xml:space="preserve">H-1617</t>
  </si>
  <si>
    <t xml:space="preserve">Function is Delayed of 'Longitudinal control (ACC, Chill mode)' while in Rural or arterial curve near R_ODD with oncoming traffic (60–90 km/h), night, dry, headlights.</t>
  </si>
  <si>
    <t xml:space="preserve">H-1618</t>
  </si>
  <si>
    <t xml:space="preserve">Function is Delayed of 'Longitudinal control (ACC, Chill mode)' while in Rural or arterial curve near R_ODD with oncoming traffic (60–90 km/h), moderate or heavy rain (outside odd, foreseeable).</t>
  </si>
  <si>
    <t xml:space="preserve">H-1619</t>
  </si>
  <si>
    <t xml:space="preserve">Function is Delayed of 'Longitudinal control (ACC, Chill mode)' while in Rural or arterial curve near R_ODD with oncoming traffic (60–90 km/h), snow or ice (outside odd, foreseeable).</t>
  </si>
  <si>
    <t xml:space="preserve">H-1620</t>
  </si>
  <si>
    <t xml:space="preserve">Function is Delayed of 'Longitudinal control (ACC, Chill mode)' while in Rural or arterial curve near R_ODD with oncoming traffic (60–90 km/h), fog, visibility below the odd bound (outside odd, foreseeable).</t>
  </si>
  <si>
    <t xml:space="preserve">H-1621</t>
  </si>
  <si>
    <t xml:space="preserve">Inverse Function of 'Longitudinal control (ACC, Chill mode)' while in Limited-access highway, free flow, adjacent traffic (90–120 km/h), dry, daylight.</t>
  </si>
  <si>
    <t xml:space="preserve">H-1622</t>
  </si>
  <si>
    <t xml:space="preserve">Inverse Function of 'Longitudinal control (ACC, Chill mode)' while in Limited-access highway, free flow, adjacent traffic (90–120 km/h), wet road or light rain.</t>
  </si>
  <si>
    <t xml:space="preserve">H-1623</t>
  </si>
  <si>
    <t xml:space="preserve">Inverse Function of 'Longitudinal control (ACC, Chill mode)' while in Limited-access highway, free flow, adjacent traffic (90–120 km/h), night, dry, headlights.</t>
  </si>
  <si>
    <t xml:space="preserve">H-1624</t>
  </si>
  <si>
    <t xml:space="preserve">Inverse Function of 'Longitudinal control (ACC, Chill mode)' while in Limited-access highway, free flow, adjacent traffic (90–120 km/h), moderate or heavy rain (outside odd, foreseeable).</t>
  </si>
  <si>
    <t xml:space="preserve">H-1625</t>
  </si>
  <si>
    <t xml:space="preserve">Inverse Function of 'Longitudinal control (ACC, Chill mode)' while in Limited-access highway, free flow, adjacent traffic (90–120 km/h), snow or ice (outside odd, foreseeable).</t>
  </si>
  <si>
    <t xml:space="preserve">H-1626</t>
  </si>
  <si>
    <t xml:space="preserve">Inverse Function of 'Longitudinal control (ACC, Chill mode)' while in Limited-access highway, free flow, adjacent traffic (90–120 km/h), fog, visibility below the odd bound (outside odd, foreseeable).</t>
  </si>
  <si>
    <t xml:space="preserve">H-1627</t>
  </si>
  <si>
    <t xml:space="preserve">Inverse Function of 'Longitudinal control (ACC, Chill mode)' while in Highway curve near R_ODD with barrier or adjacent traffic (70–110 km/h), dry, daylight.</t>
  </si>
  <si>
    <t xml:space="preserve">H-1628</t>
  </si>
  <si>
    <t xml:space="preserve">Inverse Function of 'Longitudinal control (ACC, Chill mode)' while in Highway curve near R_ODD with barrier or adjacent traffic (70–110 km/h), wet road or light rain.</t>
  </si>
  <si>
    <t xml:space="preserve">H-1629</t>
  </si>
  <si>
    <t xml:space="preserve">Inverse Function of 'Longitudinal control (ACC, Chill mode)' while in Highway curve near R_ODD with barrier or adjacent traffic (70–110 km/h), night, dry, headlights.</t>
  </si>
  <si>
    <t xml:space="preserve">H-1630</t>
  </si>
  <si>
    <t xml:space="preserve">Inverse Function of 'Longitudinal control (ACC, Chill mode)' while in Highway curve near R_ODD with barrier or adjacent traffic (70–110 km/h), moderate or heavy rain (outside odd, foreseeable).</t>
  </si>
  <si>
    <t xml:space="preserve">H-1631</t>
  </si>
  <si>
    <t xml:space="preserve">Inverse Function of 'Longitudinal control (ACC, Chill mode)' while in Highway curve near R_ODD with barrier or adjacent traffic (70–110 km/h), snow or ice (outside odd, foreseeable).</t>
  </si>
  <si>
    <t xml:space="preserve">H-1632</t>
  </si>
  <si>
    <t xml:space="preserve">Inverse Function of 'Longitudinal control (ACC, Chill mode)' while in Highway curve near R_ODD with barrier or adjacent traffic (70–110 km/h), fog, visibility below the odd bound (outside odd, foreseeable).</t>
  </si>
  <si>
    <t xml:space="preserve">H-1633</t>
  </si>
  <si>
    <t xml:space="preserve">Inverse Function of 'Longitudinal control (ACC, Chill mode)' while in Undivided rural or arterial road, oncoming traffic (60–90 km/h), dry, daylight.</t>
  </si>
  <si>
    <t xml:space="preserve">H-1634</t>
  </si>
  <si>
    <t xml:space="preserve">Inverse Function of 'Longitudinal control (ACC, Chill mode)' while in Undivided rural or arterial road, oncoming traffic (60–90 km/h), wet road or light rain.</t>
  </si>
  <si>
    <t xml:space="preserve">H-1635</t>
  </si>
  <si>
    <t xml:space="preserve">Inverse Function of 'Longitudinal control (ACC, Chill mode)' while in Undivided rural or arterial road, oncoming traffic (60–90 km/h), night, dry, headlights.</t>
  </si>
  <si>
    <t xml:space="preserve">H-1636</t>
  </si>
  <si>
    <t xml:space="preserve">Inverse Function of 'Longitudinal control (ACC, Chill mode)' while in Undivided rural or arterial road, oncoming traffic (60–90 km/h), moderate or heavy rain (outside odd, foreseeable).</t>
  </si>
  <si>
    <t xml:space="preserve">H-1637</t>
  </si>
  <si>
    <t xml:space="preserve">Inverse Function of 'Longitudinal control (ACC, Chill mode)' while in Undivided rural or arterial road, oncoming traffic (60–90 km/h), snow or ice (outside odd, foreseeable).</t>
  </si>
  <si>
    <t xml:space="preserve">H-1638</t>
  </si>
  <si>
    <t xml:space="preserve">Inverse Function of 'Longitudinal control (ACC, Chill mode)' while in Undivided rural or arterial road, oncoming traffic (60–90 km/h), fog, visibility below the odd bound (outside odd, foreseeable).</t>
  </si>
  <si>
    <t xml:space="preserve">H-1639</t>
  </si>
  <si>
    <t xml:space="preserve">Inverse Function of 'Longitudinal control (ACC, Chill mode)' while in Urban arterial, pedestrians and cyclists near the lane edge (30–60 km/h), dry, daylight.</t>
  </si>
  <si>
    <t xml:space="preserve">H-1640</t>
  </si>
  <si>
    <t xml:space="preserve">Inverse Function of 'Longitudinal control (ACC, Chill mode)' while in Urban arterial, pedestrians and cyclists near the lane edge (30–60 km/h), wet road or light rain.</t>
  </si>
  <si>
    <t xml:space="preserve">H-1641</t>
  </si>
  <si>
    <t xml:space="preserve">Inverse Function of 'Longitudinal control (ACC, Chill mode)' while in Urban arterial, pedestrians and cyclists near the lane edge (30–60 km/h), night, dry, headlights.</t>
  </si>
  <si>
    <t xml:space="preserve">H-1642</t>
  </si>
  <si>
    <t xml:space="preserve">Inverse Function of 'Longitudinal control (ACC, Chill mode)' while in Urban arterial, pedestrians and cyclists near the lane edge (30–60 km/h), moderate or heavy rain (outside odd, foreseeable).</t>
  </si>
  <si>
    <t xml:space="preserve">H-1643</t>
  </si>
  <si>
    <t xml:space="preserve">Inverse Function of 'Longitudinal control (ACC, Chill mode)' while in Urban arterial, pedestrians and cyclists near the lane edge (30–60 km/h), snow or ice (outside odd, foreseeable).</t>
  </si>
  <si>
    <t xml:space="preserve">H-1644</t>
  </si>
  <si>
    <t xml:space="preserve">Inverse Function of 'Longitudinal control (ACC, Chill mode)' while in Urban arterial, pedestrians and cyclists near the lane edge (30–60 km/h), fog, visibility below the odd bound (outside odd, foreseeable).</t>
  </si>
  <si>
    <t xml:space="preserve">H-1645</t>
  </si>
  <si>
    <t xml:space="preserve">Inverse Function of 'Longitudinal control (ACC, Chill mode)' while in Following a lead vehicle at a short gap, dense traffic (30–110 km/h), dry, daylight.</t>
  </si>
  <si>
    <t xml:space="preserve">H-1646</t>
  </si>
  <si>
    <t xml:space="preserve">Inverse Function of 'Longitudinal control (ACC, Chill mode)' while in Following a lead vehicle at a short gap, dense traffic (30–110 km/h), wet road or light rain.</t>
  </si>
  <si>
    <t xml:space="preserve">H-1647</t>
  </si>
  <si>
    <t xml:space="preserve">Inverse Function of 'Longitudinal control (ACC, Chill mode)' while in Following a lead vehicle at a short gap, dense traffic (30–110 km/h), night, dry, headlights.</t>
  </si>
  <si>
    <t xml:space="preserve">H-1648</t>
  </si>
  <si>
    <t xml:space="preserve">Inverse Function of 'Longitudinal control (ACC, Chill mode)' while in Following a lead vehicle at a short gap, dense traffic (30–110 km/h), moderate or heavy rain (outside odd, foreseeable).</t>
  </si>
  <si>
    <t xml:space="preserve">H-1649</t>
  </si>
  <si>
    <t xml:space="preserve">Inverse Function of 'Longitudinal control (ACC, Chill mode)' while in Following a lead vehicle at a short gap, dense traffic (30–110 km/h), snow or ice (outside odd, foreseeable).</t>
  </si>
  <si>
    <t xml:space="preserve">H-1650</t>
  </si>
  <si>
    <t xml:space="preserve">Inverse Function of 'Longitudinal control (ACC, Chill mode)' while in Following a lead vehicle at a short gap, dense traffic (30–110 km/h), fog, visibility below the odd bound (outside odd, foreseeable).</t>
  </si>
  <si>
    <t xml:space="preserve">H-1651</t>
  </si>
  <si>
    <t xml:space="preserve">Inverse Function of 'Longitudinal control (ACC, Chill mode)' while in Stop-and-go queue or standstill behind a lead; pedestrians may cross (0–30 km/h), dry, daylight.</t>
  </si>
  <si>
    <t xml:space="preserve">H-1652</t>
  </si>
  <si>
    <t xml:space="preserve">Inverse Function of 'Longitudinal control (ACC, Chill mode)' while in Stop-and-go queue or standstill behind a lead; pedestrians may cross (0–30 km/h), wet road or light rain.</t>
  </si>
  <si>
    <t xml:space="preserve">H-1653</t>
  </si>
  <si>
    <t xml:space="preserve">Inverse Function of 'Longitudinal control (ACC, Chill mode)' while in Stop-and-go queue or standstill behind a lead; pedestrians may cross (0–30 km/h), night, dry, headlights.</t>
  </si>
  <si>
    <t xml:space="preserve">H-1654</t>
  </si>
  <si>
    <t xml:space="preserve">Inverse Function of 'Longitudinal control (ACC, Chill mode)' while in Stop-and-go queue or standstill behind a lead; pedestrians may cross (0–30 km/h), moderate or heavy rain (outside odd, foreseeable).</t>
  </si>
  <si>
    <t xml:space="preserve">H-1655</t>
  </si>
  <si>
    <t xml:space="preserve">Inverse Function of 'Longitudinal control (ACC, Chill mode)' while in Stop-and-go queue or standstill behind a lead; pedestrians may cross (0–30 km/h), snow or ice (outside odd, foreseeable).</t>
  </si>
  <si>
    <t xml:space="preserve">H-1656</t>
  </si>
  <si>
    <t xml:space="preserve">Inverse Function of 'Longitudinal control (ACC, Chill mode)' while in Stop-and-go queue or standstill behind a lead; pedestrians may cross (0–30 km/h), fog, visibility below the odd bound (outside odd, foreseeable).</t>
  </si>
  <si>
    <t xml:space="preserve">H-1657</t>
  </si>
  <si>
    <t xml:space="preserve">Inverse Function of 'Longitudinal control (ACC, Chill mode)' while in Approaching slower or stationary traffic from highway speed (70–120 km/h), dry, daylight.</t>
  </si>
  <si>
    <t xml:space="preserve">H-1658</t>
  </si>
  <si>
    <t xml:space="preserve">Inverse Function of 'Longitudinal control (ACC, Chill mode)' while in Approaching slower or stationary traffic from highway speed (70–120 km/h), wet road or light rain.</t>
  </si>
  <si>
    <t xml:space="preserve">H-1659</t>
  </si>
  <si>
    <t xml:space="preserve">Inverse Function of 'Longitudinal control (ACC, Chill mode)' while in Approaching slower or stationary traffic from highway speed (70–120 km/h), night, dry, headlights.</t>
  </si>
  <si>
    <t xml:space="preserve">H-1660</t>
  </si>
  <si>
    <t xml:space="preserve">Inverse Function of 'Longitudinal control (ACC, Chill mode)' while in Approaching slower or stationary traffic from highway speed (70–120 km/h), moderate or heavy rain (outside odd, foreseeable).</t>
  </si>
  <si>
    <t xml:space="preserve">H-1661</t>
  </si>
  <si>
    <t xml:space="preserve">Inverse Function of 'Longitudinal control (ACC, Chill mode)' while in Approaching slower or stationary traffic from highway speed (70–120 km/h), snow or ice (outside odd, foreseeable).</t>
  </si>
  <si>
    <t xml:space="preserve">H-1662</t>
  </si>
  <si>
    <t xml:space="preserve">Inverse Function of 'Longitudinal control (ACC, Chill mode)' while in Approaching slower or stationary traffic from highway speed (70–120 km/h), fog, visibility below the odd bound (outside odd, foreseeable).</t>
  </si>
  <si>
    <t xml:space="preserve">H-1663</t>
  </si>
  <si>
    <t xml:space="preserve">Inverse Function of 'Longitudinal control (ACC, Chill mode)' while in Close following vehicle behind (gap &lt; 1.5 s) (50–120 km/h), dry, daylight.</t>
  </si>
  <si>
    <t xml:space="preserve">H-1664</t>
  </si>
  <si>
    <t xml:space="preserve">Inverse Function of 'Longitudinal control (ACC, Chill mode)' while in Close following vehicle behind (gap &lt; 1.5 s) (50–120 km/h), wet road or light rain.</t>
  </si>
  <si>
    <t xml:space="preserve">H-1665</t>
  </si>
  <si>
    <t xml:space="preserve">Inverse Function of 'Longitudinal control (ACC, Chill mode)' while in Close following vehicle behind (gap &lt; 1.5 s) (50–120 km/h), night, dry, headlights.</t>
  </si>
  <si>
    <t xml:space="preserve">H-1666</t>
  </si>
  <si>
    <t xml:space="preserve">Inverse Function of 'Longitudinal control (ACC, Chill mode)' while in Close following vehicle behind (gap &lt; 1.5 s) (50–120 km/h), moderate or heavy rain (outside odd, foreseeable).</t>
  </si>
  <si>
    <t xml:space="preserve">H-1667</t>
  </si>
  <si>
    <t xml:space="preserve">Inverse Function of 'Longitudinal control (ACC, Chill mode)' while in Close following vehicle behind (gap &lt; 1.5 s) (50–120 km/h), snow or ice (outside odd, foreseeable).</t>
  </si>
  <si>
    <t xml:space="preserve">H-1668</t>
  </si>
  <si>
    <t xml:space="preserve">Inverse Function of 'Longitudinal control (ACC, Chill mode)' while in Close following vehicle behind (gap &lt; 1.5 s) (50–120 km/h), fog, visibility below the odd bound (outside odd, foreseeable).</t>
  </si>
  <si>
    <t xml:space="preserve">H-1669</t>
  </si>
  <si>
    <t xml:space="preserve">Inverse Function of 'Longitudinal control (ACC, Chill mode)' while in Imminent collision where the stock PCS/AEB would intervene (0–120 km/h), dry, daylight.</t>
  </si>
  <si>
    <t xml:space="preserve">H-1670</t>
  </si>
  <si>
    <t xml:space="preserve">Inverse Function of 'Longitudinal control (ACC, Chill mode)' while in Imminent collision where the stock PCS/AEB would intervene (0–120 km/h), wet road or light rain.</t>
  </si>
  <si>
    <t xml:space="preserve">H-1671</t>
  </si>
  <si>
    <t xml:space="preserve">Inverse Function of 'Longitudinal control (ACC, Chill mode)' while in Imminent collision where the stock PCS/AEB would intervene (0–120 km/h), night, dry, headlights.</t>
  </si>
  <si>
    <t xml:space="preserve">H-1672</t>
  </si>
  <si>
    <t xml:space="preserve">Inverse Function of 'Longitudinal control (ACC, Chill mode)' while in Imminent collision where the stock PCS/AEB would intervene (0–120 km/h), moderate or heavy rain (outside odd, foreseeable).</t>
  </si>
  <si>
    <t xml:space="preserve">H-1673</t>
  </si>
  <si>
    <t xml:space="preserve">Inverse Function of 'Longitudinal control (ACC, Chill mode)' while in Imminent collision where the stock PCS/AEB would intervene (0–120 km/h), snow or ice (outside odd, foreseeable).</t>
  </si>
  <si>
    <t xml:space="preserve">H-1674</t>
  </si>
  <si>
    <t xml:space="preserve">Inverse Function of 'Longitudinal control (ACC, Chill mode)' while in Imminent collision where the stock PCS/AEB would intervene (0–120 km/h), fog, visibility below the odd bound (outside odd, foreseeable).</t>
  </si>
  <si>
    <t xml:space="preserve">H-1675</t>
  </si>
  <si>
    <t xml:space="preserve">Inverse Function of 'Longitudinal control (ACC, Chill mode)' while in Driver override while engaged: braking, cancel or evasive steering (0–120 km/h), dry, daylight.</t>
  </si>
  <si>
    <t xml:space="preserve">H-1676</t>
  </si>
  <si>
    <t xml:space="preserve">Inverse Function of 'Longitudinal control (ACC, Chill mode)' while in Driver override while engaged: braking, cancel or evasive steering (0–120 km/h), wet road or light rain.</t>
  </si>
  <si>
    <t xml:space="preserve">H-1677</t>
  </si>
  <si>
    <t xml:space="preserve">Inverse Function of 'Longitudinal control (ACC, Chill mode)' while in Driver override while engaged: braking, cancel or evasive steering (0–120 km/h), night, dry, headlights.</t>
  </si>
  <si>
    <t xml:space="preserve">H-1678</t>
  </si>
  <si>
    <t xml:space="preserve">Inverse Function of 'Longitudinal control (ACC, Chill mode)' while in Driver override while engaged: braking, cancel or evasive steering (0–120 km/h), moderate or heavy rain (outside odd, foreseeable).</t>
  </si>
  <si>
    <t xml:space="preserve">H-1679</t>
  </si>
  <si>
    <t xml:space="preserve">Inverse Function of 'Longitudinal control (ACC, Chill mode)' while in Driver override while engaged: braking, cancel or evasive steering (0–120 km/h), snow or ice (outside odd, foreseeable).</t>
  </si>
  <si>
    <t xml:space="preserve">H-1680</t>
  </si>
  <si>
    <t xml:space="preserve">Inverse Function of 'Longitudinal control (ACC, Chill mode)' while in Driver override while engaged: braking, cancel or evasive steering (0–120 km/h), fog, visibility below the odd bound (outside odd, foreseeable).</t>
  </si>
  <si>
    <t xml:space="preserve">H-1681</t>
  </si>
  <si>
    <t xml:space="preserve">Inverse Function of 'Longitudinal control (ACC, Chill mode)' while in Driver-initiated assisted lane change (70–120 km/h), dry, daylight.</t>
  </si>
  <si>
    <t xml:space="preserve">H-1682</t>
  </si>
  <si>
    <t xml:space="preserve">Inverse Function of 'Longitudinal control (ACC, Chill mode)' while in Driver-initiated assisted lane change (70–120 km/h), wet road or light rain.</t>
  </si>
  <si>
    <t xml:space="preserve">H-1683</t>
  </si>
  <si>
    <t xml:space="preserve">Inverse Function of 'Longitudinal control (ACC, Chill mode)' while in Driver-initiated assisted lane change (70–120 km/h), night, dry, headlights.</t>
  </si>
  <si>
    <t xml:space="preserve">H-1684</t>
  </si>
  <si>
    <t xml:space="preserve">Inverse Function of 'Longitudinal control (ACC, Chill mode)' while in Driver-initiated assisted lane change (70–120 km/h), moderate or heavy rain (outside odd, foreseeable).</t>
  </si>
  <si>
    <t xml:space="preserve">H-1685</t>
  </si>
  <si>
    <t xml:space="preserve">Inverse Function of 'Longitudinal control (ACC, Chill mode)' while in Driver-initiated assisted lane change (70–120 km/h), snow or ice (outside odd, foreseeable).</t>
  </si>
  <si>
    <t xml:space="preserve">H-1686</t>
  </si>
  <si>
    <t xml:space="preserve">Inverse Function of 'Longitudinal control (ACC, Chill mode)' while in Driver-initiated assisted lane change (70–120 km/h), fog, visibility below the odd bound (outside odd, foreseeable).</t>
  </si>
  <si>
    <t xml:space="preserve">H-1687</t>
  </si>
  <si>
    <t xml:space="preserve">Inverse Function of 'Longitudinal control (ACC, Chill mode)' while in Manual driving, item powered but not engaged (0–120 km/h), dry, daylight.</t>
  </si>
  <si>
    <t xml:space="preserve">H-1688</t>
  </si>
  <si>
    <t xml:space="preserve">Inverse Function of 'Longitudinal control (ACC, Chill mode)' while in Manual driving, item powered but not engaged (0–120 km/h), wet road or light rain.</t>
  </si>
  <si>
    <t xml:space="preserve">H-1689</t>
  </si>
  <si>
    <t xml:space="preserve">Inverse Function of 'Longitudinal control (ACC, Chill mode)' while in Manual driving, item powered but not engaged (0–120 km/h), night, dry, headlights.</t>
  </si>
  <si>
    <t xml:space="preserve">H-1690</t>
  </si>
  <si>
    <t xml:space="preserve">Inverse Function of 'Longitudinal control (ACC, Chill mode)' while in Manual driving, item powered but not engaged (0–120 km/h), moderate or heavy rain (outside odd, foreseeable).</t>
  </si>
  <si>
    <t xml:space="preserve">H-1691</t>
  </si>
  <si>
    <t xml:space="preserve">Inverse Function of 'Longitudinal control (ACC, Chill mode)' while in Manual driving, item powered but not engaged (0–120 km/h), snow or ice (outside odd, foreseeable).</t>
  </si>
  <si>
    <t xml:space="preserve">H-1692</t>
  </si>
  <si>
    <t xml:space="preserve">Inverse Function of 'Longitudinal control (ACC, Chill mode)' while in Manual driving, item powered but not engaged (0–120 km/h), fog, visibility below the odd bound (outside odd, foreseeable).</t>
  </si>
  <si>
    <t xml:space="preserve">H-1693</t>
  </si>
  <si>
    <t xml:space="preserve">Inverse Function of 'Longitudinal control (ACC, Chill mode)' while in Engaged outside the ODD (residential street, ramp, tight curve): foreseeable misuse (15–60 km/h), dry, daylight.</t>
  </si>
  <si>
    <t xml:space="preserve">H-1694</t>
  </si>
  <si>
    <t xml:space="preserve">Inverse Function of 'Longitudinal control (ACC, Chill mode)' while in Engaged outside the ODD (residential street, ramp, tight curve): foreseeable misuse (15–60 km/h), wet road or light rain.</t>
  </si>
  <si>
    <t xml:space="preserve">H-1695</t>
  </si>
  <si>
    <t xml:space="preserve">Inverse Function of 'Longitudinal control (ACC, Chill mode)' while in Engaged outside the ODD (residential street, ramp, tight curve): foreseeable misuse (15–60 km/h), night, dry, headlights.</t>
  </si>
  <si>
    <t xml:space="preserve">H-1696</t>
  </si>
  <si>
    <t xml:space="preserve">Inverse Function of 'Longitudinal control (ACC, Chill mode)' while in Engaged outside the ODD (residential street, ramp, tight curve): foreseeable misuse (15–60 km/h), moderate or heavy rain (outside odd, foreseeable).</t>
  </si>
  <si>
    <t xml:space="preserve">H-1697</t>
  </si>
  <si>
    <t xml:space="preserve">Inverse Function of 'Longitudinal control (ACC, Chill mode)' while in Engaged outside the ODD (residential street, ramp, tight curve): foreseeable misuse (15–60 km/h), snow or ice (outside odd, foreseeable).</t>
  </si>
  <si>
    <t xml:space="preserve">H-1698</t>
  </si>
  <si>
    <t xml:space="preserve">Inverse Function of 'Longitudinal control (ACC, Chill mode)' while in Engaged outside the ODD (residential street, ramp, tight curve): foreseeable misuse (15–60 km/h), fog, visibility below the odd bound (outside odd, foreseeable).</t>
  </si>
  <si>
    <t xml:space="preserve">H-1699</t>
  </si>
  <si>
    <t xml:space="preserve">Inverse Function of 'Longitudinal control (ACC, Chill mode)' while in Approaching a signalised or stop-controlled intersection (ODD-A) (30–90 km/h), dry, daylight.</t>
  </si>
  <si>
    <t xml:space="preserve">H-1700</t>
  </si>
  <si>
    <t xml:space="preserve">Inverse Function of 'Longitudinal control (ACC, Chill mode)' while in Approaching a signalised or stop-controlled intersection (ODD-A) (30–90 km/h), wet road or light rain.</t>
  </si>
  <si>
    <t xml:space="preserve">H-1701</t>
  </si>
  <si>
    <t xml:space="preserve">Inverse Function of 'Longitudinal control (ACC, Chill mode)' while in Approaching a signalised or stop-controlled intersection (ODD-A) (30–90 km/h), night, dry, headlights.</t>
  </si>
  <si>
    <t xml:space="preserve">H-1702</t>
  </si>
  <si>
    <t xml:space="preserve">Inverse Function of 'Longitudinal control (ACC, Chill mode)' while in Approaching a signalised or stop-controlled intersection (ODD-A) (30–90 km/h), moderate or heavy rain (outside odd, foreseeable).</t>
  </si>
  <si>
    <t xml:space="preserve">H-1703</t>
  </si>
  <si>
    <t xml:space="preserve">Inverse Function of 'Longitudinal control (ACC, Chill mode)' while in Approaching a signalised or stop-controlled intersection (ODD-A) (30–90 km/h), snow or ice (outside odd, foreseeable).</t>
  </si>
  <si>
    <t xml:space="preserve">H-1704</t>
  </si>
  <si>
    <t xml:space="preserve">Inverse Function of 'Longitudinal control (ACC, Chill mode)' while in Approaching a signalised or stop-controlled intersection (ODD-A) (30–90 km/h), fog, visibility below the odd bound (outside odd, foreseeable).</t>
  </si>
  <si>
    <t xml:space="preserve">H-1705</t>
  </si>
  <si>
    <t xml:space="preserve">Inverse Function of 'Longitudinal control (ACC, Chill mode)' while in Rural or arterial curve near R_ODD with oncoming traffic (60–90 km/h), dry, daylight.</t>
  </si>
  <si>
    <t xml:space="preserve">H-1706</t>
  </si>
  <si>
    <t xml:space="preserve">Inverse Function of 'Longitudinal control (ACC, Chill mode)' while in Rural or arterial curve near R_ODD with oncoming traffic (60–90 km/h), wet road or light rain.</t>
  </si>
  <si>
    <t xml:space="preserve">H-1707</t>
  </si>
  <si>
    <t xml:space="preserve">Inverse Function of 'Longitudinal control (ACC, Chill mode)' while in Rural or arterial curve near R_ODD with oncoming traffic (60–90 km/h), night, dry, headlights.</t>
  </si>
  <si>
    <t xml:space="preserve">H-1708</t>
  </si>
  <si>
    <t xml:space="preserve">Inverse Function of 'Longitudinal control (ACC, Chill mode)' while in Rural or arterial curve near R_ODD with oncoming traffic (60–90 km/h), moderate or heavy rain (outside odd, foreseeable).</t>
  </si>
  <si>
    <t xml:space="preserve">H-1709</t>
  </si>
  <si>
    <t xml:space="preserve">Inverse Function of 'Longitudinal control (ACC, Chill mode)' while in Rural or arterial curve near R_ODD with oncoming traffic (60–90 km/h), snow or ice (outside odd, foreseeable).</t>
  </si>
  <si>
    <t xml:space="preserve">H-1710</t>
  </si>
  <si>
    <t xml:space="preserve">Inverse Function of 'Longitudinal control (ACC, Chill mode)' while in Rural or arterial curve near R_ODD with oncoming traffic (60–90 km/h), fog, visibility below the odd bound (outside odd, foreseeable).</t>
  </si>
  <si>
    <t xml:space="preserve">H-1711</t>
  </si>
  <si>
    <t xml:space="preserve">Erratic or Intermittent of 'Longitudinal control (ACC, Chill mode)' while in Limited-access highway, free flow, adjacent traffic (90–120 km/h), dry, daylight.</t>
  </si>
  <si>
    <t xml:space="preserve">H-1712</t>
  </si>
  <si>
    <t xml:space="preserve">Erratic or Intermittent of 'Longitudinal control (ACC, Chill mode)' while in Limited-access highway, free flow, adjacent traffic (90–120 km/h), wet road or light rain.</t>
  </si>
  <si>
    <t xml:space="preserve">H-1713</t>
  </si>
  <si>
    <t xml:space="preserve">Erratic or Intermittent of 'Longitudinal control (ACC, Chill mode)' while in Limited-access highway, free flow, adjacent traffic (90–120 km/h), night, dry, headlights.</t>
  </si>
  <si>
    <t xml:space="preserve">H-1714</t>
  </si>
  <si>
    <t xml:space="preserve">Erratic or Intermittent of 'Longitudinal control (ACC, Chill mode)' while in Limited-access highway, free flow, adjacent traffic (90–120 km/h), moderate or heavy rain (outside odd, foreseeable).</t>
  </si>
  <si>
    <t xml:space="preserve">H-1715</t>
  </si>
  <si>
    <t xml:space="preserve">Erratic or Intermittent of 'Longitudinal control (ACC, Chill mode)' while in Limited-access highway, free flow, adjacent traffic (90–120 km/h), snow or ice (outside odd, foreseeable).</t>
  </si>
  <si>
    <t xml:space="preserve">H-1716</t>
  </si>
  <si>
    <t xml:space="preserve">Erratic or Intermittent of 'Longitudinal control (ACC, Chill mode)' while in Limited-access highway, free flow, adjacent traffic (90–120 km/h), fog, visibility below the odd bound (outside odd, foreseeable).</t>
  </si>
  <si>
    <t xml:space="preserve">H-1717</t>
  </si>
  <si>
    <t xml:space="preserve">Erratic or Intermittent of 'Longitudinal control (ACC, Chill mode)' while in Highway curve near R_ODD with barrier or adjacent traffic (70–110 km/h), dry, daylight.</t>
  </si>
  <si>
    <t xml:space="preserve">H-1718</t>
  </si>
  <si>
    <t xml:space="preserve">Erratic or Intermittent of 'Longitudinal control (ACC, Chill mode)' while in Highway curve near R_ODD with barrier or adjacent traffic (70–110 km/h), wet road or light rain.</t>
  </si>
  <si>
    <t xml:space="preserve">H-1719</t>
  </si>
  <si>
    <t xml:space="preserve">Erratic or Intermittent of 'Longitudinal control (ACC, Chill mode)' while in Highway curve near R_ODD with barrier or adjacent traffic (70–110 km/h), night, dry, headlights.</t>
  </si>
  <si>
    <t xml:space="preserve">H-1720</t>
  </si>
  <si>
    <t xml:space="preserve">Erratic or Intermittent of 'Longitudinal control (ACC, Chill mode)' while in Highway curve near R_ODD with barrier or adjacent traffic (70–110 km/h), moderate or heavy rain (outside odd, foreseeable).</t>
  </si>
  <si>
    <t xml:space="preserve">H-1721</t>
  </si>
  <si>
    <t xml:space="preserve">Erratic or Intermittent of 'Longitudinal control (ACC, Chill mode)' while in Highway curve near R_ODD with barrier or adjacent traffic (70–110 km/h), snow or ice (outside odd, foreseeable).</t>
  </si>
  <si>
    <t xml:space="preserve">H-1722</t>
  </si>
  <si>
    <t xml:space="preserve">Erratic or Intermittent of 'Longitudinal control (ACC, Chill mode)' while in Highway curve near R_ODD with barrier or adjacent traffic (70–110 km/h), fog, visibility below the odd bound (outside odd, foreseeable).</t>
  </si>
  <si>
    <t xml:space="preserve">H-1723</t>
  </si>
  <si>
    <t xml:space="preserve">Erratic or Intermittent of 'Longitudinal control (ACC, Chill mode)' while in Undivided rural or arterial road, oncoming traffic (60–90 km/h), dry, daylight.</t>
  </si>
  <si>
    <t xml:space="preserve">H-1724</t>
  </si>
  <si>
    <t xml:space="preserve">Erratic or Intermittent of 'Longitudinal control (ACC, Chill mode)' while in Undivided rural or arterial road, oncoming traffic (60–90 km/h), wet road or light rain.</t>
  </si>
  <si>
    <t xml:space="preserve">H-1725</t>
  </si>
  <si>
    <t xml:space="preserve">Erratic or Intermittent of 'Longitudinal control (ACC, Chill mode)' while in Undivided rural or arterial road, oncoming traffic (60–90 km/h), night, dry, headlights.</t>
  </si>
  <si>
    <t xml:space="preserve">H-1726</t>
  </si>
  <si>
    <t xml:space="preserve">Erratic or Intermittent of 'Longitudinal control (ACC, Chill mode)' while in Undivided rural or arterial road, oncoming traffic (60–90 km/h), moderate or heavy rain (outside odd, foreseeable).</t>
  </si>
  <si>
    <t xml:space="preserve">H-1727</t>
  </si>
  <si>
    <t xml:space="preserve">Erratic or Intermittent of 'Longitudinal control (ACC, Chill mode)' while in Undivided rural or arterial road, oncoming traffic (60–90 km/h), snow or ice (outside odd, foreseeable).</t>
  </si>
  <si>
    <t xml:space="preserve">H-1728</t>
  </si>
  <si>
    <t xml:space="preserve">Erratic or Intermittent of 'Longitudinal control (ACC, Chill mode)' while in Undivided rural or arterial road, oncoming traffic (60–90 km/h), fog, visibility below the odd bound (outside odd, foreseeable).</t>
  </si>
  <si>
    <t xml:space="preserve">H-1729</t>
  </si>
  <si>
    <t xml:space="preserve">Erratic or Intermittent of 'Longitudinal control (ACC, Chill mode)' while in Urban arterial, pedestrians and cyclists near the lane edge (30–60 km/h), dry, daylight.</t>
  </si>
  <si>
    <t xml:space="preserve">H-1730</t>
  </si>
  <si>
    <t xml:space="preserve">Erratic or Intermittent of 'Longitudinal control (ACC, Chill mode)' while in Urban arterial, pedestrians and cyclists near the lane edge (30–60 km/h), wet road or light rain.</t>
  </si>
  <si>
    <t xml:space="preserve">H-1731</t>
  </si>
  <si>
    <t xml:space="preserve">Erratic or Intermittent of 'Longitudinal control (ACC, Chill mode)' while in Urban arterial, pedestrians and cyclists near the lane edge (30–60 km/h), night, dry, headlights.</t>
  </si>
  <si>
    <t xml:space="preserve">H-1732</t>
  </si>
  <si>
    <t xml:space="preserve">Erratic or Intermittent of 'Longitudinal control (ACC, Chill mode)' while in Urban arterial, pedestrians and cyclists near the lane edge (30–60 km/h), moderate or heavy rain (outside odd, foreseeable).</t>
  </si>
  <si>
    <t xml:space="preserve">H-1733</t>
  </si>
  <si>
    <t xml:space="preserve">Erratic or Intermittent of 'Longitudinal control (ACC, Chill mode)' while in Urban arterial, pedestrians and cyclists near the lane edge (30–60 km/h), snow or ice (outside odd, foreseeable).</t>
  </si>
  <si>
    <t xml:space="preserve">H-1734</t>
  </si>
  <si>
    <t xml:space="preserve">Erratic or Intermittent of 'Longitudinal control (ACC, Chill mode)' while in Urban arterial, pedestrians and cyclists near the lane edge (30–60 km/h), fog, visibility below the odd bound (outside odd, foreseeable).</t>
  </si>
  <si>
    <t xml:space="preserve">H-1735</t>
  </si>
  <si>
    <t xml:space="preserve">Erratic or Intermittent of 'Longitudinal control (ACC, Chill mode)' while in Following a lead vehicle at a short gap, dense traffic (30–110 km/h), dry, daylight.</t>
  </si>
  <si>
    <t xml:space="preserve">H-1736</t>
  </si>
  <si>
    <t xml:space="preserve">Erratic or Intermittent of 'Longitudinal control (ACC, Chill mode)' while in Following a lead vehicle at a short gap, dense traffic (30–110 km/h), wet road or light rain.</t>
  </si>
  <si>
    <t xml:space="preserve">H-1737</t>
  </si>
  <si>
    <t xml:space="preserve">Erratic or Intermittent of 'Longitudinal control (ACC, Chill mode)' while in Following a lead vehicle at a short gap, dense traffic (30–110 km/h), night, dry, headlights.</t>
  </si>
  <si>
    <t xml:space="preserve">H-1738</t>
  </si>
  <si>
    <t xml:space="preserve">Erratic or Intermittent of 'Longitudinal control (ACC, Chill mode)' while in Following a lead vehicle at a short gap, dense traffic (30–110 km/h), moderate or heavy rain (outside odd, foreseeable).</t>
  </si>
  <si>
    <t xml:space="preserve">H-1739</t>
  </si>
  <si>
    <t xml:space="preserve">Erratic or Intermittent of 'Longitudinal control (ACC, Chill mode)' while in Following a lead vehicle at a short gap, dense traffic (30–110 km/h), snow or ice (outside odd, foreseeable).</t>
  </si>
  <si>
    <t xml:space="preserve">H-1740</t>
  </si>
  <si>
    <t xml:space="preserve">Erratic or Intermittent of 'Longitudinal control (ACC, Chill mode)' while in Following a lead vehicle at a short gap, dense traffic (30–110 km/h), fog, visibility below the odd bound (outside odd, foreseeable).</t>
  </si>
  <si>
    <t xml:space="preserve">H-1741</t>
  </si>
  <si>
    <t xml:space="preserve">Erratic or Intermittent of 'Longitudinal control (ACC, Chill mode)' while in Stop-and-go queue or standstill behind a lead; pedestrians may cross (0–30 km/h), dry, daylight.</t>
  </si>
  <si>
    <t xml:space="preserve">H-1742</t>
  </si>
  <si>
    <t xml:space="preserve">Erratic or Intermittent of 'Longitudinal control (ACC, Chill mode)' while in Stop-and-go queue or standstill behind a lead; pedestrians may cross (0–30 km/h), wet road or light rain.</t>
  </si>
  <si>
    <t xml:space="preserve">H-1743</t>
  </si>
  <si>
    <t xml:space="preserve">Erratic or Intermittent of 'Longitudinal control (ACC, Chill mode)' while in Stop-and-go queue or standstill behind a lead; pedestrians may cross (0–30 km/h), night, dry, headlights.</t>
  </si>
  <si>
    <t xml:space="preserve">H-1744</t>
  </si>
  <si>
    <t xml:space="preserve">Erratic or Intermittent of 'Longitudinal control (ACC, Chill mode)' while in Stop-and-go queue or standstill behind a lead; pedestrians may cross (0–30 km/h), moderate or heavy rain (outside odd, foreseeable).</t>
  </si>
  <si>
    <t xml:space="preserve">H-1745</t>
  </si>
  <si>
    <t xml:space="preserve">Erratic or Intermittent of 'Longitudinal control (ACC, Chill mode)' while in Stop-and-go queue or standstill behind a lead; pedestrians may cross (0–30 km/h), snow or ice (outside odd, foreseeable).</t>
  </si>
  <si>
    <t xml:space="preserve">H-1746</t>
  </si>
  <si>
    <t xml:space="preserve">Erratic or Intermittent of 'Longitudinal control (ACC, Chill mode)' while in Stop-and-go queue or standstill behind a lead; pedestrians may cross (0–30 km/h), fog, visibility below the odd bound (outside odd, foreseeable).</t>
  </si>
  <si>
    <t xml:space="preserve">H-1747</t>
  </si>
  <si>
    <t xml:space="preserve">Erratic or Intermittent of 'Longitudinal control (ACC, Chill mode)' while in Approaching slower or stationary traffic from highway speed (70–120 km/h), dry, daylight.</t>
  </si>
  <si>
    <t xml:space="preserve">H-1748</t>
  </si>
  <si>
    <t xml:space="preserve">Erratic or Intermittent of 'Longitudinal control (ACC, Chill mode)' while in Approaching slower or stationary traffic from highway speed (70–120 km/h), wet road or light rain.</t>
  </si>
  <si>
    <t xml:space="preserve">H-1749</t>
  </si>
  <si>
    <t xml:space="preserve">Erratic or Intermittent of 'Longitudinal control (ACC, Chill mode)' while in Approaching slower or stationary traffic from highway speed (70–120 km/h), night, dry, headlights.</t>
  </si>
  <si>
    <t xml:space="preserve">H-1750</t>
  </si>
  <si>
    <t xml:space="preserve">Erratic or Intermittent of 'Longitudinal control (ACC, Chill mode)' while in Approaching slower or stationary traffic from highway speed (70–120 km/h), moderate or heavy rain (outside odd, foreseeable).</t>
  </si>
  <si>
    <t xml:space="preserve">H-1751</t>
  </si>
  <si>
    <t xml:space="preserve">Erratic or Intermittent of 'Longitudinal control (ACC, Chill mode)' while in Approaching slower or stationary traffic from highway speed (70–120 km/h), snow or ice (outside odd, foreseeable).</t>
  </si>
  <si>
    <t xml:space="preserve">H-1752</t>
  </si>
  <si>
    <t xml:space="preserve">Erratic or Intermittent of 'Longitudinal control (ACC, Chill mode)' while in Approaching slower or stationary traffic from highway speed (70–120 km/h), fog, visibility below the odd bound (outside odd, foreseeable).</t>
  </si>
  <si>
    <t xml:space="preserve">H-1753</t>
  </si>
  <si>
    <t xml:space="preserve">Erratic or Intermittent of 'Longitudinal control (ACC, Chill mode)' while in Close following vehicle behind (gap &lt; 1.5 s) (50–120 km/h), dry, daylight.</t>
  </si>
  <si>
    <t xml:space="preserve">H-1754</t>
  </si>
  <si>
    <t xml:space="preserve">Erratic or Intermittent of 'Longitudinal control (ACC, Chill mode)' while in Close following vehicle behind (gap &lt; 1.5 s) (50–120 km/h), wet road or light rain.</t>
  </si>
  <si>
    <t xml:space="preserve">H-1755</t>
  </si>
  <si>
    <t xml:space="preserve">Erratic or Intermittent of 'Longitudinal control (ACC, Chill mode)' while in Close following vehicle behind (gap &lt; 1.5 s) (50–120 km/h), night, dry, headlights.</t>
  </si>
  <si>
    <t xml:space="preserve">H-1756</t>
  </si>
  <si>
    <t xml:space="preserve">Erratic or Intermittent of 'Longitudinal control (ACC, Chill mode)' while in Close following vehicle behind (gap &lt; 1.5 s) (50–120 km/h), moderate or heavy rain (outside odd, foreseeable).</t>
  </si>
  <si>
    <t xml:space="preserve">H-1757</t>
  </si>
  <si>
    <t xml:space="preserve">Erratic or Intermittent of 'Longitudinal control (ACC, Chill mode)' while in Close following vehicle behind (gap &lt; 1.5 s) (50–120 km/h), snow or ice (outside odd, foreseeable).</t>
  </si>
  <si>
    <t xml:space="preserve">H-1758</t>
  </si>
  <si>
    <t xml:space="preserve">Erratic or Intermittent of 'Longitudinal control (ACC, Chill mode)' while in Close following vehicle behind (gap &lt; 1.5 s) (50–120 km/h), fog, visibility below the odd bound (outside odd, foreseeable).</t>
  </si>
  <si>
    <t xml:space="preserve">H-1759</t>
  </si>
  <si>
    <t xml:space="preserve">Erratic or Intermittent of 'Longitudinal control (ACC, Chill mode)' while in Imminent collision where the stock PCS/AEB would intervene (0–120 km/h), dry, daylight.</t>
  </si>
  <si>
    <t xml:space="preserve">H-1760</t>
  </si>
  <si>
    <t xml:space="preserve">Erratic or Intermittent of 'Longitudinal control (ACC, Chill mode)' while in Imminent collision where the stock PCS/AEB would intervene (0–120 km/h), wet road or light rain.</t>
  </si>
  <si>
    <t xml:space="preserve">H-1761</t>
  </si>
  <si>
    <t xml:space="preserve">Erratic or Intermittent of 'Longitudinal control (ACC, Chill mode)' while in Imminent collision where the stock PCS/AEB would intervene (0–120 km/h), night, dry, headlights.</t>
  </si>
  <si>
    <t xml:space="preserve">H-1762</t>
  </si>
  <si>
    <t xml:space="preserve">Erratic or Intermittent of 'Longitudinal control (ACC, Chill mode)' while in Imminent collision where the stock PCS/AEB would intervene (0–120 km/h), moderate or heavy rain (outside odd, foreseeable).</t>
  </si>
  <si>
    <t xml:space="preserve">H-1763</t>
  </si>
  <si>
    <t xml:space="preserve">Erratic or Intermittent of 'Longitudinal control (ACC, Chill mode)' while in Imminent collision where the stock PCS/AEB would intervene (0–120 km/h), snow or ice (outside odd, foreseeable).</t>
  </si>
  <si>
    <t xml:space="preserve">H-1764</t>
  </si>
  <si>
    <t xml:space="preserve">Erratic or Intermittent of 'Longitudinal control (ACC, Chill mode)' while in Imminent collision where the stock PCS/AEB would intervene (0–120 km/h), fog, visibility below the odd bound (outside odd, foreseeable).</t>
  </si>
  <si>
    <t xml:space="preserve">H-1765</t>
  </si>
  <si>
    <t xml:space="preserve">Erratic or Intermittent of 'Longitudinal control (ACC, Chill mode)' while in Driver override while engaged: braking, cancel or evasive steering (0–120 km/h), dry, daylight.</t>
  </si>
  <si>
    <t xml:space="preserve">H-1766</t>
  </si>
  <si>
    <t xml:space="preserve">Erratic or Intermittent of 'Longitudinal control (ACC, Chill mode)' while in Driver override while engaged: braking, cancel or evasive steering (0–120 km/h), wet road or light rain.</t>
  </si>
  <si>
    <t xml:space="preserve">H-1767</t>
  </si>
  <si>
    <t xml:space="preserve">Erratic or Intermittent of 'Longitudinal control (ACC, Chill mode)' while in Driver override while engaged: braking, cancel or evasive steering (0–120 km/h), night, dry, headlights.</t>
  </si>
  <si>
    <t xml:space="preserve">H-1768</t>
  </si>
  <si>
    <t xml:space="preserve">Erratic or Intermittent of 'Longitudinal control (ACC, Chill mode)' while in Driver override while engaged: braking, cancel or evasive steering (0–120 km/h), moderate or heavy rain (outside odd, foreseeable).</t>
  </si>
  <si>
    <t xml:space="preserve">H-1769</t>
  </si>
  <si>
    <t xml:space="preserve">Erratic or Intermittent of 'Longitudinal control (ACC, Chill mode)' while in Driver override while engaged: braking, cancel or evasive steering (0–120 km/h), snow or ice (outside odd, foreseeable).</t>
  </si>
  <si>
    <t xml:space="preserve">H-1770</t>
  </si>
  <si>
    <t xml:space="preserve">Erratic or Intermittent of 'Longitudinal control (ACC, Chill mode)' while in Driver override while engaged: braking, cancel or evasive steering (0–120 km/h), fog, visibility below the odd bound (outside odd, foreseeable).</t>
  </si>
  <si>
    <t xml:space="preserve">H-1771</t>
  </si>
  <si>
    <t xml:space="preserve">Erratic or Intermittent of 'Longitudinal control (ACC, Chill mode)' while in Driver-initiated assisted lane change (70–120 km/h), dry, daylight.</t>
  </si>
  <si>
    <t xml:space="preserve">H-1772</t>
  </si>
  <si>
    <t xml:space="preserve">Erratic or Intermittent of 'Longitudinal control (ACC, Chill mode)' while in Driver-initiated assisted lane change (70–120 km/h), wet road or light rain.</t>
  </si>
  <si>
    <t xml:space="preserve">H-1773</t>
  </si>
  <si>
    <t xml:space="preserve">Erratic or Intermittent of 'Longitudinal control (ACC, Chill mode)' while in Driver-initiated assisted lane change (70–120 km/h), night, dry, headlights.</t>
  </si>
  <si>
    <t xml:space="preserve">H-1774</t>
  </si>
  <si>
    <t xml:space="preserve">Erratic or Intermittent of 'Longitudinal control (ACC, Chill mode)' while in Driver-initiated assisted lane change (70–120 km/h), moderate or heavy rain (outside odd, foreseeable).</t>
  </si>
  <si>
    <t xml:space="preserve">H-1775</t>
  </si>
  <si>
    <t xml:space="preserve">Erratic or Intermittent of 'Longitudinal control (ACC, Chill mode)' while in Driver-initiated assisted lane change (70–120 km/h), snow or ice (outside odd, foreseeable).</t>
  </si>
  <si>
    <t xml:space="preserve">H-1776</t>
  </si>
  <si>
    <t xml:space="preserve">Erratic or Intermittent of 'Longitudinal control (ACC, Chill mode)' while in Driver-initiated assisted lane change (70–120 km/h), fog, visibility below the odd bound (outside odd, foreseeable).</t>
  </si>
  <si>
    <t xml:space="preserve">H-1777</t>
  </si>
  <si>
    <t xml:space="preserve">Erratic or Intermittent of 'Longitudinal control (ACC, Chill mode)' while in Manual driving, item powered but not engaged (0–120 km/h), dry, daylight.</t>
  </si>
  <si>
    <t xml:space="preserve">H-1778</t>
  </si>
  <si>
    <t xml:space="preserve">Erratic or Intermittent of 'Longitudinal control (ACC, Chill mode)' while in Manual driving, item powered but not engaged (0–120 km/h), wet road or light rain.</t>
  </si>
  <si>
    <t xml:space="preserve">H-1779</t>
  </si>
  <si>
    <t xml:space="preserve">Erratic or Intermittent of 'Longitudinal control (ACC, Chill mode)' while in Manual driving, item powered but not engaged (0–120 km/h), night, dry, headlights.</t>
  </si>
  <si>
    <t xml:space="preserve">H-1780</t>
  </si>
  <si>
    <t xml:space="preserve">Erratic or Intermittent of 'Longitudinal control (ACC, Chill mode)' while in Manual driving, item powered but not engaged (0–120 km/h), moderate or heavy rain (outside odd, foreseeable).</t>
  </si>
  <si>
    <t xml:space="preserve">H-1781</t>
  </si>
  <si>
    <t xml:space="preserve">Erratic or Intermittent of 'Longitudinal control (ACC, Chill mode)' while in Manual driving, item powered but not engaged (0–120 km/h), snow or ice (outside odd, foreseeable).</t>
  </si>
  <si>
    <t xml:space="preserve">H-1782</t>
  </si>
  <si>
    <t xml:space="preserve">Erratic or Intermittent of 'Longitudinal control (ACC, Chill mode)' while in Manual driving, item powered but not engaged (0–120 km/h), fog, visibility below the odd bound (outside odd, foreseeable).</t>
  </si>
  <si>
    <t xml:space="preserve">H-1783</t>
  </si>
  <si>
    <t xml:space="preserve">Erratic or Intermittent of 'Longitudinal control (ACC, Chill mode)' while in Engaged outside the ODD (residential street, ramp, tight curve): foreseeable misuse (15–60 km/h), dry, daylight.</t>
  </si>
  <si>
    <t xml:space="preserve">H-1784</t>
  </si>
  <si>
    <t xml:space="preserve">Erratic or Intermittent of 'Longitudinal control (ACC, Chill mode)' while in Engaged outside the ODD (residential street, ramp, tight curve): foreseeable misuse (15–60 km/h), wet road or light rain.</t>
  </si>
  <si>
    <t xml:space="preserve">H-1785</t>
  </si>
  <si>
    <t xml:space="preserve">Erratic or Intermittent of 'Longitudinal control (ACC, Chill mode)' while in Engaged outside the ODD (residential street, ramp, tight curve): foreseeable misuse (15–60 km/h), night, dry, headlights.</t>
  </si>
  <si>
    <t xml:space="preserve">H-1786</t>
  </si>
  <si>
    <t xml:space="preserve">Erratic or Intermittent of 'Longitudinal control (ACC, Chill mode)' while in Engaged outside the ODD (residential street, ramp, tight curve): foreseeable misuse (15–60 km/h), moderate or heavy rain (outside odd, foreseeable).</t>
  </si>
  <si>
    <t xml:space="preserve">H-1787</t>
  </si>
  <si>
    <t xml:space="preserve">Erratic or Intermittent of 'Longitudinal control (ACC, Chill mode)' while in Engaged outside the ODD (residential street, ramp, tight curve): foreseeable misuse (15–60 km/h), snow or ice (outside odd, foreseeable).</t>
  </si>
  <si>
    <t xml:space="preserve">H-1788</t>
  </si>
  <si>
    <t xml:space="preserve">Erratic or Intermittent of 'Longitudinal control (ACC, Chill mode)' while in Engaged outside the ODD (residential street, ramp, tight curve): foreseeable misuse (15–60 km/h), fog, visibility below the odd bound (outside odd, foreseeable).</t>
  </si>
  <si>
    <t xml:space="preserve">H-1789</t>
  </si>
  <si>
    <t xml:space="preserve">Erratic or Intermittent of 'Longitudinal control (ACC, Chill mode)' while in Approaching a signalised or stop-controlled intersection (ODD-A) (30–90 km/h), dry, daylight.</t>
  </si>
  <si>
    <t xml:space="preserve">H-1790</t>
  </si>
  <si>
    <t xml:space="preserve">Erratic or Intermittent of 'Longitudinal control (ACC, Chill mode)' while in Approaching a signalised or stop-controlled intersection (ODD-A) (30–90 km/h), wet road or light rain.</t>
  </si>
  <si>
    <t xml:space="preserve">H-1791</t>
  </si>
  <si>
    <t xml:space="preserve">Erratic or Intermittent of 'Longitudinal control (ACC, Chill mode)' while in Approaching a signalised or stop-controlled intersection (ODD-A) (30–90 km/h), night, dry, headlights.</t>
  </si>
  <si>
    <t xml:space="preserve">H-1792</t>
  </si>
  <si>
    <t xml:space="preserve">Erratic or Intermittent of 'Longitudinal control (ACC, Chill mode)' while in Approaching a signalised or stop-controlled intersection (ODD-A) (30–90 km/h), moderate or heavy rain (outside odd, foreseeable).</t>
  </si>
  <si>
    <t xml:space="preserve">H-1793</t>
  </si>
  <si>
    <t xml:space="preserve">Erratic or Intermittent of 'Longitudinal control (ACC, Chill mode)' while in Approaching a signalised or stop-controlled intersection (ODD-A) (30–90 km/h), snow or ice (outside odd, foreseeable).</t>
  </si>
  <si>
    <t xml:space="preserve">H-1794</t>
  </si>
  <si>
    <t xml:space="preserve">Erratic or Intermittent of 'Longitudinal control (ACC, Chill mode)' while in Approaching a signalised or stop-controlled intersection (ODD-A) (30–90 km/h), fog, visibility below the odd bound (outside odd, foreseeable).</t>
  </si>
  <si>
    <t xml:space="preserve">H-1795</t>
  </si>
  <si>
    <t xml:space="preserve">Erratic or Intermittent of 'Longitudinal control (ACC, Chill mode)' while in Rural or arterial curve near R_ODD with oncoming traffic (60–90 km/h), dry, daylight.</t>
  </si>
  <si>
    <t xml:space="preserve">H-1796</t>
  </si>
  <si>
    <t xml:space="preserve">Erratic or Intermittent of 'Longitudinal control (ACC, Chill mode)' while in Rural or arterial curve near R_ODD with oncoming traffic (60–90 km/h), wet road or light rain.</t>
  </si>
  <si>
    <t xml:space="preserve">H-1797</t>
  </si>
  <si>
    <t xml:space="preserve">Erratic or Intermittent of 'Longitudinal control (ACC, Chill mode)' while in Rural or arterial curve near R_ODD with oncoming traffic (60–90 km/h), night, dry, headlights.</t>
  </si>
  <si>
    <t xml:space="preserve">H-1798</t>
  </si>
  <si>
    <t xml:space="preserve">Erratic or Intermittent of 'Longitudinal control (ACC, Chill mode)' while in Rural or arterial curve near R_ODD with oncoming traffic (60–90 km/h), moderate or heavy rain (outside odd, foreseeable).</t>
  </si>
  <si>
    <t xml:space="preserve">H-1799</t>
  </si>
  <si>
    <t xml:space="preserve">Erratic or Intermittent of 'Longitudinal control (ACC, Chill mode)' while in Rural or arterial curve near R_ODD with oncoming traffic (60–90 km/h), snow or ice (outside odd, foreseeable).</t>
  </si>
  <si>
    <t xml:space="preserve">H-1800</t>
  </si>
  <si>
    <t xml:space="preserve">Erratic or Intermittent of 'Longitudinal control (ACC, Chill mode)' while in Rural or arterial curve near R_ODD with oncoming traffic (60–90 km/h), fog, visibility below the odd bound (outside odd, foreseeable).</t>
  </si>
  <si>
    <t xml:space="preserve">H-1801</t>
  </si>
  <si>
    <t xml:space="preserve">No Function of 'Engagement and mode management' while in Limited-access highway, free flow, adjacent traffic (90–120 km/h), dry, daylight.</t>
  </si>
  <si>
    <t xml:space="preserve">S0: Evaluated under OS-09/OS-10, the situations in which the driver acts to override; other situations would double-count the same override event.</t>
  </si>
  <si>
    <t xml:space="preserve">H-1802</t>
  </si>
  <si>
    <t xml:space="preserve">No Function of 'Engagement and mode management' while in Limited-access highway, free flow, adjacent traffic (90–120 km/h), wet road or light rain.</t>
  </si>
  <si>
    <t xml:space="preserve">H-1803</t>
  </si>
  <si>
    <t xml:space="preserve">No Function of 'Engagement and mode management' while in Limited-access highway, free flow, adjacent traffic (90–120 km/h), night, dry, headlights.</t>
  </si>
  <si>
    <t xml:space="preserve">H-1804</t>
  </si>
  <si>
    <t xml:space="preserve">No Function of 'Engagement and mode management' while in Limited-access highway, free flow, adjacent traffic (90–120 km/h), moderate or heavy rain (outside odd, foreseeable).</t>
  </si>
  <si>
    <t xml:space="preserve">H-1805</t>
  </si>
  <si>
    <t xml:space="preserve">No Function of 'Engagement and mode management' while in Limited-access highway, free flow, adjacent traffic (90–120 km/h), snow or ice (outside odd, foreseeable).</t>
  </si>
  <si>
    <t xml:space="preserve">H-1806</t>
  </si>
  <si>
    <t xml:space="preserve">No Function of 'Engagement and mode management' while in Limited-access highway, free flow, adjacent traffic (90–120 km/h), fog, visibility below the odd bound (outside odd, foreseeable).</t>
  </si>
  <si>
    <t xml:space="preserve">H-1807</t>
  </si>
  <si>
    <t xml:space="preserve">No Function of 'Engagement and mode management' while in Highway curve near R_ODD with barrier or adjacent traffic (70–110 km/h), dry, daylight.</t>
  </si>
  <si>
    <t xml:space="preserve">H-1808</t>
  </si>
  <si>
    <t xml:space="preserve">No Function of 'Engagement and mode management' while in Highway curve near R_ODD with barrier or adjacent traffic (70–110 km/h), wet road or light rain.</t>
  </si>
  <si>
    <t xml:space="preserve">H-1809</t>
  </si>
  <si>
    <t xml:space="preserve">No Function of 'Engagement and mode management' while in Highway curve near R_ODD with barrier or adjacent traffic (70–110 km/h), night, dry, headlights.</t>
  </si>
  <si>
    <t xml:space="preserve">H-1810</t>
  </si>
  <si>
    <t xml:space="preserve">No Function of 'Engagement and mode management' while in Highway curve near R_ODD with barrier or adjacent traffic (70–110 km/h), moderate or heavy rain (outside odd, foreseeable).</t>
  </si>
  <si>
    <t xml:space="preserve">H-1811</t>
  </si>
  <si>
    <t xml:space="preserve">No Function of 'Engagement and mode management' while in Highway curve near R_ODD with barrier or adjacent traffic (70–110 km/h), snow or ice (outside odd, foreseeable).</t>
  </si>
  <si>
    <t xml:space="preserve">H-1812</t>
  </si>
  <si>
    <t xml:space="preserve">No Function of 'Engagement and mode management' while in Highway curve near R_ODD with barrier or adjacent traffic (70–110 km/h), fog, visibility below the odd bound (outside odd, foreseeable).</t>
  </si>
  <si>
    <t xml:space="preserve">H-1813</t>
  </si>
  <si>
    <t xml:space="preserve">No Function of 'Engagement and mode management' while in Undivided rural or arterial road, oncoming traffic (60–90 km/h), dry, daylight.</t>
  </si>
  <si>
    <t xml:space="preserve">H-1814</t>
  </si>
  <si>
    <t xml:space="preserve">No Function of 'Engagement and mode management' while in Undivided rural or arterial road, oncoming traffic (60–90 km/h), wet road or light rain.</t>
  </si>
  <si>
    <t xml:space="preserve">H-1815</t>
  </si>
  <si>
    <t xml:space="preserve">No Function of 'Engagement and mode management' while in Undivided rural or arterial road, oncoming traffic (60–90 km/h), night, dry, headlights.</t>
  </si>
  <si>
    <t xml:space="preserve">H-1816</t>
  </si>
  <si>
    <t xml:space="preserve">No Function of 'Engagement and mode management' while in Undivided rural or arterial road, oncoming traffic (60–90 km/h), moderate or heavy rain (outside odd, foreseeable).</t>
  </si>
  <si>
    <t xml:space="preserve">H-1817</t>
  </si>
  <si>
    <t xml:space="preserve">No Function of 'Engagement and mode management' while in Undivided rural or arterial road, oncoming traffic (60–90 km/h), snow or ice (outside odd, foreseeable).</t>
  </si>
  <si>
    <t xml:space="preserve">H-1818</t>
  </si>
  <si>
    <t xml:space="preserve">No Function of 'Engagement and mode management' while in Undivided rural or arterial road, oncoming traffic (60–90 km/h), fog, visibility below the odd bound (outside odd, foreseeable).</t>
  </si>
  <si>
    <t xml:space="preserve">H-1819</t>
  </si>
  <si>
    <t xml:space="preserve">No Function of 'Engagement and mode management' while in Urban arterial, pedestrians and cyclists near the lane edge (30–60 km/h), dry, daylight.</t>
  </si>
  <si>
    <t xml:space="preserve">H-1820</t>
  </si>
  <si>
    <t xml:space="preserve">No Function of 'Engagement and mode management' while in Urban arterial, pedestrians and cyclists near the lane edge (30–60 km/h), wet road or light rain.</t>
  </si>
  <si>
    <t xml:space="preserve">H-1821</t>
  </si>
  <si>
    <t xml:space="preserve">No Function of 'Engagement and mode management' while in Urban arterial, pedestrians and cyclists near the lane edge (30–60 km/h), night, dry, headlights.</t>
  </si>
  <si>
    <t xml:space="preserve">H-1822</t>
  </si>
  <si>
    <t xml:space="preserve">No Function of 'Engagement and mode management' while in Urban arterial, pedestrians and cyclists near the lane edge (30–60 km/h), moderate or heavy rain (outside odd, foreseeable).</t>
  </si>
  <si>
    <t xml:space="preserve">H-1823</t>
  </si>
  <si>
    <t xml:space="preserve">No Function of 'Engagement and mode management' while in Urban arterial, pedestrians and cyclists near the lane edge (30–60 km/h), snow or ice (outside odd, foreseeable).</t>
  </si>
  <si>
    <t xml:space="preserve">H-1824</t>
  </si>
  <si>
    <t xml:space="preserve">No Function of 'Engagement and mode management' while in Urban arterial, pedestrians and cyclists near the lane edge (30–60 km/h), fog, visibility below the odd bound (outside odd, foreseeable).</t>
  </si>
  <si>
    <t xml:space="preserve">H-1825</t>
  </si>
  <si>
    <t xml:space="preserve">No Function of 'Engagement and mode management' while in Following a lead vehicle at a short gap, dense traffic (30–110 km/h), dry, daylight.</t>
  </si>
  <si>
    <t xml:space="preserve">H-1826</t>
  </si>
  <si>
    <t xml:space="preserve">No Function of 'Engagement and mode management' while in Following a lead vehicle at a short gap, dense traffic (30–110 km/h), wet road or light rain.</t>
  </si>
  <si>
    <t xml:space="preserve">H-1827</t>
  </si>
  <si>
    <t xml:space="preserve">No Function of 'Engagement and mode management' while in Following a lead vehicle at a short gap, dense traffic (30–110 km/h), night, dry, headlights.</t>
  </si>
  <si>
    <t xml:space="preserve">H-1828</t>
  </si>
  <si>
    <t xml:space="preserve">No Function of 'Engagement and mode management' while in Following a lead vehicle at a short gap, dense traffic (30–110 km/h), moderate or heavy rain (outside odd, foreseeable).</t>
  </si>
  <si>
    <t xml:space="preserve">H-1829</t>
  </si>
  <si>
    <t xml:space="preserve">No Function of 'Engagement and mode management' while in Following a lead vehicle at a short gap, dense traffic (30–110 km/h), snow or ice (outside odd, foreseeable).</t>
  </si>
  <si>
    <t xml:space="preserve">H-1830</t>
  </si>
  <si>
    <t xml:space="preserve">No Function of 'Engagement and mode management' while in Following a lead vehicle at a short gap, dense traffic (30–110 km/h), fog, visibility below the odd bound (outside odd, foreseeable).</t>
  </si>
  <si>
    <t xml:space="preserve">H-1831</t>
  </si>
  <si>
    <t xml:space="preserve">No Function of 'Engagement and mode management' while in Stop-and-go queue or standstill behind a lead; pedestrians may cross (0–30 km/h), dry, daylight.</t>
  </si>
  <si>
    <t xml:space="preserve">H-1832</t>
  </si>
  <si>
    <t xml:space="preserve">No Function of 'Engagement and mode management' while in Stop-and-go queue or standstill behind a lead; pedestrians may cross (0–30 km/h), wet road or light rain.</t>
  </si>
  <si>
    <t xml:space="preserve">H-1833</t>
  </si>
  <si>
    <t xml:space="preserve">No Function of 'Engagement and mode management' while in Stop-and-go queue or standstill behind a lead; pedestrians may cross (0–30 km/h), night, dry, headlights.</t>
  </si>
  <si>
    <t xml:space="preserve">H-1834</t>
  </si>
  <si>
    <t xml:space="preserve">No Function of 'Engagement and mode management' while in Stop-and-go queue or standstill behind a lead; pedestrians may cross (0–30 km/h), moderate or heavy rain (outside odd, foreseeable).</t>
  </si>
  <si>
    <t xml:space="preserve">H-1835</t>
  </si>
  <si>
    <t xml:space="preserve">No Function of 'Engagement and mode management' while in Stop-and-go queue or standstill behind a lead; pedestrians may cross (0–30 km/h), snow or ice (outside odd, foreseeable).</t>
  </si>
  <si>
    <t xml:space="preserve">H-1836</t>
  </si>
  <si>
    <t xml:space="preserve">No Function of 'Engagement and mode management' while in Stop-and-go queue or standstill behind a lead; pedestrians may cross (0–30 km/h), fog, visibility below the odd bound (outside odd, foreseeable).</t>
  </si>
  <si>
    <t xml:space="preserve">H-1837</t>
  </si>
  <si>
    <t xml:space="preserve">No Function of 'Engagement and mode management' while in Approaching slower or stationary traffic from highway speed (70–120 km/h), dry, daylight.</t>
  </si>
  <si>
    <t xml:space="preserve">H-1838</t>
  </si>
  <si>
    <t xml:space="preserve">No Function of 'Engagement and mode management' while in Approaching slower or stationary traffic from highway speed (70–120 km/h), wet road or light rain.</t>
  </si>
  <si>
    <t xml:space="preserve">H-1839</t>
  </si>
  <si>
    <t xml:space="preserve">No Function of 'Engagement and mode management' while in Approaching slower or stationary traffic from highway speed (70–120 km/h), night, dry, headlights.</t>
  </si>
  <si>
    <t xml:space="preserve">H-1840</t>
  </si>
  <si>
    <t xml:space="preserve">No Function of 'Engagement and mode management' while in Approaching slower or stationary traffic from highway speed (70–120 km/h), moderate or heavy rain (outside odd, foreseeable).</t>
  </si>
  <si>
    <t xml:space="preserve">H-1841</t>
  </si>
  <si>
    <t xml:space="preserve">No Function of 'Engagement and mode management' while in Approaching slower or stationary traffic from highway speed (70–120 km/h), snow or ice (outside odd, foreseeable).</t>
  </si>
  <si>
    <t xml:space="preserve">H-1842</t>
  </si>
  <si>
    <t xml:space="preserve">No Function of 'Engagement and mode management' while in Approaching slower or stationary traffic from highway speed (70–120 km/h), fog, visibility below the odd bound (outside odd, foreseeable).</t>
  </si>
  <si>
    <t xml:space="preserve">H-1843</t>
  </si>
  <si>
    <t xml:space="preserve">No Function of 'Engagement and mode management' while in Close following vehicle behind (gap &lt; 1.5 s) (50–120 km/h), dry, daylight.</t>
  </si>
  <si>
    <t xml:space="preserve">H-1844</t>
  </si>
  <si>
    <t xml:space="preserve">No Function of 'Engagement and mode management' while in Close following vehicle behind (gap &lt; 1.5 s) (50–120 km/h), wet road or light rain.</t>
  </si>
  <si>
    <t xml:space="preserve">H-1845</t>
  </si>
  <si>
    <t xml:space="preserve">No Function of 'Engagement and mode management' while in Close following vehicle behind (gap &lt; 1.5 s) (50–120 km/h), night, dry, headlights.</t>
  </si>
  <si>
    <t xml:space="preserve">H-1846</t>
  </si>
  <si>
    <t xml:space="preserve">No Function of 'Engagement and mode management' while in Close following vehicle behind (gap &lt; 1.5 s) (50–120 km/h), moderate or heavy rain (outside odd, foreseeable).</t>
  </si>
  <si>
    <t xml:space="preserve">H-1847</t>
  </si>
  <si>
    <t xml:space="preserve">No Function of 'Engagement and mode management' while in Close following vehicle behind (gap &lt; 1.5 s) (50–120 km/h), snow or ice (outside odd, foreseeable).</t>
  </si>
  <si>
    <t xml:space="preserve">H-1848</t>
  </si>
  <si>
    <t xml:space="preserve">No Function of 'Engagement and mode management' while in Close following vehicle behind (gap &lt; 1.5 s) (50–120 km/h), fog, visibility below the odd bound (outside odd, foreseeable).</t>
  </si>
  <si>
    <t xml:space="preserve">H-1849</t>
  </si>
  <si>
    <t xml:space="preserve">No Function of 'Engagement and mode management' while in Imminent collision where the stock PCS/AEB would intervene (0–120 km/h), dry, daylight.</t>
  </si>
  <si>
    <t xml:space="preserve">S3: the driver acts on an imminent collision and the system does not release.</t>
  </si>
  <si>
    <t xml:space="preserve">C2 ⚠: credits AOU-01/02/03 (driver can overpower EPS torque; brakes override ACC).</t>
  </si>
  <si>
    <t xml:space="preserve">H-1850</t>
  </si>
  <si>
    <t xml:space="preserve">No Function of 'Engagement and mode management' while in Imminent collision where the stock PCS/AEB would intervene (0–120 km/h), wet road or light rain.</t>
  </si>
  <si>
    <t xml:space="preserve">H-1851</t>
  </si>
  <si>
    <t xml:space="preserve">No Function of 'Engagement and mode management' while in Imminent collision where the stock PCS/AEB would intervene (0–120 km/h), night, dry, headlights.</t>
  </si>
  <si>
    <t xml:space="preserve">H-1852</t>
  </si>
  <si>
    <t xml:space="preserve">No Function of 'Engagement and mode management' while in Imminent collision where the stock PCS/AEB would intervene (0–120 km/h), moderate or heavy rain (outside odd, foreseeable).</t>
  </si>
  <si>
    <t xml:space="preserve">H-1853</t>
  </si>
  <si>
    <t xml:space="preserve">No Function of 'Engagement and mode management' while in Imminent collision where the stock PCS/AEB would intervene (0–120 km/h), snow or ice (outside odd, foreseeable).</t>
  </si>
  <si>
    <t xml:space="preserve">H-1854</t>
  </si>
  <si>
    <t xml:space="preserve">No Function of 'Engagement and mode management' while in Imminent collision where the stock PCS/AEB would intervene (0–120 km/h), fog, visibility below the odd bound (outside odd, foreseeable).</t>
  </si>
  <si>
    <t xml:space="preserve">H-1855</t>
  </si>
  <si>
    <t xml:space="preserve">No Function of 'Engagement and mode management' while in Driver override while engaged: braking, cancel or evasive steering (0–120 km/h), dry, daylight.</t>
  </si>
  <si>
    <t xml:space="preserve">S3: emergency braking or evasive steering impaired by continued actuation (HE-05.1, HE-05.2).</t>
  </si>
  <si>
    <t xml:space="preserve">C2 ⚠: credits AOU-01/02/03.</t>
  </si>
  <si>
    <t xml:space="preserve">H-1856</t>
  </si>
  <si>
    <t xml:space="preserve">No Function of 'Engagement and mode management' while in Driver override while engaged: braking, cancel or evasive steering (0–120 km/h), wet road or light rain.</t>
  </si>
  <si>
    <t xml:space="preserve">H-1857</t>
  </si>
  <si>
    <t xml:space="preserve">No Function of 'Engagement and mode management' while in Driver override while engaged: braking, cancel or evasive steering (0–120 km/h), night, dry, headlights.</t>
  </si>
  <si>
    <t xml:space="preserve">H-1858</t>
  </si>
  <si>
    <t xml:space="preserve">No Function of 'Engagement and mode management' while in Driver override while engaged: braking, cancel or evasive steering (0–120 km/h), moderate or heavy rain (outside odd, foreseeable).</t>
  </si>
  <si>
    <t xml:space="preserve">H-1859</t>
  </si>
  <si>
    <t xml:space="preserve">No Function of 'Engagement and mode management' while in Driver override while engaged: braking, cancel or evasive steering (0–120 km/h), snow or ice (outside odd, foreseeable).</t>
  </si>
  <si>
    <t xml:space="preserve">H-1860</t>
  </si>
  <si>
    <t xml:space="preserve">No Function of 'Engagement and mode management' while in Driver override while engaged: braking, cancel or evasive steering (0–120 km/h), fog, visibility below the odd bound (outside odd, foreseeable).</t>
  </si>
  <si>
    <t xml:space="preserve">H-1861</t>
  </si>
  <si>
    <t xml:space="preserve">No Function of 'Engagement and mode management' while in Driver-initiated assisted lane change (70–120 km/h), dry, daylight.</t>
  </si>
  <si>
    <t xml:space="preserve">H-1862</t>
  </si>
  <si>
    <t xml:space="preserve">No Function of 'Engagement and mode management' while in Driver-initiated assisted lane change (70–120 km/h), wet road or light rain.</t>
  </si>
  <si>
    <t xml:space="preserve">H-1863</t>
  </si>
  <si>
    <t xml:space="preserve">No Function of 'Engagement and mode management' while in Driver-initiated assisted lane change (70–120 km/h), night, dry, headlights.</t>
  </si>
  <si>
    <t xml:space="preserve">H-1864</t>
  </si>
  <si>
    <t xml:space="preserve">No Function of 'Engagement and mode management' while in Driver-initiated assisted lane change (70–120 km/h), moderate or heavy rain (outside odd, foreseeable).</t>
  </si>
  <si>
    <t xml:space="preserve">H-1865</t>
  </si>
  <si>
    <t xml:space="preserve">No Function of 'Engagement and mode management' while in Driver-initiated assisted lane change (70–120 km/h), snow or ice (outside odd, foreseeable).</t>
  </si>
  <si>
    <t xml:space="preserve">H-1866</t>
  </si>
  <si>
    <t xml:space="preserve">No Function of 'Engagement and mode management' while in Driver-initiated assisted lane change (70–120 km/h), fog, visibility below the odd bound (outside odd, foreseeable).</t>
  </si>
  <si>
    <t xml:space="preserve">H-1867</t>
  </si>
  <si>
    <t xml:space="preserve">No Function of 'Engagement and mode management' while in Manual driving, item powered but not engaged (0–120 km/h), dry, daylight.</t>
  </si>
  <si>
    <t xml:space="preserve">H-1868</t>
  </si>
  <si>
    <t xml:space="preserve">No Function of 'Engagement and mode management' while in Manual driving, item powered but not engaged (0–120 km/h), wet road or light rain.</t>
  </si>
  <si>
    <t xml:space="preserve">H-1869</t>
  </si>
  <si>
    <t xml:space="preserve">No Function of 'Engagement and mode management' while in Manual driving, item powered but not engaged (0–120 km/h), night, dry, headlights.</t>
  </si>
  <si>
    <t xml:space="preserve">H-1870</t>
  </si>
  <si>
    <t xml:space="preserve">No Function of 'Engagement and mode management' while in Manual driving, item powered but not engaged (0–120 km/h), moderate or heavy rain (outside odd, foreseeable).</t>
  </si>
  <si>
    <t xml:space="preserve">H-1871</t>
  </si>
  <si>
    <t xml:space="preserve">No Function of 'Engagement and mode management' while in Manual driving, item powered but not engaged (0–120 km/h), snow or ice (outside odd, foreseeable).</t>
  </si>
  <si>
    <t xml:space="preserve">H-1872</t>
  </si>
  <si>
    <t xml:space="preserve">No Function of 'Engagement and mode management' while in Manual driving, item powered but not engaged (0–120 km/h), fog, visibility below the odd bound (outside odd, foreseeable).</t>
  </si>
  <si>
    <t xml:space="preserve">H-1873</t>
  </si>
  <si>
    <t xml:space="preserve">No Function of 'Engagement and mode management' while in Engaged outside the ODD (residential street, ramp, tight curve): foreseeable misuse (15–60 km/h), dry, daylight.</t>
  </si>
  <si>
    <t xml:space="preserve">H-1874</t>
  </si>
  <si>
    <t xml:space="preserve">No Function of 'Engagement and mode management' while in Engaged outside the ODD (residential street, ramp, tight curve): foreseeable misuse (15–60 km/h), wet road or light rain.</t>
  </si>
  <si>
    <t xml:space="preserve">H-1875</t>
  </si>
  <si>
    <t xml:space="preserve">No Function of 'Engagement and mode management' while in Engaged outside the ODD (residential street, ramp, tight curve): foreseeable misuse (15–60 km/h), night, dry, headlights.</t>
  </si>
  <si>
    <t xml:space="preserve">H-1876</t>
  </si>
  <si>
    <t xml:space="preserve">No Function of 'Engagement and mode management' while in Engaged outside the ODD (residential street, ramp, tight curve): foreseeable misuse (15–60 km/h), moderate or heavy rain (outside odd, foreseeable).</t>
  </si>
  <si>
    <t xml:space="preserve">H-1877</t>
  </si>
  <si>
    <t xml:space="preserve">No Function of 'Engagement and mode management' while in Engaged outside the ODD (residential street, ramp, tight curve): foreseeable misuse (15–60 km/h), snow or ice (outside odd, foreseeable).</t>
  </si>
  <si>
    <t xml:space="preserve">H-1878</t>
  </si>
  <si>
    <t xml:space="preserve">No Function of 'Engagement and mode management' while in Engaged outside the ODD (residential street, ramp, tight curve): foreseeable misuse (15–60 km/h), fog, visibility below the odd bound (outside odd, foreseeable).</t>
  </si>
  <si>
    <t xml:space="preserve">H-1879</t>
  </si>
  <si>
    <t xml:space="preserve">No Function of 'Engagement and mode management' while in Approaching a signalised or stop-controlled intersection (ODD-A) (30–90 km/h), dry, daylight.</t>
  </si>
  <si>
    <t xml:space="preserve">H-1880</t>
  </si>
  <si>
    <t xml:space="preserve">No Function of 'Engagement and mode management' while in Approaching a signalised or stop-controlled intersection (ODD-A) (30–90 km/h), wet road or light rain.</t>
  </si>
  <si>
    <t xml:space="preserve">H-1881</t>
  </si>
  <si>
    <t xml:space="preserve">No Function of 'Engagement and mode management' while in Approaching a signalised or stop-controlled intersection (ODD-A) (30–90 km/h), night, dry, headlights.</t>
  </si>
  <si>
    <t xml:space="preserve">H-1882</t>
  </si>
  <si>
    <t xml:space="preserve">No Function of 'Engagement and mode management' while in Approaching a signalised or stop-controlled intersection (ODD-A) (30–90 km/h), moderate or heavy rain (outside odd, foreseeable).</t>
  </si>
  <si>
    <t xml:space="preserve">H-1883</t>
  </si>
  <si>
    <t xml:space="preserve">No Function of 'Engagement and mode management' while in Approaching a signalised or stop-controlled intersection (ODD-A) (30–90 km/h), snow or ice (outside odd, foreseeable).</t>
  </si>
  <si>
    <t xml:space="preserve">H-1884</t>
  </si>
  <si>
    <t xml:space="preserve">No Function of 'Engagement and mode management' while in Approaching a signalised or stop-controlled intersection (ODD-A) (30–90 km/h), fog, visibility below the odd bound (outside odd, foreseeable).</t>
  </si>
  <si>
    <t xml:space="preserve">H-1885</t>
  </si>
  <si>
    <t xml:space="preserve">No Function of 'Engagement and mode management' while in Rural or arterial curve near R_ODD with oncoming traffic (60–90 km/h), dry, daylight.</t>
  </si>
  <si>
    <t xml:space="preserve">H-1886</t>
  </si>
  <si>
    <t xml:space="preserve">No Function of 'Engagement and mode management' while in Rural or arterial curve near R_ODD with oncoming traffic (60–90 km/h), wet road or light rain.</t>
  </si>
  <si>
    <t xml:space="preserve">H-1887</t>
  </si>
  <si>
    <t xml:space="preserve">No Function of 'Engagement and mode management' while in Rural or arterial curve near R_ODD with oncoming traffic (60–90 km/h), night, dry, headlights.</t>
  </si>
  <si>
    <t xml:space="preserve">H-1888</t>
  </si>
  <si>
    <t xml:space="preserve">No Function of 'Engagement and mode management' while in Rural or arterial curve near R_ODD with oncoming traffic (60–90 km/h), moderate or heavy rain (outside odd, foreseeable).</t>
  </si>
  <si>
    <t xml:space="preserve">H-1889</t>
  </si>
  <si>
    <t xml:space="preserve">No Function of 'Engagement and mode management' while in Rural or arterial curve near R_ODD with oncoming traffic (60–90 km/h), snow or ice (outside odd, foreseeable).</t>
  </si>
  <si>
    <t xml:space="preserve">H-1890</t>
  </si>
  <si>
    <t xml:space="preserve">No Function of 'Engagement and mode management' while in Rural or arterial curve near R_ODD with oncoming traffic (60–90 km/h), fog, visibility below the odd bound (outside odd, foreseeable).</t>
  </si>
  <si>
    <t xml:space="preserve">H-1891</t>
  </si>
  <si>
    <t xml:space="preserve">Stops Functioning of 'Engagement and mode management' while in Limited-access highway, free flow, adjacent traffic (90–120 km/h), dry, daylight.</t>
  </si>
  <si>
    <t xml:space="preserve">H-1892</t>
  </si>
  <si>
    <t xml:space="preserve">Stops Functioning of 'Engagement and mode management' while in Limited-access highway, free flow, adjacent traffic (90–120 km/h), wet road or light rain.</t>
  </si>
  <si>
    <t xml:space="preserve">H-1893</t>
  </si>
  <si>
    <t xml:space="preserve">Stops Functioning of 'Engagement and mode management' while in Limited-access highway, free flow, adjacent traffic (90–120 km/h), night, dry, headlights.</t>
  </si>
  <si>
    <t xml:space="preserve">H-1894</t>
  </si>
  <si>
    <t xml:space="preserve">Stops Functioning of 'Engagement and mode management' while in Limited-access highway, free flow, adjacent traffic (90–120 km/h), moderate or heavy rain (outside odd, foreseeable).</t>
  </si>
  <si>
    <t xml:space="preserve">H-1895</t>
  </si>
  <si>
    <t xml:space="preserve">Stops Functioning of 'Engagement and mode management' while in Limited-access highway, free flow, adjacent traffic (90–120 km/h), snow or ice (outside odd, foreseeable).</t>
  </si>
  <si>
    <t xml:space="preserve">H-1896</t>
  </si>
  <si>
    <t xml:space="preserve">Stops Functioning of 'Engagement and mode management' while in Limited-access highway, free flow, adjacent traffic (90–120 km/h), fog, visibility below the odd bound (outside odd, foreseeable).</t>
  </si>
  <si>
    <t xml:space="preserve">H-1897</t>
  </si>
  <si>
    <t xml:space="preserve">Stops Functioning of 'Engagement and mode management' while in Highway curve near R_ODD with barrier or adjacent traffic (70–110 km/h), dry, daylight.</t>
  </si>
  <si>
    <t xml:space="preserve">H-1898</t>
  </si>
  <si>
    <t xml:space="preserve">Stops Functioning of 'Engagement and mode management' while in Highway curve near R_ODD with barrier or adjacent traffic (70–110 km/h), wet road or light rain.</t>
  </si>
  <si>
    <t xml:space="preserve">H-1899</t>
  </si>
  <si>
    <t xml:space="preserve">Stops Functioning of 'Engagement and mode management' while in Highway curve near R_ODD with barrier or adjacent traffic (70–110 km/h), night, dry, headlights.</t>
  </si>
  <si>
    <t xml:space="preserve">H-1900</t>
  </si>
  <si>
    <t xml:space="preserve">Stops Functioning of 'Engagement and mode management' while in Highway curve near R_ODD with barrier or adjacent traffic (70–110 km/h), moderate or heavy rain (outside odd, foreseeable).</t>
  </si>
  <si>
    <t xml:space="preserve">H-1901</t>
  </si>
  <si>
    <t xml:space="preserve">Stops Functioning of 'Engagement and mode management' while in Highway curve near R_ODD with barrier or adjacent traffic (70–110 km/h), snow or ice (outside odd, foreseeable).</t>
  </si>
  <si>
    <t xml:space="preserve">H-1902</t>
  </si>
  <si>
    <t xml:space="preserve">Stops Functioning of 'Engagement and mode management' while in Highway curve near R_ODD with barrier or adjacent traffic (70–110 km/h), fog, visibility below the odd bound (outside odd, foreseeable).</t>
  </si>
  <si>
    <t xml:space="preserve">H-1903</t>
  </si>
  <si>
    <t xml:space="preserve">Stops Functioning of 'Engagement and mode management' while in Undivided rural or arterial road, oncoming traffic (60–90 km/h), dry, daylight.</t>
  </si>
  <si>
    <t xml:space="preserve">H-1904</t>
  </si>
  <si>
    <t xml:space="preserve">Stops Functioning of 'Engagement and mode management' while in Undivided rural or arterial road, oncoming traffic (60–90 km/h), wet road or light rain.</t>
  </si>
  <si>
    <t xml:space="preserve">H-1905</t>
  </si>
  <si>
    <t xml:space="preserve">Stops Functioning of 'Engagement and mode management' while in Undivided rural or arterial road, oncoming traffic (60–90 km/h), night, dry, headlights.</t>
  </si>
  <si>
    <t xml:space="preserve">H-1906</t>
  </si>
  <si>
    <t xml:space="preserve">Stops Functioning of 'Engagement and mode management' while in Undivided rural or arterial road, oncoming traffic (60–90 km/h), moderate or heavy rain (outside odd, foreseeable).</t>
  </si>
  <si>
    <t xml:space="preserve">H-1907</t>
  </si>
  <si>
    <t xml:space="preserve">Stops Functioning of 'Engagement and mode management' while in Undivided rural or arterial road, oncoming traffic (60–90 km/h), snow or ice (outside odd, foreseeable).</t>
  </si>
  <si>
    <t xml:space="preserve">H-1908</t>
  </si>
  <si>
    <t xml:space="preserve">Stops Functioning of 'Engagement and mode management' while in Undivided rural or arterial road, oncoming traffic (60–90 km/h), fog, visibility below the odd bound (outside odd, foreseeable).</t>
  </si>
  <si>
    <t xml:space="preserve">H-1909</t>
  </si>
  <si>
    <t xml:space="preserve">Stops Functioning of 'Engagement and mode management' while in Urban arterial, pedestrians and cyclists near the lane edge (30–60 km/h), dry, daylight.</t>
  </si>
  <si>
    <t xml:space="preserve">H-1910</t>
  </si>
  <si>
    <t xml:space="preserve">Stops Functioning of 'Engagement and mode management' while in Urban arterial, pedestrians and cyclists near the lane edge (30–60 km/h), wet road or light rain.</t>
  </si>
  <si>
    <t xml:space="preserve">H-1911</t>
  </si>
  <si>
    <t xml:space="preserve">Stops Functioning of 'Engagement and mode management' while in Urban arterial, pedestrians and cyclists near the lane edge (30–60 km/h), night, dry, headlights.</t>
  </si>
  <si>
    <t xml:space="preserve">H-1912</t>
  </si>
  <si>
    <t xml:space="preserve">Stops Functioning of 'Engagement and mode management' while in Urban arterial, pedestrians and cyclists near the lane edge (30–60 km/h), moderate or heavy rain (outside odd, foreseeable).</t>
  </si>
  <si>
    <t xml:space="preserve">H-1913</t>
  </si>
  <si>
    <t xml:space="preserve">Stops Functioning of 'Engagement and mode management' while in Urban arterial, pedestrians and cyclists near the lane edge (30–60 km/h), snow or ice (outside odd, foreseeable).</t>
  </si>
  <si>
    <t xml:space="preserve">H-1914</t>
  </si>
  <si>
    <t xml:space="preserve">Stops Functioning of 'Engagement and mode management' while in Urban arterial, pedestrians and cyclists near the lane edge (30–60 km/h), fog, visibility below the odd bound (outside odd, foreseeable).</t>
  </si>
  <si>
    <t xml:space="preserve">H-1915</t>
  </si>
  <si>
    <t xml:space="preserve">Stops Functioning of 'Engagement and mode management' while in Following a lead vehicle at a short gap, dense traffic (30–110 km/h), dry, daylight.</t>
  </si>
  <si>
    <t xml:space="preserve">H-1916</t>
  </si>
  <si>
    <t xml:space="preserve">Stops Functioning of 'Engagement and mode management' while in Following a lead vehicle at a short gap, dense traffic (30–110 km/h), wet road or light rain.</t>
  </si>
  <si>
    <t xml:space="preserve">H-1917</t>
  </si>
  <si>
    <t xml:space="preserve">Stops Functioning of 'Engagement and mode management' while in Following a lead vehicle at a short gap, dense traffic (30–110 km/h), night, dry, headlights.</t>
  </si>
  <si>
    <t xml:space="preserve">H-1918</t>
  </si>
  <si>
    <t xml:space="preserve">Stops Functioning of 'Engagement and mode management' while in Following a lead vehicle at a short gap, dense traffic (30–110 km/h), moderate or heavy rain (outside odd, foreseeable).</t>
  </si>
  <si>
    <t xml:space="preserve">H-1919</t>
  </si>
  <si>
    <t xml:space="preserve">Stops Functioning of 'Engagement and mode management' while in Following a lead vehicle at a short gap, dense traffic (30–110 km/h), snow or ice (outside odd, foreseeable).</t>
  </si>
  <si>
    <t xml:space="preserve">H-1920</t>
  </si>
  <si>
    <t xml:space="preserve">Stops Functioning of 'Engagement and mode management' while in Following a lead vehicle at a short gap, dense traffic (30–110 km/h), fog, visibility below the odd bound (outside odd, foreseeable).</t>
  </si>
  <si>
    <t xml:space="preserve">H-1921</t>
  </si>
  <si>
    <t xml:space="preserve">Stops Functioning of 'Engagement and mode management' while in Stop-and-go queue or standstill behind a lead; pedestrians may cross (0–30 km/h), dry, daylight.</t>
  </si>
  <si>
    <t xml:space="preserve">H-1922</t>
  </si>
  <si>
    <t xml:space="preserve">Stops Functioning of 'Engagement and mode management' while in Stop-and-go queue or standstill behind a lead; pedestrians may cross (0–30 km/h), wet road or light rain.</t>
  </si>
  <si>
    <t xml:space="preserve">H-1923</t>
  </si>
  <si>
    <t xml:space="preserve">Stops Functioning of 'Engagement and mode management' while in Stop-and-go queue or standstill behind a lead; pedestrians may cross (0–30 km/h), night, dry, headlights.</t>
  </si>
  <si>
    <t xml:space="preserve">H-1924</t>
  </si>
  <si>
    <t xml:space="preserve">Stops Functioning of 'Engagement and mode management' while in Stop-and-go queue or standstill behind a lead; pedestrians may cross (0–30 km/h), moderate or heavy rain (outside odd, foreseeable).</t>
  </si>
  <si>
    <t xml:space="preserve">H-1925</t>
  </si>
  <si>
    <t xml:space="preserve">Stops Functioning of 'Engagement and mode management' while in Stop-and-go queue or standstill behind a lead; pedestrians may cross (0–30 km/h), snow or ice (outside odd, foreseeable).</t>
  </si>
  <si>
    <t xml:space="preserve">H-1926</t>
  </si>
  <si>
    <t xml:space="preserve">Stops Functioning of 'Engagement and mode management' while in Stop-and-go queue or standstill behind a lead; pedestrians may cross (0–30 km/h), fog, visibility below the odd bound (outside odd, foreseeable).</t>
  </si>
  <si>
    <t xml:space="preserve">H-1927</t>
  </si>
  <si>
    <t xml:space="preserve">Stops Functioning of 'Engagement and mode management' while in Approaching slower or stationary traffic from highway speed (70–120 km/h), dry, daylight.</t>
  </si>
  <si>
    <t xml:space="preserve">H-1928</t>
  </si>
  <si>
    <t xml:space="preserve">Stops Functioning of 'Engagement and mode management' while in Approaching slower or stationary traffic from highway speed (70–120 km/h), wet road or light rain.</t>
  </si>
  <si>
    <t xml:space="preserve">H-1929</t>
  </si>
  <si>
    <t xml:space="preserve">Stops Functioning of 'Engagement and mode management' while in Approaching slower or stationary traffic from highway speed (70–120 km/h), night, dry, headlights.</t>
  </si>
  <si>
    <t xml:space="preserve">H-1930</t>
  </si>
  <si>
    <t xml:space="preserve">Stops Functioning of 'Engagement and mode management' while in Approaching slower or stationary traffic from highway speed (70–120 km/h), moderate or heavy rain (outside odd, foreseeable).</t>
  </si>
  <si>
    <t xml:space="preserve">H-1931</t>
  </si>
  <si>
    <t xml:space="preserve">Stops Functioning of 'Engagement and mode management' while in Approaching slower or stationary traffic from highway speed (70–120 km/h), snow or ice (outside odd, foreseeable).</t>
  </si>
  <si>
    <t xml:space="preserve">H-1932</t>
  </si>
  <si>
    <t xml:space="preserve">Stops Functioning of 'Engagement and mode management' while in Approaching slower or stationary traffic from highway speed (70–120 km/h), fog, visibility below the odd bound (outside odd, foreseeable).</t>
  </si>
  <si>
    <t xml:space="preserve">H-1933</t>
  </si>
  <si>
    <t xml:space="preserve">Stops Functioning of 'Engagement and mode management' while in Close following vehicle behind (gap &lt; 1.5 s) (50–120 km/h), dry, daylight.</t>
  </si>
  <si>
    <t xml:space="preserve">H-1934</t>
  </si>
  <si>
    <t xml:space="preserve">Stops Functioning of 'Engagement and mode management' while in Close following vehicle behind (gap &lt; 1.5 s) (50–120 km/h), wet road or light rain.</t>
  </si>
  <si>
    <t xml:space="preserve">H-1935</t>
  </si>
  <si>
    <t xml:space="preserve">Stops Functioning of 'Engagement and mode management' while in Close following vehicle behind (gap &lt; 1.5 s) (50–120 km/h), night, dry, headlights.</t>
  </si>
  <si>
    <t xml:space="preserve">H-1936</t>
  </si>
  <si>
    <t xml:space="preserve">Stops Functioning of 'Engagement and mode management' while in Close following vehicle behind (gap &lt; 1.5 s) (50–120 km/h), moderate or heavy rain (outside odd, foreseeable).</t>
  </si>
  <si>
    <t xml:space="preserve">H-1937</t>
  </si>
  <si>
    <t xml:space="preserve">Stops Functioning of 'Engagement and mode management' while in Close following vehicle behind (gap &lt; 1.5 s) (50–120 km/h), snow or ice (outside odd, foreseeable).</t>
  </si>
  <si>
    <t xml:space="preserve">H-1938</t>
  </si>
  <si>
    <t xml:space="preserve">Stops Functioning of 'Engagement and mode management' while in Close following vehicle behind (gap &lt; 1.5 s) (50–120 km/h), fog, visibility below the odd bound (outside odd, foreseeable).</t>
  </si>
  <si>
    <t xml:space="preserve">H-1939</t>
  </si>
  <si>
    <t xml:space="preserve">Stops Functioning of 'Engagement and mode management' while in Imminent collision where the stock PCS/AEB would intervene (0–120 km/h), dry, daylight.</t>
  </si>
  <si>
    <t xml:space="preserve">H-1940</t>
  </si>
  <si>
    <t xml:space="preserve">Stops Functioning of 'Engagement and mode management' while in Imminent collision where the stock PCS/AEB would intervene (0–120 km/h), wet road or light rain.</t>
  </si>
  <si>
    <t xml:space="preserve">H-1941</t>
  </si>
  <si>
    <t xml:space="preserve">Stops Functioning of 'Engagement and mode management' while in Imminent collision where the stock PCS/AEB would intervene (0–120 km/h), night, dry, headlights.</t>
  </si>
  <si>
    <t xml:space="preserve">H-1942</t>
  </si>
  <si>
    <t xml:space="preserve">Stops Functioning of 'Engagement and mode management' while in Imminent collision where the stock PCS/AEB would intervene (0–120 km/h), moderate or heavy rain (outside odd, foreseeable).</t>
  </si>
  <si>
    <t xml:space="preserve">H-1943</t>
  </si>
  <si>
    <t xml:space="preserve">Stops Functioning of 'Engagement and mode management' while in Imminent collision where the stock PCS/AEB would intervene (0–120 km/h), snow or ice (outside odd, foreseeable).</t>
  </si>
  <si>
    <t xml:space="preserve">H-1944</t>
  </si>
  <si>
    <t xml:space="preserve">Stops Functioning of 'Engagement and mode management' while in Imminent collision where the stock PCS/AEB would intervene (0–120 km/h), fog, visibility below the odd bound (outside odd, foreseeable).</t>
  </si>
  <si>
    <t xml:space="preserve">H-1945</t>
  </si>
  <si>
    <t xml:space="preserve">Stops Functioning of 'Engagement and mode management' while in Driver override while engaged: braking, cancel or evasive steering (0–120 km/h), dry, daylight.</t>
  </si>
  <si>
    <t xml:space="preserve">H-1946</t>
  </si>
  <si>
    <t xml:space="preserve">Stops Functioning of 'Engagement and mode management' while in Driver override while engaged: braking, cancel or evasive steering (0–120 km/h), wet road or light rain.</t>
  </si>
  <si>
    <t xml:space="preserve">H-1947</t>
  </si>
  <si>
    <t xml:space="preserve">Stops Functioning of 'Engagement and mode management' while in Driver override while engaged: braking, cancel or evasive steering (0–120 km/h), night, dry, headlights.</t>
  </si>
  <si>
    <t xml:space="preserve">H-1948</t>
  </si>
  <si>
    <t xml:space="preserve">Stops Functioning of 'Engagement and mode management' while in Driver override while engaged: braking, cancel or evasive steering (0–120 km/h), moderate or heavy rain (outside odd, foreseeable).</t>
  </si>
  <si>
    <t xml:space="preserve">H-1949</t>
  </si>
  <si>
    <t xml:space="preserve">Stops Functioning of 'Engagement and mode management' while in Driver override while engaged: braking, cancel or evasive steering (0–120 km/h), snow or ice (outside odd, foreseeable).</t>
  </si>
  <si>
    <t xml:space="preserve">H-1950</t>
  </si>
  <si>
    <t xml:space="preserve">Stops Functioning of 'Engagement and mode management' while in Driver override while engaged: braking, cancel or evasive steering (0–120 km/h), fog, visibility below the odd bound (outside odd, foreseeable).</t>
  </si>
  <si>
    <t xml:space="preserve">H-1951</t>
  </si>
  <si>
    <t xml:space="preserve">Stops Functioning of 'Engagement and mode management' while in Driver-initiated assisted lane change (70–120 km/h), dry, daylight.</t>
  </si>
  <si>
    <t xml:space="preserve">H-1952</t>
  </si>
  <si>
    <t xml:space="preserve">Stops Functioning of 'Engagement and mode management' while in Driver-initiated assisted lane change (70–120 km/h), wet road or light rain.</t>
  </si>
  <si>
    <t xml:space="preserve">H-1953</t>
  </si>
  <si>
    <t xml:space="preserve">Stops Functioning of 'Engagement and mode management' while in Driver-initiated assisted lane change (70–120 km/h), night, dry, headlights.</t>
  </si>
  <si>
    <t xml:space="preserve">H-1954</t>
  </si>
  <si>
    <t xml:space="preserve">Stops Functioning of 'Engagement and mode management' while in Driver-initiated assisted lane change (70–120 km/h), moderate or heavy rain (outside odd, foreseeable).</t>
  </si>
  <si>
    <t xml:space="preserve">H-1955</t>
  </si>
  <si>
    <t xml:space="preserve">Stops Functioning of 'Engagement and mode management' while in Driver-initiated assisted lane change (70–120 km/h), snow or ice (outside odd, foreseeable).</t>
  </si>
  <si>
    <t xml:space="preserve">H-1956</t>
  </si>
  <si>
    <t xml:space="preserve">Stops Functioning of 'Engagement and mode management' while in Driver-initiated assisted lane change (70–120 km/h), fog, visibility below the odd bound (outside odd, foreseeable).</t>
  </si>
  <si>
    <t xml:space="preserve">H-1957</t>
  </si>
  <si>
    <t xml:space="preserve">Stops Functioning of 'Engagement and mode management' while in Manual driving, item powered but not engaged (0–120 km/h), dry, daylight.</t>
  </si>
  <si>
    <t xml:space="preserve">H-1958</t>
  </si>
  <si>
    <t xml:space="preserve">Stops Functioning of 'Engagement and mode management' while in Manual driving, item powered but not engaged (0–120 km/h), wet road or light rain.</t>
  </si>
  <si>
    <t xml:space="preserve">H-1959</t>
  </si>
  <si>
    <t xml:space="preserve">Stops Functioning of 'Engagement and mode management' while in Manual driving, item powered but not engaged (0–120 km/h), night, dry, headlights.</t>
  </si>
  <si>
    <t xml:space="preserve">H-1960</t>
  </si>
  <si>
    <t xml:space="preserve">Stops Functioning of 'Engagement and mode management' while in Manual driving, item powered but not engaged (0–120 km/h), moderate or heavy rain (outside odd, foreseeable).</t>
  </si>
  <si>
    <t xml:space="preserve">H-1961</t>
  </si>
  <si>
    <t xml:space="preserve">Stops Functioning of 'Engagement and mode management' while in Manual driving, item powered but not engaged (0–120 km/h), snow or ice (outside odd, foreseeable).</t>
  </si>
  <si>
    <t xml:space="preserve">H-1962</t>
  </si>
  <si>
    <t xml:space="preserve">Stops Functioning of 'Engagement and mode management' while in Manual driving, item powered but not engaged (0–120 km/h), fog, visibility below the odd bound (outside odd, foreseeable).</t>
  </si>
  <si>
    <t xml:space="preserve">H-1963</t>
  </si>
  <si>
    <t xml:space="preserve">Stops Functioning of 'Engagement and mode management' while in Engaged outside the ODD (residential street, ramp, tight curve): foreseeable misuse (15–60 km/h), dry, daylight.</t>
  </si>
  <si>
    <t xml:space="preserve">H-1964</t>
  </si>
  <si>
    <t xml:space="preserve">Stops Functioning of 'Engagement and mode management' while in Engaged outside the ODD (residential street, ramp, tight curve): foreseeable misuse (15–60 km/h), wet road or light rain.</t>
  </si>
  <si>
    <t xml:space="preserve">H-1965</t>
  </si>
  <si>
    <t xml:space="preserve">Stops Functioning of 'Engagement and mode management' while in Engaged outside the ODD (residential street, ramp, tight curve): foreseeable misuse (15–60 km/h), night, dry, headlights.</t>
  </si>
  <si>
    <t xml:space="preserve">H-1966</t>
  </si>
  <si>
    <t xml:space="preserve">Stops Functioning of 'Engagement and mode management' while in Engaged outside the ODD (residential street, ramp, tight curve): foreseeable misuse (15–60 km/h), moderate or heavy rain (outside odd, foreseeable).</t>
  </si>
  <si>
    <t xml:space="preserve">H-1967</t>
  </si>
  <si>
    <t xml:space="preserve">Stops Functioning of 'Engagement and mode management' while in Engaged outside the ODD (residential street, ramp, tight curve): foreseeable misuse (15–60 km/h), snow or ice (outside odd, foreseeable).</t>
  </si>
  <si>
    <t xml:space="preserve">H-1968</t>
  </si>
  <si>
    <t xml:space="preserve">Stops Functioning of 'Engagement and mode management' while in Engaged outside the ODD (residential street, ramp, tight curve): foreseeable misuse (15–60 km/h), fog, visibility below the odd bound (outside odd, foreseeable).</t>
  </si>
  <si>
    <t xml:space="preserve">H-1969</t>
  </si>
  <si>
    <t xml:space="preserve">Stops Functioning of 'Engagement and mode management' while in Approaching a signalised or stop-controlled intersection (ODD-A) (30–90 km/h), dry, daylight.</t>
  </si>
  <si>
    <t xml:space="preserve">H-1970</t>
  </si>
  <si>
    <t xml:space="preserve">Stops Functioning of 'Engagement and mode management' while in Approaching a signalised or stop-controlled intersection (ODD-A) (30–90 km/h), wet road or light rain.</t>
  </si>
  <si>
    <t xml:space="preserve">H-1971</t>
  </si>
  <si>
    <t xml:space="preserve">Stops Functioning of 'Engagement and mode management' while in Approaching a signalised or stop-controlled intersection (ODD-A) (30–90 km/h), night, dry, headlights.</t>
  </si>
  <si>
    <t xml:space="preserve">H-1972</t>
  </si>
  <si>
    <t xml:space="preserve">Stops Functioning of 'Engagement and mode management' while in Approaching a signalised or stop-controlled intersection (ODD-A) (30–90 km/h), moderate or heavy rain (outside odd, foreseeable).</t>
  </si>
  <si>
    <t xml:space="preserve">H-1973</t>
  </si>
  <si>
    <t xml:space="preserve">Stops Functioning of 'Engagement and mode management' while in Approaching a signalised or stop-controlled intersection (ODD-A) (30–90 km/h), snow or ice (outside odd, foreseeable).</t>
  </si>
  <si>
    <t xml:space="preserve">H-1974</t>
  </si>
  <si>
    <t xml:space="preserve">Stops Functioning of 'Engagement and mode management' while in Approaching a signalised or stop-controlled intersection (ODD-A) (30–90 km/h), fog, visibility below the odd bound (outside odd, foreseeable).</t>
  </si>
  <si>
    <t xml:space="preserve">H-1975</t>
  </si>
  <si>
    <t xml:space="preserve">Stops Functioning of 'Engagement and mode management' while in Rural or arterial curve near R_ODD with oncoming traffic (60–90 km/h), dry, daylight.</t>
  </si>
  <si>
    <t xml:space="preserve">H-1976</t>
  </si>
  <si>
    <t xml:space="preserve">Stops Functioning of 'Engagement and mode management' while in Rural or arterial curve near R_ODD with oncoming traffic (60–90 km/h), wet road or light rain.</t>
  </si>
  <si>
    <t xml:space="preserve">H-1977</t>
  </si>
  <si>
    <t xml:space="preserve">Stops Functioning of 'Engagement and mode management' while in Rural or arterial curve near R_ODD with oncoming traffic (60–90 km/h), night, dry, headlights.</t>
  </si>
  <si>
    <t xml:space="preserve">H-1978</t>
  </si>
  <si>
    <t xml:space="preserve">Stops Functioning of 'Engagement and mode management' while in Rural or arterial curve near R_ODD with oncoming traffic (60–90 km/h), moderate or heavy rain (outside odd, foreseeable).</t>
  </si>
  <si>
    <t xml:space="preserve">H-1979</t>
  </si>
  <si>
    <t xml:space="preserve">Stops Functioning of 'Engagement and mode management' while in Rural or arterial curve near R_ODD with oncoming traffic (60–90 km/h), snow or ice (outside odd, foreseeable).</t>
  </si>
  <si>
    <t xml:space="preserve">H-1980</t>
  </si>
  <si>
    <t xml:space="preserve">Stops Functioning of 'Engagement and mode management' while in Rural or arterial curve near R_ODD with oncoming traffic (60–90 km/h), fog, visibility below the odd bound (outside odd, foreseeable).</t>
  </si>
  <si>
    <t xml:space="preserve">H-1981</t>
  </si>
  <si>
    <t xml:space="preserve">Unrequested Function of 'Engagement and mode management' while in Limited-access highway, free flow, adjacent traffic (90–120 km/h), dry, daylight.</t>
  </si>
  <si>
    <t xml:space="preserve">H-1982</t>
  </si>
  <si>
    <t xml:space="preserve">Unrequested Function of 'Engagement and mode management' while in Limited-access highway, free flow, adjacent traffic (90–120 km/h), wet road or light rain.</t>
  </si>
  <si>
    <t xml:space="preserve">H-1983</t>
  </si>
  <si>
    <t xml:space="preserve">Unrequested Function of 'Engagement and mode management' while in Limited-access highway, free flow, adjacent traffic (90–120 km/h), night, dry, headlights.</t>
  </si>
  <si>
    <t xml:space="preserve">H-1984</t>
  </si>
  <si>
    <t xml:space="preserve">Unrequested Function of 'Engagement and mode management' while in Limited-access highway, free flow, adjacent traffic (90–120 km/h), moderate or heavy rain (outside odd, foreseeable).</t>
  </si>
  <si>
    <t xml:space="preserve">H-1985</t>
  </si>
  <si>
    <t xml:space="preserve">Unrequested Function of 'Engagement and mode management' while in Limited-access highway, free flow, adjacent traffic (90–120 km/h), snow or ice (outside odd, foreseeable).</t>
  </si>
  <si>
    <t xml:space="preserve">H-1986</t>
  </si>
  <si>
    <t xml:space="preserve">Unrequested Function of 'Engagement and mode management' while in Limited-access highway, free flow, adjacent traffic (90–120 km/h), fog, visibility below the odd bound (outside odd, foreseeable).</t>
  </si>
  <si>
    <t xml:space="preserve">H-1987</t>
  </si>
  <si>
    <t xml:space="preserve">Unrequested Function of 'Engagement and mode management' while in Highway curve near R_ODD with barrier or adjacent traffic (70–110 km/h), dry, daylight.</t>
  </si>
  <si>
    <t xml:space="preserve">H-1988</t>
  </si>
  <si>
    <t xml:space="preserve">Unrequested Function of 'Engagement and mode management' while in Highway curve near R_ODD with barrier or adjacent traffic (70–110 km/h), wet road or light rain.</t>
  </si>
  <si>
    <t xml:space="preserve">H-1989</t>
  </si>
  <si>
    <t xml:space="preserve">Unrequested Function of 'Engagement and mode management' while in Highway curve near R_ODD with barrier or adjacent traffic (70–110 km/h), night, dry, headlights.</t>
  </si>
  <si>
    <t xml:space="preserve">H-1990</t>
  </si>
  <si>
    <t xml:space="preserve">Unrequested Function of 'Engagement and mode management' while in Highway curve near R_ODD with barrier or adjacent traffic (70–110 km/h), moderate or heavy rain (outside odd, foreseeable).</t>
  </si>
  <si>
    <t xml:space="preserve">H-1991</t>
  </si>
  <si>
    <t xml:space="preserve">Unrequested Function of 'Engagement and mode management' while in Highway curve near R_ODD with barrier or adjacent traffic (70–110 km/h), snow or ice (outside odd, foreseeable).</t>
  </si>
  <si>
    <t xml:space="preserve">H-1992</t>
  </si>
  <si>
    <t xml:space="preserve">Unrequested Function of 'Engagement and mode management' while in Highway curve near R_ODD with barrier or adjacent traffic (70–110 km/h), fog, visibility below the odd bound (outside odd, foreseeable).</t>
  </si>
  <si>
    <t xml:space="preserve">H-1993</t>
  </si>
  <si>
    <t xml:space="preserve">Unrequested Function of 'Engagement and mode management' while in Undivided rural or arterial road, oncoming traffic (60–90 km/h), dry, daylight.</t>
  </si>
  <si>
    <t xml:space="preserve">H-1994</t>
  </si>
  <si>
    <t xml:space="preserve">Unrequested Function of 'Engagement and mode management' while in Undivided rural or arterial road, oncoming traffic (60–90 km/h), wet road or light rain.</t>
  </si>
  <si>
    <t xml:space="preserve">H-1995</t>
  </si>
  <si>
    <t xml:space="preserve">Unrequested Function of 'Engagement and mode management' while in Undivided rural or arterial road, oncoming traffic (60–90 km/h), night, dry, headlights.</t>
  </si>
  <si>
    <t xml:space="preserve">H-1996</t>
  </si>
  <si>
    <t xml:space="preserve">Unrequested Function of 'Engagement and mode management' while in Undivided rural or arterial road, oncoming traffic (60–90 km/h), moderate or heavy rain (outside odd, foreseeable).</t>
  </si>
  <si>
    <t xml:space="preserve">H-1997</t>
  </si>
  <si>
    <t xml:space="preserve">Unrequested Function of 'Engagement and mode management' while in Undivided rural or arterial road, oncoming traffic (60–90 km/h), snow or ice (outside odd, foreseeable).</t>
  </si>
  <si>
    <t xml:space="preserve">H-1998</t>
  </si>
  <si>
    <t xml:space="preserve">Unrequested Function of 'Engagement and mode management' while in Undivided rural or arterial road, oncoming traffic (60–90 km/h), fog, visibility below the odd bound (outside odd, foreseeable).</t>
  </si>
  <si>
    <t xml:space="preserve">H-1999</t>
  </si>
  <si>
    <t xml:space="preserve">Unrequested Function of 'Engagement and mode management' while in Urban arterial, pedestrians and cyclists near the lane edge (30–60 km/h), dry, daylight.</t>
  </si>
  <si>
    <t xml:space="preserve">H-2000</t>
  </si>
  <si>
    <t xml:space="preserve">Unrequested Function of 'Engagement and mode management' while in Urban arterial, pedestrians and cyclists near the lane edge (30–60 km/h), wet road or light rain.</t>
  </si>
  <si>
    <t xml:space="preserve">H-2001</t>
  </si>
  <si>
    <t xml:space="preserve">Unrequested Function of 'Engagement and mode management' while in Urban arterial, pedestrians and cyclists near the lane edge (30–60 km/h), night, dry, headlights.</t>
  </si>
  <si>
    <t xml:space="preserve">H-2002</t>
  </si>
  <si>
    <t xml:space="preserve">Unrequested Function of 'Engagement and mode management' while in Urban arterial, pedestrians and cyclists near the lane edge (30–60 km/h), moderate or heavy rain (outside odd, foreseeable).</t>
  </si>
  <si>
    <t xml:space="preserve">H-2003</t>
  </si>
  <si>
    <t xml:space="preserve">Unrequested Function of 'Engagement and mode management' while in Urban arterial, pedestrians and cyclists near the lane edge (30–60 km/h), snow or ice (outside odd, foreseeable).</t>
  </si>
  <si>
    <t xml:space="preserve">H-2004</t>
  </si>
  <si>
    <t xml:space="preserve">Unrequested Function of 'Engagement and mode management' while in Urban arterial, pedestrians and cyclists near the lane edge (30–60 km/h), fog, visibility below the odd bound (outside odd, foreseeable).</t>
  </si>
  <si>
    <t xml:space="preserve">H-2005</t>
  </si>
  <si>
    <t xml:space="preserve">Unrequested Function of 'Engagement and mode management' while in Following a lead vehicle at a short gap, dense traffic (30–110 km/h), dry, daylight.</t>
  </si>
  <si>
    <t xml:space="preserve">H-2006</t>
  </si>
  <si>
    <t xml:space="preserve">Unrequested Function of 'Engagement and mode management' while in Following a lead vehicle at a short gap, dense traffic (30–110 km/h), wet road or light rain.</t>
  </si>
  <si>
    <t xml:space="preserve">H-2007</t>
  </si>
  <si>
    <t xml:space="preserve">Unrequested Function of 'Engagement and mode management' while in Following a lead vehicle at a short gap, dense traffic (30–110 km/h), night, dry, headlights.</t>
  </si>
  <si>
    <t xml:space="preserve">H-2008</t>
  </si>
  <si>
    <t xml:space="preserve">Unrequested Function of 'Engagement and mode management' while in Following a lead vehicle at a short gap, dense traffic (30–110 km/h), moderate or heavy rain (outside odd, foreseeable).</t>
  </si>
  <si>
    <t xml:space="preserve">H-2009</t>
  </si>
  <si>
    <t xml:space="preserve">Unrequested Function of 'Engagement and mode management' while in Following a lead vehicle at a short gap, dense traffic (30–110 km/h), snow or ice (outside odd, foreseeable).</t>
  </si>
  <si>
    <t xml:space="preserve">H-2010</t>
  </si>
  <si>
    <t xml:space="preserve">Unrequested Function of 'Engagement and mode management' while in Following a lead vehicle at a short gap, dense traffic (30–110 km/h), fog, visibility below the odd bound (outside odd, foreseeable).</t>
  </si>
  <si>
    <t xml:space="preserve">H-2011</t>
  </si>
  <si>
    <t xml:space="preserve">Unrequested Function of 'Engagement and mode management' while in Stop-and-go queue or standstill behind a lead; pedestrians may cross (0–30 km/h), dry, daylight.</t>
  </si>
  <si>
    <t xml:space="preserve">H-2012</t>
  </si>
  <si>
    <t xml:space="preserve">Unrequested Function of 'Engagement and mode management' while in Stop-and-go queue or standstill behind a lead; pedestrians may cross (0–30 km/h), wet road or light rain.</t>
  </si>
  <si>
    <t xml:space="preserve">H-2013</t>
  </si>
  <si>
    <t xml:space="preserve">Unrequested Function of 'Engagement and mode management' while in Stop-and-go queue or standstill behind a lead; pedestrians may cross (0–30 km/h), night, dry, headlights.</t>
  </si>
  <si>
    <t xml:space="preserve">H-2014</t>
  </si>
  <si>
    <t xml:space="preserve">Unrequested Function of 'Engagement and mode management' while in Stop-and-go queue or standstill behind a lead; pedestrians may cross (0–30 km/h), moderate or heavy rain (outside odd, foreseeable).</t>
  </si>
  <si>
    <t xml:space="preserve">H-2015</t>
  </si>
  <si>
    <t xml:space="preserve">Unrequested Function of 'Engagement and mode management' while in Stop-and-go queue or standstill behind a lead; pedestrians may cross (0–30 km/h), snow or ice (outside odd, foreseeable).</t>
  </si>
  <si>
    <t xml:space="preserve">H-2016</t>
  </si>
  <si>
    <t xml:space="preserve">Unrequested Function of 'Engagement and mode management' while in Stop-and-go queue or standstill behind a lead; pedestrians may cross (0–30 km/h), fog, visibility below the odd bound (outside odd, foreseeable).</t>
  </si>
  <si>
    <t xml:space="preserve">H-2017</t>
  </si>
  <si>
    <t xml:space="preserve">Unrequested Function of 'Engagement and mode management' while in Approaching slower or stationary traffic from highway speed (70–120 km/h), dry, daylight.</t>
  </si>
  <si>
    <t xml:space="preserve">H-2018</t>
  </si>
  <si>
    <t xml:space="preserve">Unrequested Function of 'Engagement and mode management' while in Approaching slower or stationary traffic from highway speed (70–120 km/h), wet road or light rain.</t>
  </si>
  <si>
    <t xml:space="preserve">H-2019</t>
  </si>
  <si>
    <t xml:space="preserve">Unrequested Function of 'Engagement and mode management' while in Approaching slower or stationary traffic from highway speed (70–120 km/h), night, dry, headlights.</t>
  </si>
  <si>
    <t xml:space="preserve">H-2020</t>
  </si>
  <si>
    <t xml:space="preserve">Unrequested Function of 'Engagement and mode management' while in Approaching slower or stationary traffic from highway speed (70–120 km/h), moderate or heavy rain (outside odd, foreseeable).</t>
  </si>
  <si>
    <t xml:space="preserve">H-2021</t>
  </si>
  <si>
    <t xml:space="preserve">Unrequested Function of 'Engagement and mode management' while in Approaching slower or stationary traffic from highway speed (70–120 km/h), snow or ice (outside odd, foreseeable).</t>
  </si>
  <si>
    <t xml:space="preserve">H-2022</t>
  </si>
  <si>
    <t xml:space="preserve">Unrequested Function of 'Engagement and mode management' while in Approaching slower or stationary traffic from highway speed (70–120 km/h), fog, visibility below the odd bound (outside odd, foreseeable).</t>
  </si>
  <si>
    <t xml:space="preserve">H-2023</t>
  </si>
  <si>
    <t xml:space="preserve">Unrequested Function of 'Engagement and mode management' while in Close following vehicle behind (gap &lt; 1.5 s) (50–120 km/h), dry, daylight.</t>
  </si>
  <si>
    <t xml:space="preserve">H-2024</t>
  </si>
  <si>
    <t xml:space="preserve">Unrequested Function of 'Engagement and mode management' while in Close following vehicle behind (gap &lt; 1.5 s) (50–120 km/h), wet road or light rain.</t>
  </si>
  <si>
    <t xml:space="preserve">H-2025</t>
  </si>
  <si>
    <t xml:space="preserve">Unrequested Function of 'Engagement and mode management' while in Close following vehicle behind (gap &lt; 1.5 s) (50–120 km/h), night, dry, headlights.</t>
  </si>
  <si>
    <t xml:space="preserve">H-2026</t>
  </si>
  <si>
    <t xml:space="preserve">Unrequested Function of 'Engagement and mode management' while in Close following vehicle behind (gap &lt; 1.5 s) (50–120 km/h), moderate or heavy rain (outside odd, foreseeable).</t>
  </si>
  <si>
    <t xml:space="preserve">H-2027</t>
  </si>
  <si>
    <t xml:space="preserve">Unrequested Function of 'Engagement and mode management' while in Close following vehicle behind (gap &lt; 1.5 s) (50–120 km/h), snow or ice (outside odd, foreseeable).</t>
  </si>
  <si>
    <t xml:space="preserve">H-2028</t>
  </si>
  <si>
    <t xml:space="preserve">Unrequested Function of 'Engagement and mode management' while in Close following vehicle behind (gap &lt; 1.5 s) (50–120 km/h), fog, visibility below the odd bound (outside odd, foreseeable).</t>
  </si>
  <si>
    <t xml:space="preserve">H-2029</t>
  </si>
  <si>
    <t xml:space="preserve">Unrequested Function of 'Engagement and mode management' while in Imminent collision where the stock PCS/AEB would intervene (0–120 km/h), dry, daylight.</t>
  </si>
  <si>
    <t xml:space="preserve">H-2030</t>
  </si>
  <si>
    <t xml:space="preserve">Unrequested Function of 'Engagement and mode management' while in Imminent collision where the stock PCS/AEB would intervene (0–120 km/h), wet road or light rain.</t>
  </si>
  <si>
    <t xml:space="preserve">H-2031</t>
  </si>
  <si>
    <t xml:space="preserve">Unrequested Function of 'Engagement and mode management' while in Imminent collision where the stock PCS/AEB would intervene (0–120 km/h), night, dry, headlights.</t>
  </si>
  <si>
    <t xml:space="preserve">H-2032</t>
  </si>
  <si>
    <t xml:space="preserve">Unrequested Function of 'Engagement and mode management' while in Imminent collision where the stock PCS/AEB would intervene (0–120 km/h), moderate or heavy rain (outside odd, foreseeable).</t>
  </si>
  <si>
    <t xml:space="preserve">H-2033</t>
  </si>
  <si>
    <t xml:space="preserve">Unrequested Function of 'Engagement and mode management' while in Imminent collision where the stock PCS/AEB would intervene (0–120 km/h), snow or ice (outside odd, foreseeable).</t>
  </si>
  <si>
    <t xml:space="preserve">H-2034</t>
  </si>
  <si>
    <t xml:space="preserve">Unrequested Function of 'Engagement and mode management' while in Imminent collision where the stock PCS/AEB would intervene (0–120 km/h), fog, visibility below the odd bound (outside odd, foreseeable).</t>
  </si>
  <si>
    <t xml:space="preserve">H-2035</t>
  </si>
  <si>
    <t xml:space="preserve">Unrequested Function of 'Engagement and mode management' while in Driver override while engaged: braking, cancel or evasive steering (0–120 km/h), dry, daylight.</t>
  </si>
  <si>
    <t xml:space="preserve">H-2036</t>
  </si>
  <si>
    <t xml:space="preserve">Unrequested Function of 'Engagement and mode management' while in Driver override while engaged: braking, cancel or evasive steering (0–120 km/h), wet road or light rain.</t>
  </si>
  <si>
    <t xml:space="preserve">H-2037</t>
  </si>
  <si>
    <t xml:space="preserve">Unrequested Function of 'Engagement and mode management' while in Driver override while engaged: braking, cancel or evasive steering (0–120 km/h), night, dry, headlights.</t>
  </si>
  <si>
    <t xml:space="preserve">H-2038</t>
  </si>
  <si>
    <t xml:space="preserve">Unrequested Function of 'Engagement and mode management' while in Driver override while engaged: braking, cancel or evasive steering (0–120 km/h), moderate or heavy rain (outside odd, foreseeable).</t>
  </si>
  <si>
    <t xml:space="preserve">H-2039</t>
  </si>
  <si>
    <t xml:space="preserve">Unrequested Function of 'Engagement and mode management' while in Driver override while engaged: braking, cancel or evasive steering (0–120 km/h), snow or ice (outside odd, foreseeable).</t>
  </si>
  <si>
    <t xml:space="preserve">H-2040</t>
  </si>
  <si>
    <t xml:space="preserve">Unrequested Function of 'Engagement and mode management' while in Driver override while engaged: braking, cancel or evasive steering (0–120 km/h), fog, visibility below the odd bound (outside odd, foreseeable).</t>
  </si>
  <si>
    <t xml:space="preserve">H-2041</t>
  </si>
  <si>
    <t xml:space="preserve">Unrequested Function of 'Engagement and mode management' while in Driver-initiated assisted lane change (70–120 km/h), dry, daylight.</t>
  </si>
  <si>
    <t xml:space="preserve">H-2042</t>
  </si>
  <si>
    <t xml:space="preserve">Unrequested Function of 'Engagement and mode management' while in Driver-initiated assisted lane change (70–120 km/h), wet road or light rain.</t>
  </si>
  <si>
    <t xml:space="preserve">H-2043</t>
  </si>
  <si>
    <t xml:space="preserve">Unrequested Function of 'Engagement and mode management' while in Driver-initiated assisted lane change (70–120 km/h), night, dry, headlights.</t>
  </si>
  <si>
    <t xml:space="preserve">H-2044</t>
  </si>
  <si>
    <t xml:space="preserve">Unrequested Function of 'Engagement and mode management' while in Driver-initiated assisted lane change (70–120 km/h), moderate or heavy rain (outside odd, foreseeable).</t>
  </si>
  <si>
    <t xml:space="preserve">H-2045</t>
  </si>
  <si>
    <t xml:space="preserve">Unrequested Function of 'Engagement and mode management' while in Driver-initiated assisted lane change (70–120 km/h), snow or ice (outside odd, foreseeable).</t>
  </si>
  <si>
    <t xml:space="preserve">H-2046</t>
  </si>
  <si>
    <t xml:space="preserve">Unrequested Function of 'Engagement and mode management' while in Driver-initiated assisted lane change (70–120 km/h), fog, visibility below the odd bound (outside odd, foreseeable).</t>
  </si>
  <si>
    <t xml:space="preserve">H-2047</t>
  </si>
  <si>
    <t xml:space="preserve">Unrequested Function of 'Engagement and mode management' while in Manual driving, item powered but not engaged (0–120 km/h), dry, daylight.</t>
  </si>
  <si>
    <t xml:space="preserve">H-2048</t>
  </si>
  <si>
    <t xml:space="preserve">Unrequested Function of 'Engagement and mode management' while in Manual driving, item powered but not engaged (0–120 km/h), wet road or light rain.</t>
  </si>
  <si>
    <t xml:space="preserve">H-2049</t>
  </si>
  <si>
    <t xml:space="preserve">Unrequested Function of 'Engagement and mode management' while in Manual driving, item powered but not engaged (0–120 km/h), night, dry, headlights.</t>
  </si>
  <si>
    <t xml:space="preserve">H-2050</t>
  </si>
  <si>
    <t xml:space="preserve">Unrequested Function of 'Engagement and mode management' while in Manual driving, item powered but not engaged (0–120 km/h), moderate or heavy rain (outside odd, foreseeable).</t>
  </si>
  <si>
    <t xml:space="preserve">H-2051</t>
  </si>
  <si>
    <t xml:space="preserve">Unrequested Function of 'Engagement and mode management' while in Manual driving, item powered but not engaged (0–120 km/h), snow or ice (outside odd, foreseeable).</t>
  </si>
  <si>
    <t xml:space="preserve">H-2052</t>
  </si>
  <si>
    <t xml:space="preserve">Unrequested Function of 'Engagement and mode management' while in Manual driving, item powered but not engaged (0–120 km/h), fog, visibility below the odd bound (outside odd, foreseeable).</t>
  </si>
  <si>
    <t xml:space="preserve">H-2053</t>
  </si>
  <si>
    <t xml:space="preserve">Unrequested Function of 'Engagement and mode management' while in Engaged outside the ODD (residential street, ramp, tight curve): foreseeable misuse (15–60 km/h), dry, daylight.</t>
  </si>
  <si>
    <t xml:space="preserve">H-2054</t>
  </si>
  <si>
    <t xml:space="preserve">Unrequested Function of 'Engagement and mode management' while in Engaged outside the ODD (residential street, ramp, tight curve): foreseeable misuse (15–60 km/h), wet road or light rain.</t>
  </si>
  <si>
    <t xml:space="preserve">H-2055</t>
  </si>
  <si>
    <t xml:space="preserve">Unrequested Function of 'Engagement and mode management' while in Engaged outside the ODD (residential street, ramp, tight curve): foreseeable misuse (15–60 km/h), night, dry, headlights.</t>
  </si>
  <si>
    <t xml:space="preserve">H-2056</t>
  </si>
  <si>
    <t xml:space="preserve">Unrequested Function of 'Engagement and mode management' while in Engaged outside the ODD (residential street, ramp, tight curve): foreseeable misuse (15–60 km/h), moderate or heavy rain (outside odd, foreseeable).</t>
  </si>
  <si>
    <t xml:space="preserve">H-2057</t>
  </si>
  <si>
    <t xml:space="preserve">Unrequested Function of 'Engagement and mode management' while in Engaged outside the ODD (residential street, ramp, tight curve): foreseeable misuse (15–60 km/h), snow or ice (outside odd, foreseeable).</t>
  </si>
  <si>
    <t xml:space="preserve">H-2058</t>
  </si>
  <si>
    <t xml:space="preserve">Unrequested Function of 'Engagement and mode management' while in Engaged outside the ODD (residential street, ramp, tight curve): foreseeable misuse (15–60 km/h), fog, visibility below the odd bound (outside odd, foreseeable).</t>
  </si>
  <si>
    <t xml:space="preserve">H-2059</t>
  </si>
  <si>
    <t xml:space="preserve">Unrequested Function of 'Engagement and mode management' while in Approaching a signalised or stop-controlled intersection (ODD-A) (30–90 km/h), dry, daylight.</t>
  </si>
  <si>
    <t xml:space="preserve">H-2060</t>
  </si>
  <si>
    <t xml:space="preserve">Unrequested Function of 'Engagement and mode management' while in Approaching a signalised or stop-controlled intersection (ODD-A) (30–90 km/h), wet road or light rain.</t>
  </si>
  <si>
    <t xml:space="preserve">H-2061</t>
  </si>
  <si>
    <t xml:space="preserve">Unrequested Function of 'Engagement and mode management' while in Approaching a signalised or stop-controlled intersection (ODD-A) (30–90 km/h), night, dry, headlights.</t>
  </si>
  <si>
    <t xml:space="preserve">H-2062</t>
  </si>
  <si>
    <t xml:space="preserve">Unrequested Function of 'Engagement and mode management' while in Approaching a signalised or stop-controlled intersection (ODD-A) (30–90 km/h), moderate or heavy rain (outside odd, foreseeable).</t>
  </si>
  <si>
    <t xml:space="preserve">H-2063</t>
  </si>
  <si>
    <t xml:space="preserve">Unrequested Function of 'Engagement and mode management' while in Approaching a signalised or stop-controlled intersection (ODD-A) (30–90 km/h), snow or ice (outside odd, foreseeable).</t>
  </si>
  <si>
    <t xml:space="preserve">H-2064</t>
  </si>
  <si>
    <t xml:space="preserve">Unrequested Function of 'Engagement and mode management' while in Approaching a signalised or stop-controlled intersection (ODD-A) (30–90 km/h), fog, visibility below the odd bound (outside odd, foreseeable).</t>
  </si>
  <si>
    <t xml:space="preserve">H-2065</t>
  </si>
  <si>
    <t xml:space="preserve">Unrequested Function of 'Engagement and mode management' while in Rural or arterial curve near R_ODD with oncoming traffic (60–90 km/h), dry, daylight.</t>
  </si>
  <si>
    <t xml:space="preserve">H-2066</t>
  </si>
  <si>
    <t xml:space="preserve">Unrequested Function of 'Engagement and mode management' while in Rural or arterial curve near R_ODD with oncoming traffic (60–90 km/h), wet road or light rain.</t>
  </si>
  <si>
    <t xml:space="preserve">H-2067</t>
  </si>
  <si>
    <t xml:space="preserve">Unrequested Function of 'Engagement and mode management' while in Rural or arterial curve near R_ODD with oncoming traffic (60–90 km/h), night, dry, headlights.</t>
  </si>
  <si>
    <t xml:space="preserve">H-2068</t>
  </si>
  <si>
    <t xml:space="preserve">Unrequested Function of 'Engagement and mode management' while in Rural or arterial curve near R_ODD with oncoming traffic (60–90 km/h), moderate or heavy rain (outside odd, foreseeable).</t>
  </si>
  <si>
    <t xml:space="preserve">H-2069</t>
  </si>
  <si>
    <t xml:space="preserve">Unrequested Function of 'Engagement and mode management' while in Rural or arterial curve near R_ODD with oncoming traffic (60–90 km/h), snow or ice (outside odd, foreseeable).</t>
  </si>
  <si>
    <t xml:space="preserve">H-2070</t>
  </si>
  <si>
    <t xml:space="preserve">Unrequested Function of 'Engagement and mode management' while in Rural or arterial curve near R_ODD with oncoming traffic (60–90 km/h), fog, visibility below the odd bound (outside odd, foreseeable).</t>
  </si>
  <si>
    <t xml:space="preserve">H-2071</t>
  </si>
  <si>
    <t xml:space="preserve">Partial Function of 'Engagement and mode management' while in Limited-access highway, free flow, adjacent traffic (90–120 km/h), dry, daylight.</t>
  </si>
  <si>
    <t xml:space="preserve">H-2072</t>
  </si>
  <si>
    <t xml:space="preserve">Partial Function of 'Engagement and mode management' while in Limited-access highway, free flow, adjacent traffic (90–120 km/h), wet road or light rain.</t>
  </si>
  <si>
    <t xml:space="preserve">H-2073</t>
  </si>
  <si>
    <t xml:space="preserve">Partial Function of 'Engagement and mode management' while in Limited-access highway, free flow, adjacent traffic (90–120 km/h), night, dry, headlights.</t>
  </si>
  <si>
    <t xml:space="preserve">H-2074</t>
  </si>
  <si>
    <t xml:space="preserve">Partial Function of 'Engagement and mode management' while in Limited-access highway, free flow, adjacent traffic (90–120 km/h), moderate or heavy rain (outside odd, foreseeable).</t>
  </si>
  <si>
    <t xml:space="preserve">H-2075</t>
  </si>
  <si>
    <t xml:space="preserve">Partial Function of 'Engagement and mode management' while in Limited-access highway, free flow, adjacent traffic (90–120 km/h), snow or ice (outside odd, foreseeable).</t>
  </si>
  <si>
    <t xml:space="preserve">H-2076</t>
  </si>
  <si>
    <t xml:space="preserve">Partial Function of 'Engagement and mode management' while in Limited-access highway, free flow, adjacent traffic (90–120 km/h), fog, visibility below the odd bound (outside odd, foreseeable).</t>
  </si>
  <si>
    <t xml:space="preserve">H-2077</t>
  </si>
  <si>
    <t xml:space="preserve">Partial Function of 'Engagement and mode management' while in Highway curve near R_ODD with barrier or adjacent traffic (70–110 km/h), dry, daylight.</t>
  </si>
  <si>
    <t xml:space="preserve">H-2078</t>
  </si>
  <si>
    <t xml:space="preserve">Partial Function of 'Engagement and mode management' while in Highway curve near R_ODD with barrier or adjacent traffic (70–110 km/h), wet road or light rain.</t>
  </si>
  <si>
    <t xml:space="preserve">H-2079</t>
  </si>
  <si>
    <t xml:space="preserve">Partial Function of 'Engagement and mode management' while in Highway curve near R_ODD with barrier or adjacent traffic (70–110 km/h), night, dry, headlights.</t>
  </si>
  <si>
    <t xml:space="preserve">H-2080</t>
  </si>
  <si>
    <t xml:space="preserve">Partial Function of 'Engagement and mode management' while in Highway curve near R_ODD with barrier or adjacent traffic (70–110 km/h), moderate or heavy rain (outside odd, foreseeable).</t>
  </si>
  <si>
    <t xml:space="preserve">H-2081</t>
  </si>
  <si>
    <t xml:space="preserve">Partial Function of 'Engagement and mode management' while in Highway curve near R_ODD with barrier or adjacent traffic (70–110 km/h), snow or ice (outside odd, foreseeable).</t>
  </si>
  <si>
    <t xml:space="preserve">H-2082</t>
  </si>
  <si>
    <t xml:space="preserve">Partial Function of 'Engagement and mode management' while in Highway curve near R_ODD with barrier or adjacent traffic (70–110 km/h), fog, visibility below the odd bound (outside odd, foreseeable).</t>
  </si>
  <si>
    <t xml:space="preserve">H-2083</t>
  </si>
  <si>
    <t xml:space="preserve">Partial Function of 'Engagement and mode management' while in Undivided rural or arterial road, oncoming traffic (60–90 km/h), dry, daylight.</t>
  </si>
  <si>
    <t xml:space="preserve">H-2084</t>
  </si>
  <si>
    <t xml:space="preserve">Partial Function of 'Engagement and mode management' while in Undivided rural or arterial road, oncoming traffic (60–90 km/h), wet road or light rain.</t>
  </si>
  <si>
    <t xml:space="preserve">H-2085</t>
  </si>
  <si>
    <t xml:space="preserve">Partial Function of 'Engagement and mode management' while in Undivided rural or arterial road, oncoming traffic (60–90 km/h), night, dry, headlights.</t>
  </si>
  <si>
    <t xml:space="preserve">H-2086</t>
  </si>
  <si>
    <t xml:space="preserve">Partial Function of 'Engagement and mode management' while in Undivided rural or arterial road, oncoming traffic (60–90 km/h), moderate or heavy rain (outside odd, foreseeable).</t>
  </si>
  <si>
    <t xml:space="preserve">H-2087</t>
  </si>
  <si>
    <t xml:space="preserve">Partial Function of 'Engagement and mode management' while in Undivided rural or arterial road, oncoming traffic (60–90 km/h), snow or ice (outside odd, foreseeable).</t>
  </si>
  <si>
    <t xml:space="preserve">H-2088</t>
  </si>
  <si>
    <t xml:space="preserve">Partial Function of 'Engagement and mode management' while in Undivided rural or arterial road, oncoming traffic (60–90 km/h), fog, visibility below the odd bound (outside odd, foreseeable).</t>
  </si>
  <si>
    <t xml:space="preserve">H-2089</t>
  </si>
  <si>
    <t xml:space="preserve">Partial Function of 'Engagement and mode management' while in Urban arterial, pedestrians and cyclists near the lane edge (30–60 km/h), dry, daylight.</t>
  </si>
  <si>
    <t xml:space="preserve">H-2090</t>
  </si>
  <si>
    <t xml:space="preserve">Partial Function of 'Engagement and mode management' while in Urban arterial, pedestrians and cyclists near the lane edge (30–60 km/h), wet road or light rain.</t>
  </si>
  <si>
    <t xml:space="preserve">H-2091</t>
  </si>
  <si>
    <t xml:space="preserve">Partial Function of 'Engagement and mode management' while in Urban arterial, pedestrians and cyclists near the lane edge (30–60 km/h), night, dry, headlights.</t>
  </si>
  <si>
    <t xml:space="preserve">H-2092</t>
  </si>
  <si>
    <t xml:space="preserve">Partial Function of 'Engagement and mode management' while in Urban arterial, pedestrians and cyclists near the lane edge (30–60 km/h), moderate or heavy rain (outside odd, foreseeable).</t>
  </si>
  <si>
    <t xml:space="preserve">H-2093</t>
  </si>
  <si>
    <t xml:space="preserve">Partial Function of 'Engagement and mode management' while in Urban arterial, pedestrians and cyclists near the lane edge (30–60 km/h), snow or ice (outside odd, foreseeable).</t>
  </si>
  <si>
    <t xml:space="preserve">H-2094</t>
  </si>
  <si>
    <t xml:space="preserve">Partial Function of 'Engagement and mode management' while in Urban arterial, pedestrians and cyclists near the lane edge (30–60 km/h), fog, visibility below the odd bound (outside odd, foreseeable).</t>
  </si>
  <si>
    <t xml:space="preserve">H-2095</t>
  </si>
  <si>
    <t xml:space="preserve">Partial Function of 'Engagement and mode management' while in Following a lead vehicle at a short gap, dense traffic (30–110 km/h), dry, daylight.</t>
  </si>
  <si>
    <t xml:space="preserve">H-2096</t>
  </si>
  <si>
    <t xml:space="preserve">Partial Function of 'Engagement and mode management' while in Following a lead vehicle at a short gap, dense traffic (30–110 km/h), wet road or light rain.</t>
  </si>
  <si>
    <t xml:space="preserve">H-2097</t>
  </si>
  <si>
    <t xml:space="preserve">Partial Function of 'Engagement and mode management' while in Following a lead vehicle at a short gap, dense traffic (30–110 km/h), night, dry, headlights.</t>
  </si>
  <si>
    <t xml:space="preserve">H-2098</t>
  </si>
  <si>
    <t xml:space="preserve">Partial Function of 'Engagement and mode management' while in Following a lead vehicle at a short gap, dense traffic (30–110 km/h), moderate or heavy rain (outside odd, foreseeable).</t>
  </si>
  <si>
    <t xml:space="preserve">H-2099</t>
  </si>
  <si>
    <t xml:space="preserve">Partial Function of 'Engagement and mode management' while in Following a lead vehicle at a short gap, dense traffic (30–110 km/h), snow or ice (outside odd, foreseeable).</t>
  </si>
  <si>
    <t xml:space="preserve">H-2100</t>
  </si>
  <si>
    <t xml:space="preserve">Partial Function of 'Engagement and mode management' while in Following a lead vehicle at a short gap, dense traffic (30–110 km/h), fog, visibility below the odd bound (outside odd, foreseeable).</t>
  </si>
  <si>
    <t xml:space="preserve">H-2101</t>
  </si>
  <si>
    <t xml:space="preserve">Partial Function of 'Engagement and mode management' while in Stop-and-go queue or standstill behind a lead; pedestrians may cross (0–30 km/h), dry, daylight.</t>
  </si>
  <si>
    <t xml:space="preserve">H-2102</t>
  </si>
  <si>
    <t xml:space="preserve">Partial Function of 'Engagement and mode management' while in Stop-and-go queue or standstill behind a lead; pedestrians may cross (0–30 km/h), wet road or light rain.</t>
  </si>
  <si>
    <t xml:space="preserve">H-2103</t>
  </si>
  <si>
    <t xml:space="preserve">Partial Function of 'Engagement and mode management' while in Stop-and-go queue or standstill behind a lead; pedestrians may cross (0–30 km/h), night, dry, headlights.</t>
  </si>
  <si>
    <t xml:space="preserve">H-2104</t>
  </si>
  <si>
    <t xml:space="preserve">Partial Function of 'Engagement and mode management' while in Stop-and-go queue or standstill behind a lead; pedestrians may cross (0–30 km/h), moderate or heavy rain (outside odd, foreseeable).</t>
  </si>
  <si>
    <t xml:space="preserve">H-2105</t>
  </si>
  <si>
    <t xml:space="preserve">Partial Function of 'Engagement and mode management' while in Stop-and-go queue or standstill behind a lead; pedestrians may cross (0–30 km/h), snow or ice (outside odd, foreseeable).</t>
  </si>
  <si>
    <t xml:space="preserve">H-2106</t>
  </si>
  <si>
    <t xml:space="preserve">Partial Function of 'Engagement and mode management' while in Stop-and-go queue or standstill behind a lead; pedestrians may cross (0–30 km/h), fog, visibility below the odd bound (outside odd, foreseeable).</t>
  </si>
  <si>
    <t xml:space="preserve">H-2107</t>
  </si>
  <si>
    <t xml:space="preserve">Partial Function of 'Engagement and mode management' while in Approaching slower or stationary traffic from highway speed (70–120 km/h), dry, daylight.</t>
  </si>
  <si>
    <t xml:space="preserve">H-2108</t>
  </si>
  <si>
    <t xml:space="preserve">Partial Function of 'Engagement and mode management' while in Approaching slower or stationary traffic from highway speed (70–120 km/h), wet road or light rain.</t>
  </si>
  <si>
    <t xml:space="preserve">H-2109</t>
  </si>
  <si>
    <t xml:space="preserve">Partial Function of 'Engagement and mode management' while in Approaching slower or stationary traffic from highway speed (70–120 km/h), night, dry, headlights.</t>
  </si>
  <si>
    <t xml:space="preserve">H-2110</t>
  </si>
  <si>
    <t xml:space="preserve">Partial Function of 'Engagement and mode management' while in Approaching slower or stationary traffic from highway speed (70–120 km/h), moderate or heavy rain (outside odd, foreseeable).</t>
  </si>
  <si>
    <t xml:space="preserve">H-2111</t>
  </si>
  <si>
    <t xml:space="preserve">Partial Function of 'Engagement and mode management' while in Approaching slower or stationary traffic from highway speed (70–120 km/h), snow or ice (outside odd, foreseeable).</t>
  </si>
  <si>
    <t xml:space="preserve">H-2112</t>
  </si>
  <si>
    <t xml:space="preserve">Partial Function of 'Engagement and mode management' while in Approaching slower or stationary traffic from highway speed (70–120 km/h), fog, visibility below the odd bound (outside odd, foreseeable).</t>
  </si>
  <si>
    <t xml:space="preserve">H-2113</t>
  </si>
  <si>
    <t xml:space="preserve">Partial Function of 'Engagement and mode management' while in Close following vehicle behind (gap &lt; 1.5 s) (50–120 km/h), dry, daylight.</t>
  </si>
  <si>
    <t xml:space="preserve">H-2114</t>
  </si>
  <si>
    <t xml:space="preserve">Partial Function of 'Engagement and mode management' while in Close following vehicle behind (gap &lt; 1.5 s) (50–120 km/h), wet road or light rain.</t>
  </si>
  <si>
    <t xml:space="preserve">H-2115</t>
  </si>
  <si>
    <t xml:space="preserve">Partial Function of 'Engagement and mode management' while in Close following vehicle behind (gap &lt; 1.5 s) (50–120 km/h), night, dry, headlights.</t>
  </si>
  <si>
    <t xml:space="preserve">H-2116</t>
  </si>
  <si>
    <t xml:space="preserve">Partial Function of 'Engagement and mode management' while in Close following vehicle behind (gap &lt; 1.5 s) (50–120 km/h), moderate or heavy rain (outside odd, foreseeable).</t>
  </si>
  <si>
    <t xml:space="preserve">H-2117</t>
  </si>
  <si>
    <t xml:space="preserve">Partial Function of 'Engagement and mode management' while in Close following vehicle behind (gap &lt; 1.5 s) (50–120 km/h), snow or ice (outside odd, foreseeable).</t>
  </si>
  <si>
    <t xml:space="preserve">H-2118</t>
  </si>
  <si>
    <t xml:space="preserve">Partial Function of 'Engagement and mode management' while in Close following vehicle behind (gap &lt; 1.5 s) (50–120 km/h), fog, visibility below the odd bound (outside odd, foreseeable).</t>
  </si>
  <si>
    <t xml:space="preserve">H-2119</t>
  </si>
  <si>
    <t xml:space="preserve">Partial Function of 'Engagement and mode management' while in Imminent collision where the stock PCS/AEB would intervene (0–120 km/h), dry, daylight.</t>
  </si>
  <si>
    <t xml:space="preserve">H-2120</t>
  </si>
  <si>
    <t xml:space="preserve">Partial Function of 'Engagement and mode management' while in Imminent collision where the stock PCS/AEB would intervene (0–120 km/h), wet road or light rain.</t>
  </si>
  <si>
    <t xml:space="preserve">H-2121</t>
  </si>
  <si>
    <t xml:space="preserve">Partial Function of 'Engagement and mode management' while in Imminent collision where the stock PCS/AEB would intervene (0–120 km/h), night, dry, headlights.</t>
  </si>
  <si>
    <t xml:space="preserve">H-2122</t>
  </si>
  <si>
    <t xml:space="preserve">Partial Function of 'Engagement and mode management' while in Imminent collision where the stock PCS/AEB would intervene (0–120 km/h), moderate or heavy rain (outside odd, foreseeable).</t>
  </si>
  <si>
    <t xml:space="preserve">H-2123</t>
  </si>
  <si>
    <t xml:space="preserve">Partial Function of 'Engagement and mode management' while in Imminent collision where the stock PCS/AEB would intervene (0–120 km/h), snow or ice (outside odd, foreseeable).</t>
  </si>
  <si>
    <t xml:space="preserve">H-2124</t>
  </si>
  <si>
    <t xml:space="preserve">Partial Function of 'Engagement and mode management' while in Imminent collision where the stock PCS/AEB would intervene (0–120 km/h), fog, visibility below the odd bound (outside odd, foreseeable).</t>
  </si>
  <si>
    <t xml:space="preserve">H-2125</t>
  </si>
  <si>
    <t xml:space="preserve">Partial Function of 'Engagement and mode management' while in Driver override while engaged: braking, cancel or evasive steering (0–120 km/h), dry, daylight.</t>
  </si>
  <si>
    <t xml:space="preserve">H-2126</t>
  </si>
  <si>
    <t xml:space="preserve">Partial Function of 'Engagement and mode management' while in Driver override while engaged: braking, cancel or evasive steering (0–120 km/h), wet road or light rain.</t>
  </si>
  <si>
    <t xml:space="preserve">H-2127</t>
  </si>
  <si>
    <t xml:space="preserve">Partial Function of 'Engagement and mode management' while in Driver override while engaged: braking, cancel or evasive steering (0–120 km/h), night, dry, headlights.</t>
  </si>
  <si>
    <t xml:space="preserve">H-2128</t>
  </si>
  <si>
    <t xml:space="preserve">Partial Function of 'Engagement and mode management' while in Driver override while engaged: braking, cancel or evasive steering (0–120 km/h), moderate or heavy rain (outside odd, foreseeable).</t>
  </si>
  <si>
    <t xml:space="preserve">H-2129</t>
  </si>
  <si>
    <t xml:space="preserve">Partial Function of 'Engagement and mode management' while in Driver override while engaged: braking, cancel or evasive steering (0–120 km/h), snow or ice (outside odd, foreseeable).</t>
  </si>
  <si>
    <t xml:space="preserve">H-2130</t>
  </si>
  <si>
    <t xml:space="preserve">Partial Function of 'Engagement and mode management' while in Driver override while engaged: braking, cancel or evasive steering (0–120 km/h), fog, visibility below the odd bound (outside odd, foreseeable).</t>
  </si>
  <si>
    <t xml:space="preserve">H-2131</t>
  </si>
  <si>
    <t xml:space="preserve">Partial Function of 'Engagement and mode management' while in Driver-initiated assisted lane change (70–120 km/h), dry, daylight.</t>
  </si>
  <si>
    <t xml:space="preserve">H-2132</t>
  </si>
  <si>
    <t xml:space="preserve">Partial Function of 'Engagement and mode management' while in Driver-initiated assisted lane change (70–120 km/h), wet road or light rain.</t>
  </si>
  <si>
    <t xml:space="preserve">H-2133</t>
  </si>
  <si>
    <t xml:space="preserve">Partial Function of 'Engagement and mode management' while in Driver-initiated assisted lane change (70–120 km/h), night, dry, headlights.</t>
  </si>
  <si>
    <t xml:space="preserve">H-2134</t>
  </si>
  <si>
    <t xml:space="preserve">Partial Function of 'Engagement and mode management' while in Driver-initiated assisted lane change (70–120 km/h), moderate or heavy rain (outside odd, foreseeable).</t>
  </si>
  <si>
    <t xml:space="preserve">H-2135</t>
  </si>
  <si>
    <t xml:space="preserve">Partial Function of 'Engagement and mode management' while in Driver-initiated assisted lane change (70–120 km/h), snow or ice (outside odd, foreseeable).</t>
  </si>
  <si>
    <t xml:space="preserve">H-2136</t>
  </si>
  <si>
    <t xml:space="preserve">Partial Function of 'Engagement and mode management' while in Driver-initiated assisted lane change (70–120 km/h), fog, visibility below the odd bound (outside odd, foreseeable).</t>
  </si>
  <si>
    <t xml:space="preserve">H-2137</t>
  </si>
  <si>
    <t xml:space="preserve">Partial Function of 'Engagement and mode management' while in Manual driving, item powered but not engaged (0–120 km/h), dry, daylight.</t>
  </si>
  <si>
    <t xml:space="preserve">H-2138</t>
  </si>
  <si>
    <t xml:space="preserve">Partial Function of 'Engagement and mode management' while in Manual driving, item powered but not engaged (0–120 km/h), wet road or light rain.</t>
  </si>
  <si>
    <t xml:space="preserve">H-2139</t>
  </si>
  <si>
    <t xml:space="preserve">Partial Function of 'Engagement and mode management' while in Manual driving, item powered but not engaged (0–120 km/h), night, dry, headlights.</t>
  </si>
  <si>
    <t xml:space="preserve">H-2140</t>
  </si>
  <si>
    <t xml:space="preserve">Partial Function of 'Engagement and mode management' while in Manual driving, item powered but not engaged (0–120 km/h), moderate or heavy rain (outside odd, foreseeable).</t>
  </si>
  <si>
    <t xml:space="preserve">H-2141</t>
  </si>
  <si>
    <t xml:space="preserve">Partial Function of 'Engagement and mode management' while in Manual driving, item powered but not engaged (0–120 km/h), snow or ice (outside odd, foreseeable).</t>
  </si>
  <si>
    <t xml:space="preserve">H-2142</t>
  </si>
  <si>
    <t xml:space="preserve">Partial Function of 'Engagement and mode management' while in Manual driving, item powered but not engaged (0–120 km/h), fog, visibility below the odd bound (outside odd, foreseeable).</t>
  </si>
  <si>
    <t xml:space="preserve">H-2143</t>
  </si>
  <si>
    <t xml:space="preserve">Partial Function of 'Engagement and mode management' while in Engaged outside the ODD (residential street, ramp, tight curve): foreseeable misuse (15–60 km/h), dry, daylight.</t>
  </si>
  <si>
    <t xml:space="preserve">H-2144</t>
  </si>
  <si>
    <t xml:space="preserve">Partial Function of 'Engagement and mode management' while in Engaged outside the ODD (residential street, ramp, tight curve): foreseeable misuse (15–60 km/h), wet road or light rain.</t>
  </si>
  <si>
    <t xml:space="preserve">H-2145</t>
  </si>
  <si>
    <t xml:space="preserve">Partial Function of 'Engagement and mode management' while in Engaged outside the ODD (residential street, ramp, tight curve): foreseeable misuse (15–60 km/h), night, dry, headlights.</t>
  </si>
  <si>
    <t xml:space="preserve">H-2146</t>
  </si>
  <si>
    <t xml:space="preserve">Partial Function of 'Engagement and mode management' while in Engaged outside the ODD (residential street, ramp, tight curve): foreseeable misuse (15–60 km/h), moderate or heavy rain (outside odd, foreseeable).</t>
  </si>
  <si>
    <t xml:space="preserve">H-2147</t>
  </si>
  <si>
    <t xml:space="preserve">Partial Function of 'Engagement and mode management' while in Engaged outside the ODD (residential street, ramp, tight curve): foreseeable misuse (15–60 km/h), snow or ice (outside odd, foreseeable).</t>
  </si>
  <si>
    <t xml:space="preserve">H-2148</t>
  </si>
  <si>
    <t xml:space="preserve">Partial Function of 'Engagement and mode management' while in Engaged outside the ODD (residential street, ramp, tight curve): foreseeable misuse (15–60 km/h), fog, visibility below the odd bound (outside odd, foreseeable).</t>
  </si>
  <si>
    <t xml:space="preserve">H-2149</t>
  </si>
  <si>
    <t xml:space="preserve">Partial Function of 'Engagement and mode management' while in Approaching a signalised or stop-controlled intersection (ODD-A) (30–90 km/h), dry, daylight.</t>
  </si>
  <si>
    <t xml:space="preserve">H-2150</t>
  </si>
  <si>
    <t xml:space="preserve">Partial Function of 'Engagement and mode management' while in Approaching a signalised or stop-controlled intersection (ODD-A) (30–90 km/h), wet road or light rain.</t>
  </si>
  <si>
    <t xml:space="preserve">H-2151</t>
  </si>
  <si>
    <t xml:space="preserve">Partial Function of 'Engagement and mode management' while in Approaching a signalised or stop-controlled intersection (ODD-A) (30–90 km/h), night, dry, headlights.</t>
  </si>
  <si>
    <t xml:space="preserve">H-2152</t>
  </si>
  <si>
    <t xml:space="preserve">Partial Function of 'Engagement and mode management' while in Approaching a signalised or stop-controlled intersection (ODD-A) (30–90 km/h), moderate or heavy rain (outside odd, foreseeable).</t>
  </si>
  <si>
    <t xml:space="preserve">H-2153</t>
  </si>
  <si>
    <t xml:space="preserve">Partial Function of 'Engagement and mode management' while in Approaching a signalised or stop-controlled intersection (ODD-A) (30–90 km/h), snow or ice (outside odd, foreseeable).</t>
  </si>
  <si>
    <t xml:space="preserve">H-2154</t>
  </si>
  <si>
    <t xml:space="preserve">Partial Function of 'Engagement and mode management' while in Approaching a signalised or stop-controlled intersection (ODD-A) (30–90 km/h), fog, visibility below the odd bound (outside odd, foreseeable).</t>
  </si>
  <si>
    <t xml:space="preserve">H-2155</t>
  </si>
  <si>
    <t xml:space="preserve">Partial Function of 'Engagement and mode management' while in Rural or arterial curve near R_ODD with oncoming traffic (60–90 km/h), dry, daylight.</t>
  </si>
  <si>
    <t xml:space="preserve">H-2156</t>
  </si>
  <si>
    <t xml:space="preserve">Partial Function of 'Engagement and mode management' while in Rural or arterial curve near R_ODD with oncoming traffic (60–90 km/h), wet road or light rain.</t>
  </si>
  <si>
    <t xml:space="preserve">H-2157</t>
  </si>
  <si>
    <t xml:space="preserve">Partial Function of 'Engagement and mode management' while in Rural or arterial curve near R_ODD with oncoming traffic (60–90 km/h), night, dry, headlights.</t>
  </si>
  <si>
    <t xml:space="preserve">H-2158</t>
  </si>
  <si>
    <t xml:space="preserve">Partial Function of 'Engagement and mode management' while in Rural or arterial curve near R_ODD with oncoming traffic (60–90 km/h), moderate or heavy rain (outside odd, foreseeable).</t>
  </si>
  <si>
    <t xml:space="preserve">H-2159</t>
  </si>
  <si>
    <t xml:space="preserve">Partial Function of 'Engagement and mode management' while in Rural or arterial curve near R_ODD with oncoming traffic (60–90 km/h), snow or ice (outside odd, foreseeable).</t>
  </si>
  <si>
    <t xml:space="preserve">H-2160</t>
  </si>
  <si>
    <t xml:space="preserve">Partial Function of 'Engagement and mode management' while in Rural or arterial curve near R_ODD with oncoming traffic (60–90 km/h), fog, visibility below the odd bound (outside odd, foreseeable).</t>
  </si>
  <si>
    <t xml:space="preserve">H-2161</t>
  </si>
  <si>
    <t xml:space="preserve">Function is Delayed of 'Engagement and mode management' while in Limited-access highway, free flow, adjacent traffic (90–120 km/h), dry, daylight.</t>
  </si>
  <si>
    <t xml:space="preserve">H-2162</t>
  </si>
  <si>
    <t xml:space="preserve">Function is Delayed of 'Engagement and mode management' while in Limited-access highway, free flow, adjacent traffic (90–120 km/h), wet road or light rain.</t>
  </si>
  <si>
    <t xml:space="preserve">H-2163</t>
  </si>
  <si>
    <t xml:space="preserve">Function is Delayed of 'Engagement and mode management' while in Limited-access highway, free flow, adjacent traffic (90–120 km/h), night, dry, headlights.</t>
  </si>
  <si>
    <t xml:space="preserve">H-2164</t>
  </si>
  <si>
    <t xml:space="preserve">Function is Delayed of 'Engagement and mode management' while in Limited-access highway, free flow, adjacent traffic (90–120 km/h), moderate or heavy rain (outside odd, foreseeable).</t>
  </si>
  <si>
    <t xml:space="preserve">H-2165</t>
  </si>
  <si>
    <t xml:space="preserve">Function is Delayed of 'Engagement and mode management' while in Limited-access highway, free flow, adjacent traffic (90–120 km/h), snow or ice (outside odd, foreseeable).</t>
  </si>
  <si>
    <t xml:space="preserve">H-2166</t>
  </si>
  <si>
    <t xml:space="preserve">Function is Delayed of 'Engagement and mode management' while in Limited-access highway, free flow, adjacent traffic (90–120 km/h), fog, visibility below the odd bound (outside odd, foreseeable).</t>
  </si>
  <si>
    <t xml:space="preserve">H-2167</t>
  </si>
  <si>
    <t xml:space="preserve">Function is Delayed of 'Engagement and mode management' while in Highway curve near R_ODD with barrier or adjacent traffic (70–110 km/h), dry, daylight.</t>
  </si>
  <si>
    <t xml:space="preserve">H-2168</t>
  </si>
  <si>
    <t xml:space="preserve">Function is Delayed of 'Engagement and mode management' while in Highway curve near R_ODD with barrier or adjacent traffic (70–110 km/h), wet road or light rain.</t>
  </si>
  <si>
    <t xml:space="preserve">H-2169</t>
  </si>
  <si>
    <t xml:space="preserve">Function is Delayed of 'Engagement and mode management' while in Highway curve near R_ODD with barrier or adjacent traffic (70–110 km/h), night, dry, headlights.</t>
  </si>
  <si>
    <t xml:space="preserve">H-2170</t>
  </si>
  <si>
    <t xml:space="preserve">Function is Delayed of 'Engagement and mode management' while in Highway curve near R_ODD with barrier or adjacent traffic (70–110 km/h), moderate or heavy rain (outside odd, foreseeable).</t>
  </si>
  <si>
    <t xml:space="preserve">H-2171</t>
  </si>
  <si>
    <t xml:space="preserve">Function is Delayed of 'Engagement and mode management' while in Highway curve near R_ODD with barrier or adjacent traffic (70–110 km/h), snow or ice (outside odd, foreseeable).</t>
  </si>
  <si>
    <t xml:space="preserve">H-2172</t>
  </si>
  <si>
    <t xml:space="preserve">Function is Delayed of 'Engagement and mode management' while in Highway curve near R_ODD with barrier or adjacent traffic (70–110 km/h), fog, visibility below the odd bound (outside odd, foreseeable).</t>
  </si>
  <si>
    <t xml:space="preserve">H-2173</t>
  </si>
  <si>
    <t xml:space="preserve">Function is Delayed of 'Engagement and mode management' while in Undivided rural or arterial road, oncoming traffic (60–90 km/h), dry, daylight.</t>
  </si>
  <si>
    <t xml:space="preserve">H-2174</t>
  </si>
  <si>
    <t xml:space="preserve">Function is Delayed of 'Engagement and mode management' while in Undivided rural or arterial road, oncoming traffic (60–90 km/h), wet road or light rain.</t>
  </si>
  <si>
    <t xml:space="preserve">H-2175</t>
  </si>
  <si>
    <t xml:space="preserve">Function is Delayed of 'Engagement and mode management' while in Undivided rural or arterial road, oncoming traffic (60–90 km/h), night, dry, headlights.</t>
  </si>
  <si>
    <t xml:space="preserve">H-2176</t>
  </si>
  <si>
    <t xml:space="preserve">Function is Delayed of 'Engagement and mode management' while in Undivided rural or arterial road, oncoming traffic (60–90 km/h), moderate or heavy rain (outside odd, foreseeable).</t>
  </si>
  <si>
    <t xml:space="preserve">H-2177</t>
  </si>
  <si>
    <t xml:space="preserve">Function is Delayed of 'Engagement and mode management' while in Undivided rural or arterial road, oncoming traffic (60–90 km/h), snow or ice (outside odd, foreseeable).</t>
  </si>
  <si>
    <t xml:space="preserve">H-2178</t>
  </si>
  <si>
    <t xml:space="preserve">Function is Delayed of 'Engagement and mode management' while in Undivided rural or arterial road, oncoming traffic (60–90 km/h), fog, visibility below the odd bound (outside odd, foreseeable).</t>
  </si>
  <si>
    <t xml:space="preserve">H-2179</t>
  </si>
  <si>
    <t xml:space="preserve">Function is Delayed of 'Engagement and mode management' while in Urban arterial, pedestrians and cyclists near the lane edge (30–60 km/h), dry, daylight.</t>
  </si>
  <si>
    <t xml:space="preserve">H-2180</t>
  </si>
  <si>
    <t xml:space="preserve">Function is Delayed of 'Engagement and mode management' while in Urban arterial, pedestrians and cyclists near the lane edge (30–60 km/h), wet road or light rain.</t>
  </si>
  <si>
    <t xml:space="preserve">H-2181</t>
  </si>
  <si>
    <t xml:space="preserve">Function is Delayed of 'Engagement and mode management' while in Urban arterial, pedestrians and cyclists near the lane edge (30–60 km/h), night, dry, headlights.</t>
  </si>
  <si>
    <t xml:space="preserve">H-2182</t>
  </si>
  <si>
    <t xml:space="preserve">Function is Delayed of 'Engagement and mode management' while in Urban arterial, pedestrians and cyclists near the lane edge (30–60 km/h), moderate or heavy rain (outside odd, foreseeable).</t>
  </si>
  <si>
    <t xml:space="preserve">H-2183</t>
  </si>
  <si>
    <t xml:space="preserve">Function is Delayed of 'Engagement and mode management' while in Urban arterial, pedestrians and cyclists near the lane edge (30–60 km/h), snow or ice (outside odd, foreseeable).</t>
  </si>
  <si>
    <t xml:space="preserve">H-2184</t>
  </si>
  <si>
    <t xml:space="preserve">Function is Delayed of 'Engagement and mode management' while in Urban arterial, pedestrians and cyclists near the lane edge (30–60 km/h), fog, visibility below the odd bound (outside odd, foreseeable).</t>
  </si>
  <si>
    <t xml:space="preserve">H-2185</t>
  </si>
  <si>
    <t xml:space="preserve">Function is Delayed of 'Engagement and mode management' while in Following a lead vehicle at a short gap, dense traffic (30–110 km/h), dry, daylight.</t>
  </si>
  <si>
    <t xml:space="preserve">H-2186</t>
  </si>
  <si>
    <t xml:space="preserve">Function is Delayed of 'Engagement and mode management' while in Following a lead vehicle at a short gap, dense traffic (30–110 km/h), wet road or light rain.</t>
  </si>
  <si>
    <t xml:space="preserve">H-2187</t>
  </si>
  <si>
    <t xml:space="preserve">Function is Delayed of 'Engagement and mode management' while in Following a lead vehicle at a short gap, dense traffic (30–110 km/h), night, dry, headlights.</t>
  </si>
  <si>
    <t xml:space="preserve">H-2188</t>
  </si>
  <si>
    <t xml:space="preserve">Function is Delayed of 'Engagement and mode management' while in Following a lead vehicle at a short gap, dense traffic (30–110 km/h), moderate or heavy rain (outside odd, foreseeable).</t>
  </si>
  <si>
    <t xml:space="preserve">H-2189</t>
  </si>
  <si>
    <t xml:space="preserve">Function is Delayed of 'Engagement and mode management' while in Following a lead vehicle at a short gap, dense traffic (30–110 km/h), snow or ice (outside odd, foreseeable).</t>
  </si>
  <si>
    <t xml:space="preserve">H-2190</t>
  </si>
  <si>
    <t xml:space="preserve">Function is Delayed of 'Engagement and mode management' while in Following a lead vehicle at a short gap, dense traffic (30–110 km/h), fog, visibility below the odd bound (outside odd, foreseeable).</t>
  </si>
  <si>
    <t xml:space="preserve">H-2191</t>
  </si>
  <si>
    <t xml:space="preserve">Function is Delayed of 'Engagement and mode management' while in Stop-and-go queue or standstill behind a lead; pedestrians may cross (0–30 km/h), dry, daylight.</t>
  </si>
  <si>
    <t xml:space="preserve">H-2192</t>
  </si>
  <si>
    <t xml:space="preserve">Function is Delayed of 'Engagement and mode management' while in Stop-and-go queue or standstill behind a lead; pedestrians may cross (0–30 km/h), wet road or light rain.</t>
  </si>
  <si>
    <t xml:space="preserve">H-2193</t>
  </si>
  <si>
    <t xml:space="preserve">Function is Delayed of 'Engagement and mode management' while in Stop-and-go queue or standstill behind a lead; pedestrians may cross (0–30 km/h), night, dry, headlights.</t>
  </si>
  <si>
    <t xml:space="preserve">H-2194</t>
  </si>
  <si>
    <t xml:space="preserve">Function is Delayed of 'Engagement and mode management' while in Stop-and-go queue or standstill behind a lead; pedestrians may cross (0–30 km/h), moderate or heavy rain (outside odd, foreseeable).</t>
  </si>
  <si>
    <t xml:space="preserve">H-2195</t>
  </si>
  <si>
    <t xml:space="preserve">Function is Delayed of 'Engagement and mode management' while in Stop-and-go queue or standstill behind a lead; pedestrians may cross (0–30 km/h), snow or ice (outside odd, foreseeable).</t>
  </si>
  <si>
    <t xml:space="preserve">H-2196</t>
  </si>
  <si>
    <t xml:space="preserve">Function is Delayed of 'Engagement and mode management' while in Stop-and-go queue or standstill behind a lead; pedestrians may cross (0–30 km/h), fog, visibility below the odd bound (outside odd, foreseeable).</t>
  </si>
  <si>
    <t xml:space="preserve">H-2197</t>
  </si>
  <si>
    <t xml:space="preserve">Function is Delayed of 'Engagement and mode management' while in Approaching slower or stationary traffic from highway speed (70–120 km/h), dry, daylight.</t>
  </si>
  <si>
    <t xml:space="preserve">H-2198</t>
  </si>
  <si>
    <t xml:space="preserve">Function is Delayed of 'Engagement and mode management' while in Approaching slower or stationary traffic from highway speed (70–120 km/h), wet road or light rain.</t>
  </si>
  <si>
    <t xml:space="preserve">H-2199</t>
  </si>
  <si>
    <t xml:space="preserve">Function is Delayed of 'Engagement and mode management' while in Approaching slower or stationary traffic from highway speed (70–120 km/h), night, dry, headlights.</t>
  </si>
  <si>
    <t xml:space="preserve">H-2200</t>
  </si>
  <si>
    <t xml:space="preserve">Function is Delayed of 'Engagement and mode management' while in Approaching slower or stationary traffic from highway speed (70–120 km/h), moderate or heavy rain (outside odd, foreseeable).</t>
  </si>
  <si>
    <t xml:space="preserve">H-2201</t>
  </si>
  <si>
    <t xml:space="preserve">Function is Delayed of 'Engagement and mode management' while in Approaching slower or stationary traffic from highway speed (70–120 km/h), snow or ice (outside odd, foreseeable).</t>
  </si>
  <si>
    <t xml:space="preserve">H-2202</t>
  </si>
  <si>
    <t xml:space="preserve">Function is Delayed of 'Engagement and mode management' while in Approaching slower or stationary traffic from highway speed (70–120 km/h), fog, visibility below the odd bound (outside odd, foreseeable).</t>
  </si>
  <si>
    <t xml:space="preserve">H-2203</t>
  </si>
  <si>
    <t xml:space="preserve">Function is Delayed of 'Engagement and mode management' while in Close following vehicle behind (gap &lt; 1.5 s) (50–120 km/h), dry, daylight.</t>
  </si>
  <si>
    <t xml:space="preserve">H-2204</t>
  </si>
  <si>
    <t xml:space="preserve">Function is Delayed of 'Engagement and mode management' while in Close following vehicle behind (gap &lt; 1.5 s) (50–120 km/h), wet road or light rain.</t>
  </si>
  <si>
    <t xml:space="preserve">H-2205</t>
  </si>
  <si>
    <t xml:space="preserve">Function is Delayed of 'Engagement and mode management' while in Close following vehicle behind (gap &lt; 1.5 s) (50–120 km/h), night, dry, headlights.</t>
  </si>
  <si>
    <t xml:space="preserve">H-2206</t>
  </si>
  <si>
    <t xml:space="preserve">Function is Delayed of 'Engagement and mode management' while in Close following vehicle behind (gap &lt; 1.5 s) (50–120 km/h), moderate or heavy rain (outside odd, foreseeable).</t>
  </si>
  <si>
    <t xml:space="preserve">H-2207</t>
  </si>
  <si>
    <t xml:space="preserve">Function is Delayed of 'Engagement and mode management' while in Close following vehicle behind (gap &lt; 1.5 s) (50–120 km/h), snow or ice (outside odd, foreseeable).</t>
  </si>
  <si>
    <t xml:space="preserve">H-2208</t>
  </si>
  <si>
    <t xml:space="preserve">Function is Delayed of 'Engagement and mode management' while in Close following vehicle behind (gap &lt; 1.5 s) (50–120 km/h), fog, visibility below the odd bound (outside odd, foreseeable).</t>
  </si>
  <si>
    <t xml:space="preserve">H-2209</t>
  </si>
  <si>
    <t xml:space="preserve">Function is Delayed of 'Engagement and mode management' while in Imminent collision where the stock PCS/AEB would intervene (0–120 km/h), dry, daylight.</t>
  </si>
  <si>
    <t xml:space="preserve">H-2210</t>
  </si>
  <si>
    <t xml:space="preserve">Function is Delayed of 'Engagement and mode management' while in Imminent collision where the stock PCS/AEB would intervene (0–120 km/h), wet road or light rain.</t>
  </si>
  <si>
    <t xml:space="preserve">H-2211</t>
  </si>
  <si>
    <t xml:space="preserve">Function is Delayed of 'Engagement and mode management' while in Imminent collision where the stock PCS/AEB would intervene (0–120 km/h), night, dry, headlights.</t>
  </si>
  <si>
    <t xml:space="preserve">H-2212</t>
  </si>
  <si>
    <t xml:space="preserve">Function is Delayed of 'Engagement and mode management' while in Imminent collision where the stock PCS/AEB would intervene (0–120 km/h), moderate or heavy rain (outside odd, foreseeable).</t>
  </si>
  <si>
    <t xml:space="preserve">H-2213</t>
  </si>
  <si>
    <t xml:space="preserve">Function is Delayed of 'Engagement and mode management' while in Imminent collision where the stock PCS/AEB would intervene (0–120 km/h), snow or ice (outside odd, foreseeable).</t>
  </si>
  <si>
    <t xml:space="preserve">H-2214</t>
  </si>
  <si>
    <t xml:space="preserve">Function is Delayed of 'Engagement and mode management' while in Imminent collision where the stock PCS/AEB would intervene (0–120 km/h), fog, visibility below the odd bound (outside odd, foreseeable).</t>
  </si>
  <si>
    <t xml:space="preserve">H-2215</t>
  </si>
  <si>
    <t xml:space="preserve">Function is Delayed of 'Engagement and mode management' while in Driver override while engaged: braking, cancel or evasive steering (0–120 km/h), dry, daylight.</t>
  </si>
  <si>
    <t xml:space="preserve">H-2216</t>
  </si>
  <si>
    <t xml:space="preserve">Function is Delayed of 'Engagement and mode management' while in Driver override while engaged: braking, cancel or evasive steering (0–120 km/h), wet road or light rain.</t>
  </si>
  <si>
    <t xml:space="preserve">H-2217</t>
  </si>
  <si>
    <t xml:space="preserve">Function is Delayed of 'Engagement and mode management' while in Driver override while engaged: braking, cancel or evasive steering (0–120 km/h), night, dry, headlights.</t>
  </si>
  <si>
    <t xml:space="preserve">H-2218</t>
  </si>
  <si>
    <t xml:space="preserve">Function is Delayed of 'Engagement and mode management' while in Driver override while engaged: braking, cancel or evasive steering (0–120 km/h), moderate or heavy rain (outside odd, foreseeable).</t>
  </si>
  <si>
    <t xml:space="preserve">H-2219</t>
  </si>
  <si>
    <t xml:space="preserve">Function is Delayed of 'Engagement and mode management' while in Driver override while engaged: braking, cancel or evasive steering (0–120 km/h), snow or ice (outside odd, foreseeable).</t>
  </si>
  <si>
    <t xml:space="preserve">H-2220</t>
  </si>
  <si>
    <t xml:space="preserve">Function is Delayed of 'Engagement and mode management' while in Driver override while engaged: braking, cancel or evasive steering (0–120 km/h), fog, visibility below the odd bound (outside odd, foreseeable).</t>
  </si>
  <si>
    <t xml:space="preserve">H-2221</t>
  </si>
  <si>
    <t xml:space="preserve">Function is Delayed of 'Engagement and mode management' while in Driver-initiated assisted lane change (70–120 km/h), dry, daylight.</t>
  </si>
  <si>
    <t xml:space="preserve">H-2222</t>
  </si>
  <si>
    <t xml:space="preserve">Function is Delayed of 'Engagement and mode management' while in Driver-initiated assisted lane change (70–120 km/h), wet road or light rain.</t>
  </si>
  <si>
    <t xml:space="preserve">H-2223</t>
  </si>
  <si>
    <t xml:space="preserve">Function is Delayed of 'Engagement and mode management' while in Driver-initiated assisted lane change (70–120 km/h), night, dry, headlights.</t>
  </si>
  <si>
    <t xml:space="preserve">H-2224</t>
  </si>
  <si>
    <t xml:space="preserve">Function is Delayed of 'Engagement and mode management' while in Driver-initiated assisted lane change (70–120 km/h), moderate or heavy rain (outside odd, foreseeable).</t>
  </si>
  <si>
    <t xml:space="preserve">H-2225</t>
  </si>
  <si>
    <t xml:space="preserve">Function is Delayed of 'Engagement and mode management' while in Driver-initiated assisted lane change (70–120 km/h), snow or ice (outside odd, foreseeable).</t>
  </si>
  <si>
    <t xml:space="preserve">H-2226</t>
  </si>
  <si>
    <t xml:space="preserve">Function is Delayed of 'Engagement and mode management' while in Driver-initiated assisted lane change (70–120 km/h), fog, visibility below the odd bound (outside odd, foreseeable).</t>
  </si>
  <si>
    <t xml:space="preserve">H-2227</t>
  </si>
  <si>
    <t xml:space="preserve">Function is Delayed of 'Engagement and mode management' while in Manual driving, item powered but not engaged (0–120 km/h), dry, daylight.</t>
  </si>
  <si>
    <t xml:space="preserve">H-2228</t>
  </si>
  <si>
    <t xml:space="preserve">Function is Delayed of 'Engagement and mode management' while in Manual driving, item powered but not engaged (0–120 km/h), wet road or light rain.</t>
  </si>
  <si>
    <t xml:space="preserve">H-2229</t>
  </si>
  <si>
    <t xml:space="preserve">Function is Delayed of 'Engagement and mode management' while in Manual driving, item powered but not engaged (0–120 km/h), night, dry, headlights.</t>
  </si>
  <si>
    <t xml:space="preserve">H-2230</t>
  </si>
  <si>
    <t xml:space="preserve">Function is Delayed of 'Engagement and mode management' while in Manual driving, item powered but not engaged (0–120 km/h), moderate or heavy rain (outside odd, foreseeable).</t>
  </si>
  <si>
    <t xml:space="preserve">H-2231</t>
  </si>
  <si>
    <t xml:space="preserve">Function is Delayed of 'Engagement and mode management' while in Manual driving, item powered but not engaged (0–120 km/h), snow or ice (outside odd, foreseeable).</t>
  </si>
  <si>
    <t xml:space="preserve">H-2232</t>
  </si>
  <si>
    <t xml:space="preserve">Function is Delayed of 'Engagement and mode management' while in Manual driving, item powered but not engaged (0–120 km/h), fog, visibility below the odd bound (outside odd, foreseeable).</t>
  </si>
  <si>
    <t xml:space="preserve">H-2233</t>
  </si>
  <si>
    <t xml:space="preserve">Function is Delayed of 'Engagement and mode management' while in Engaged outside the ODD (residential street, ramp, tight curve): foreseeable misuse (15–60 km/h), dry, daylight.</t>
  </si>
  <si>
    <t xml:space="preserve">H-2234</t>
  </si>
  <si>
    <t xml:space="preserve">Function is Delayed of 'Engagement and mode management' while in Engaged outside the ODD (residential street, ramp, tight curve): foreseeable misuse (15–60 km/h), wet road or light rain.</t>
  </si>
  <si>
    <t xml:space="preserve">H-2235</t>
  </si>
  <si>
    <t xml:space="preserve">Function is Delayed of 'Engagement and mode management' while in Engaged outside the ODD (residential street, ramp, tight curve): foreseeable misuse (15–60 km/h), night, dry, headlights.</t>
  </si>
  <si>
    <t xml:space="preserve">H-2236</t>
  </si>
  <si>
    <t xml:space="preserve">Function is Delayed of 'Engagement and mode management' while in Engaged outside the ODD (residential street, ramp, tight curve): foreseeable misuse (15–60 km/h), moderate or heavy rain (outside odd, foreseeable).</t>
  </si>
  <si>
    <t xml:space="preserve">H-2237</t>
  </si>
  <si>
    <t xml:space="preserve">Function is Delayed of 'Engagement and mode management' while in Engaged outside the ODD (residential street, ramp, tight curve): foreseeable misuse (15–60 km/h), snow or ice (outside odd, foreseeable).</t>
  </si>
  <si>
    <t xml:space="preserve">H-2238</t>
  </si>
  <si>
    <t xml:space="preserve">Function is Delayed of 'Engagement and mode management' while in Engaged outside the ODD (residential street, ramp, tight curve): foreseeable misuse (15–60 km/h), fog, visibility below the odd bound (outside odd, foreseeable).</t>
  </si>
  <si>
    <t xml:space="preserve">H-2239</t>
  </si>
  <si>
    <t xml:space="preserve">Function is Delayed of 'Engagement and mode management' while in Approaching a signalised or stop-controlled intersection (ODD-A) (30–90 km/h), dry, daylight.</t>
  </si>
  <si>
    <t xml:space="preserve">H-2240</t>
  </si>
  <si>
    <t xml:space="preserve">Function is Delayed of 'Engagement and mode management' while in Approaching a signalised or stop-controlled intersection (ODD-A) (30–90 km/h), wet road or light rain.</t>
  </si>
  <si>
    <t xml:space="preserve">H-2241</t>
  </si>
  <si>
    <t xml:space="preserve">Function is Delayed of 'Engagement and mode management' while in Approaching a signalised or stop-controlled intersection (ODD-A) (30–90 km/h), night, dry, headlights.</t>
  </si>
  <si>
    <t xml:space="preserve">H-2242</t>
  </si>
  <si>
    <t xml:space="preserve">Function is Delayed of 'Engagement and mode management' while in Approaching a signalised or stop-controlled intersection (ODD-A) (30–90 km/h), moderate or heavy rain (outside odd, foreseeable).</t>
  </si>
  <si>
    <t xml:space="preserve">H-2243</t>
  </si>
  <si>
    <t xml:space="preserve">Function is Delayed of 'Engagement and mode management' while in Approaching a signalised or stop-controlled intersection (ODD-A) (30–90 km/h), snow or ice (outside odd, foreseeable).</t>
  </si>
  <si>
    <t xml:space="preserve">H-2244</t>
  </si>
  <si>
    <t xml:space="preserve">Function is Delayed of 'Engagement and mode management' while in Approaching a signalised or stop-controlled intersection (ODD-A) (30–90 km/h), fog, visibility below the odd bound (outside odd, foreseeable).</t>
  </si>
  <si>
    <t xml:space="preserve">H-2245</t>
  </si>
  <si>
    <t xml:space="preserve">Function is Delayed of 'Engagement and mode management' while in Rural or arterial curve near R_ODD with oncoming traffic (60–90 km/h), dry, daylight.</t>
  </si>
  <si>
    <t xml:space="preserve">H-2246</t>
  </si>
  <si>
    <t xml:space="preserve">Function is Delayed of 'Engagement and mode management' while in Rural or arterial curve near R_ODD with oncoming traffic (60–90 km/h), wet road or light rain.</t>
  </si>
  <si>
    <t xml:space="preserve">H-2247</t>
  </si>
  <si>
    <t xml:space="preserve">Function is Delayed of 'Engagement and mode management' while in Rural or arterial curve near R_ODD with oncoming traffic (60–90 km/h), night, dry, headlights.</t>
  </si>
  <si>
    <t xml:space="preserve">H-2248</t>
  </si>
  <si>
    <t xml:space="preserve">Function is Delayed of 'Engagement and mode management' while in Rural or arterial curve near R_ODD with oncoming traffic (60–90 km/h), moderate or heavy rain (outside odd, foreseeable).</t>
  </si>
  <si>
    <t xml:space="preserve">H-2249</t>
  </si>
  <si>
    <t xml:space="preserve">Function is Delayed of 'Engagement and mode management' while in Rural or arterial curve near R_ODD with oncoming traffic (60–90 km/h), snow or ice (outside odd, foreseeable).</t>
  </si>
  <si>
    <t xml:space="preserve">H-2250</t>
  </si>
  <si>
    <t xml:space="preserve">Function is Delayed of 'Engagement and mode management' while in Rural or arterial curve near R_ODD with oncoming traffic (60–90 km/h), fog, visibility below the odd bound (outside odd, foreseeable).</t>
  </si>
  <si>
    <t xml:space="preserve">H-2251</t>
  </si>
  <si>
    <t xml:space="preserve">Unrequested Function of 'Driver monitoring' while in Limited-access highway, free flow, adjacent traffic (90–120 km/h), dry, daylight.</t>
  </si>
  <si>
    <t xml:space="preserve">H-2252</t>
  </si>
  <si>
    <t xml:space="preserve">Unrequested Function of 'Driver monitoring' while in Limited-access highway, free flow, adjacent traffic (90–120 km/h), wet road or light rain.</t>
  </si>
  <si>
    <t xml:space="preserve">H-2253</t>
  </si>
  <si>
    <t xml:space="preserve">Unrequested Function of 'Driver monitoring' while in Limited-access highway, free flow, adjacent traffic (90–120 km/h), night, dry, headlights.</t>
  </si>
  <si>
    <t xml:space="preserve">H-2254</t>
  </si>
  <si>
    <t xml:space="preserve">Unrequested Function of 'Driver monitoring' while in Limited-access highway, free flow, adjacent traffic (90–120 km/h), moderate or heavy rain (outside odd, foreseeable).</t>
  </si>
  <si>
    <t xml:space="preserve">H-2255</t>
  </si>
  <si>
    <t xml:space="preserve">Unrequested Function of 'Driver monitoring' while in Limited-access highway, free flow, adjacent traffic (90–120 km/h), snow or ice (outside odd, foreseeable).</t>
  </si>
  <si>
    <t xml:space="preserve">H-2256</t>
  </si>
  <si>
    <t xml:space="preserve">Unrequested Function of 'Driver monitoring' while in Limited-access highway, free flow, adjacent traffic (90–120 km/h), fog, visibility below the odd bound (outside odd, foreseeable).</t>
  </si>
  <si>
    <t xml:space="preserve">H-2257</t>
  </si>
  <si>
    <t xml:space="preserve">Unrequested Function of 'Driver monitoring' while in Highway curve near R_ODD with barrier or adjacent traffic (70–110 km/h), dry, daylight.</t>
  </si>
  <si>
    <t xml:space="preserve">H-2258</t>
  </si>
  <si>
    <t xml:space="preserve">Unrequested Function of 'Driver monitoring' while in Highway curve near R_ODD with barrier or adjacent traffic (70–110 km/h), wet road or light rain.</t>
  </si>
  <si>
    <t xml:space="preserve">H-2259</t>
  </si>
  <si>
    <t xml:space="preserve">Unrequested Function of 'Driver monitoring' while in Highway curve near R_ODD with barrier or adjacent traffic (70–110 km/h), night, dry, headlights.</t>
  </si>
  <si>
    <t xml:space="preserve">H-2260</t>
  </si>
  <si>
    <t xml:space="preserve">Unrequested Function of 'Driver monitoring' while in Highway curve near R_ODD with barrier or adjacent traffic (70–110 km/h), moderate or heavy rain (outside odd, foreseeable).</t>
  </si>
  <si>
    <t xml:space="preserve">H-2261</t>
  </si>
  <si>
    <t xml:space="preserve">Unrequested Function of 'Driver monitoring' while in Highway curve near R_ODD with barrier or adjacent traffic (70–110 km/h), snow or ice (outside odd, foreseeable).</t>
  </si>
  <si>
    <t xml:space="preserve">H-2262</t>
  </si>
  <si>
    <t xml:space="preserve">Unrequested Function of 'Driver monitoring' while in Highway curve near R_ODD with barrier or adjacent traffic (70–110 km/h), fog, visibility below the odd bound (outside odd, foreseeable).</t>
  </si>
  <si>
    <t xml:space="preserve">H-2263</t>
  </si>
  <si>
    <t xml:space="preserve">Unrequested Function of 'Driver monitoring' while in Undivided rural or arterial road, oncoming traffic (60–90 km/h), dry, daylight.</t>
  </si>
  <si>
    <t xml:space="preserve">H-2264</t>
  </si>
  <si>
    <t xml:space="preserve">Unrequested Function of 'Driver monitoring' while in Undivided rural or arterial road, oncoming traffic (60–90 km/h), wet road or light rain.</t>
  </si>
  <si>
    <t xml:space="preserve">H-2265</t>
  </si>
  <si>
    <t xml:space="preserve">Unrequested Function of 'Driver monitoring' while in Undivided rural or arterial road, oncoming traffic (60–90 km/h), night, dry, headlights.</t>
  </si>
  <si>
    <t xml:space="preserve">H-2266</t>
  </si>
  <si>
    <t xml:space="preserve">Unrequested Function of 'Driver monitoring' while in Undivided rural or arterial road, oncoming traffic (60–90 km/h), moderate or heavy rain (outside odd, foreseeable).</t>
  </si>
  <si>
    <t xml:space="preserve">H-2267</t>
  </si>
  <si>
    <t xml:space="preserve">Unrequested Function of 'Driver monitoring' while in Undivided rural or arterial road, oncoming traffic (60–90 km/h), snow or ice (outside odd, foreseeable).</t>
  </si>
  <si>
    <t xml:space="preserve">H-2268</t>
  </si>
  <si>
    <t xml:space="preserve">Unrequested Function of 'Driver monitoring' while in Undivided rural or arterial road, oncoming traffic (60–90 km/h), fog, visibility below the odd bound (outside odd, foreseeable).</t>
  </si>
  <si>
    <t xml:space="preserve">H-2269</t>
  </si>
  <si>
    <t xml:space="preserve">Unrequested Function of 'Driver monitoring' while in Urban arterial, pedestrians and cyclists near the lane edge (30–60 km/h), dry, daylight.</t>
  </si>
  <si>
    <t xml:space="preserve">H-2270</t>
  </si>
  <si>
    <t xml:space="preserve">Unrequested Function of 'Driver monitoring' while in Urban arterial, pedestrians and cyclists near the lane edge (30–60 km/h), wet road or light rain.</t>
  </si>
  <si>
    <t xml:space="preserve">H-2271</t>
  </si>
  <si>
    <t xml:space="preserve">Unrequested Function of 'Driver monitoring' while in Urban arterial, pedestrians and cyclists near the lane edge (30–60 km/h), night, dry, headlights.</t>
  </si>
  <si>
    <t xml:space="preserve">H-2272</t>
  </si>
  <si>
    <t xml:space="preserve">Unrequested Function of 'Driver monitoring' while in Urban arterial, pedestrians and cyclists near the lane edge (30–60 km/h), moderate or heavy rain (outside odd, foreseeable).</t>
  </si>
  <si>
    <t xml:space="preserve">H-2273</t>
  </si>
  <si>
    <t xml:space="preserve">Unrequested Function of 'Driver monitoring' while in Urban arterial, pedestrians and cyclists near the lane edge (30–60 km/h), snow or ice (outside odd, foreseeable).</t>
  </si>
  <si>
    <t xml:space="preserve">H-2274</t>
  </si>
  <si>
    <t xml:space="preserve">Unrequested Function of 'Driver monitoring' while in Urban arterial, pedestrians and cyclists near the lane edge (30–60 km/h), fog, visibility below the odd bound (outside odd, foreseeable).</t>
  </si>
  <si>
    <t xml:space="preserve">H-2275</t>
  </si>
  <si>
    <t xml:space="preserve">Unrequested Function of 'Driver monitoring' while in Following a lead vehicle at a short gap, dense traffic (30–110 km/h), dry, daylight.</t>
  </si>
  <si>
    <t xml:space="preserve">H-2276</t>
  </si>
  <si>
    <t xml:space="preserve">Unrequested Function of 'Driver monitoring' while in Following a lead vehicle at a short gap, dense traffic (30–110 km/h), wet road or light rain.</t>
  </si>
  <si>
    <t xml:space="preserve">H-2277</t>
  </si>
  <si>
    <t xml:space="preserve">Unrequested Function of 'Driver monitoring' while in Following a lead vehicle at a short gap, dense traffic (30–110 km/h), night, dry, headlights.</t>
  </si>
  <si>
    <t xml:space="preserve">H-2278</t>
  </si>
  <si>
    <t xml:space="preserve">Unrequested Function of 'Driver monitoring' while in Following a lead vehicle at a short gap, dense traffic (30–110 km/h), moderate or heavy rain (outside odd, foreseeable).</t>
  </si>
  <si>
    <t xml:space="preserve">H-2279</t>
  </si>
  <si>
    <t xml:space="preserve">Unrequested Function of 'Driver monitoring' while in Following a lead vehicle at a short gap, dense traffic (30–110 km/h), snow or ice (outside odd, foreseeable).</t>
  </si>
  <si>
    <t xml:space="preserve">H-2280</t>
  </si>
  <si>
    <t xml:space="preserve">Unrequested Function of 'Driver monitoring' while in Following a lead vehicle at a short gap, dense traffic (30–110 km/h), fog, visibility below the odd bound (outside odd, foreseeable).</t>
  </si>
  <si>
    <t xml:space="preserve">H-2281</t>
  </si>
  <si>
    <t xml:space="preserve">Unrequested Function of 'Driver monitoring' while in Stop-and-go queue or standstill behind a lead; pedestrians may cross (0–30 km/h), dry, daylight.</t>
  </si>
  <si>
    <t xml:space="preserve">H-2282</t>
  </si>
  <si>
    <t xml:space="preserve">Unrequested Function of 'Driver monitoring' while in Stop-and-go queue or standstill behind a lead; pedestrians may cross (0–30 km/h), wet road or light rain.</t>
  </si>
  <si>
    <t xml:space="preserve">H-2283</t>
  </si>
  <si>
    <t xml:space="preserve">Unrequested Function of 'Driver monitoring' while in Stop-and-go queue or standstill behind a lead; pedestrians may cross (0–30 km/h), night, dry, headlights.</t>
  </si>
  <si>
    <t xml:space="preserve">H-2284</t>
  </si>
  <si>
    <t xml:space="preserve">Unrequested Function of 'Driver monitoring' while in Stop-and-go queue or standstill behind a lead; pedestrians may cross (0–30 km/h), moderate or heavy rain (outside odd, foreseeable).</t>
  </si>
  <si>
    <t xml:space="preserve">H-2285</t>
  </si>
  <si>
    <t xml:space="preserve">Unrequested Function of 'Driver monitoring' while in Stop-and-go queue or standstill behind a lead; pedestrians may cross (0–30 km/h), snow or ice (outside odd, foreseeable).</t>
  </si>
  <si>
    <t xml:space="preserve">H-2286</t>
  </si>
  <si>
    <t xml:space="preserve">Unrequested Function of 'Driver monitoring' while in Stop-and-go queue or standstill behind a lead; pedestrians may cross (0–30 km/h), fog, visibility below the odd bound (outside odd, foreseeable).</t>
  </si>
  <si>
    <t xml:space="preserve">H-2287</t>
  </si>
  <si>
    <t xml:space="preserve">Unrequested Function of 'Driver monitoring' while in Approaching slower or stationary traffic from highway speed (70–120 km/h), dry, daylight.</t>
  </si>
  <si>
    <t xml:space="preserve">H-2288</t>
  </si>
  <si>
    <t xml:space="preserve">Unrequested Function of 'Driver monitoring' while in Approaching slower or stationary traffic from highway speed (70–120 km/h), wet road or light rain.</t>
  </si>
  <si>
    <t xml:space="preserve">H-2289</t>
  </si>
  <si>
    <t xml:space="preserve">Unrequested Function of 'Driver monitoring' while in Approaching slower or stationary traffic from highway speed (70–120 km/h), night, dry, headlights.</t>
  </si>
  <si>
    <t xml:space="preserve">H-2290</t>
  </si>
  <si>
    <t xml:space="preserve">Unrequested Function of 'Driver monitoring' while in Approaching slower or stationary traffic from highway speed (70–120 km/h), moderate or heavy rain (outside odd, foreseeable).</t>
  </si>
  <si>
    <t xml:space="preserve">H-2291</t>
  </si>
  <si>
    <t xml:space="preserve">Unrequested Function of 'Driver monitoring' while in Approaching slower or stationary traffic from highway speed (70–120 km/h), snow or ice (outside odd, foreseeable).</t>
  </si>
  <si>
    <t xml:space="preserve">H-2292</t>
  </si>
  <si>
    <t xml:space="preserve">Unrequested Function of 'Driver monitoring' while in Approaching slower or stationary traffic from highway speed (70–120 km/h), fog, visibility below the odd bound (outside odd, foreseeable).</t>
  </si>
  <si>
    <t xml:space="preserve">H-2293</t>
  </si>
  <si>
    <t xml:space="preserve">Unrequested Function of 'Driver monitoring' while in Close following vehicle behind (gap &lt; 1.5 s) (50–120 km/h), dry, daylight.</t>
  </si>
  <si>
    <t xml:space="preserve">H-2294</t>
  </si>
  <si>
    <t xml:space="preserve">Unrequested Function of 'Driver monitoring' while in Close following vehicle behind (gap &lt; 1.5 s) (50–120 km/h), wet road or light rain.</t>
  </si>
  <si>
    <t xml:space="preserve">H-2295</t>
  </si>
  <si>
    <t xml:space="preserve">Unrequested Function of 'Driver monitoring' while in Close following vehicle behind (gap &lt; 1.5 s) (50–120 km/h), night, dry, headlights.</t>
  </si>
  <si>
    <t xml:space="preserve">H-2296</t>
  </si>
  <si>
    <t xml:space="preserve">Unrequested Function of 'Driver monitoring' while in Close following vehicle behind (gap &lt; 1.5 s) (50–120 km/h), moderate or heavy rain (outside odd, foreseeable).</t>
  </si>
  <si>
    <t xml:space="preserve">H-2297</t>
  </si>
  <si>
    <t xml:space="preserve">Unrequested Function of 'Driver monitoring' while in Close following vehicle behind (gap &lt; 1.5 s) (50–120 km/h), snow or ice (outside odd, foreseeable).</t>
  </si>
  <si>
    <t xml:space="preserve">H-2298</t>
  </si>
  <si>
    <t xml:space="preserve">Unrequested Function of 'Driver monitoring' while in Close following vehicle behind (gap &lt; 1.5 s) (50–120 km/h), fog, visibility below the odd bound (outside odd, foreseeable).</t>
  </si>
  <si>
    <t xml:space="preserve">H-2299</t>
  </si>
  <si>
    <t xml:space="preserve">Unrequested Function of 'Driver monitoring' while in Imminent collision where the stock PCS/AEB would intervene (0–120 km/h), dry, daylight.</t>
  </si>
  <si>
    <t xml:space="preserve">H-2300</t>
  </si>
  <si>
    <t xml:space="preserve">Unrequested Function of 'Driver monitoring' while in Imminent collision where the stock PCS/AEB would intervene (0–120 km/h), wet road or light rain.</t>
  </si>
  <si>
    <t xml:space="preserve">H-2301</t>
  </si>
  <si>
    <t xml:space="preserve">Unrequested Function of 'Driver monitoring' while in Imminent collision where the stock PCS/AEB would intervene (0–120 km/h), night, dry, headlights.</t>
  </si>
  <si>
    <t xml:space="preserve">H-2302</t>
  </si>
  <si>
    <t xml:space="preserve">Unrequested Function of 'Driver monitoring' while in Imminent collision where the stock PCS/AEB would intervene (0–120 km/h), moderate or heavy rain (outside odd, foreseeable).</t>
  </si>
  <si>
    <t xml:space="preserve">H-2303</t>
  </si>
  <si>
    <t xml:space="preserve">Unrequested Function of 'Driver monitoring' while in Imminent collision where the stock PCS/AEB would intervene (0–120 km/h), snow or ice (outside odd, foreseeable).</t>
  </si>
  <si>
    <t xml:space="preserve">H-2304</t>
  </si>
  <si>
    <t xml:space="preserve">Unrequested Function of 'Driver monitoring' while in Imminent collision where the stock PCS/AEB would intervene (0–120 km/h), fog, visibility below the odd bound (outside odd, foreseeable).</t>
  </si>
  <si>
    <t xml:space="preserve">H-2305</t>
  </si>
  <si>
    <t xml:space="preserve">Unrequested Function of 'Driver monitoring' while in Driver override while engaged: braking, cancel or evasive steering (0–120 km/h), dry, daylight.</t>
  </si>
  <si>
    <t xml:space="preserve">H-2306</t>
  </si>
  <si>
    <t xml:space="preserve">Unrequested Function of 'Driver monitoring' while in Driver override while engaged: braking, cancel or evasive steering (0–120 km/h), wet road or light rain.</t>
  </si>
  <si>
    <t xml:space="preserve">H-2307</t>
  </si>
  <si>
    <t xml:space="preserve">Unrequested Function of 'Driver monitoring' while in Driver override while engaged: braking, cancel or evasive steering (0–120 km/h), night, dry, headlights.</t>
  </si>
  <si>
    <t xml:space="preserve">H-2308</t>
  </si>
  <si>
    <t xml:space="preserve">Unrequested Function of 'Driver monitoring' while in Driver override while engaged: braking, cancel or evasive steering (0–120 km/h), moderate or heavy rain (outside odd, foreseeable).</t>
  </si>
  <si>
    <t xml:space="preserve">H-2309</t>
  </si>
  <si>
    <t xml:space="preserve">Unrequested Function of 'Driver monitoring' while in Driver override while engaged: braking, cancel or evasive steering (0–120 km/h), snow or ice (outside odd, foreseeable).</t>
  </si>
  <si>
    <t xml:space="preserve">H-2310</t>
  </si>
  <si>
    <t xml:space="preserve">Unrequested Function of 'Driver monitoring' while in Driver override while engaged: braking, cancel or evasive steering (0–120 km/h), fog, visibility below the odd bound (outside odd, foreseeable).</t>
  </si>
  <si>
    <t xml:space="preserve">H-2311</t>
  </si>
  <si>
    <t xml:space="preserve">Unrequested Function of 'Driver monitoring' while in Driver-initiated assisted lane change (70–120 km/h), dry, daylight.</t>
  </si>
  <si>
    <t xml:space="preserve">H-2312</t>
  </si>
  <si>
    <t xml:space="preserve">Unrequested Function of 'Driver monitoring' while in Driver-initiated assisted lane change (70–120 km/h), wet road or light rain.</t>
  </si>
  <si>
    <t xml:space="preserve">H-2313</t>
  </si>
  <si>
    <t xml:space="preserve">Unrequested Function of 'Driver monitoring' while in Driver-initiated assisted lane change (70–120 km/h), night, dry, headlights.</t>
  </si>
  <si>
    <t xml:space="preserve">H-2314</t>
  </si>
  <si>
    <t xml:space="preserve">Unrequested Function of 'Driver monitoring' while in Driver-initiated assisted lane change (70–120 km/h), moderate or heavy rain (outside odd, foreseeable).</t>
  </si>
  <si>
    <t xml:space="preserve">H-2315</t>
  </si>
  <si>
    <t xml:space="preserve">Unrequested Function of 'Driver monitoring' while in Driver-initiated assisted lane change (70–120 km/h), snow or ice (outside odd, foreseeable).</t>
  </si>
  <si>
    <t xml:space="preserve">H-2316</t>
  </si>
  <si>
    <t xml:space="preserve">Unrequested Function of 'Driver monitoring' while in Driver-initiated assisted lane change (70–120 km/h), fog, visibility below the odd bound (outside odd, foreseeable).</t>
  </si>
  <si>
    <t xml:space="preserve">H-2317</t>
  </si>
  <si>
    <t xml:space="preserve">Unrequested Function of 'Driver monitoring' while in Manual driving, item powered but not engaged (0–120 km/h), dry, daylight.</t>
  </si>
  <si>
    <t xml:space="preserve">S0: item not engaged; F-04 acts on the vehicle only while engaged (controlsd).</t>
  </si>
  <si>
    <t xml:space="preserve">H-2318</t>
  </si>
  <si>
    <t xml:space="preserve">Unrequested Function of 'Driver monitoring' while in Manual driving, item powered but not engaged (0–120 km/h), wet road or light rain.</t>
  </si>
  <si>
    <t xml:space="preserve">H-2319</t>
  </si>
  <si>
    <t xml:space="preserve">Unrequested Function of 'Driver monitoring' while in Manual driving, item powered but not engaged (0–120 km/h), night, dry, headlights.</t>
  </si>
  <si>
    <t xml:space="preserve">H-2320</t>
  </si>
  <si>
    <t xml:space="preserve">Unrequested Function of 'Driver monitoring' while in Manual driving, item powered but not engaged (0–120 km/h), moderate or heavy rain (outside odd, foreseeable).</t>
  </si>
  <si>
    <t xml:space="preserve">H-2321</t>
  </si>
  <si>
    <t xml:space="preserve">Unrequested Function of 'Driver monitoring' while in Manual driving, item powered but not engaged (0–120 km/h), snow or ice (outside odd, foreseeable).</t>
  </si>
  <si>
    <t xml:space="preserve">H-2322</t>
  </si>
  <si>
    <t xml:space="preserve">Unrequested Function of 'Driver monitoring' while in Manual driving, item powered but not engaged (0–120 km/h), fog, visibility below the odd bound (outside odd, foreseeable).</t>
  </si>
  <si>
    <t xml:space="preserve">H-2323</t>
  </si>
  <si>
    <t xml:space="preserve">Unrequested Function of 'Driver monitoring' while in Engaged outside the ODD (residential street, ramp, tight curve): foreseeable misuse (15–60 km/h), dry, daylight.</t>
  </si>
  <si>
    <t xml:space="preserve">H-2324</t>
  </si>
  <si>
    <t xml:space="preserve">Unrequested Function of 'Driver monitoring' while in Engaged outside the ODD (residential street, ramp, tight curve): foreseeable misuse (15–60 km/h), wet road or light rain.</t>
  </si>
  <si>
    <t xml:space="preserve">H-2325</t>
  </si>
  <si>
    <t xml:space="preserve">Unrequested Function of 'Driver monitoring' while in Engaged outside the ODD (residential street, ramp, tight curve): foreseeable misuse (15–60 km/h), night, dry, headlights.</t>
  </si>
  <si>
    <t xml:space="preserve">H-2326</t>
  </si>
  <si>
    <t xml:space="preserve">Unrequested Function of 'Driver monitoring' while in Engaged outside the ODD (residential street, ramp, tight curve): foreseeable misuse (15–60 km/h), moderate or heavy rain (outside odd, foreseeable).</t>
  </si>
  <si>
    <t xml:space="preserve">H-2327</t>
  </si>
  <si>
    <t xml:space="preserve">Unrequested Function of 'Driver monitoring' while in Engaged outside the ODD (residential street, ramp, tight curve): foreseeable misuse (15–60 km/h), snow or ice (outside odd, foreseeable).</t>
  </si>
  <si>
    <t xml:space="preserve">H-2328</t>
  </si>
  <si>
    <t xml:space="preserve">Unrequested Function of 'Driver monitoring' while in Engaged outside the ODD (residential street, ramp, tight curve): foreseeable misuse (15–60 km/h), fog, visibility below the odd bound (outside odd, foreseeable).</t>
  </si>
  <si>
    <t xml:space="preserve">H-2329</t>
  </si>
  <si>
    <t xml:space="preserve">Unrequested Function of 'Driver monitoring' while in Approaching a signalised or stop-controlled intersection (ODD-A) (30–90 km/h), dry, daylight.</t>
  </si>
  <si>
    <t xml:space="preserve">H-2330</t>
  </si>
  <si>
    <t xml:space="preserve">Unrequested Function of 'Driver monitoring' while in Approaching a signalised or stop-controlled intersection (ODD-A) (30–90 km/h), wet road or light rain.</t>
  </si>
  <si>
    <t xml:space="preserve">H-2331</t>
  </si>
  <si>
    <t xml:space="preserve">Unrequested Function of 'Driver monitoring' while in Approaching a signalised or stop-controlled intersection (ODD-A) (30–90 km/h), night, dry, headlights.</t>
  </si>
  <si>
    <t xml:space="preserve">H-2332</t>
  </si>
  <si>
    <t xml:space="preserve">Unrequested Function of 'Driver monitoring' while in Approaching a signalised or stop-controlled intersection (ODD-A) (30–90 km/h), moderate or heavy rain (outside odd, foreseeable).</t>
  </si>
  <si>
    <t xml:space="preserve">H-2333</t>
  </si>
  <si>
    <t xml:space="preserve">Unrequested Function of 'Driver monitoring' while in Approaching a signalised or stop-controlled intersection (ODD-A) (30–90 km/h), snow or ice (outside odd, foreseeable).</t>
  </si>
  <si>
    <t xml:space="preserve">H-2334</t>
  </si>
  <si>
    <t xml:space="preserve">Unrequested Function of 'Driver monitoring' while in Approaching a signalised or stop-controlled intersection (ODD-A) (30–90 km/h), fog, visibility below the odd bound (outside odd, foreseeable).</t>
  </si>
  <si>
    <t xml:space="preserve">H-2335</t>
  </si>
  <si>
    <t xml:space="preserve">Unrequested Function of 'Driver monitoring' while in Rural or arterial curve near R_ODD with oncoming traffic (60–90 km/h), dry, daylight.</t>
  </si>
  <si>
    <t xml:space="preserve">H-2336</t>
  </si>
  <si>
    <t xml:space="preserve">Unrequested Function of 'Driver monitoring' while in Rural or arterial curve near R_ODD with oncoming traffic (60–90 km/h), wet road or light rain.</t>
  </si>
  <si>
    <t xml:space="preserve">H-2337</t>
  </si>
  <si>
    <t xml:space="preserve">Unrequested Function of 'Driver monitoring' while in Rural or arterial curve near R_ODD with oncoming traffic (60–90 km/h), night, dry, headlights.</t>
  </si>
  <si>
    <t xml:space="preserve">H-2338</t>
  </si>
  <si>
    <t xml:space="preserve">Unrequested Function of 'Driver monitoring' while in Rural or arterial curve near R_ODD with oncoming traffic (60–90 km/h), moderate or heavy rain (outside odd, foreseeable).</t>
  </si>
  <si>
    <t xml:space="preserve">H-2339</t>
  </si>
  <si>
    <t xml:space="preserve">Unrequested Function of 'Driver monitoring' while in Rural or arterial curve near R_ODD with oncoming traffic (60–90 km/h), snow or ice (outside odd, foreseeable).</t>
  </si>
  <si>
    <t xml:space="preserve">H-2340</t>
  </si>
  <si>
    <t xml:space="preserve">Unrequested Function of 'Driver monitoring' while in Rural or arterial curve near R_ODD with oncoming traffic (60–90 km/h), fog, visibility below the odd bound (outside odd, foreseeable).</t>
  </si>
  <si>
    <t xml:space="preserve">H-2341</t>
  </si>
  <si>
    <t xml:space="preserve">No Function of 'Driver information and warnings' while in Limited-access highway, free flow, adjacent traffic (90–120 km/h), dry, daylight.</t>
  </si>
  <si>
    <t xml:space="preserve">S3: the driver believes the system steers; lane departure at highway speed.</t>
  </si>
  <si>
    <t xml:space="preserve">C1: on a straight road the drift is slow and an attentive driver notices it.</t>
  </si>
  <si>
    <t xml:space="preserve">H-2342</t>
  </si>
  <si>
    <t xml:space="preserve">No Function of 'Driver information and warnings' while in Limited-access highway, free flow, adjacent traffic (90–120 km/h), wet road or light rain.</t>
  </si>
  <si>
    <t xml:space="preserve">H-2343</t>
  </si>
  <si>
    <t xml:space="preserve">No Function of 'Driver information and warnings' while in Limited-access highway, free flow, adjacent traffic (90–120 km/h), night, dry, headlights.</t>
  </si>
  <si>
    <t xml:space="preserve">H-2344</t>
  </si>
  <si>
    <t xml:space="preserve">No Function of 'Driver information and warnings' while in Limited-access highway, free flow, adjacent traffic (90–120 km/h), moderate or heavy rain (outside odd, foreseeable).</t>
  </si>
  <si>
    <t xml:space="preserve">H-2345</t>
  </si>
  <si>
    <t xml:space="preserve">No Function of 'Driver information and warnings' while in Limited-access highway, free flow, adjacent traffic (90–120 km/h), snow or ice (outside odd, foreseeable).</t>
  </si>
  <si>
    <t xml:space="preserve">C1: on a straight road the drift is slow and an attentive driver notices it. Snow/ice: low friction; a correction or braking can induce a skid (C+1).</t>
  </si>
  <si>
    <t xml:space="preserve">H-2346</t>
  </si>
  <si>
    <t xml:space="preserve">No Function of 'Driver information and warnings' while in Limited-access highway, free flow, adjacent traffic (90–120 km/h), fog, visibility below the odd bound (outside odd, foreseeable).</t>
  </si>
  <si>
    <t xml:space="preserve">H-2347</t>
  </si>
  <si>
    <t xml:space="preserve">No Function of 'Driver information and warnings' while in Highway curve near R_ODD with barrier or adjacent traffic (70–110 km/h), dry, daylight.</t>
  </si>
  <si>
    <t xml:space="preserve">S3: unnoticed disengagement in a curve; departure.</t>
  </si>
  <si>
    <t xml:space="preserve">C2: drift in a curve develops quickly; the driver's belief that the system is active delays the reaction.</t>
  </si>
  <si>
    <t xml:space="preserve">H-2348</t>
  </si>
  <si>
    <t xml:space="preserve">No Function of 'Driver information and warnings' while in Highway curve near R_ODD with barrier or adjacent traffic (70–110 km/h), wet road or light rain.</t>
  </si>
  <si>
    <t xml:space="preserve">H-2349</t>
  </si>
  <si>
    <t xml:space="preserve">No Function of 'Driver information and warnings' while in Highway curve near R_ODD with barrier or adjacent traffic (70–110 km/h), night, dry, headlights.</t>
  </si>
  <si>
    <t xml:space="preserve">H-2350</t>
  </si>
  <si>
    <t xml:space="preserve">No Function of 'Driver information and warnings' while in Highway curve near R_ODD with barrier or adjacent traffic (70–110 km/h), moderate or heavy rain (outside odd, foreseeable).</t>
  </si>
  <si>
    <t xml:space="preserve">H-2351</t>
  </si>
  <si>
    <t xml:space="preserve">No Function of 'Driver information and warnings' while in Highway curve near R_ODD with barrier or adjacent traffic (70–110 km/h), snow or ice (outside odd, foreseeable).</t>
  </si>
  <si>
    <t xml:space="preserve">C2: drift in a curve develops quickly; the driver's belief that the system is active delays the reaction. Snow/ice: low friction; a correction or braking can induce a skid (C+1).</t>
  </si>
  <si>
    <t xml:space="preserve">H-2352</t>
  </si>
  <si>
    <t xml:space="preserve">No Function of 'Driver information and warnings' while in Highway curve near R_ODD with barrier or adjacent traffic (70–110 km/h), fog, visibility below the odd bound (outside odd, foreseeable).</t>
  </si>
  <si>
    <t xml:space="preserve">H-2353</t>
  </si>
  <si>
    <t xml:space="preserve">No Function of 'Driver information and warnings' while in Undivided rural or arterial road, oncoming traffic (60–90 km/h), dry, daylight.</t>
  </si>
  <si>
    <t xml:space="preserve">S3: drift towards the oncoming lane.</t>
  </si>
  <si>
    <t xml:space="preserve">C1: mostly straight road; the drift is slow and an attentive driver notices it.</t>
  </si>
  <si>
    <t xml:space="preserve">H-2354</t>
  </si>
  <si>
    <t xml:space="preserve">No Function of 'Driver information and warnings' while in Undivided rural or arterial road, oncoming traffic (60–90 km/h), wet road or light rain.</t>
  </si>
  <si>
    <t xml:space="preserve">H-2355</t>
  </si>
  <si>
    <t xml:space="preserve">No Function of 'Driver information and warnings' while in Undivided rural or arterial road, oncoming traffic (60–90 km/h), night, dry, headlights.</t>
  </si>
  <si>
    <t xml:space="preserve">H-2356</t>
  </si>
  <si>
    <t xml:space="preserve">No Function of 'Driver information and warnings' while in Undivided rural or arterial road, oncoming traffic (60–90 km/h), moderate or heavy rain (outside odd, foreseeable).</t>
  </si>
  <si>
    <t xml:space="preserve">H-2357</t>
  </si>
  <si>
    <t xml:space="preserve">No Function of 'Driver information and warnings' while in Undivided rural or arterial road, oncoming traffic (60–90 km/h), snow or ice (outside odd, foreseeable).</t>
  </si>
  <si>
    <t xml:space="preserve">C1: mostly straight road; the drift is slow and an attentive driver notices it. Snow/ice: low friction; a correction or braking can induce a skid (C+1).</t>
  </si>
  <si>
    <t xml:space="preserve">H-2358</t>
  </si>
  <si>
    <t xml:space="preserve">No Function of 'Driver information and warnings' while in Undivided rural or arterial road, oncoming traffic (60–90 km/h), fog, visibility below the odd bound (outside odd, foreseeable).</t>
  </si>
  <si>
    <t xml:space="preserve">H-2359</t>
  </si>
  <si>
    <t xml:space="preserve">No Function of 'Driver information and warnings' while in Urban arterial, pedestrians and cyclists near the lane edge (30–60 km/h), dry, daylight.</t>
  </si>
  <si>
    <t xml:space="preserve">S3: drift towards VRUs.</t>
  </si>
  <si>
    <t xml:space="preserve">C1: low speed, attentive driver.</t>
  </si>
  <si>
    <t xml:space="preserve">H-2360</t>
  </si>
  <si>
    <t xml:space="preserve">No Function of 'Driver information and warnings' while in Urban arterial, pedestrians and cyclists near the lane edge (30–60 km/h), wet road or light rain.</t>
  </si>
  <si>
    <t xml:space="preserve">H-2361</t>
  </si>
  <si>
    <t xml:space="preserve">No Function of 'Driver information and warnings' while in Urban arterial, pedestrians and cyclists near the lane edge (30–60 km/h), night, dry, headlights.</t>
  </si>
  <si>
    <t xml:space="preserve">H-2362</t>
  </si>
  <si>
    <t xml:space="preserve">No Function of 'Driver information and warnings' while in Urban arterial, pedestrians and cyclists near the lane edge (30–60 km/h), moderate or heavy rain (outside odd, foreseeable).</t>
  </si>
  <si>
    <t xml:space="preserve">H-2363</t>
  </si>
  <si>
    <t xml:space="preserve">No Function of 'Driver information and warnings' while in Urban arterial, pedestrians and cyclists near the lane edge (30–60 km/h), snow or ice (outside odd, foreseeable).</t>
  </si>
  <si>
    <t xml:space="preserve">C1: low speed, attentive driver. Snow/ice: low friction; a correction or braking can induce a skid (C+1).</t>
  </si>
  <si>
    <t xml:space="preserve">H-2364</t>
  </si>
  <si>
    <t xml:space="preserve">No Function of 'Driver information and warnings' while in Urban arterial, pedestrians and cyclists near the lane edge (30–60 km/h), fog, visibility below the odd bound (outside odd, foreseeable).</t>
  </si>
  <si>
    <t xml:space="preserve">H-2365</t>
  </si>
  <si>
    <t xml:space="preserve">No Function of 'Driver information and warnings' while in Following a lead vehicle at a short gap, dense traffic (30–110 km/h), dry, daylight.</t>
  </si>
  <si>
    <t xml:space="preserve">S2: the driver expects ACC to brake for the lead; rear-end.</t>
  </si>
  <si>
    <t xml:space="preserve">C2: reliance on a function that is not active.</t>
  </si>
  <si>
    <t xml:space="preserve">H-2366</t>
  </si>
  <si>
    <t xml:space="preserve">No Function of 'Driver information and warnings' while in Following a lead vehicle at a short gap, dense traffic (30–110 km/h), wet road or light rain.</t>
  </si>
  <si>
    <t xml:space="preserve">H-2367</t>
  </si>
  <si>
    <t xml:space="preserve">No Function of 'Driver information and warnings' while in Following a lead vehicle at a short gap, dense traffic (30–110 km/h), night, dry, headlights.</t>
  </si>
  <si>
    <t xml:space="preserve">H-2368</t>
  </si>
  <si>
    <t xml:space="preserve">No Function of 'Driver information and warnings' while in Following a lead vehicle at a short gap, dense traffic (30–110 km/h), moderate or heavy rain (outside odd, foreseeable).</t>
  </si>
  <si>
    <t xml:space="preserve">H-2369</t>
  </si>
  <si>
    <t xml:space="preserve">No Function of 'Driver information and warnings' while in Following a lead vehicle at a short gap, dense traffic (30–110 km/h), snow or ice (outside odd, foreseeable).</t>
  </si>
  <si>
    <t xml:space="preserve">C2: reliance on a function that is not active. Snow/ice: low friction; a correction or braking can induce a skid (C+1).</t>
  </si>
  <si>
    <t xml:space="preserve">H-2370</t>
  </si>
  <si>
    <t xml:space="preserve">No Function of 'Driver information and warnings' while in Following a lead vehicle at a short gap, dense traffic (30–110 km/h), fog, visibility below the odd bound (outside odd, foreseeable).</t>
  </si>
  <si>
    <t xml:space="preserve">H-2371</t>
  </si>
  <si>
    <t xml:space="preserve">No Function of 'Driver information and warnings' while in Stop-and-go queue or standstill behind a lead; pedestrians may cross (0–30 km/h), dry, daylight.</t>
  </si>
  <si>
    <t xml:space="preserve">S0: Not hazardous here: covered by the road situations where the driver's belief about the system state matters.</t>
  </si>
  <si>
    <t xml:space="preserve">H-2372</t>
  </si>
  <si>
    <t xml:space="preserve">No Function of 'Driver information and warnings' while in Stop-and-go queue or standstill behind a lead; pedestrians may cross (0–30 km/h), wet road or light rain.</t>
  </si>
  <si>
    <t xml:space="preserve">H-2373</t>
  </si>
  <si>
    <t xml:space="preserve">No Function of 'Driver information and warnings' while in Stop-and-go queue or standstill behind a lead; pedestrians may cross (0–30 km/h), night, dry, headlights.</t>
  </si>
  <si>
    <t xml:space="preserve">H-2374</t>
  </si>
  <si>
    <t xml:space="preserve">No Function of 'Driver information and warnings' while in Stop-and-go queue or standstill behind a lead; pedestrians may cross (0–30 km/h), moderate or heavy rain (outside odd, foreseeable).</t>
  </si>
  <si>
    <t xml:space="preserve">H-2375</t>
  </si>
  <si>
    <t xml:space="preserve">No Function of 'Driver information and warnings' while in Stop-and-go queue or standstill behind a lead; pedestrians may cross (0–30 km/h), snow or ice (outside odd, foreseeable).</t>
  </si>
  <si>
    <t xml:space="preserve">H-2376</t>
  </si>
  <si>
    <t xml:space="preserve">No Function of 'Driver information and warnings' while in Stop-and-go queue or standstill behind a lead; pedestrians may cross (0–30 km/h), fog, visibility below the odd bound (outside odd, foreseeable).</t>
  </si>
  <si>
    <t xml:space="preserve">H-2377</t>
  </si>
  <si>
    <t xml:space="preserve">No Function of 'Driver information and warnings' while in Approaching slower or stationary traffic from highway speed (70–120 km/h), dry, daylight.</t>
  </si>
  <si>
    <t xml:space="preserve">S3: the driver expects ACC to slow for traffic ahead; high closing speed.</t>
  </si>
  <si>
    <t xml:space="preserve">H-2378</t>
  </si>
  <si>
    <t xml:space="preserve">No Function of 'Driver information and warnings' while in Approaching slower or stationary traffic from highway speed (70–120 km/h), wet road or light rain.</t>
  </si>
  <si>
    <t xml:space="preserve">H-2379</t>
  </si>
  <si>
    <t xml:space="preserve">No Function of 'Driver information and warnings' while in Approaching slower or stationary traffic from highway speed (70–120 km/h), night, dry, headlights.</t>
  </si>
  <si>
    <t xml:space="preserve">H-2380</t>
  </si>
  <si>
    <t xml:space="preserve">No Function of 'Driver information and warnings' while in Approaching slower or stationary traffic from highway speed (70–120 km/h), moderate or heavy rain (outside odd, foreseeable).</t>
  </si>
  <si>
    <t xml:space="preserve">H-2381</t>
  </si>
  <si>
    <t xml:space="preserve">No Function of 'Driver information and warnings' while in Approaching slower or stationary traffic from highway speed (70–120 km/h), snow or ice (outside odd, foreseeable).</t>
  </si>
  <si>
    <t xml:space="preserve">H-2382</t>
  </si>
  <si>
    <t xml:space="preserve">No Function of 'Driver information and warnings' while in Approaching slower or stationary traffic from highway speed (70–120 km/h), fog, visibility below the odd bound (outside odd, foreseeable).</t>
  </si>
  <si>
    <t xml:space="preserve">H-2383</t>
  </si>
  <si>
    <t xml:space="preserve">No Function of 'Driver information and warnings' while in Close following vehicle behind (gap &lt; 1.5 s) (50–120 km/h), dry, daylight.</t>
  </si>
  <si>
    <t xml:space="preserve">H-2384</t>
  </si>
  <si>
    <t xml:space="preserve">No Function of 'Driver information and warnings' while in Close following vehicle behind (gap &lt; 1.5 s) (50–120 km/h), wet road or light rain.</t>
  </si>
  <si>
    <t xml:space="preserve">H-2385</t>
  </si>
  <si>
    <t xml:space="preserve">No Function of 'Driver information and warnings' while in Close following vehicle behind (gap &lt; 1.5 s) (50–120 km/h), night, dry, headlights.</t>
  </si>
  <si>
    <t xml:space="preserve">H-2386</t>
  </si>
  <si>
    <t xml:space="preserve">No Function of 'Driver information and warnings' while in Close following vehicle behind (gap &lt; 1.5 s) (50–120 km/h), moderate or heavy rain (outside odd, foreseeable).</t>
  </si>
  <si>
    <t xml:space="preserve">H-2387</t>
  </si>
  <si>
    <t xml:space="preserve">No Function of 'Driver information and warnings' while in Close following vehicle behind (gap &lt; 1.5 s) (50–120 km/h), snow or ice (outside odd, foreseeable).</t>
  </si>
  <si>
    <t xml:space="preserve">H-2388</t>
  </si>
  <si>
    <t xml:space="preserve">No Function of 'Driver information and warnings' while in Close following vehicle behind (gap &lt; 1.5 s) (50–120 km/h), fog, visibility below the odd bound (outside odd, foreseeable).</t>
  </si>
  <si>
    <t xml:space="preserve">H-2389</t>
  </si>
  <si>
    <t xml:space="preserve">No Function of 'Driver information and warnings' while in Imminent collision where the stock PCS/AEB would intervene (0–120 km/h), dry, daylight.</t>
  </si>
  <si>
    <t xml:space="preserve">H-2390</t>
  </si>
  <si>
    <t xml:space="preserve">No Function of 'Driver information and warnings' while in Imminent collision where the stock PCS/AEB would intervene (0–120 km/h), wet road or light rain.</t>
  </si>
  <si>
    <t xml:space="preserve">H-2391</t>
  </si>
  <si>
    <t xml:space="preserve">No Function of 'Driver information and warnings' while in Imminent collision where the stock PCS/AEB would intervene (0–120 km/h), night, dry, headlights.</t>
  </si>
  <si>
    <t xml:space="preserve">H-2392</t>
  </si>
  <si>
    <t xml:space="preserve">No Function of 'Driver information and warnings' while in Imminent collision where the stock PCS/AEB would intervene (0–120 km/h), moderate or heavy rain (outside odd, foreseeable).</t>
  </si>
  <si>
    <t xml:space="preserve">H-2393</t>
  </si>
  <si>
    <t xml:space="preserve">No Function of 'Driver information and warnings' while in Imminent collision where the stock PCS/AEB would intervene (0–120 km/h), snow or ice (outside odd, foreseeable).</t>
  </si>
  <si>
    <t xml:space="preserve">H-2394</t>
  </si>
  <si>
    <t xml:space="preserve">No Function of 'Driver information and warnings' while in Imminent collision where the stock PCS/AEB would intervene (0–120 km/h), fog, visibility below the odd bound (outside odd, foreseeable).</t>
  </si>
  <si>
    <t xml:space="preserve">H-2395</t>
  </si>
  <si>
    <t xml:space="preserve">No Function of 'Driver information and warnings' while in Driver override while engaged: braking, cancel or evasive steering (0–120 km/h), dry, daylight.</t>
  </si>
  <si>
    <t xml:space="preserve">H-2396</t>
  </si>
  <si>
    <t xml:space="preserve">No Function of 'Driver information and warnings' while in Driver override while engaged: braking, cancel or evasive steering (0–120 km/h), wet road or light rain.</t>
  </si>
  <si>
    <t xml:space="preserve">H-2397</t>
  </si>
  <si>
    <t xml:space="preserve">No Function of 'Driver information and warnings' while in Driver override while engaged: braking, cancel or evasive steering (0–120 km/h), night, dry, headlights.</t>
  </si>
  <si>
    <t xml:space="preserve">H-2398</t>
  </si>
  <si>
    <t xml:space="preserve">No Function of 'Driver information and warnings' while in Driver override while engaged: braking, cancel or evasive steering (0–120 km/h), moderate or heavy rain (outside odd, foreseeable).</t>
  </si>
  <si>
    <t xml:space="preserve">H-2399</t>
  </si>
  <si>
    <t xml:space="preserve">No Function of 'Driver information and warnings' while in Driver override while engaged: braking, cancel or evasive steering (0–120 km/h), snow or ice (outside odd, foreseeable).</t>
  </si>
  <si>
    <t xml:space="preserve">H-2400</t>
  </si>
  <si>
    <t xml:space="preserve">No Function of 'Driver information and warnings' while in Driver override while engaged: braking, cancel or evasive steering (0–120 km/h), fog, visibility below the odd bound (outside odd, foreseeable).</t>
  </si>
  <si>
    <t xml:space="preserve">H-2401</t>
  </si>
  <si>
    <t xml:space="preserve">No Function of 'Driver information and warnings' while in Driver-initiated assisted lane change (70–120 km/h), dry, daylight.</t>
  </si>
  <si>
    <t xml:space="preserve">S3: the driver expects assisted lane change; vehicle straddles lanes.</t>
  </si>
  <si>
    <t xml:space="preserve">C2: as OS-02.</t>
  </si>
  <si>
    <t xml:space="preserve">H-2402</t>
  </si>
  <si>
    <t xml:space="preserve">No Function of 'Driver information and warnings' while in Driver-initiated assisted lane change (70–120 km/h), wet road or light rain.</t>
  </si>
  <si>
    <t xml:space="preserve">H-2403</t>
  </si>
  <si>
    <t xml:space="preserve">No Function of 'Driver information and warnings' while in Driver-initiated assisted lane change (70–120 km/h), night, dry, headlights.</t>
  </si>
  <si>
    <t xml:space="preserve">H-2404</t>
  </si>
  <si>
    <t xml:space="preserve">No Function of 'Driver information and warnings' while in Driver-initiated assisted lane change (70–120 km/h), moderate or heavy rain (outside odd, foreseeable).</t>
  </si>
  <si>
    <t xml:space="preserve">H-2405</t>
  </si>
  <si>
    <t xml:space="preserve">No Function of 'Driver information and warnings' while in Driver-initiated assisted lane change (70–120 km/h), snow or ice (outside odd, foreseeable).</t>
  </si>
  <si>
    <t xml:space="preserve">C2: as OS-02. Snow/ice: low friction; a correction or braking can induce a skid (C+1).</t>
  </si>
  <si>
    <t xml:space="preserve">H-2406</t>
  </si>
  <si>
    <t xml:space="preserve">No Function of 'Driver information and warnings' while in Driver-initiated assisted lane change (70–120 km/h), fog, visibility below the odd bound (outside odd, foreseeable).</t>
  </si>
  <si>
    <t xml:space="preserve">H-2407</t>
  </si>
  <si>
    <t xml:space="preserve">No Function of 'Driver information and warnings' while in Manual driving, item powered but not engaged (0–120 km/h), dry, daylight.</t>
  </si>
  <si>
    <t xml:space="preserve">H-2408</t>
  </si>
  <si>
    <t xml:space="preserve">No Function of 'Driver information and warnings' while in Manual driving, item powered but not engaged (0–120 km/h), wet road or light rain.</t>
  </si>
  <si>
    <t xml:space="preserve">H-2409</t>
  </si>
  <si>
    <t xml:space="preserve">No Function of 'Driver information and warnings' while in Manual driving, item powered but not engaged (0–120 km/h), night, dry, headlights.</t>
  </si>
  <si>
    <t xml:space="preserve">H-2410</t>
  </si>
  <si>
    <t xml:space="preserve">No Function of 'Driver information and warnings' while in Manual driving, item powered but not engaged (0–120 km/h), moderate or heavy rain (outside odd, foreseeable).</t>
  </si>
  <si>
    <t xml:space="preserve">H-2411</t>
  </si>
  <si>
    <t xml:space="preserve">No Function of 'Driver information and warnings' while in Manual driving, item powered but not engaged (0–120 km/h), snow or ice (outside odd, foreseeable).</t>
  </si>
  <si>
    <t xml:space="preserve">H-2412</t>
  </si>
  <si>
    <t xml:space="preserve">No Function of 'Driver information and warnings' while in Manual driving, item powered but not engaged (0–120 km/h), fog, visibility below the odd bound (outside odd, foreseeable).</t>
  </si>
  <si>
    <t xml:space="preserve">H-2413</t>
  </si>
  <si>
    <t xml:space="preserve">No Function of 'Driver information and warnings' while in Engaged outside the ODD (residential street, ramp, tight curve): foreseeable misuse (15–60 km/h), dry, daylight.</t>
  </si>
  <si>
    <t xml:space="preserve">H-2414</t>
  </si>
  <si>
    <t xml:space="preserve">No Function of 'Driver information and warnings' while in Engaged outside the ODD (residential street, ramp, tight curve): foreseeable misuse (15–60 km/h), wet road or light rain.</t>
  </si>
  <si>
    <t xml:space="preserve">H-2415</t>
  </si>
  <si>
    <t xml:space="preserve">No Function of 'Driver information and warnings' while in Engaged outside the ODD (residential street, ramp, tight curve): foreseeable misuse (15–60 km/h), night, dry, headlights.</t>
  </si>
  <si>
    <t xml:space="preserve">H-2416</t>
  </si>
  <si>
    <t xml:space="preserve">No Function of 'Driver information and warnings' while in Engaged outside the ODD (residential street, ramp, tight curve): foreseeable misuse (15–60 km/h), moderate or heavy rain (outside odd, foreseeable).</t>
  </si>
  <si>
    <t xml:space="preserve">H-2417</t>
  </si>
  <si>
    <t xml:space="preserve">No Function of 'Driver information and warnings' while in Engaged outside the ODD (residential street, ramp, tight curve): foreseeable misuse (15–60 km/h), snow or ice (outside odd, foreseeable).</t>
  </si>
  <si>
    <t xml:space="preserve">H-2418</t>
  </si>
  <si>
    <t xml:space="preserve">No Function of 'Driver information and warnings' while in Engaged outside the ODD (residential street, ramp, tight curve): foreseeable misuse (15–60 km/h), fog, visibility below the odd bound (outside odd, foreseeable).</t>
  </si>
  <si>
    <t xml:space="preserve">H-2419</t>
  </si>
  <si>
    <t xml:space="preserve">No Function of 'Driver information and warnings' while in Approaching a signalised or stop-controlled intersection (ODD-A) (30–90 km/h), dry, daylight.</t>
  </si>
  <si>
    <t xml:space="preserve">S3: unexpected behaviour at an intersection.</t>
  </si>
  <si>
    <t xml:space="preserve">C1: the driver controls all stops at intersections (ODD).</t>
  </si>
  <si>
    <t xml:space="preserve">H-2420</t>
  </si>
  <si>
    <t xml:space="preserve">No Function of 'Driver information and warnings' while in Approaching a signalised or stop-controlled intersection (ODD-A) (30–90 km/h), wet road or light rain.</t>
  </si>
  <si>
    <t xml:space="preserve">H-2421</t>
  </si>
  <si>
    <t xml:space="preserve">No Function of 'Driver information and warnings' while in Approaching a signalised or stop-controlled intersection (ODD-A) (30–90 km/h), night, dry, headlights.</t>
  </si>
  <si>
    <t xml:space="preserve">H-2422</t>
  </si>
  <si>
    <t xml:space="preserve">No Function of 'Driver information and warnings' while in Approaching a signalised or stop-controlled intersection (ODD-A) (30–90 km/h), moderate or heavy rain (outside odd, foreseeable).</t>
  </si>
  <si>
    <t xml:space="preserve">H-2423</t>
  </si>
  <si>
    <t xml:space="preserve">No Function of 'Driver information and warnings' while in Approaching a signalised or stop-controlled intersection (ODD-A) (30–90 km/h), snow or ice (outside odd, foreseeable).</t>
  </si>
  <si>
    <t xml:space="preserve">C1: the driver controls all stops at intersections (ODD). Snow/ice: low friction; a correction or braking can induce a skid (C+1).</t>
  </si>
  <si>
    <t xml:space="preserve">H-2424</t>
  </si>
  <si>
    <t xml:space="preserve">No Function of 'Driver information and warnings' while in Approaching a signalised or stop-controlled intersection (ODD-A) (30–90 km/h), fog, visibility below the odd bound (outside odd, foreseeable).</t>
  </si>
  <si>
    <t xml:space="preserve">H-2425</t>
  </si>
  <si>
    <t xml:space="preserve">No Function of 'Driver information and warnings' while in Rural or arterial curve near R_ODD with oncoming traffic (60–90 km/h), dry, daylight.</t>
  </si>
  <si>
    <t xml:space="preserve">S3: unnoticed disengagement in a rural curve; departure into the oncoming lane.</t>
  </si>
  <si>
    <t xml:space="preserve">H-2426</t>
  </si>
  <si>
    <t xml:space="preserve">No Function of 'Driver information and warnings' while in Rural or arterial curve near R_ODD with oncoming traffic (60–90 km/h), wet road or light rain.</t>
  </si>
  <si>
    <t xml:space="preserve">H-2427</t>
  </si>
  <si>
    <t xml:space="preserve">No Function of 'Driver information and warnings' while in Rural or arterial curve near R_ODD with oncoming traffic (60–90 km/h), night, dry, headlights.</t>
  </si>
  <si>
    <t xml:space="preserve">H-2428</t>
  </si>
  <si>
    <t xml:space="preserve">No Function of 'Driver information and warnings' while in Rural or arterial curve near R_ODD with oncoming traffic (60–90 km/h), moderate or heavy rain (outside odd, foreseeable).</t>
  </si>
  <si>
    <t xml:space="preserve">H-2429</t>
  </si>
  <si>
    <t xml:space="preserve">No Function of 'Driver information and warnings' while in Rural or arterial curve near R_ODD with oncoming traffic (60–90 km/h), snow or ice (outside odd, foreseeable).</t>
  </si>
  <si>
    <t xml:space="preserve">H-2430</t>
  </si>
  <si>
    <t xml:space="preserve">No Function of 'Driver information and warnings' while in Rural or arterial curve near R_ODD with oncoming traffic (60–90 km/h), fog, visibility below the odd bound (outside odd, foreseeable).</t>
  </si>
  <si>
    <t xml:space="preserve">H-2431</t>
  </si>
  <si>
    <t xml:space="preserve">Function Stuck of 'Driver information and warnings' while in Limited-access highway, free flow, adjacent traffic (90–120 km/h), dry, daylight.</t>
  </si>
  <si>
    <t xml:space="preserve">H-2432</t>
  </si>
  <si>
    <t xml:space="preserve">Function Stuck of 'Driver information and warnings' while in Limited-access highway, free flow, adjacent traffic (90–120 km/h), wet road or light rain.</t>
  </si>
  <si>
    <t xml:space="preserve">H-2433</t>
  </si>
  <si>
    <t xml:space="preserve">Function Stuck of 'Driver information and warnings' while in Limited-access highway, free flow, adjacent traffic (90–120 km/h), night, dry, headlights.</t>
  </si>
  <si>
    <t xml:space="preserve">H-2434</t>
  </si>
  <si>
    <t xml:space="preserve">Function Stuck of 'Driver information and warnings' while in Limited-access highway, free flow, adjacent traffic (90–120 km/h), moderate or heavy rain (outside odd, foreseeable).</t>
  </si>
  <si>
    <t xml:space="preserve">H-2435</t>
  </si>
  <si>
    <t xml:space="preserve">Function Stuck of 'Driver information and warnings' while in Limited-access highway, free flow, adjacent traffic (90–120 km/h), snow or ice (outside odd, foreseeable).</t>
  </si>
  <si>
    <t xml:space="preserve">H-2436</t>
  </si>
  <si>
    <t xml:space="preserve">Function Stuck of 'Driver information and warnings' while in Limited-access highway, free flow, adjacent traffic (90–120 km/h), fog, visibility below the odd bound (outside odd, foreseeable).</t>
  </si>
  <si>
    <t xml:space="preserve">H-2437</t>
  </si>
  <si>
    <t xml:space="preserve">Function Stuck of 'Driver information and warnings' while in Highway curve near R_ODD with barrier or adjacent traffic (70–110 km/h), dry, daylight.</t>
  </si>
  <si>
    <t xml:space="preserve">H-2438</t>
  </si>
  <si>
    <t xml:space="preserve">Function Stuck of 'Driver information and warnings' while in Highway curve near R_ODD with barrier or adjacent traffic (70–110 km/h), wet road or light rain.</t>
  </si>
  <si>
    <t xml:space="preserve">H-2439</t>
  </si>
  <si>
    <t xml:space="preserve">Function Stuck of 'Driver information and warnings' while in Highway curve near R_ODD with barrier or adjacent traffic (70–110 km/h), night, dry, headlights.</t>
  </si>
  <si>
    <t xml:space="preserve">H-2440</t>
  </si>
  <si>
    <t xml:space="preserve">Function Stuck of 'Driver information and warnings' while in Highway curve near R_ODD with barrier or adjacent traffic (70–110 km/h), moderate or heavy rain (outside odd, foreseeable).</t>
  </si>
  <si>
    <t xml:space="preserve">H-2441</t>
  </si>
  <si>
    <t xml:space="preserve">Function Stuck of 'Driver information and warnings' while in Highway curve near R_ODD with barrier or adjacent traffic (70–110 km/h), snow or ice (outside odd, foreseeable).</t>
  </si>
  <si>
    <t xml:space="preserve">H-2442</t>
  </si>
  <si>
    <t xml:space="preserve">Function Stuck of 'Driver information and warnings' while in Highway curve near R_ODD with barrier or adjacent traffic (70–110 km/h), fog, visibility below the odd bound (outside odd, foreseeable).</t>
  </si>
  <si>
    <t xml:space="preserve">H-2443</t>
  </si>
  <si>
    <t xml:space="preserve">Function Stuck of 'Driver information and warnings' while in Undivided rural or arterial road, oncoming traffic (60–90 km/h), dry, daylight.</t>
  </si>
  <si>
    <t xml:space="preserve">H-2444</t>
  </si>
  <si>
    <t xml:space="preserve">Function Stuck of 'Driver information and warnings' while in Undivided rural or arterial road, oncoming traffic (60–90 km/h), wet road or light rain.</t>
  </si>
  <si>
    <t xml:space="preserve">H-2445</t>
  </si>
  <si>
    <t xml:space="preserve">Function Stuck of 'Driver information and warnings' while in Undivided rural or arterial road, oncoming traffic (60–90 km/h), night, dry, headlights.</t>
  </si>
  <si>
    <t xml:space="preserve">H-2446</t>
  </si>
  <si>
    <t xml:space="preserve">Function Stuck of 'Driver information and warnings' while in Undivided rural or arterial road, oncoming traffic (60–90 km/h), moderate or heavy rain (outside odd, foreseeable).</t>
  </si>
  <si>
    <t xml:space="preserve">H-2447</t>
  </si>
  <si>
    <t xml:space="preserve">Function Stuck of 'Driver information and warnings' while in Undivided rural or arterial road, oncoming traffic (60–90 km/h), snow or ice (outside odd, foreseeable).</t>
  </si>
  <si>
    <t xml:space="preserve">H-2448</t>
  </si>
  <si>
    <t xml:space="preserve">Function Stuck of 'Driver information and warnings' while in Undivided rural or arterial road, oncoming traffic (60–90 km/h), fog, visibility below the odd bound (outside odd, foreseeable).</t>
  </si>
  <si>
    <t xml:space="preserve">H-2449</t>
  </si>
  <si>
    <t xml:space="preserve">Function Stuck of 'Driver information and warnings' while in Urban arterial, pedestrians and cyclists near the lane edge (30–60 km/h), dry, daylight.</t>
  </si>
  <si>
    <t xml:space="preserve">H-2450</t>
  </si>
  <si>
    <t xml:space="preserve">Function Stuck of 'Driver information and warnings' while in Urban arterial, pedestrians and cyclists near the lane edge (30–60 km/h), wet road or light rain.</t>
  </si>
  <si>
    <t xml:space="preserve">H-2451</t>
  </si>
  <si>
    <t xml:space="preserve">Function Stuck of 'Driver information and warnings' while in Urban arterial, pedestrians and cyclists near the lane edge (30–60 km/h), night, dry, headlights.</t>
  </si>
  <si>
    <t xml:space="preserve">H-2452</t>
  </si>
  <si>
    <t xml:space="preserve">Function Stuck of 'Driver information and warnings' while in Urban arterial, pedestrians and cyclists near the lane edge (30–60 km/h), moderate or heavy rain (outside odd, foreseeable).</t>
  </si>
  <si>
    <t xml:space="preserve">H-2453</t>
  </si>
  <si>
    <t xml:space="preserve">Function Stuck of 'Driver information and warnings' while in Urban arterial, pedestrians and cyclists near the lane edge (30–60 km/h), snow or ice (outside odd, foreseeable).</t>
  </si>
  <si>
    <t xml:space="preserve">H-2454</t>
  </si>
  <si>
    <t xml:space="preserve">Function Stuck of 'Driver information and warnings' while in Urban arterial, pedestrians and cyclists near the lane edge (30–60 km/h), fog, visibility below the odd bound (outside odd, foreseeable).</t>
  </si>
  <si>
    <t xml:space="preserve">H-2455</t>
  </si>
  <si>
    <t xml:space="preserve">Function Stuck of 'Driver information and warnings' while in Following a lead vehicle at a short gap, dense traffic (30–110 km/h), dry, daylight.</t>
  </si>
  <si>
    <t xml:space="preserve">H-2456</t>
  </si>
  <si>
    <t xml:space="preserve">Function Stuck of 'Driver information and warnings' while in Following a lead vehicle at a short gap, dense traffic (30–110 km/h), wet road or light rain.</t>
  </si>
  <si>
    <t xml:space="preserve">H-2457</t>
  </si>
  <si>
    <t xml:space="preserve">Function Stuck of 'Driver information and warnings' while in Following a lead vehicle at a short gap, dense traffic (30–110 km/h), night, dry, headlights.</t>
  </si>
  <si>
    <t xml:space="preserve">H-2458</t>
  </si>
  <si>
    <t xml:space="preserve">Function Stuck of 'Driver information and warnings' while in Following a lead vehicle at a short gap, dense traffic (30–110 km/h), moderate or heavy rain (outside odd, foreseeable).</t>
  </si>
  <si>
    <t xml:space="preserve">H-2459</t>
  </si>
  <si>
    <t xml:space="preserve">Function Stuck of 'Driver information and warnings' while in Following a lead vehicle at a short gap, dense traffic (30–110 km/h), snow or ice (outside odd, foreseeable).</t>
  </si>
  <si>
    <t xml:space="preserve">H-2460</t>
  </si>
  <si>
    <t xml:space="preserve">Function Stuck of 'Driver information and warnings' while in Following a lead vehicle at a short gap, dense traffic (30–110 km/h), fog, visibility below the odd bound (outside odd, foreseeable).</t>
  </si>
  <si>
    <t xml:space="preserve">H-2461</t>
  </si>
  <si>
    <t xml:space="preserve">Function Stuck of 'Driver information and warnings' while in Stop-and-go queue or standstill behind a lead; pedestrians may cross (0–30 km/h), dry, daylight.</t>
  </si>
  <si>
    <t xml:space="preserve">H-2462</t>
  </si>
  <si>
    <t xml:space="preserve">Function Stuck of 'Driver information and warnings' while in Stop-and-go queue or standstill behind a lead; pedestrians may cross (0–30 km/h), wet road or light rain.</t>
  </si>
  <si>
    <t xml:space="preserve">H-2463</t>
  </si>
  <si>
    <t xml:space="preserve">Function Stuck of 'Driver information and warnings' while in Stop-and-go queue or standstill behind a lead; pedestrians may cross (0–30 km/h), night, dry, headlights.</t>
  </si>
  <si>
    <t xml:space="preserve">H-2464</t>
  </si>
  <si>
    <t xml:space="preserve">Function Stuck of 'Driver information and warnings' while in Stop-and-go queue or standstill behind a lead; pedestrians may cross (0–30 km/h), moderate or heavy rain (outside odd, foreseeable).</t>
  </si>
  <si>
    <t xml:space="preserve">H-2465</t>
  </si>
  <si>
    <t xml:space="preserve">Function Stuck of 'Driver information and warnings' while in Stop-and-go queue or standstill behind a lead; pedestrians may cross (0–30 km/h), snow or ice (outside odd, foreseeable).</t>
  </si>
  <si>
    <t xml:space="preserve">H-2466</t>
  </si>
  <si>
    <t xml:space="preserve">Function Stuck of 'Driver information and warnings' while in Stop-and-go queue or standstill behind a lead; pedestrians may cross (0–30 km/h), fog, visibility below the odd bound (outside odd, foreseeable).</t>
  </si>
  <si>
    <t xml:space="preserve">H-2467</t>
  </si>
  <si>
    <t xml:space="preserve">Function Stuck of 'Driver information and warnings' while in Approaching slower or stationary traffic from highway speed (70–120 km/h), dry, daylight.</t>
  </si>
  <si>
    <t xml:space="preserve">H-2468</t>
  </si>
  <si>
    <t xml:space="preserve">Function Stuck of 'Driver information and warnings' while in Approaching slower or stationary traffic from highway speed (70–120 km/h), wet road or light rain.</t>
  </si>
  <si>
    <t xml:space="preserve">H-2469</t>
  </si>
  <si>
    <t xml:space="preserve">Function Stuck of 'Driver information and warnings' while in Approaching slower or stationary traffic from highway speed (70–120 km/h), night, dry, headlights.</t>
  </si>
  <si>
    <t xml:space="preserve">H-2470</t>
  </si>
  <si>
    <t xml:space="preserve">Function Stuck of 'Driver information and warnings' while in Approaching slower or stationary traffic from highway speed (70–120 km/h), moderate or heavy rain (outside odd, foreseeable).</t>
  </si>
  <si>
    <t xml:space="preserve">H-2471</t>
  </si>
  <si>
    <t xml:space="preserve">Function Stuck of 'Driver information and warnings' while in Approaching slower or stationary traffic from highway speed (70–120 km/h), snow or ice (outside odd, foreseeable).</t>
  </si>
  <si>
    <t xml:space="preserve">H-2472</t>
  </si>
  <si>
    <t xml:space="preserve">Function Stuck of 'Driver information and warnings' while in Approaching slower or stationary traffic from highway speed (70–120 km/h), fog, visibility below the odd bound (outside odd, foreseeable).</t>
  </si>
  <si>
    <t xml:space="preserve">H-2473</t>
  </si>
  <si>
    <t xml:space="preserve">Function Stuck of 'Driver information and warnings' while in Close following vehicle behind (gap &lt; 1.5 s) (50–120 km/h), dry, daylight.</t>
  </si>
  <si>
    <t xml:space="preserve">H-2474</t>
  </si>
  <si>
    <t xml:space="preserve">Function Stuck of 'Driver information and warnings' while in Close following vehicle behind (gap &lt; 1.5 s) (50–120 km/h), wet road or light rain.</t>
  </si>
  <si>
    <t xml:space="preserve">H-2475</t>
  </si>
  <si>
    <t xml:space="preserve">Function Stuck of 'Driver information and warnings' while in Close following vehicle behind (gap &lt; 1.5 s) (50–120 km/h), night, dry, headlights.</t>
  </si>
  <si>
    <t xml:space="preserve">H-2476</t>
  </si>
  <si>
    <t xml:space="preserve">Function Stuck of 'Driver information and warnings' while in Close following vehicle behind (gap &lt; 1.5 s) (50–120 km/h), moderate or heavy rain (outside odd, foreseeable).</t>
  </si>
  <si>
    <t xml:space="preserve">H-2477</t>
  </si>
  <si>
    <t xml:space="preserve">Function Stuck of 'Driver information and warnings' while in Close following vehicle behind (gap &lt; 1.5 s) (50–120 km/h), snow or ice (outside odd, foreseeable).</t>
  </si>
  <si>
    <t xml:space="preserve">H-2478</t>
  </si>
  <si>
    <t xml:space="preserve">Function Stuck of 'Driver information and warnings' while in Close following vehicle behind (gap &lt; 1.5 s) (50–120 km/h), fog, visibility below the odd bound (outside odd, foreseeable).</t>
  </si>
  <si>
    <t xml:space="preserve">H-2479</t>
  </si>
  <si>
    <t xml:space="preserve">Function Stuck of 'Driver information and warnings' while in Imminent collision where the stock PCS/AEB would intervene (0–120 km/h), dry, daylight.</t>
  </si>
  <si>
    <t xml:space="preserve">H-2480</t>
  </si>
  <si>
    <t xml:space="preserve">Function Stuck of 'Driver information and warnings' while in Imminent collision where the stock PCS/AEB would intervene (0–120 km/h), wet road or light rain.</t>
  </si>
  <si>
    <t xml:space="preserve">H-2481</t>
  </si>
  <si>
    <t xml:space="preserve">Function Stuck of 'Driver information and warnings' while in Imminent collision where the stock PCS/AEB would intervene (0–120 km/h), night, dry, headlights.</t>
  </si>
  <si>
    <t xml:space="preserve">H-2482</t>
  </si>
  <si>
    <t xml:space="preserve">Function Stuck of 'Driver information and warnings' while in Imminent collision where the stock PCS/AEB would intervene (0–120 km/h), moderate or heavy rain (outside odd, foreseeable).</t>
  </si>
  <si>
    <t xml:space="preserve">H-2483</t>
  </si>
  <si>
    <t xml:space="preserve">Function Stuck of 'Driver information and warnings' while in Imminent collision where the stock PCS/AEB would intervene (0–120 km/h), snow or ice (outside odd, foreseeable).</t>
  </si>
  <si>
    <t xml:space="preserve">H-2484</t>
  </si>
  <si>
    <t xml:space="preserve">Function Stuck of 'Driver information and warnings' while in Imminent collision where the stock PCS/AEB would intervene (0–120 km/h), fog, visibility below the odd bound (outside odd, foreseeable).</t>
  </si>
  <si>
    <t xml:space="preserve">H-2485</t>
  </si>
  <si>
    <t xml:space="preserve">Function Stuck of 'Driver information and warnings' while in Driver override while engaged: braking, cancel or evasive steering (0–120 km/h), dry, daylight.</t>
  </si>
  <si>
    <t xml:space="preserve">H-2486</t>
  </si>
  <si>
    <t xml:space="preserve">Function Stuck of 'Driver information and warnings' while in Driver override while engaged: braking, cancel or evasive steering (0–120 km/h), wet road or light rain.</t>
  </si>
  <si>
    <t xml:space="preserve">H-2487</t>
  </si>
  <si>
    <t xml:space="preserve">Function Stuck of 'Driver information and warnings' while in Driver override while engaged: braking, cancel or evasive steering (0–120 km/h), night, dry, headlights.</t>
  </si>
  <si>
    <t xml:space="preserve">H-2488</t>
  </si>
  <si>
    <t xml:space="preserve">Function Stuck of 'Driver information and warnings' while in Driver override while engaged: braking, cancel or evasive steering (0–120 km/h), moderate or heavy rain (outside odd, foreseeable).</t>
  </si>
  <si>
    <t xml:space="preserve">H-2489</t>
  </si>
  <si>
    <t xml:space="preserve">Function Stuck of 'Driver information and warnings' while in Driver override while engaged: braking, cancel or evasive steering (0–120 km/h), snow or ice (outside odd, foreseeable).</t>
  </si>
  <si>
    <t xml:space="preserve">H-2490</t>
  </si>
  <si>
    <t xml:space="preserve">Function Stuck of 'Driver information and warnings' while in Driver override while engaged: braking, cancel or evasive steering (0–120 km/h), fog, visibility below the odd bound (outside odd, foreseeable).</t>
  </si>
  <si>
    <t xml:space="preserve">H-2491</t>
  </si>
  <si>
    <t xml:space="preserve">Function Stuck of 'Driver information and warnings' while in Driver-initiated assisted lane change (70–120 km/h), dry, daylight.</t>
  </si>
  <si>
    <t xml:space="preserve">H-2492</t>
  </si>
  <si>
    <t xml:space="preserve">Function Stuck of 'Driver information and warnings' while in Driver-initiated assisted lane change (70–120 km/h), wet road or light rain.</t>
  </si>
  <si>
    <t xml:space="preserve">H-2493</t>
  </si>
  <si>
    <t xml:space="preserve">Function Stuck of 'Driver information and warnings' while in Driver-initiated assisted lane change (70–120 km/h), night, dry, headlights.</t>
  </si>
  <si>
    <t xml:space="preserve">H-2494</t>
  </si>
  <si>
    <t xml:space="preserve">Function Stuck of 'Driver information and warnings' while in Driver-initiated assisted lane change (70–120 km/h), moderate or heavy rain (outside odd, foreseeable).</t>
  </si>
  <si>
    <t xml:space="preserve">H-2495</t>
  </si>
  <si>
    <t xml:space="preserve">Function Stuck of 'Driver information and warnings' while in Driver-initiated assisted lane change (70–120 km/h), snow or ice (outside odd, foreseeable).</t>
  </si>
  <si>
    <t xml:space="preserve">H-2496</t>
  </si>
  <si>
    <t xml:space="preserve">Function Stuck of 'Driver information and warnings' while in Driver-initiated assisted lane change (70–120 km/h), fog, visibility below the odd bound (outside odd, foreseeable).</t>
  </si>
  <si>
    <t xml:space="preserve">H-2497</t>
  </si>
  <si>
    <t xml:space="preserve">Function Stuck of 'Driver information and warnings' while in Manual driving, item powered but not engaged (0–120 km/h), dry, daylight.</t>
  </si>
  <si>
    <t xml:space="preserve">H-2498</t>
  </si>
  <si>
    <t xml:space="preserve">Function Stuck of 'Driver information and warnings' while in Manual driving, item powered but not engaged (0–120 km/h), wet road or light rain.</t>
  </si>
  <si>
    <t xml:space="preserve">H-2499</t>
  </si>
  <si>
    <t xml:space="preserve">Function Stuck of 'Driver information and warnings' while in Manual driving, item powered but not engaged (0–120 km/h), night, dry, headlights.</t>
  </si>
  <si>
    <t xml:space="preserve">H-2500</t>
  </si>
  <si>
    <t xml:space="preserve">Function Stuck of 'Driver information and warnings' while in Manual driving, item powered but not engaged (0–120 km/h), moderate or heavy rain (outside odd, foreseeable).</t>
  </si>
  <si>
    <t xml:space="preserve">H-2501</t>
  </si>
  <si>
    <t xml:space="preserve">Function Stuck of 'Driver information and warnings' while in Manual driving, item powered but not engaged (0–120 km/h), snow or ice (outside odd, foreseeable).</t>
  </si>
  <si>
    <t xml:space="preserve">H-2502</t>
  </si>
  <si>
    <t xml:space="preserve">Function Stuck of 'Driver information and warnings' while in Manual driving, item powered but not engaged (0–120 km/h), fog, visibility below the odd bound (outside odd, foreseeable).</t>
  </si>
  <si>
    <t xml:space="preserve">H-2503</t>
  </si>
  <si>
    <t xml:space="preserve">Function Stuck of 'Driver information and warnings' while in Engaged outside the ODD (residential street, ramp, tight curve): foreseeable misuse (15–60 km/h), dry, daylight.</t>
  </si>
  <si>
    <t xml:space="preserve">H-2504</t>
  </si>
  <si>
    <t xml:space="preserve">Function Stuck of 'Driver information and warnings' while in Engaged outside the ODD (residential street, ramp, tight curve): foreseeable misuse (15–60 km/h), wet road or light rain.</t>
  </si>
  <si>
    <t xml:space="preserve">H-2505</t>
  </si>
  <si>
    <t xml:space="preserve">Function Stuck of 'Driver information and warnings' while in Engaged outside the ODD (residential street, ramp, tight curve): foreseeable misuse (15–60 km/h), night, dry, headlights.</t>
  </si>
  <si>
    <t xml:space="preserve">H-2506</t>
  </si>
  <si>
    <t xml:space="preserve">Function Stuck of 'Driver information and warnings' while in Engaged outside the ODD (residential street, ramp, tight curve): foreseeable misuse (15–60 km/h), moderate or heavy rain (outside odd, foreseeable).</t>
  </si>
  <si>
    <t xml:space="preserve">H-2507</t>
  </si>
  <si>
    <t xml:space="preserve">Function Stuck of 'Driver information and warnings' while in Engaged outside the ODD (residential street, ramp, tight curve): foreseeable misuse (15–60 km/h), snow or ice (outside odd, foreseeable).</t>
  </si>
  <si>
    <t xml:space="preserve">H-2508</t>
  </si>
  <si>
    <t xml:space="preserve">Function Stuck of 'Driver information and warnings' while in Engaged outside the ODD (residential street, ramp, tight curve): foreseeable misuse (15–60 km/h), fog, visibility below the odd bound (outside odd, foreseeable).</t>
  </si>
  <si>
    <t xml:space="preserve">H-2509</t>
  </si>
  <si>
    <t xml:space="preserve">Function Stuck of 'Driver information and warnings' while in Approaching a signalised or stop-controlled intersection (ODD-A) (30–90 km/h), dry, daylight.</t>
  </si>
  <si>
    <t xml:space="preserve">H-2510</t>
  </si>
  <si>
    <t xml:space="preserve">Function Stuck of 'Driver information and warnings' while in Approaching a signalised or stop-controlled intersection (ODD-A) (30–90 km/h), wet road or light rain.</t>
  </si>
  <si>
    <t xml:space="preserve">H-2511</t>
  </si>
  <si>
    <t xml:space="preserve">Function Stuck of 'Driver information and warnings' while in Approaching a signalised or stop-controlled intersection (ODD-A) (30–90 km/h), night, dry, headlights.</t>
  </si>
  <si>
    <t xml:space="preserve">H-2512</t>
  </si>
  <si>
    <t xml:space="preserve">Function Stuck of 'Driver information and warnings' while in Approaching a signalised or stop-controlled intersection (ODD-A) (30–90 km/h), moderate or heavy rain (outside odd, foreseeable).</t>
  </si>
  <si>
    <t xml:space="preserve">H-2513</t>
  </si>
  <si>
    <t xml:space="preserve">Function Stuck of 'Driver information and warnings' while in Approaching a signalised or stop-controlled intersection (ODD-A) (30–90 km/h), snow or ice (outside odd, foreseeable).</t>
  </si>
  <si>
    <t xml:space="preserve">H-2514</t>
  </si>
  <si>
    <t xml:space="preserve">Function Stuck of 'Driver information and warnings' while in Approaching a signalised or stop-controlled intersection (ODD-A) (30–90 km/h), fog, visibility below the odd bound (outside odd, foreseeable).</t>
  </si>
  <si>
    <t xml:space="preserve">H-2515</t>
  </si>
  <si>
    <t xml:space="preserve">Function Stuck of 'Driver information and warnings' while in Rural or arterial curve near R_ODD with oncoming traffic (60–90 km/h), dry, daylight.</t>
  </si>
  <si>
    <t xml:space="preserve">H-2516</t>
  </si>
  <si>
    <t xml:space="preserve">Function Stuck of 'Driver information and warnings' while in Rural or arterial curve near R_ODD with oncoming traffic (60–90 km/h), wet road or light rain.</t>
  </si>
  <si>
    <t xml:space="preserve">H-2517</t>
  </si>
  <si>
    <t xml:space="preserve">Function Stuck of 'Driver information and warnings' while in Rural or arterial curve near R_ODD with oncoming traffic (60–90 km/h), night, dry, headlights.</t>
  </si>
  <si>
    <t xml:space="preserve">H-2518</t>
  </si>
  <si>
    <t xml:space="preserve">Function Stuck of 'Driver information and warnings' while in Rural or arterial curve near R_ODD with oncoming traffic (60–90 km/h), moderate or heavy rain (outside odd, foreseeable).</t>
  </si>
  <si>
    <t xml:space="preserve">H-2519</t>
  </si>
  <si>
    <t xml:space="preserve">Function Stuck of 'Driver information and warnings' while in Rural or arterial curve near R_ODD with oncoming traffic (60–90 km/h), snow or ice (outside odd, foreseeable).</t>
  </si>
  <si>
    <t xml:space="preserve">H-2520</t>
  </si>
  <si>
    <t xml:space="preserve">Function Stuck of 'Driver information and warnings' while in Rural or arterial curve near R_ODD with oncoming traffic (60–90 km/h), fog, visibility below the odd bound (outside odd, foreseeable).</t>
  </si>
  <si>
    <t xml:space="preserve">H-2521</t>
  </si>
  <si>
    <t xml:space="preserve">Unrequested Function of 'Forward collision warning' while in Limited-access highway, free flow, adjacent traffic (90–120 km/h), dry, daylight.</t>
  </si>
  <si>
    <t xml:space="preserve">S0: Not hazardous here: a false warning without a close follower leads at most to a startle or a moderate driver brake (S1, QM in the draft §5.8).</t>
  </si>
  <si>
    <t xml:space="preserve">H-2522</t>
  </si>
  <si>
    <t xml:space="preserve">Unrequested Function of 'Forward collision warning' while in Limited-access highway, free flow, adjacent traffic (90–120 km/h), wet road or light rain.</t>
  </si>
  <si>
    <t xml:space="preserve">H-2523</t>
  </si>
  <si>
    <t xml:space="preserve">Unrequested Function of 'Forward collision warning' while in Limited-access highway, free flow, adjacent traffic (90–120 km/h), night, dry, headlights.</t>
  </si>
  <si>
    <t xml:space="preserve">H-2524</t>
  </si>
  <si>
    <t xml:space="preserve">Unrequested Function of 'Forward collision warning' while in Limited-access highway, free flow, adjacent traffic (90–120 km/h), moderate or heavy rain (outside odd, foreseeable).</t>
  </si>
  <si>
    <t xml:space="preserve">H-2525</t>
  </si>
  <si>
    <t xml:space="preserve">Unrequested Function of 'Forward collision warning' while in Limited-access highway, free flow, adjacent traffic (90–120 km/h), snow or ice (outside odd, foreseeable).</t>
  </si>
  <si>
    <t xml:space="preserve">H-2526</t>
  </si>
  <si>
    <t xml:space="preserve">Unrequested Function of 'Forward collision warning' while in Limited-access highway, free flow, adjacent traffic (90–120 km/h), fog, visibility below the odd bound (outside odd, foreseeable).</t>
  </si>
  <si>
    <t xml:space="preserve">H-2527</t>
  </si>
  <si>
    <t xml:space="preserve">Unrequested Function of 'Forward collision warning' while in Highway curve near R_ODD with barrier or adjacent traffic (70–110 km/h), dry, daylight.</t>
  </si>
  <si>
    <t xml:space="preserve">H-2528</t>
  </si>
  <si>
    <t xml:space="preserve">Unrequested Function of 'Forward collision warning' while in Highway curve near R_ODD with barrier or adjacent traffic (70–110 km/h), wet road or light rain.</t>
  </si>
  <si>
    <t xml:space="preserve">H-2529</t>
  </si>
  <si>
    <t xml:space="preserve">Unrequested Function of 'Forward collision warning' while in Highway curve near R_ODD with barrier or adjacent traffic (70–110 km/h), night, dry, headlights.</t>
  </si>
  <si>
    <t xml:space="preserve">H-2530</t>
  </si>
  <si>
    <t xml:space="preserve">Unrequested Function of 'Forward collision warning' while in Highway curve near R_ODD with barrier or adjacent traffic (70–110 km/h), moderate or heavy rain (outside odd, foreseeable).</t>
  </si>
  <si>
    <t xml:space="preserve">H-2531</t>
  </si>
  <si>
    <t xml:space="preserve">Unrequested Function of 'Forward collision warning' while in Highway curve near R_ODD with barrier or adjacent traffic (70–110 km/h), snow or ice (outside odd, foreseeable).</t>
  </si>
  <si>
    <t xml:space="preserve">H-2532</t>
  </si>
  <si>
    <t xml:space="preserve">Unrequested Function of 'Forward collision warning' while in Highway curve near R_ODD with barrier or adjacent traffic (70–110 km/h), fog, visibility below the odd bound (outside odd, foreseeable).</t>
  </si>
  <si>
    <t xml:space="preserve">H-2533</t>
  </si>
  <si>
    <t xml:space="preserve">Unrequested Function of 'Forward collision warning' while in Undivided rural or arterial road, oncoming traffic (60–90 km/h), dry, daylight.</t>
  </si>
  <si>
    <t xml:space="preserve">H-2534</t>
  </si>
  <si>
    <t xml:space="preserve">Unrequested Function of 'Forward collision warning' while in Undivided rural or arterial road, oncoming traffic (60–90 km/h), wet road or light rain.</t>
  </si>
  <si>
    <t xml:space="preserve">H-2535</t>
  </si>
  <si>
    <t xml:space="preserve">Unrequested Function of 'Forward collision warning' while in Undivided rural or arterial road, oncoming traffic (60–90 km/h), night, dry, headlights.</t>
  </si>
  <si>
    <t xml:space="preserve">H-2536</t>
  </si>
  <si>
    <t xml:space="preserve">Unrequested Function of 'Forward collision warning' while in Undivided rural or arterial road, oncoming traffic (60–90 km/h), moderate or heavy rain (outside odd, foreseeable).</t>
  </si>
  <si>
    <t xml:space="preserve">H-2537</t>
  </si>
  <si>
    <t xml:space="preserve">Unrequested Function of 'Forward collision warning' while in Undivided rural or arterial road, oncoming traffic (60–90 km/h), snow or ice (outside odd, foreseeable).</t>
  </si>
  <si>
    <t xml:space="preserve">H-2538</t>
  </si>
  <si>
    <t xml:space="preserve">Unrequested Function of 'Forward collision warning' while in Undivided rural or arterial road, oncoming traffic (60–90 km/h), fog, visibility below the odd bound (outside odd, foreseeable).</t>
  </si>
  <si>
    <t xml:space="preserve">H-2539</t>
  </si>
  <si>
    <t xml:space="preserve">Unrequested Function of 'Forward collision warning' while in Urban arterial, pedestrians and cyclists near the lane edge (30–60 km/h), dry, daylight.</t>
  </si>
  <si>
    <t xml:space="preserve">H-2540</t>
  </si>
  <si>
    <t xml:space="preserve">Unrequested Function of 'Forward collision warning' while in Urban arterial, pedestrians and cyclists near the lane edge (30–60 km/h), wet road or light rain.</t>
  </si>
  <si>
    <t xml:space="preserve">H-2541</t>
  </si>
  <si>
    <t xml:space="preserve">Unrequested Function of 'Forward collision warning' while in Urban arterial, pedestrians and cyclists near the lane edge (30–60 km/h), night, dry, headlights.</t>
  </si>
  <si>
    <t xml:space="preserve">H-2542</t>
  </si>
  <si>
    <t xml:space="preserve">Unrequested Function of 'Forward collision warning' while in Urban arterial, pedestrians and cyclists near the lane edge (30–60 km/h), moderate or heavy rain (outside odd, foreseeable).</t>
  </si>
  <si>
    <t xml:space="preserve">H-2543</t>
  </si>
  <si>
    <t xml:space="preserve">Unrequested Function of 'Forward collision warning' while in Urban arterial, pedestrians and cyclists near the lane edge (30–60 km/h), snow or ice (outside odd, foreseeable).</t>
  </si>
  <si>
    <t xml:space="preserve">H-2544</t>
  </si>
  <si>
    <t xml:space="preserve">Unrequested Function of 'Forward collision warning' while in Urban arterial, pedestrians and cyclists near the lane edge (30–60 km/h), fog, visibility below the odd bound (outside odd, foreseeable).</t>
  </si>
  <si>
    <t xml:space="preserve">H-2545</t>
  </si>
  <si>
    <t xml:space="preserve">Unrequested Function of 'Forward collision warning' while in Following a lead vehicle at a short gap, dense traffic (30–110 km/h), dry, daylight.</t>
  </si>
  <si>
    <t xml:space="preserve">S2: driver reflex-brakes on a false warning in dense traffic; rear impact by a follower.</t>
  </si>
  <si>
    <t xml:space="preserve">C1: the warning does not actuate; most drivers glance at the scene and brake moderately or not at all (≥ 99 %).</t>
  </si>
  <si>
    <t xml:space="preserve">H-2546</t>
  </si>
  <si>
    <t xml:space="preserve">Unrequested Function of 'Forward collision warning' while in Following a lead vehicle at a short gap, dense traffic (30–110 km/h), wet road or light rain.</t>
  </si>
  <si>
    <t xml:space="preserve">H-2547</t>
  </si>
  <si>
    <t xml:space="preserve">Unrequested Function of 'Forward collision warning' while in Following a lead vehicle at a short gap, dense traffic (30–110 km/h), night, dry, headlights.</t>
  </si>
  <si>
    <t xml:space="preserve">H-2548</t>
  </si>
  <si>
    <t xml:space="preserve">Unrequested Function of 'Forward collision warning' while in Following a lead vehicle at a short gap, dense traffic (30–110 km/h), moderate or heavy rain (outside odd, foreseeable).</t>
  </si>
  <si>
    <t xml:space="preserve">H-2549</t>
  </si>
  <si>
    <t xml:space="preserve">Unrequested Function of 'Forward collision warning' while in Following a lead vehicle at a short gap, dense traffic (30–110 km/h), snow or ice (outside odd, foreseeable).</t>
  </si>
  <si>
    <t xml:space="preserve">S2: driver reflex-brakes on a false warning in dense traffic; rear impact by a follower. Snow/ice: unexpected braking can destabilise the vehicle (S+1).</t>
  </si>
  <si>
    <t xml:space="preserve">C1: the warning does not actuate; most drivers glance at the scene and brake moderately or not at all (≥ 99 %). Snow/ice (C+1).</t>
  </si>
  <si>
    <t xml:space="preserve">H-2550</t>
  </si>
  <si>
    <t xml:space="preserve">Unrequested Function of 'Forward collision warning' while in Following a lead vehicle at a short gap, dense traffic (30–110 km/h), fog, visibility below the odd bound (outside odd, foreseeable).</t>
  </si>
  <si>
    <t xml:space="preserve">H-2551</t>
  </si>
  <si>
    <t xml:space="preserve">Unrequested Function of 'Forward collision warning' while in Stop-and-go queue or standstill behind a lead; pedestrians may cross (0–30 km/h), dry, daylight.</t>
  </si>
  <si>
    <t xml:space="preserve">H-2552</t>
  </si>
  <si>
    <t xml:space="preserve">Unrequested Function of 'Forward collision warning' while in Stop-and-go queue or standstill behind a lead; pedestrians may cross (0–30 km/h), wet road or light rain.</t>
  </si>
  <si>
    <t xml:space="preserve">H-2553</t>
  </si>
  <si>
    <t xml:space="preserve">Unrequested Function of 'Forward collision warning' while in Stop-and-go queue or standstill behind a lead; pedestrians may cross (0–30 km/h), night, dry, headlights.</t>
  </si>
  <si>
    <t xml:space="preserve">H-2554</t>
  </si>
  <si>
    <t xml:space="preserve">Unrequested Function of 'Forward collision warning' while in Stop-and-go queue or standstill behind a lead; pedestrians may cross (0–30 km/h), moderate or heavy rain (outside odd, foreseeable).</t>
  </si>
  <si>
    <t xml:space="preserve">H-2555</t>
  </si>
  <si>
    <t xml:space="preserve">Unrequested Function of 'Forward collision warning' while in Stop-and-go queue or standstill behind a lead; pedestrians may cross (0–30 km/h), snow or ice (outside odd, foreseeable).</t>
  </si>
  <si>
    <t xml:space="preserve">H-2556</t>
  </si>
  <si>
    <t xml:space="preserve">Unrequested Function of 'Forward collision warning' while in Stop-and-go queue or standstill behind a lead; pedestrians may cross (0–30 km/h), fog, visibility below the odd bound (outside odd, foreseeable).</t>
  </si>
  <si>
    <t xml:space="preserve">H-2557</t>
  </si>
  <si>
    <t xml:space="preserve">Unrequested Function of 'Forward collision warning' while in Approaching slower or stationary traffic from highway speed (70–120 km/h), dry, daylight.</t>
  </si>
  <si>
    <t xml:space="preserve">H-2558</t>
  </si>
  <si>
    <t xml:space="preserve">Unrequested Function of 'Forward collision warning' while in Approaching slower or stationary traffic from highway speed (70–120 km/h), wet road or light rain.</t>
  </si>
  <si>
    <t xml:space="preserve">H-2559</t>
  </si>
  <si>
    <t xml:space="preserve">Unrequested Function of 'Forward collision warning' while in Approaching slower or stationary traffic from highway speed (70–120 km/h), night, dry, headlights.</t>
  </si>
  <si>
    <t xml:space="preserve">H-2560</t>
  </si>
  <si>
    <t xml:space="preserve">Unrequested Function of 'Forward collision warning' while in Approaching slower or stationary traffic from highway speed (70–120 km/h), moderate or heavy rain (outside odd, foreseeable).</t>
  </si>
  <si>
    <t xml:space="preserve">H-2561</t>
  </si>
  <si>
    <t xml:space="preserve">Unrequested Function of 'Forward collision warning' while in Approaching slower or stationary traffic from highway speed (70–120 km/h), snow or ice (outside odd, foreseeable).</t>
  </si>
  <si>
    <t xml:space="preserve">H-2562</t>
  </si>
  <si>
    <t xml:space="preserve">Unrequested Function of 'Forward collision warning' while in Approaching slower or stationary traffic from highway speed (70–120 km/h), fog, visibility below the odd bound (outside odd, foreseeable).</t>
  </si>
  <si>
    <t xml:space="preserve">H-2563</t>
  </si>
  <si>
    <t xml:space="preserve">Unrequested Function of 'Forward collision warning' while in Close following vehicle behind (gap &lt; 1.5 s) (50–120 km/h), dry, daylight.</t>
  </si>
  <si>
    <t xml:space="preserve">S2: driver reflex-brakes with a close follower; rear impact.</t>
  </si>
  <si>
    <t xml:space="preserve">C1: as OS-05.</t>
  </si>
  <si>
    <t xml:space="preserve">H-2564</t>
  </si>
  <si>
    <t xml:space="preserve">Unrequested Function of 'Forward collision warning' while in Close following vehicle behind (gap &lt; 1.5 s) (50–120 km/h), wet road or light rain.</t>
  </si>
  <si>
    <t xml:space="preserve">H-2565</t>
  </si>
  <si>
    <t xml:space="preserve">Unrequested Function of 'Forward collision warning' while in Close following vehicle behind (gap &lt; 1.5 s) (50–120 km/h), night, dry, headlights.</t>
  </si>
  <si>
    <t xml:space="preserve">H-2566</t>
  </si>
  <si>
    <t xml:space="preserve">Unrequested Function of 'Forward collision warning' while in Close following vehicle behind (gap &lt; 1.5 s) (50–120 km/h), moderate or heavy rain (outside odd, foreseeable).</t>
  </si>
  <si>
    <t xml:space="preserve">H-2567</t>
  </si>
  <si>
    <t xml:space="preserve">Unrequested Function of 'Forward collision warning' while in Close following vehicle behind (gap &lt; 1.5 s) (50–120 km/h), snow or ice (outside odd, foreseeable).</t>
  </si>
  <si>
    <t xml:space="preserve">S2: driver reflex-brakes with a close follower; rear impact. Snow/ice: unexpected braking can destabilise the vehicle (S+1).</t>
  </si>
  <si>
    <t xml:space="preserve">C1: as OS-05. Snow/ice (C+1).</t>
  </si>
  <si>
    <t xml:space="preserve">H-2568</t>
  </si>
  <si>
    <t xml:space="preserve">Unrequested Function of 'Forward collision warning' while in Close following vehicle behind (gap &lt; 1.5 s) (50–120 km/h), fog, visibility below the odd bound (outside odd, foreseeable).</t>
  </si>
  <si>
    <t xml:space="preserve">H-2569</t>
  </si>
  <si>
    <t xml:space="preserve">Unrequested Function of 'Forward collision warning' while in Imminent collision where the stock PCS/AEB would intervene (0–120 km/h), dry, daylight.</t>
  </si>
  <si>
    <t xml:space="preserve">H-2570</t>
  </si>
  <si>
    <t xml:space="preserve">Unrequested Function of 'Forward collision warning' while in Imminent collision where the stock PCS/AEB would intervene (0–120 km/h), wet road or light rain.</t>
  </si>
  <si>
    <t xml:space="preserve">H-2571</t>
  </si>
  <si>
    <t xml:space="preserve">Unrequested Function of 'Forward collision warning' while in Imminent collision where the stock PCS/AEB would intervene (0–120 km/h), night, dry, headlights.</t>
  </si>
  <si>
    <t xml:space="preserve">H-2572</t>
  </si>
  <si>
    <t xml:space="preserve">Unrequested Function of 'Forward collision warning' while in Imminent collision where the stock PCS/AEB would intervene (0–120 km/h), moderate or heavy rain (outside odd, foreseeable).</t>
  </si>
  <si>
    <t xml:space="preserve">H-2573</t>
  </si>
  <si>
    <t xml:space="preserve">Unrequested Function of 'Forward collision warning' while in Imminent collision where the stock PCS/AEB would intervene (0–120 km/h), snow or ice (outside odd, foreseeable).</t>
  </si>
  <si>
    <t xml:space="preserve">H-2574</t>
  </si>
  <si>
    <t xml:space="preserve">Unrequested Function of 'Forward collision warning' while in Imminent collision where the stock PCS/AEB would intervene (0–120 km/h), fog, visibility below the odd bound (outside odd, foreseeable).</t>
  </si>
  <si>
    <t xml:space="preserve">H-2575</t>
  </si>
  <si>
    <t xml:space="preserve">Unrequested Function of 'Forward collision warning' while in Driver override while engaged: braking, cancel or evasive steering (0–120 km/h), dry, daylight.</t>
  </si>
  <si>
    <t xml:space="preserve">H-2576</t>
  </si>
  <si>
    <t xml:space="preserve">Unrequested Function of 'Forward collision warning' while in Driver override while engaged: braking, cancel or evasive steering (0–120 km/h), wet road or light rain.</t>
  </si>
  <si>
    <t xml:space="preserve">H-2577</t>
  </si>
  <si>
    <t xml:space="preserve">Unrequested Function of 'Forward collision warning' while in Driver override while engaged: braking, cancel or evasive steering (0–120 km/h), night, dry, headlights.</t>
  </si>
  <si>
    <t xml:space="preserve">H-2578</t>
  </si>
  <si>
    <t xml:space="preserve">Unrequested Function of 'Forward collision warning' while in Driver override while engaged: braking, cancel or evasive steering (0–120 km/h), moderate or heavy rain (outside odd, foreseeable).</t>
  </si>
  <si>
    <t xml:space="preserve">H-2579</t>
  </si>
  <si>
    <t xml:space="preserve">Unrequested Function of 'Forward collision warning' while in Driver override while engaged: braking, cancel or evasive steering (0–120 km/h), snow or ice (outside odd, foreseeable).</t>
  </si>
  <si>
    <t xml:space="preserve">H-2580</t>
  </si>
  <si>
    <t xml:space="preserve">Unrequested Function of 'Forward collision warning' while in Driver override while engaged: braking, cancel or evasive steering (0–120 km/h), fog, visibility below the odd bound (outside odd, foreseeable).</t>
  </si>
  <si>
    <t xml:space="preserve">H-2581</t>
  </si>
  <si>
    <t xml:space="preserve">Unrequested Function of 'Forward collision warning' while in Driver-initiated assisted lane change (70–120 km/h), dry, daylight.</t>
  </si>
  <si>
    <t xml:space="preserve">S2: driver reflex-brakes during a lane change in front of target-lane traffic.</t>
  </si>
  <si>
    <t xml:space="preserve">H-2582</t>
  </si>
  <si>
    <t xml:space="preserve">Unrequested Function of 'Forward collision warning' while in Driver-initiated assisted lane change (70–120 km/h), wet road or light rain.</t>
  </si>
  <si>
    <t xml:space="preserve">H-2583</t>
  </si>
  <si>
    <t xml:space="preserve">Unrequested Function of 'Forward collision warning' while in Driver-initiated assisted lane change (70–120 km/h), night, dry, headlights.</t>
  </si>
  <si>
    <t xml:space="preserve">H-2584</t>
  </si>
  <si>
    <t xml:space="preserve">Unrequested Function of 'Forward collision warning' while in Driver-initiated assisted lane change (70–120 km/h), moderate or heavy rain (outside odd, foreseeable).</t>
  </si>
  <si>
    <t xml:space="preserve">H-2585</t>
  </si>
  <si>
    <t xml:space="preserve">Unrequested Function of 'Forward collision warning' while in Driver-initiated assisted lane change (70–120 km/h), snow or ice (outside odd, foreseeable).</t>
  </si>
  <si>
    <t xml:space="preserve">S2: driver reflex-brakes during a lane change in front of target-lane traffic. Snow/ice: unexpected braking can destabilise the vehicle (S+1).</t>
  </si>
  <si>
    <t xml:space="preserve">H-2586</t>
  </si>
  <si>
    <t xml:space="preserve">Unrequested Function of 'Forward collision warning' while in Driver-initiated assisted lane change (70–120 km/h), fog, visibility below the odd bound (outside odd, foreseeable).</t>
  </si>
  <si>
    <t xml:space="preserve">H-2587</t>
  </si>
  <si>
    <t xml:space="preserve">Unrequested Function of 'Forward collision warning' while in Manual driving, item powered but not engaged (0–120 km/h), dry, daylight.</t>
  </si>
  <si>
    <t xml:space="preserve">S2: model FCW also fires when not engaged (selfdrived.py:442); reflex braking with a follower.</t>
  </si>
  <si>
    <t xml:space="preserve">H-2588</t>
  </si>
  <si>
    <t xml:space="preserve">Unrequested Function of 'Forward collision warning' while in Manual driving, item powered but not engaged (0–120 km/h), wet road or light rain.</t>
  </si>
  <si>
    <t xml:space="preserve">H-2589</t>
  </si>
  <si>
    <t xml:space="preserve">Unrequested Function of 'Forward collision warning' while in Manual driving, item powered but not engaged (0–120 km/h), night, dry, headlights.</t>
  </si>
  <si>
    <t xml:space="preserve">H-2590</t>
  </si>
  <si>
    <t xml:space="preserve">Unrequested Function of 'Forward collision warning' while in Manual driving, item powered but not engaged (0–120 km/h), moderate or heavy rain (outside odd, foreseeable).</t>
  </si>
  <si>
    <t xml:space="preserve">H-2591</t>
  </si>
  <si>
    <t xml:space="preserve">Unrequested Function of 'Forward collision warning' while in Manual driving, item powered but not engaged (0–120 km/h), snow or ice (outside odd, foreseeable).</t>
  </si>
  <si>
    <t xml:space="preserve">S2: model FCW also fires when not engaged (selfdrived.py:442); reflex braking with a follower. Snow/ice: unexpected braking can destabilise the vehicle (S+1).</t>
  </si>
  <si>
    <t xml:space="preserve">H-2592</t>
  </si>
  <si>
    <t xml:space="preserve">Unrequested Function of 'Forward collision warning' while in Manual driving, item powered but not engaged (0–120 km/h), fog, visibility below the odd bound (outside odd, foreseeable).</t>
  </si>
  <si>
    <t xml:space="preserve">H-2593</t>
  </si>
  <si>
    <t xml:space="preserve">Unrequested Function of 'Forward collision warning' while in Engaged outside the ODD (residential street, ramp, tight curve): foreseeable misuse (15–60 km/h), dry, daylight.</t>
  </si>
  <si>
    <t xml:space="preserve">H-2594</t>
  </si>
  <si>
    <t xml:space="preserve">Unrequested Function of 'Forward collision warning' while in Engaged outside the ODD (residential street, ramp, tight curve): foreseeable misuse (15–60 km/h), wet road or light rain.</t>
  </si>
  <si>
    <t xml:space="preserve">H-2595</t>
  </si>
  <si>
    <t xml:space="preserve">Unrequested Function of 'Forward collision warning' while in Engaged outside the ODD (residential street, ramp, tight curve): foreseeable misuse (15–60 km/h), night, dry, headlights.</t>
  </si>
  <si>
    <t xml:space="preserve">H-2596</t>
  </si>
  <si>
    <t xml:space="preserve">Unrequested Function of 'Forward collision warning' while in Engaged outside the ODD (residential street, ramp, tight curve): foreseeable misuse (15–60 km/h), moderate or heavy rain (outside odd, foreseeable).</t>
  </si>
  <si>
    <t xml:space="preserve">H-2597</t>
  </si>
  <si>
    <t xml:space="preserve">Unrequested Function of 'Forward collision warning' while in Engaged outside the ODD (residential street, ramp, tight curve): foreseeable misuse (15–60 km/h), snow or ice (outside odd, foreseeable).</t>
  </si>
  <si>
    <t xml:space="preserve">H-2598</t>
  </si>
  <si>
    <t xml:space="preserve">Unrequested Function of 'Forward collision warning' while in Engaged outside the ODD (residential street, ramp, tight curve): foreseeable misuse (15–60 km/h), fog, visibility below the odd bound (outside odd, foreseeable).</t>
  </si>
  <si>
    <t xml:space="preserve">H-2599</t>
  </si>
  <si>
    <t xml:space="preserve">Unrequested Function of 'Forward collision warning' while in Approaching a signalised or stop-controlled intersection (ODD-A) (30–90 km/h), dry, daylight.</t>
  </si>
  <si>
    <t xml:space="preserve">H-2600</t>
  </si>
  <si>
    <t xml:space="preserve">Unrequested Function of 'Forward collision warning' while in Approaching a signalised or stop-controlled intersection (ODD-A) (30–90 km/h), wet road or light rain.</t>
  </si>
  <si>
    <t xml:space="preserve">H-2601</t>
  </si>
  <si>
    <t xml:space="preserve">Unrequested Function of 'Forward collision warning' while in Approaching a signalised or stop-controlled intersection (ODD-A) (30–90 km/h), night, dry, headlights.</t>
  </si>
  <si>
    <t xml:space="preserve">H-2602</t>
  </si>
  <si>
    <t xml:space="preserve">Unrequested Function of 'Forward collision warning' while in Approaching a signalised or stop-controlled intersection (ODD-A) (30–90 km/h), moderate or heavy rain (outside odd, foreseeable).</t>
  </si>
  <si>
    <t xml:space="preserve">H-2603</t>
  </si>
  <si>
    <t xml:space="preserve">Unrequested Function of 'Forward collision warning' while in Approaching a signalised or stop-controlled intersection (ODD-A) (30–90 km/h), snow or ice (outside odd, foreseeable).</t>
  </si>
  <si>
    <t xml:space="preserve">H-2604</t>
  </si>
  <si>
    <t xml:space="preserve">Unrequested Function of 'Forward collision warning' while in Approaching a signalised or stop-controlled intersection (ODD-A) (30–90 km/h), fog, visibility below the odd bound (outside odd, foreseeable).</t>
  </si>
  <si>
    <t xml:space="preserve">H-2605</t>
  </si>
  <si>
    <t xml:space="preserve">Unrequested Function of 'Forward collision warning' while in Rural or arterial curve near R_ODD with oncoming traffic (60–90 km/h), dry, daylight.</t>
  </si>
  <si>
    <t xml:space="preserve">H-2606</t>
  </si>
  <si>
    <t xml:space="preserve">Unrequested Function of 'Forward collision warning' while in Rural or arterial curve near R_ODD with oncoming traffic (60–90 km/h), wet road or light rain.</t>
  </si>
  <si>
    <t xml:space="preserve">H-2607</t>
  </si>
  <si>
    <t xml:space="preserve">Unrequested Function of 'Forward collision warning' while in Rural or arterial curve near R_ODD with oncoming traffic (60–90 km/h), night, dry, headlights.</t>
  </si>
  <si>
    <t xml:space="preserve">H-2608</t>
  </si>
  <si>
    <t xml:space="preserve">Unrequested Function of 'Forward collision warning' while in Rural or arterial curve near R_ODD with oncoming traffic (60–90 km/h), moderate or heavy rain (outside odd, foreseeable).</t>
  </si>
  <si>
    <t xml:space="preserve">H-2609</t>
  </si>
  <si>
    <t xml:space="preserve">Unrequested Function of 'Forward collision warning' while in Rural or arterial curve near R_ODD with oncoming traffic (60–90 km/h), snow or ice (outside odd, foreseeable).</t>
  </si>
  <si>
    <t xml:space="preserve">H-2610</t>
  </si>
  <si>
    <t xml:space="preserve">Unrequested Function of 'Forward collision warning' while in Rural or arterial curve near R_ODD with oncoming traffic (60–90 km/h), fog, visibility below the odd bound (outside odd, foreseeable).</t>
  </si>
  <si>
    <t xml:space="preserve">H-2611</t>
  </si>
  <si>
    <t xml:space="preserve">Unrequested Function of 'Safety envelope and camera-message forwarding' while in Limited-access highway, free flow, adjacent traffic (90–120 km/h), dry, daylight.</t>
  </si>
  <si>
    <t xml:space="preserve">S0: Not hazardous here: the stock PCS is not demanded outside an imminent-collision situation.</t>
  </si>
  <si>
    <t xml:space="preserve">H-2612</t>
  </si>
  <si>
    <t xml:space="preserve">Unrequested Function of 'Safety envelope and camera-message forwarding' while in Limited-access highway, free flow, adjacent traffic (90–120 km/h), wet road or light rain.</t>
  </si>
  <si>
    <t xml:space="preserve">H-2613</t>
  </si>
  <si>
    <t xml:space="preserve">Unrequested Function of 'Safety envelope and camera-message forwarding' while in Limited-access highway, free flow, adjacent traffic (90–120 km/h), night, dry, headlights.</t>
  </si>
  <si>
    <t xml:space="preserve">H-2614</t>
  </si>
  <si>
    <t xml:space="preserve">Unrequested Function of 'Safety envelope and camera-message forwarding' while in Limited-access highway, free flow, adjacent traffic (90–120 km/h), moderate or heavy rain (outside odd, foreseeable).</t>
  </si>
  <si>
    <t xml:space="preserve">H-2615</t>
  </si>
  <si>
    <t xml:space="preserve">Unrequested Function of 'Safety envelope and camera-message forwarding' while in Limited-access highway, free flow, adjacent traffic (90–120 km/h), snow or ice (outside odd, foreseeable).</t>
  </si>
  <si>
    <t xml:space="preserve">H-2616</t>
  </si>
  <si>
    <t xml:space="preserve">Unrequested Function of 'Safety envelope and camera-message forwarding' while in Limited-access highway, free flow, adjacent traffic (90–120 km/h), fog, visibility below the odd bound (outside odd, foreseeable).</t>
  </si>
  <si>
    <t xml:space="preserve">H-2617</t>
  </si>
  <si>
    <t xml:space="preserve">Unrequested Function of 'Safety envelope and camera-message forwarding' while in Highway curve near R_ODD with barrier or adjacent traffic (70–110 km/h), dry, daylight.</t>
  </si>
  <si>
    <t xml:space="preserve">H-2618</t>
  </si>
  <si>
    <t xml:space="preserve">Unrequested Function of 'Safety envelope and camera-message forwarding' while in Highway curve near R_ODD with barrier or adjacent traffic (70–110 km/h), wet road or light rain.</t>
  </si>
  <si>
    <t xml:space="preserve">H-2619</t>
  </si>
  <si>
    <t xml:space="preserve">Unrequested Function of 'Safety envelope and camera-message forwarding' while in Highway curve near R_ODD with barrier or adjacent traffic (70–110 km/h), night, dry, headlights.</t>
  </si>
  <si>
    <t xml:space="preserve">H-2620</t>
  </si>
  <si>
    <t xml:space="preserve">Unrequested Function of 'Safety envelope and camera-message forwarding' while in Highway curve near R_ODD with barrier or adjacent traffic (70–110 km/h), moderate or heavy rain (outside odd, foreseeable).</t>
  </si>
  <si>
    <t xml:space="preserve">H-2621</t>
  </si>
  <si>
    <t xml:space="preserve">Unrequested Function of 'Safety envelope and camera-message forwarding' while in Highway curve near R_ODD with barrier or adjacent traffic (70–110 km/h), snow or ice (outside odd, foreseeable).</t>
  </si>
  <si>
    <t xml:space="preserve">H-2622</t>
  </si>
  <si>
    <t xml:space="preserve">Unrequested Function of 'Safety envelope and camera-message forwarding' while in Highway curve near R_ODD with barrier or adjacent traffic (70–110 km/h), fog, visibility below the odd bound (outside odd, foreseeable).</t>
  </si>
  <si>
    <t xml:space="preserve">H-2623</t>
  </si>
  <si>
    <t xml:space="preserve">Unrequested Function of 'Safety envelope and camera-message forwarding' while in Undivided rural or arterial road, oncoming traffic (60–90 km/h), dry, daylight.</t>
  </si>
  <si>
    <t xml:space="preserve">H-2624</t>
  </si>
  <si>
    <t xml:space="preserve">Unrequested Function of 'Safety envelope and camera-message forwarding' while in Undivided rural or arterial road, oncoming traffic (60–90 km/h), wet road or light rain.</t>
  </si>
  <si>
    <t xml:space="preserve">H-2625</t>
  </si>
  <si>
    <t xml:space="preserve">Unrequested Function of 'Safety envelope and camera-message forwarding' while in Undivided rural or arterial road, oncoming traffic (60–90 km/h), night, dry, headlights.</t>
  </si>
  <si>
    <t xml:space="preserve">H-2626</t>
  </si>
  <si>
    <t xml:space="preserve">Unrequested Function of 'Safety envelope and camera-message forwarding' while in Undivided rural or arterial road, oncoming traffic (60–90 km/h), moderate or heavy rain (outside odd, foreseeable).</t>
  </si>
  <si>
    <t xml:space="preserve">H-2627</t>
  </si>
  <si>
    <t xml:space="preserve">Unrequested Function of 'Safety envelope and camera-message forwarding' while in Undivided rural or arterial road, oncoming traffic (60–90 km/h), snow or ice (outside odd, foreseeable).</t>
  </si>
  <si>
    <t xml:space="preserve">H-2628</t>
  </si>
  <si>
    <t xml:space="preserve">Unrequested Function of 'Safety envelope and camera-message forwarding' while in Undivided rural or arterial road, oncoming traffic (60–90 km/h), fog, visibility below the odd bound (outside odd, foreseeable).</t>
  </si>
  <si>
    <t xml:space="preserve">H-2629</t>
  </si>
  <si>
    <t xml:space="preserve">Unrequested Function of 'Safety envelope and camera-message forwarding' while in Urban arterial, pedestrians and cyclists near the lane edge (30–60 km/h), dry, daylight.</t>
  </si>
  <si>
    <t xml:space="preserve">H-2630</t>
  </si>
  <si>
    <t xml:space="preserve">Unrequested Function of 'Safety envelope and camera-message forwarding' while in Urban arterial, pedestrians and cyclists near the lane edge (30–60 km/h), wet road or light rain.</t>
  </si>
  <si>
    <t xml:space="preserve">H-2631</t>
  </si>
  <si>
    <t xml:space="preserve">Unrequested Function of 'Safety envelope and camera-message forwarding' while in Urban arterial, pedestrians and cyclists near the lane edge (30–60 km/h), night, dry, headlights.</t>
  </si>
  <si>
    <t xml:space="preserve">H-2632</t>
  </si>
  <si>
    <t xml:space="preserve">Unrequested Function of 'Safety envelope and camera-message forwarding' while in Urban arterial, pedestrians and cyclists near the lane edge (30–60 km/h), moderate or heavy rain (outside odd, foreseeable).</t>
  </si>
  <si>
    <t xml:space="preserve">H-2633</t>
  </si>
  <si>
    <t xml:space="preserve">Unrequested Function of 'Safety envelope and camera-message forwarding' while in Urban arterial, pedestrians and cyclists near the lane edge (30–60 km/h), snow or ice (outside odd, foreseeable).</t>
  </si>
  <si>
    <t xml:space="preserve">H-2634</t>
  </si>
  <si>
    <t xml:space="preserve">Unrequested Function of 'Safety envelope and camera-message forwarding' while in Urban arterial, pedestrians and cyclists near the lane edge (30–60 km/h), fog, visibility below the odd bound (outside odd, foreseeable).</t>
  </si>
  <si>
    <t xml:space="preserve">H-2635</t>
  </si>
  <si>
    <t xml:space="preserve">Unrequested Function of 'Safety envelope and camera-message forwarding' while in Following a lead vehicle at a short gap, dense traffic (30–110 km/h), dry, daylight.</t>
  </si>
  <si>
    <t xml:space="preserve">H-2636</t>
  </si>
  <si>
    <t xml:space="preserve">Unrequested Function of 'Safety envelope and camera-message forwarding' while in Following a lead vehicle at a short gap, dense traffic (30–110 km/h), wet road or light rain.</t>
  </si>
  <si>
    <t xml:space="preserve">H-2637</t>
  </si>
  <si>
    <t xml:space="preserve">Unrequested Function of 'Safety envelope and camera-message forwarding' while in Following a lead vehicle at a short gap, dense traffic (30–110 km/h), night, dry, headlights.</t>
  </si>
  <si>
    <t xml:space="preserve">H-2638</t>
  </si>
  <si>
    <t xml:space="preserve">Unrequested Function of 'Safety envelope and camera-message forwarding' while in Following a lead vehicle at a short gap, dense traffic (30–110 km/h), moderate or heavy rain (outside odd, foreseeable).</t>
  </si>
  <si>
    <t xml:space="preserve">H-2639</t>
  </si>
  <si>
    <t xml:space="preserve">Unrequested Function of 'Safety envelope and camera-message forwarding' while in Following a lead vehicle at a short gap, dense traffic (30–110 km/h), snow or ice (outside odd, foreseeable).</t>
  </si>
  <si>
    <t xml:space="preserve">H-2640</t>
  </si>
  <si>
    <t xml:space="preserve">Unrequested Function of 'Safety envelope and camera-message forwarding' while in Following a lead vehicle at a short gap, dense traffic (30–110 km/h), fog, visibility below the odd bound (outside odd, foreseeable).</t>
  </si>
  <si>
    <t xml:space="preserve">H-2641</t>
  </si>
  <si>
    <t xml:space="preserve">Unrequested Function of 'Safety envelope and camera-message forwarding' while in Stop-and-go queue or standstill behind a lead; pedestrians may cross (0–30 km/h), dry, daylight.</t>
  </si>
  <si>
    <t xml:space="preserve">H-2642</t>
  </si>
  <si>
    <t xml:space="preserve">Unrequested Function of 'Safety envelope and camera-message forwarding' while in Stop-and-go queue or standstill behind a lead; pedestrians may cross (0–30 km/h), wet road or light rain.</t>
  </si>
  <si>
    <t xml:space="preserve">H-2643</t>
  </si>
  <si>
    <t xml:space="preserve">Unrequested Function of 'Safety envelope and camera-message forwarding' while in Stop-and-go queue or standstill behind a lead; pedestrians may cross (0–30 km/h), night, dry, headlights.</t>
  </si>
  <si>
    <t xml:space="preserve">H-2644</t>
  </si>
  <si>
    <t xml:space="preserve">Unrequested Function of 'Safety envelope and camera-message forwarding' while in Stop-and-go queue or standstill behind a lead; pedestrians may cross (0–30 km/h), moderate or heavy rain (outside odd, foreseeable).</t>
  </si>
  <si>
    <t xml:space="preserve">H-2645</t>
  </si>
  <si>
    <t xml:space="preserve">Unrequested Function of 'Safety envelope and camera-message forwarding' while in Stop-and-go queue or standstill behind a lead; pedestrians may cross (0–30 km/h), snow or ice (outside odd, foreseeable).</t>
  </si>
  <si>
    <t xml:space="preserve">H-2646</t>
  </si>
  <si>
    <t xml:space="preserve">Unrequested Function of 'Safety envelope and camera-message forwarding' while in Stop-and-go queue or standstill behind a lead; pedestrians may cross (0–30 km/h), fog, visibility below the odd bound (outside odd, foreseeable).</t>
  </si>
  <si>
    <t xml:space="preserve">H-2647</t>
  </si>
  <si>
    <t xml:space="preserve">Unrequested Function of 'Safety envelope and camera-message forwarding' while in Approaching slower or stationary traffic from highway speed (70–120 km/h), dry, daylight.</t>
  </si>
  <si>
    <t xml:space="preserve">H-2648</t>
  </si>
  <si>
    <t xml:space="preserve">Unrequested Function of 'Safety envelope and camera-message forwarding' while in Approaching slower or stationary traffic from highway speed (70–120 km/h), wet road or light rain.</t>
  </si>
  <si>
    <t xml:space="preserve">H-2649</t>
  </si>
  <si>
    <t xml:space="preserve">Unrequested Function of 'Safety envelope and camera-message forwarding' while in Approaching slower or stationary traffic from highway speed (70–120 km/h), night, dry, headlights.</t>
  </si>
  <si>
    <t xml:space="preserve">H-2650</t>
  </si>
  <si>
    <t xml:space="preserve">Unrequested Function of 'Safety envelope and camera-message forwarding' while in Approaching slower or stationary traffic from highway speed (70–120 km/h), moderate or heavy rain (outside odd, foreseeable).</t>
  </si>
  <si>
    <t xml:space="preserve">H-2651</t>
  </si>
  <si>
    <t xml:space="preserve">Unrequested Function of 'Safety envelope and camera-message forwarding' while in Approaching slower or stationary traffic from highway speed (70–120 km/h), snow or ice (outside odd, foreseeable).</t>
  </si>
  <si>
    <t xml:space="preserve">H-2652</t>
  </si>
  <si>
    <t xml:space="preserve">Unrequested Function of 'Safety envelope and camera-message forwarding' while in Approaching slower or stationary traffic from highway speed (70–120 km/h), fog, visibility below the odd bound (outside odd, foreseeable).</t>
  </si>
  <si>
    <t xml:space="preserve">H-2653</t>
  </si>
  <si>
    <t xml:space="preserve">Unrequested Function of 'Safety envelope and camera-message forwarding' while in Close following vehicle behind (gap &lt; 1.5 s) (50–120 km/h), dry, daylight.</t>
  </si>
  <si>
    <t xml:space="preserve">H-2654</t>
  </si>
  <si>
    <t xml:space="preserve">Unrequested Function of 'Safety envelope and camera-message forwarding' while in Close following vehicle behind (gap &lt; 1.5 s) (50–120 km/h), wet road or light rain.</t>
  </si>
  <si>
    <t xml:space="preserve">H-2655</t>
  </si>
  <si>
    <t xml:space="preserve">Unrequested Function of 'Safety envelope and camera-message forwarding' while in Close following vehicle behind (gap &lt; 1.5 s) (50–120 km/h), night, dry, headlights.</t>
  </si>
  <si>
    <t xml:space="preserve">H-2656</t>
  </si>
  <si>
    <t xml:space="preserve">Unrequested Function of 'Safety envelope and camera-message forwarding' while in Close following vehicle behind (gap &lt; 1.5 s) (50–120 km/h), moderate or heavy rain (outside odd, foreseeable).</t>
  </si>
  <si>
    <t xml:space="preserve">H-2657</t>
  </si>
  <si>
    <t xml:space="preserve">Unrequested Function of 'Safety envelope and camera-message forwarding' while in Close following vehicle behind (gap &lt; 1.5 s) (50–120 km/h), snow or ice (outside odd, foreseeable).</t>
  </si>
  <si>
    <t xml:space="preserve">H-2658</t>
  </si>
  <si>
    <t xml:space="preserve">Unrequested Function of 'Safety envelope and camera-message forwarding' while in Close following vehicle behind (gap &lt; 1.5 s) (50–120 km/h), fog, visibility below the odd bound (outside odd, foreseeable).</t>
  </si>
  <si>
    <t xml:space="preserve">H-2659</t>
  </si>
  <si>
    <t xml:space="preserve">Unrequested Function of 'Safety envelope and camera-message forwarding' while in Imminent collision where the stock PCS/AEB would intervene (0–120 km/h), dry, daylight.</t>
  </si>
  <si>
    <t xml:space="preserve">S3: PCS-relevant impacts are severe (HE-08.1).</t>
  </si>
  <si>
    <t xml:space="preserve">C3: by definition the driver did not avoid the situation; the stock function exists for this case.</t>
  </si>
  <si>
    <t xml:space="preserve">H-2660</t>
  </si>
  <si>
    <t xml:space="preserve">Unrequested Function of 'Safety envelope and camera-message forwarding' while in Imminent collision where the stock PCS/AEB would intervene (0–120 km/h), wet road or light rain.</t>
  </si>
  <si>
    <t xml:space="preserve">H-2661</t>
  </si>
  <si>
    <t xml:space="preserve">Unrequested Function of 'Safety envelope and camera-message forwarding' while in Imminent collision where the stock PCS/AEB would intervene (0–120 km/h), night, dry, headlights.</t>
  </si>
  <si>
    <t xml:space="preserve">H-2662</t>
  </si>
  <si>
    <t xml:space="preserve">Unrequested Function of 'Safety envelope and camera-message forwarding' while in Imminent collision where the stock PCS/AEB would intervene (0–120 km/h), moderate or heavy rain (outside odd, foreseeable).</t>
  </si>
  <si>
    <t xml:space="preserve">H-2663</t>
  </si>
  <si>
    <t xml:space="preserve">Unrequested Function of 'Safety envelope and camera-message forwarding' while in Imminent collision where the stock PCS/AEB would intervene (0–120 km/h), snow or ice (outside odd, foreseeable).</t>
  </si>
  <si>
    <t xml:space="preserve">H-2664</t>
  </si>
  <si>
    <t xml:space="preserve">Unrequested Function of 'Safety envelope and camera-message forwarding' while in Imminent collision where the stock PCS/AEB would intervene (0–120 km/h), fog, visibility below the odd bound (outside odd, foreseeable).</t>
  </si>
  <si>
    <t xml:space="preserve">H-2665</t>
  </si>
  <si>
    <t xml:space="preserve">Unrequested Function of 'Safety envelope and camera-message forwarding' while in Driver override while engaged: braking, cancel or evasive steering (0–120 km/h), dry, daylight.</t>
  </si>
  <si>
    <t xml:space="preserve">H-2666</t>
  </si>
  <si>
    <t xml:space="preserve">Unrequested Function of 'Safety envelope and camera-message forwarding' while in Driver override while engaged: braking, cancel or evasive steering (0–120 km/h), wet road or light rain.</t>
  </si>
  <si>
    <t xml:space="preserve">H-2667</t>
  </si>
  <si>
    <t xml:space="preserve">Unrequested Function of 'Safety envelope and camera-message forwarding' while in Driver override while engaged: braking, cancel or evasive steering (0–120 km/h), night, dry, headlights.</t>
  </si>
  <si>
    <t xml:space="preserve">H-2668</t>
  </si>
  <si>
    <t xml:space="preserve">Unrequested Function of 'Safety envelope and camera-message forwarding' while in Driver override while engaged: braking, cancel or evasive steering (0–120 km/h), moderate or heavy rain (outside odd, foreseeable).</t>
  </si>
  <si>
    <t xml:space="preserve">H-2669</t>
  </si>
  <si>
    <t xml:space="preserve">Unrequested Function of 'Safety envelope and camera-message forwarding' while in Driver override while engaged: braking, cancel or evasive steering (0–120 km/h), snow or ice (outside odd, foreseeable).</t>
  </si>
  <si>
    <t xml:space="preserve">H-2670</t>
  </si>
  <si>
    <t xml:space="preserve">Unrequested Function of 'Safety envelope and camera-message forwarding' while in Driver override while engaged: braking, cancel or evasive steering (0–120 km/h), fog, visibility below the odd bound (outside odd, foreseeable).</t>
  </si>
  <si>
    <t xml:space="preserve">H-2671</t>
  </si>
  <si>
    <t xml:space="preserve">Unrequested Function of 'Safety envelope and camera-message forwarding' while in Driver-initiated assisted lane change (70–120 km/h), dry, daylight.</t>
  </si>
  <si>
    <t xml:space="preserve">H-2672</t>
  </si>
  <si>
    <t xml:space="preserve">Unrequested Function of 'Safety envelope and camera-message forwarding' while in Driver-initiated assisted lane change (70–120 km/h), wet road or light rain.</t>
  </si>
  <si>
    <t xml:space="preserve">H-2673</t>
  </si>
  <si>
    <t xml:space="preserve">Unrequested Function of 'Safety envelope and camera-message forwarding' while in Driver-initiated assisted lane change (70–120 km/h), night, dry, headlights.</t>
  </si>
  <si>
    <t xml:space="preserve">H-2674</t>
  </si>
  <si>
    <t xml:space="preserve">Unrequested Function of 'Safety envelope and camera-message forwarding' while in Driver-initiated assisted lane change (70–120 km/h), moderate or heavy rain (outside odd, foreseeable).</t>
  </si>
  <si>
    <t xml:space="preserve">H-2675</t>
  </si>
  <si>
    <t xml:space="preserve">Unrequested Function of 'Safety envelope and camera-message forwarding' while in Driver-initiated assisted lane change (70–120 km/h), snow or ice (outside odd, foreseeable).</t>
  </si>
  <si>
    <t xml:space="preserve">H-2676</t>
  </si>
  <si>
    <t xml:space="preserve">Unrequested Function of 'Safety envelope and camera-message forwarding' while in Driver-initiated assisted lane change (70–120 km/h), fog, visibility below the odd bound (outside odd, foreseeable).</t>
  </si>
  <si>
    <t xml:space="preserve">H-2677</t>
  </si>
  <si>
    <t xml:space="preserve">Unrequested Function of 'Safety envelope and camera-message forwarding' while in Manual driving, item powered but not engaged (0–120 km/h), dry, daylight.</t>
  </si>
  <si>
    <t xml:space="preserve">H-2678</t>
  </si>
  <si>
    <t xml:space="preserve">Unrequested Function of 'Safety envelope and camera-message forwarding' while in Manual driving, item powered but not engaged (0–120 km/h), wet road or light rain.</t>
  </si>
  <si>
    <t xml:space="preserve">H-2679</t>
  </si>
  <si>
    <t xml:space="preserve">Unrequested Function of 'Safety envelope and camera-message forwarding' while in Manual driving, item powered but not engaged (0–120 km/h), night, dry, headlights.</t>
  </si>
  <si>
    <t xml:space="preserve">H-2680</t>
  </si>
  <si>
    <t xml:space="preserve">Unrequested Function of 'Safety envelope and camera-message forwarding' while in Manual driving, item powered but not engaged (0–120 km/h), moderate or heavy rain (outside odd, foreseeable).</t>
  </si>
  <si>
    <t xml:space="preserve">H-2681</t>
  </si>
  <si>
    <t xml:space="preserve">Unrequested Function of 'Safety envelope and camera-message forwarding' while in Manual driving, item powered but not engaged (0–120 km/h), snow or ice (outside odd, foreseeable).</t>
  </si>
  <si>
    <t xml:space="preserve">H-2682</t>
  </si>
  <si>
    <t xml:space="preserve">Unrequested Function of 'Safety envelope and camera-message forwarding' while in Manual driving, item powered but not engaged (0–120 km/h), fog, visibility below the odd bound (outside odd, foreseeable).</t>
  </si>
  <si>
    <t xml:space="preserve">H-2683</t>
  </si>
  <si>
    <t xml:space="preserve">Unrequested Function of 'Safety envelope and camera-message forwarding' while in Engaged outside the ODD (residential street, ramp, tight curve): foreseeable misuse (15–60 km/h), dry, daylight.</t>
  </si>
  <si>
    <t xml:space="preserve">H-2684</t>
  </si>
  <si>
    <t xml:space="preserve">Unrequested Function of 'Safety envelope and camera-message forwarding' while in Engaged outside the ODD (residential street, ramp, tight curve): foreseeable misuse (15–60 km/h), wet road or light rain.</t>
  </si>
  <si>
    <t xml:space="preserve">H-2685</t>
  </si>
  <si>
    <t xml:space="preserve">Unrequested Function of 'Safety envelope and camera-message forwarding' while in Engaged outside the ODD (residential street, ramp, tight curve): foreseeable misuse (15–60 km/h), night, dry, headlights.</t>
  </si>
  <si>
    <t xml:space="preserve">H-2686</t>
  </si>
  <si>
    <t xml:space="preserve">Unrequested Function of 'Safety envelope and camera-message forwarding' while in Engaged outside the ODD (residential street, ramp, tight curve): foreseeable misuse (15–60 km/h), moderate or heavy rain (outside odd, foreseeable).</t>
  </si>
  <si>
    <t xml:space="preserve">H-2687</t>
  </si>
  <si>
    <t xml:space="preserve">Unrequested Function of 'Safety envelope and camera-message forwarding' while in Engaged outside the ODD (residential street, ramp, tight curve): foreseeable misuse (15–60 km/h), snow or ice (outside odd, foreseeable).</t>
  </si>
  <si>
    <t xml:space="preserve">H-2688</t>
  </si>
  <si>
    <t xml:space="preserve">Unrequested Function of 'Safety envelope and camera-message forwarding' while in Engaged outside the ODD (residential street, ramp, tight curve): foreseeable misuse (15–60 km/h), fog, visibility below the odd bound (outside odd, foreseeable).</t>
  </si>
  <si>
    <t xml:space="preserve">H-2689</t>
  </si>
  <si>
    <t xml:space="preserve">Unrequested Function of 'Safety envelope and camera-message forwarding' while in Approaching a signalised or stop-controlled intersection (ODD-A) (30–90 km/h), dry, daylight.</t>
  </si>
  <si>
    <t xml:space="preserve">H-2690</t>
  </si>
  <si>
    <t xml:space="preserve">Unrequested Function of 'Safety envelope and camera-message forwarding' while in Approaching a signalised or stop-controlled intersection (ODD-A) (30–90 km/h), wet road or light rain.</t>
  </si>
  <si>
    <t xml:space="preserve">H-2691</t>
  </si>
  <si>
    <t xml:space="preserve">Unrequested Function of 'Safety envelope and camera-message forwarding' while in Approaching a signalised or stop-controlled intersection (ODD-A) (30–90 km/h), night, dry, headlights.</t>
  </si>
  <si>
    <t xml:space="preserve">H-2692</t>
  </si>
  <si>
    <t xml:space="preserve">Unrequested Function of 'Safety envelope and camera-message forwarding' while in Approaching a signalised or stop-controlled intersection (ODD-A) (30–90 km/h), moderate or heavy rain (outside odd, foreseeable).</t>
  </si>
  <si>
    <t xml:space="preserve">H-2693</t>
  </si>
  <si>
    <t xml:space="preserve">Unrequested Function of 'Safety envelope and camera-message forwarding' while in Approaching a signalised or stop-controlled intersection (ODD-A) (30–90 km/h), snow or ice (outside odd, foreseeable).</t>
  </si>
  <si>
    <t xml:space="preserve">H-2694</t>
  </si>
  <si>
    <t xml:space="preserve">Unrequested Function of 'Safety envelope and camera-message forwarding' while in Approaching a signalised or stop-controlled intersection (ODD-A) (30–90 km/h), fog, visibility below the odd bound (outside odd, foreseeable).</t>
  </si>
  <si>
    <t xml:space="preserve">H-2695</t>
  </si>
  <si>
    <t xml:space="preserve">Unrequested Function of 'Safety envelope and camera-message forwarding' while in Rural or arterial curve near R_ODD with oncoming traffic (60–90 km/h), dry, daylight.</t>
  </si>
  <si>
    <t xml:space="preserve">H-2696</t>
  </si>
  <si>
    <t xml:space="preserve">Unrequested Function of 'Safety envelope and camera-message forwarding' while in Rural or arterial curve near R_ODD with oncoming traffic (60–90 km/h), wet road or light rain.</t>
  </si>
  <si>
    <t xml:space="preserve">H-2697</t>
  </si>
  <si>
    <t xml:space="preserve">Unrequested Function of 'Safety envelope and camera-message forwarding' while in Rural or arterial curve near R_ODD with oncoming traffic (60–90 km/h), night, dry, headlights.</t>
  </si>
  <si>
    <t xml:space="preserve">H-2698</t>
  </si>
  <si>
    <t xml:space="preserve">Unrequested Function of 'Safety envelope and camera-message forwarding' while in Rural or arterial curve near R_ODD with oncoming traffic (60–90 km/h), moderate or heavy rain (outside odd, foreseeable).</t>
  </si>
  <si>
    <t xml:space="preserve">H-2699</t>
  </si>
  <si>
    <t xml:space="preserve">Unrequested Function of 'Safety envelope and camera-message forwarding' while in Rural or arterial curve near R_ODD with oncoming traffic (60–90 km/h), snow or ice (outside odd, foreseeable).</t>
  </si>
  <si>
    <t xml:space="preserve">H-2700</t>
  </si>
  <si>
    <t xml:space="preserve">Unrequested Function of 'Safety envelope and camera-message forwarding' while in Rural or arterial curve near R_ODD with oncoming traffic (60–90 km/h), fog, visibility below the odd bound (outside odd, foreseeable).</t>
  </si>
  <si>
    <t xml:space="preserve">H-2701</t>
  </si>
  <si>
    <t xml:space="preserve">Function Stuck of 'Safety envelope and camera-message forwarding' while in Limited-access highway, free flow, adjacent traffic (90–120 km/h), dry, daylight.</t>
  </si>
  <si>
    <t xml:space="preserve">H-2702</t>
  </si>
  <si>
    <t xml:space="preserve">Function Stuck of 'Safety envelope and camera-message forwarding' while in Limited-access highway, free flow, adjacent traffic (90–120 km/h), wet road or light rain.</t>
  </si>
  <si>
    <t xml:space="preserve">H-2703</t>
  </si>
  <si>
    <t xml:space="preserve">Function Stuck of 'Safety envelope and camera-message forwarding' while in Limited-access highway, free flow, adjacent traffic (90–120 km/h), night, dry, headlights.</t>
  </si>
  <si>
    <t xml:space="preserve">H-2704</t>
  </si>
  <si>
    <t xml:space="preserve">Function Stuck of 'Safety envelope and camera-message forwarding' while in Limited-access highway, free flow, adjacent traffic (90–120 km/h), moderate or heavy rain (outside odd, foreseeable).</t>
  </si>
  <si>
    <t xml:space="preserve">H-2705</t>
  </si>
  <si>
    <t xml:space="preserve">Function Stuck of 'Safety envelope and camera-message forwarding' while in Limited-access highway, free flow, adjacent traffic (90–120 km/h), snow or ice (outside odd, foreseeable).</t>
  </si>
  <si>
    <t xml:space="preserve">H-2706</t>
  </si>
  <si>
    <t xml:space="preserve">Function Stuck of 'Safety envelope and camera-message forwarding' while in Limited-access highway, free flow, adjacent traffic (90–120 km/h), fog, visibility below the odd bound (outside odd, foreseeable).</t>
  </si>
  <si>
    <t xml:space="preserve">H-2707</t>
  </si>
  <si>
    <t xml:space="preserve">Function Stuck of 'Safety envelope and camera-message forwarding' while in Highway curve near R_ODD with barrier or adjacent traffic (70–110 km/h), dry, daylight.</t>
  </si>
  <si>
    <t xml:space="preserve">H-2708</t>
  </si>
  <si>
    <t xml:space="preserve">Function Stuck of 'Safety envelope and camera-message forwarding' while in Highway curve near R_ODD with barrier or adjacent traffic (70–110 km/h), wet road or light rain.</t>
  </si>
  <si>
    <t xml:space="preserve">H-2709</t>
  </si>
  <si>
    <t xml:space="preserve">Function Stuck of 'Safety envelope and camera-message forwarding' while in Highway curve near R_ODD with barrier or adjacent traffic (70–110 km/h), night, dry, headlights.</t>
  </si>
  <si>
    <t xml:space="preserve">H-2710</t>
  </si>
  <si>
    <t xml:space="preserve">Function Stuck of 'Safety envelope and camera-message forwarding' while in Highway curve near R_ODD with barrier or adjacent traffic (70–110 km/h), moderate or heavy rain (outside odd, foreseeable).</t>
  </si>
  <si>
    <t xml:space="preserve">H-2711</t>
  </si>
  <si>
    <t xml:space="preserve">Function Stuck of 'Safety envelope and camera-message forwarding' while in Highway curve near R_ODD with barrier or adjacent traffic (70–110 km/h), snow or ice (outside odd, foreseeable).</t>
  </si>
  <si>
    <t xml:space="preserve">H-2712</t>
  </si>
  <si>
    <t xml:space="preserve">Function Stuck of 'Safety envelope and camera-message forwarding' while in Highway curve near R_ODD with barrier or adjacent traffic (70–110 km/h), fog, visibility below the odd bound (outside odd, foreseeable).</t>
  </si>
  <si>
    <t xml:space="preserve">H-2713</t>
  </si>
  <si>
    <t xml:space="preserve">Function Stuck of 'Safety envelope and camera-message forwarding' while in Undivided rural or arterial road, oncoming traffic (60–90 km/h), dry, daylight.</t>
  </si>
  <si>
    <t xml:space="preserve">H-2714</t>
  </si>
  <si>
    <t xml:space="preserve">Function Stuck of 'Safety envelope and camera-message forwarding' while in Undivided rural or arterial road, oncoming traffic (60–90 km/h), wet road or light rain.</t>
  </si>
  <si>
    <t xml:space="preserve">H-2715</t>
  </si>
  <si>
    <t xml:space="preserve">Function Stuck of 'Safety envelope and camera-message forwarding' while in Undivided rural or arterial road, oncoming traffic (60–90 km/h), night, dry, headlights.</t>
  </si>
  <si>
    <t xml:space="preserve">H-2716</t>
  </si>
  <si>
    <t xml:space="preserve">Function Stuck of 'Safety envelope and camera-message forwarding' while in Undivided rural or arterial road, oncoming traffic (60–90 km/h), moderate or heavy rain (outside odd, foreseeable).</t>
  </si>
  <si>
    <t xml:space="preserve">H-2717</t>
  </si>
  <si>
    <t xml:space="preserve">Function Stuck of 'Safety envelope and camera-message forwarding' while in Undivided rural or arterial road, oncoming traffic (60–90 km/h), snow or ice (outside odd, foreseeable).</t>
  </si>
  <si>
    <t xml:space="preserve">H-2718</t>
  </si>
  <si>
    <t xml:space="preserve">Function Stuck of 'Safety envelope and camera-message forwarding' while in Undivided rural or arterial road, oncoming traffic (60–90 km/h), fog, visibility below the odd bound (outside odd, foreseeable).</t>
  </si>
  <si>
    <t xml:space="preserve">H-2719</t>
  </si>
  <si>
    <t xml:space="preserve">Function Stuck of 'Safety envelope and camera-message forwarding' while in Urban arterial, pedestrians and cyclists near the lane edge (30–60 km/h), dry, daylight.</t>
  </si>
  <si>
    <t xml:space="preserve">H-2720</t>
  </si>
  <si>
    <t xml:space="preserve">Function Stuck of 'Safety envelope and camera-message forwarding' while in Urban arterial, pedestrians and cyclists near the lane edge (30–60 km/h), wet road or light rain.</t>
  </si>
  <si>
    <t xml:space="preserve">H-2721</t>
  </si>
  <si>
    <t xml:space="preserve">Function Stuck of 'Safety envelope and camera-message forwarding' while in Urban arterial, pedestrians and cyclists near the lane edge (30–60 km/h), night, dry, headlights.</t>
  </si>
  <si>
    <t xml:space="preserve">H-2722</t>
  </si>
  <si>
    <t xml:space="preserve">Function Stuck of 'Safety envelope and camera-message forwarding' while in Urban arterial, pedestrians and cyclists near the lane edge (30–60 km/h), moderate or heavy rain (outside odd, foreseeable).</t>
  </si>
  <si>
    <t xml:space="preserve">H-2723</t>
  </si>
  <si>
    <t xml:space="preserve">Function Stuck of 'Safety envelope and camera-message forwarding' while in Urban arterial, pedestrians and cyclists near the lane edge (30–60 km/h), snow or ice (outside odd, foreseeable).</t>
  </si>
  <si>
    <t xml:space="preserve">H-2724</t>
  </si>
  <si>
    <t xml:space="preserve">Function Stuck of 'Safety envelope and camera-message forwarding' while in Urban arterial, pedestrians and cyclists near the lane edge (30–60 km/h), fog, visibility below the odd bound (outside odd, foreseeable).</t>
  </si>
  <si>
    <t xml:space="preserve">H-2725</t>
  </si>
  <si>
    <t xml:space="preserve">Function Stuck of 'Safety envelope and camera-message forwarding' while in Following a lead vehicle at a short gap, dense traffic (30–110 km/h), dry, daylight.</t>
  </si>
  <si>
    <t xml:space="preserve">H-2726</t>
  </si>
  <si>
    <t xml:space="preserve">Function Stuck of 'Safety envelope and camera-message forwarding' while in Following a lead vehicle at a short gap, dense traffic (30–110 km/h), wet road or light rain.</t>
  </si>
  <si>
    <t xml:space="preserve">H-2727</t>
  </si>
  <si>
    <t xml:space="preserve">Function Stuck of 'Safety envelope and camera-message forwarding' while in Following a lead vehicle at a short gap, dense traffic (30–110 km/h), night, dry, headlights.</t>
  </si>
  <si>
    <t xml:space="preserve">H-2728</t>
  </si>
  <si>
    <t xml:space="preserve">Function Stuck of 'Safety envelope and camera-message forwarding' while in Following a lead vehicle at a short gap, dense traffic (30–110 km/h), moderate or heavy rain (outside odd, foreseeable).</t>
  </si>
  <si>
    <t xml:space="preserve">H-2729</t>
  </si>
  <si>
    <t xml:space="preserve">Function Stuck of 'Safety envelope and camera-message forwarding' while in Following a lead vehicle at a short gap, dense traffic (30–110 km/h), snow or ice (outside odd, foreseeable).</t>
  </si>
  <si>
    <t xml:space="preserve">H-2730</t>
  </si>
  <si>
    <t xml:space="preserve">Function Stuck of 'Safety envelope and camera-message forwarding' while in Following a lead vehicle at a short gap, dense traffic (30–110 km/h), fog, visibility below the odd bound (outside odd, foreseeable).</t>
  </si>
  <si>
    <t xml:space="preserve">H-2731</t>
  </si>
  <si>
    <t xml:space="preserve">Function Stuck of 'Safety envelope and camera-message forwarding' while in Stop-and-go queue or standstill behind a lead; pedestrians may cross (0–30 km/h), dry, daylight.</t>
  </si>
  <si>
    <t xml:space="preserve">H-2732</t>
  </si>
  <si>
    <t xml:space="preserve">Function Stuck of 'Safety envelope and camera-message forwarding' while in Stop-and-go queue or standstill behind a lead; pedestrians may cross (0–30 km/h), wet road or light rain.</t>
  </si>
  <si>
    <t xml:space="preserve">H-2733</t>
  </si>
  <si>
    <t xml:space="preserve">Function Stuck of 'Safety envelope and camera-message forwarding' while in Stop-and-go queue or standstill behind a lead; pedestrians may cross (0–30 km/h), night, dry, headlights.</t>
  </si>
  <si>
    <t xml:space="preserve">H-2734</t>
  </si>
  <si>
    <t xml:space="preserve">Function Stuck of 'Safety envelope and camera-message forwarding' while in Stop-and-go queue or standstill behind a lead; pedestrians may cross (0–30 km/h), moderate or heavy rain (outside odd, foreseeable).</t>
  </si>
  <si>
    <t xml:space="preserve">H-2735</t>
  </si>
  <si>
    <t xml:space="preserve">Function Stuck of 'Safety envelope and camera-message forwarding' while in Stop-and-go queue or standstill behind a lead; pedestrians may cross (0–30 km/h), snow or ice (outside odd, foreseeable).</t>
  </si>
  <si>
    <t xml:space="preserve">H-2736</t>
  </si>
  <si>
    <t xml:space="preserve">Function Stuck of 'Safety envelope and camera-message forwarding' while in Stop-and-go queue or standstill behind a lead; pedestrians may cross (0–30 km/h), fog, visibility below the odd bound (outside odd, foreseeable).</t>
  </si>
  <si>
    <t xml:space="preserve">H-2737</t>
  </si>
  <si>
    <t xml:space="preserve">Function Stuck of 'Safety envelope and camera-message forwarding' while in Approaching slower or stationary traffic from highway speed (70–120 km/h), dry, daylight.</t>
  </si>
  <si>
    <t xml:space="preserve">H-2738</t>
  </si>
  <si>
    <t xml:space="preserve">Function Stuck of 'Safety envelope and camera-message forwarding' while in Approaching slower or stationary traffic from highway speed (70–120 km/h), wet road or light rain.</t>
  </si>
  <si>
    <t xml:space="preserve">H-2739</t>
  </si>
  <si>
    <t xml:space="preserve">Function Stuck of 'Safety envelope and camera-message forwarding' while in Approaching slower or stationary traffic from highway speed (70–120 km/h), night, dry, headlights.</t>
  </si>
  <si>
    <t xml:space="preserve">H-2740</t>
  </si>
  <si>
    <t xml:space="preserve">Function Stuck of 'Safety envelope and camera-message forwarding' while in Approaching slower or stationary traffic from highway speed (70–120 km/h), moderate or heavy rain (outside odd, foreseeable).</t>
  </si>
  <si>
    <t xml:space="preserve">H-2741</t>
  </si>
  <si>
    <t xml:space="preserve">Function Stuck of 'Safety envelope and camera-message forwarding' while in Approaching slower or stationary traffic from highway speed (70–120 km/h), snow or ice (outside odd, foreseeable).</t>
  </si>
  <si>
    <t xml:space="preserve">H-2742</t>
  </si>
  <si>
    <t xml:space="preserve">Function Stuck of 'Safety envelope and camera-message forwarding' while in Approaching slower or stationary traffic from highway speed (70–120 km/h), fog, visibility below the odd bound (outside odd, foreseeable).</t>
  </si>
  <si>
    <t xml:space="preserve">H-2743</t>
  </si>
  <si>
    <t xml:space="preserve">Function Stuck of 'Safety envelope and camera-message forwarding' while in Close following vehicle behind (gap &lt; 1.5 s) (50–120 km/h), dry, daylight.</t>
  </si>
  <si>
    <t xml:space="preserve">H-2744</t>
  </si>
  <si>
    <t xml:space="preserve">Function Stuck of 'Safety envelope and camera-message forwarding' while in Close following vehicle behind (gap &lt; 1.5 s) (50–120 km/h), wet road or light rain.</t>
  </si>
  <si>
    <t xml:space="preserve">H-2745</t>
  </si>
  <si>
    <t xml:space="preserve">Function Stuck of 'Safety envelope and camera-message forwarding' while in Close following vehicle behind (gap &lt; 1.5 s) (50–120 km/h), night, dry, headlights.</t>
  </si>
  <si>
    <t xml:space="preserve">H-2746</t>
  </si>
  <si>
    <t xml:space="preserve">Function Stuck of 'Safety envelope and camera-message forwarding' while in Close following vehicle behind (gap &lt; 1.5 s) (50–120 km/h), moderate or heavy rain (outside odd, foreseeable).</t>
  </si>
  <si>
    <t xml:space="preserve">H-2747</t>
  </si>
  <si>
    <t xml:space="preserve">Function Stuck of 'Safety envelope and camera-message forwarding' while in Close following vehicle behind (gap &lt; 1.5 s) (50–120 km/h), snow or ice (outside odd, foreseeable).</t>
  </si>
  <si>
    <t xml:space="preserve">H-2748</t>
  </si>
  <si>
    <t xml:space="preserve">Function Stuck of 'Safety envelope and camera-message forwarding' while in Close following vehicle behind (gap &lt; 1.5 s) (50–120 km/h), fog, visibility below the odd bound (outside odd, foreseeable).</t>
  </si>
  <si>
    <t xml:space="preserve">H-2749</t>
  </si>
  <si>
    <t xml:space="preserve">Function Stuck of 'Safety envelope and camera-message forwarding' while in Imminent collision where the stock PCS/AEB would intervene (0–120 km/h), dry, daylight.</t>
  </si>
  <si>
    <t xml:space="preserve">H-2750</t>
  </si>
  <si>
    <t xml:space="preserve">Function Stuck of 'Safety envelope and camera-message forwarding' while in Imminent collision where the stock PCS/AEB would intervene (0–120 km/h), wet road or light rain.</t>
  </si>
  <si>
    <t xml:space="preserve">H-2751</t>
  </si>
  <si>
    <t xml:space="preserve">Function Stuck of 'Safety envelope and camera-message forwarding' while in Imminent collision where the stock PCS/AEB would intervene (0–120 km/h), night, dry, headlights.</t>
  </si>
  <si>
    <t xml:space="preserve">H-2752</t>
  </si>
  <si>
    <t xml:space="preserve">Function Stuck of 'Safety envelope and camera-message forwarding' while in Imminent collision where the stock PCS/AEB would intervene (0–120 km/h), moderate or heavy rain (outside odd, foreseeable).</t>
  </si>
  <si>
    <t xml:space="preserve">H-2753</t>
  </si>
  <si>
    <t xml:space="preserve">Function Stuck of 'Safety envelope and camera-message forwarding' while in Imminent collision where the stock PCS/AEB would intervene (0–120 km/h), snow or ice (outside odd, foreseeable).</t>
  </si>
  <si>
    <t xml:space="preserve">H-2754</t>
  </si>
  <si>
    <t xml:space="preserve">Function Stuck of 'Safety envelope and camera-message forwarding' while in Imminent collision where the stock PCS/AEB would intervene (0–120 km/h), fog, visibility below the odd bound (outside odd, foreseeable).</t>
  </si>
  <si>
    <t xml:space="preserve">H-2755</t>
  </si>
  <si>
    <t xml:space="preserve">Function Stuck of 'Safety envelope and camera-message forwarding' while in Driver override while engaged: braking, cancel or evasive steering (0–120 km/h), dry, daylight.</t>
  </si>
  <si>
    <t xml:space="preserve">H-2756</t>
  </si>
  <si>
    <t xml:space="preserve">Function Stuck of 'Safety envelope and camera-message forwarding' while in Driver override while engaged: braking, cancel or evasive steering (0–120 km/h), wet road or light rain.</t>
  </si>
  <si>
    <t xml:space="preserve">H-2757</t>
  </si>
  <si>
    <t xml:space="preserve">Function Stuck of 'Safety envelope and camera-message forwarding' while in Driver override while engaged: braking, cancel or evasive steering (0–120 km/h), night, dry, headlights.</t>
  </si>
  <si>
    <t xml:space="preserve">H-2758</t>
  </si>
  <si>
    <t xml:space="preserve">Function Stuck of 'Safety envelope and camera-message forwarding' while in Driver override while engaged: braking, cancel or evasive steering (0–120 km/h), moderate or heavy rain (outside odd, foreseeable).</t>
  </si>
  <si>
    <t xml:space="preserve">H-2759</t>
  </si>
  <si>
    <t xml:space="preserve">Function Stuck of 'Safety envelope and camera-message forwarding' while in Driver override while engaged: braking, cancel or evasive steering (0–120 km/h), snow or ice (outside odd, foreseeable).</t>
  </si>
  <si>
    <t xml:space="preserve">H-2760</t>
  </si>
  <si>
    <t xml:space="preserve">Function Stuck of 'Safety envelope and camera-message forwarding' while in Driver override while engaged: braking, cancel or evasive steering (0–120 km/h), fog, visibility below the odd bound (outside odd, foreseeable).</t>
  </si>
  <si>
    <t xml:space="preserve">H-2761</t>
  </si>
  <si>
    <t xml:space="preserve">Function Stuck of 'Safety envelope and camera-message forwarding' while in Driver-initiated assisted lane change (70–120 km/h), dry, daylight.</t>
  </si>
  <si>
    <t xml:space="preserve">H-2762</t>
  </si>
  <si>
    <t xml:space="preserve">Function Stuck of 'Safety envelope and camera-message forwarding' while in Driver-initiated assisted lane change (70–120 km/h), wet road or light rain.</t>
  </si>
  <si>
    <t xml:space="preserve">H-2763</t>
  </si>
  <si>
    <t xml:space="preserve">Function Stuck of 'Safety envelope and camera-message forwarding' while in Driver-initiated assisted lane change (70–120 km/h), night, dry, headlights.</t>
  </si>
  <si>
    <t xml:space="preserve">H-2764</t>
  </si>
  <si>
    <t xml:space="preserve">Function Stuck of 'Safety envelope and camera-message forwarding' while in Driver-initiated assisted lane change (70–120 km/h), moderate or heavy rain (outside odd, foreseeable).</t>
  </si>
  <si>
    <t xml:space="preserve">H-2765</t>
  </si>
  <si>
    <t xml:space="preserve">Function Stuck of 'Safety envelope and camera-message forwarding' while in Driver-initiated assisted lane change (70–120 km/h), snow or ice (outside odd, foreseeable).</t>
  </si>
  <si>
    <t xml:space="preserve">H-2766</t>
  </si>
  <si>
    <t xml:space="preserve">Function Stuck of 'Safety envelope and camera-message forwarding' while in Driver-initiated assisted lane change (70–120 km/h), fog, visibility below the odd bound (outside odd, foreseeable).</t>
  </si>
  <si>
    <t xml:space="preserve">H-2767</t>
  </si>
  <si>
    <t xml:space="preserve">Function Stuck of 'Safety envelope and camera-message forwarding' while in Manual driving, item powered but not engaged (0–120 km/h), dry, daylight.</t>
  </si>
  <si>
    <t xml:space="preserve">H-2768</t>
  </si>
  <si>
    <t xml:space="preserve">Function Stuck of 'Safety envelope and camera-message forwarding' while in Manual driving, item powered but not engaged (0–120 km/h), wet road or light rain.</t>
  </si>
  <si>
    <t xml:space="preserve">H-2769</t>
  </si>
  <si>
    <t xml:space="preserve">Function Stuck of 'Safety envelope and camera-message forwarding' while in Manual driving, item powered but not engaged (0–120 km/h), night, dry, headlights.</t>
  </si>
  <si>
    <t xml:space="preserve">H-2770</t>
  </si>
  <si>
    <t xml:space="preserve">Function Stuck of 'Safety envelope and camera-message forwarding' while in Manual driving, item powered but not engaged (0–120 km/h), moderate or heavy rain (outside odd, foreseeable).</t>
  </si>
  <si>
    <t xml:space="preserve">H-2771</t>
  </si>
  <si>
    <t xml:space="preserve">Function Stuck of 'Safety envelope and camera-message forwarding' while in Manual driving, item powered but not engaged (0–120 km/h), snow or ice (outside odd, foreseeable).</t>
  </si>
  <si>
    <t xml:space="preserve">H-2772</t>
  </si>
  <si>
    <t xml:space="preserve">Function Stuck of 'Safety envelope and camera-message forwarding' while in Manual driving, item powered but not engaged (0–120 km/h), fog, visibility below the odd bound (outside odd, foreseeable).</t>
  </si>
  <si>
    <t xml:space="preserve">H-2773</t>
  </si>
  <si>
    <t xml:space="preserve">Function Stuck of 'Safety envelope and camera-message forwarding' while in Engaged outside the ODD (residential street, ramp, tight curve): foreseeable misuse (15–60 km/h), dry, daylight.</t>
  </si>
  <si>
    <t xml:space="preserve">H-2774</t>
  </si>
  <si>
    <t xml:space="preserve">Function Stuck of 'Safety envelope and camera-message forwarding' while in Engaged outside the ODD (residential street, ramp, tight curve): foreseeable misuse (15–60 km/h), wet road or light rain.</t>
  </si>
  <si>
    <t xml:space="preserve">H-2775</t>
  </si>
  <si>
    <t xml:space="preserve">Function Stuck of 'Safety envelope and camera-message forwarding' while in Engaged outside the ODD (residential street, ramp, tight curve): foreseeable misuse (15–60 km/h), night, dry, headlights.</t>
  </si>
  <si>
    <t xml:space="preserve">H-2776</t>
  </si>
  <si>
    <t xml:space="preserve">Function Stuck of 'Safety envelope and camera-message forwarding' while in Engaged outside the ODD (residential street, ramp, tight curve): foreseeable misuse (15–60 km/h), moderate or heavy rain (outside odd, foreseeable).</t>
  </si>
  <si>
    <t xml:space="preserve">H-2777</t>
  </si>
  <si>
    <t xml:space="preserve">Function Stuck of 'Safety envelope and camera-message forwarding' while in Engaged outside the ODD (residential street, ramp, tight curve): foreseeable misuse (15–60 km/h), snow or ice (outside odd, foreseeable).</t>
  </si>
  <si>
    <t xml:space="preserve">H-2778</t>
  </si>
  <si>
    <t xml:space="preserve">Function Stuck of 'Safety envelope and camera-message forwarding' while in Engaged outside the ODD (residential street, ramp, tight curve): foreseeable misuse (15–60 km/h), fog, visibility below the odd bound (outside odd, foreseeable).</t>
  </si>
  <si>
    <t xml:space="preserve">H-2779</t>
  </si>
  <si>
    <t xml:space="preserve">Function Stuck of 'Safety envelope and camera-message forwarding' while in Approaching a signalised or stop-controlled intersection (ODD-A) (30–90 km/h), dry, daylight.</t>
  </si>
  <si>
    <t xml:space="preserve">H-2780</t>
  </si>
  <si>
    <t xml:space="preserve">Function Stuck of 'Safety envelope and camera-message forwarding' while in Approaching a signalised or stop-controlled intersection (ODD-A) (30–90 km/h), wet road or light rain.</t>
  </si>
  <si>
    <t xml:space="preserve">H-2781</t>
  </si>
  <si>
    <t xml:space="preserve">Function Stuck of 'Safety envelope and camera-message forwarding' while in Approaching a signalised or stop-controlled intersection (ODD-A) (30–90 km/h), night, dry, headlights.</t>
  </si>
  <si>
    <t xml:space="preserve">H-2782</t>
  </si>
  <si>
    <t xml:space="preserve">Function Stuck of 'Safety envelope and camera-message forwarding' while in Approaching a signalised or stop-controlled intersection (ODD-A) (30–90 km/h), moderate or heavy rain (outside odd, foreseeable).</t>
  </si>
  <si>
    <t xml:space="preserve">H-2783</t>
  </si>
  <si>
    <t xml:space="preserve">Function Stuck of 'Safety envelope and camera-message forwarding' while in Approaching a signalised or stop-controlled intersection (ODD-A) (30–90 km/h), snow or ice (outside odd, foreseeable).</t>
  </si>
  <si>
    <t xml:space="preserve">H-2784</t>
  </si>
  <si>
    <t xml:space="preserve">Function Stuck of 'Safety envelope and camera-message forwarding' while in Approaching a signalised or stop-controlled intersection (ODD-A) (30–90 km/h), fog, visibility below the odd bound (outside odd, foreseeable).</t>
  </si>
  <si>
    <t xml:space="preserve">H-2785</t>
  </si>
  <si>
    <t xml:space="preserve">Function Stuck of 'Safety envelope and camera-message forwarding' while in Rural or arterial curve near R_ODD with oncoming traffic (60–90 km/h), dry, daylight.</t>
  </si>
  <si>
    <t xml:space="preserve">H-2786</t>
  </si>
  <si>
    <t xml:space="preserve">Function Stuck of 'Safety envelope and camera-message forwarding' while in Rural or arterial curve near R_ODD with oncoming traffic (60–90 km/h), wet road or light rain.</t>
  </si>
  <si>
    <t xml:space="preserve">H-2787</t>
  </si>
  <si>
    <t xml:space="preserve">Function Stuck of 'Safety envelope and camera-message forwarding' while in Rural or arterial curve near R_ODD with oncoming traffic (60–90 km/h), night, dry, headlights.</t>
  </si>
  <si>
    <t xml:space="preserve">H-2788</t>
  </si>
  <si>
    <t xml:space="preserve">Function Stuck of 'Safety envelope and camera-message forwarding' while in Rural or arterial curve near R_ODD with oncoming traffic (60–90 km/h), moderate or heavy rain (outside odd, foreseeable).</t>
  </si>
  <si>
    <t xml:space="preserve">H-2789</t>
  </si>
  <si>
    <t xml:space="preserve">Function Stuck of 'Safety envelope and camera-message forwarding' while in Rural or arterial curve near R_ODD with oncoming traffic (60–90 km/h), snow or ice (outside odd, foreseeable).</t>
  </si>
  <si>
    <t xml:space="preserve">H-2790</t>
  </si>
  <si>
    <t xml:space="preserve">Function Stuck of 'Safety envelope and camera-message forwarding' while in Rural or arterial curve near R_ODD with oncoming traffic (60–90 km/h), fog, visibility below the odd bound (outside odd, foreseeable).</t>
  </si>
  <si>
    <t xml:space="preserve">H-2791</t>
  </si>
  <si>
    <t xml:space="preserve">No Function of 'Longitudinal control, Experimental Mode (end-to-end)' while in Limited-access highway, free flow, adjacent traffic (90–120 km/h), dry, daylight.</t>
  </si>
  <si>
    <t xml:space="preserve">S0: Not hazardous here: no traffic signal or stop sign is involved.</t>
  </si>
  <si>
    <t xml:space="preserve">H-2792</t>
  </si>
  <si>
    <t xml:space="preserve">No Function of 'Longitudinal control, Experimental Mode (end-to-end)' while in Limited-access highway, free flow, adjacent traffic (90–120 km/h), wet road or light rain.</t>
  </si>
  <si>
    <t xml:space="preserve">H-2793</t>
  </si>
  <si>
    <t xml:space="preserve">No Function of 'Longitudinal control, Experimental Mode (end-to-end)' while in Limited-access highway, free flow, adjacent traffic (90–120 km/h), night, dry, headlights.</t>
  </si>
  <si>
    <t xml:space="preserve">H-2794</t>
  </si>
  <si>
    <t xml:space="preserve">No Function of 'Longitudinal control, Experimental Mode (end-to-end)' while in Limited-access highway, free flow, adjacent traffic (90–120 km/h), moderate or heavy rain (outside odd, foreseeable).</t>
  </si>
  <si>
    <t xml:space="preserve">H-2795</t>
  </si>
  <si>
    <t xml:space="preserve">No Function of 'Longitudinal control, Experimental Mode (end-to-end)' while in Limited-access highway, free flow, adjacent traffic (90–120 km/h), snow or ice (outside odd, foreseeable).</t>
  </si>
  <si>
    <t xml:space="preserve">H-2796</t>
  </si>
  <si>
    <t xml:space="preserve">No Function of 'Longitudinal control, Experimental Mode (end-to-end)' while in Limited-access highway, free flow, adjacent traffic (90–120 km/h), fog, visibility below the odd bound (outside odd, foreseeable).</t>
  </si>
  <si>
    <t xml:space="preserve">H-2797</t>
  </si>
  <si>
    <t xml:space="preserve">No Function of 'Longitudinal control, Experimental Mode (end-to-end)' while in Highway curve near R_ODD with barrier or adjacent traffic (70–110 km/h), dry, daylight.</t>
  </si>
  <si>
    <t xml:space="preserve">H-2798</t>
  </si>
  <si>
    <t xml:space="preserve">No Function of 'Longitudinal control, Experimental Mode (end-to-end)' while in Highway curve near R_ODD with barrier or adjacent traffic (70–110 km/h), wet road or light rain.</t>
  </si>
  <si>
    <t xml:space="preserve">H-2799</t>
  </si>
  <si>
    <t xml:space="preserve">No Function of 'Longitudinal control, Experimental Mode (end-to-end)' while in Highway curve near R_ODD with barrier or adjacent traffic (70–110 km/h), night, dry, headlights.</t>
  </si>
  <si>
    <t xml:space="preserve">H-2800</t>
  </si>
  <si>
    <t xml:space="preserve">No Function of 'Longitudinal control, Experimental Mode (end-to-end)' while in Highway curve near R_ODD with barrier or adjacent traffic (70–110 km/h), moderate or heavy rain (outside odd, foreseeable).</t>
  </si>
  <si>
    <t xml:space="preserve">H-2801</t>
  </si>
  <si>
    <t xml:space="preserve">No Function of 'Longitudinal control, Experimental Mode (end-to-end)' while in Highway curve near R_ODD with barrier or adjacent traffic (70–110 km/h), snow or ice (outside odd, foreseeable).</t>
  </si>
  <si>
    <t xml:space="preserve">H-2802</t>
  </si>
  <si>
    <t xml:space="preserve">No Function of 'Longitudinal control, Experimental Mode (end-to-end)' while in Highway curve near R_ODD with barrier or adjacent traffic (70–110 km/h), fog, visibility below the odd bound (outside odd, foreseeable).</t>
  </si>
  <si>
    <t xml:space="preserve">H-2803</t>
  </si>
  <si>
    <t xml:space="preserve">No Function of 'Longitudinal control, Experimental Mode (end-to-end)' while in Undivided rural or arterial road, oncoming traffic (60–90 km/h), dry, daylight.</t>
  </si>
  <si>
    <t xml:space="preserve">H-2804</t>
  </si>
  <si>
    <t xml:space="preserve">No Function of 'Longitudinal control, Experimental Mode (end-to-end)' while in Undivided rural or arterial road, oncoming traffic (60–90 km/h), wet road or light rain.</t>
  </si>
  <si>
    <t xml:space="preserve">H-2805</t>
  </si>
  <si>
    <t xml:space="preserve">No Function of 'Longitudinal control, Experimental Mode (end-to-end)' while in Undivided rural or arterial road, oncoming traffic (60–90 km/h), night, dry, headlights.</t>
  </si>
  <si>
    <t xml:space="preserve">H-2806</t>
  </si>
  <si>
    <t xml:space="preserve">No Function of 'Longitudinal control, Experimental Mode (end-to-end)' while in Undivided rural or arterial road, oncoming traffic (60–90 km/h), moderate or heavy rain (outside odd, foreseeable).</t>
  </si>
  <si>
    <t xml:space="preserve">H-2807</t>
  </si>
  <si>
    <t xml:space="preserve">No Function of 'Longitudinal control, Experimental Mode (end-to-end)' while in Undivided rural or arterial road, oncoming traffic (60–90 km/h), snow or ice (outside odd, foreseeable).</t>
  </si>
  <si>
    <t xml:space="preserve">H-2808</t>
  </si>
  <si>
    <t xml:space="preserve">No Function of 'Longitudinal control, Experimental Mode (end-to-end)' while in Undivided rural or arterial road, oncoming traffic (60–90 km/h), fog, visibility below the odd bound (outside odd, foreseeable).</t>
  </si>
  <si>
    <t xml:space="preserve">H-2809</t>
  </si>
  <si>
    <t xml:space="preserve">No Function of 'Longitudinal control, Experimental Mode (end-to-end)' while in Urban arterial, pedestrians and cyclists near the lane edge (30–60 km/h), dry, daylight.</t>
  </si>
  <si>
    <t xml:space="preserve">H-2810</t>
  </si>
  <si>
    <t xml:space="preserve">No Function of 'Longitudinal control, Experimental Mode (end-to-end)' while in Urban arterial, pedestrians and cyclists near the lane edge (30–60 km/h), wet road or light rain.</t>
  </si>
  <si>
    <t xml:space="preserve">H-2811</t>
  </si>
  <si>
    <t xml:space="preserve">No Function of 'Longitudinal control, Experimental Mode (end-to-end)' while in Urban arterial, pedestrians and cyclists near the lane edge (30–60 km/h), night, dry, headlights.</t>
  </si>
  <si>
    <t xml:space="preserve">H-2812</t>
  </si>
  <si>
    <t xml:space="preserve">No Function of 'Longitudinal control, Experimental Mode (end-to-end)' while in Urban arterial, pedestrians and cyclists near the lane edge (30–60 km/h), moderate or heavy rain (outside odd, foreseeable).</t>
  </si>
  <si>
    <t xml:space="preserve">H-2813</t>
  </si>
  <si>
    <t xml:space="preserve">No Function of 'Longitudinal control, Experimental Mode (end-to-end)' while in Urban arterial, pedestrians and cyclists near the lane edge (30–60 km/h), snow or ice (outside odd, foreseeable).</t>
  </si>
  <si>
    <t xml:space="preserve">H-2814</t>
  </si>
  <si>
    <t xml:space="preserve">No Function of 'Longitudinal control, Experimental Mode (end-to-end)' while in Urban arterial, pedestrians and cyclists near the lane edge (30–60 km/h), fog, visibility below the odd bound (outside odd, foreseeable).</t>
  </si>
  <si>
    <t xml:space="preserve">H-2815</t>
  </si>
  <si>
    <t xml:space="preserve">No Function of 'Longitudinal control, Experimental Mode (end-to-end)' while in Following a lead vehicle at a short gap, dense traffic (30–110 km/h), dry, daylight.</t>
  </si>
  <si>
    <t xml:space="preserve">H-2816</t>
  </si>
  <si>
    <t xml:space="preserve">No Function of 'Longitudinal control, Experimental Mode (end-to-end)' while in Following a lead vehicle at a short gap, dense traffic (30–110 km/h), wet road or light rain.</t>
  </si>
  <si>
    <t xml:space="preserve">H-2817</t>
  </si>
  <si>
    <t xml:space="preserve">No Function of 'Longitudinal control, Experimental Mode (end-to-end)' while in Following a lead vehicle at a short gap, dense traffic (30–110 km/h), night, dry, headlights.</t>
  </si>
  <si>
    <t xml:space="preserve">H-2818</t>
  </si>
  <si>
    <t xml:space="preserve">No Function of 'Longitudinal control, Experimental Mode (end-to-end)' while in Following a lead vehicle at a short gap, dense traffic (30–110 km/h), moderate or heavy rain (outside odd, foreseeable).</t>
  </si>
  <si>
    <t xml:space="preserve">H-2819</t>
  </si>
  <si>
    <t xml:space="preserve">No Function of 'Longitudinal control, Experimental Mode (end-to-end)' while in Following a lead vehicle at a short gap, dense traffic (30–110 km/h), snow or ice (outside odd, foreseeable).</t>
  </si>
  <si>
    <t xml:space="preserve">H-2820</t>
  </si>
  <si>
    <t xml:space="preserve">No Function of 'Longitudinal control, Experimental Mode (end-to-end)' while in Following a lead vehicle at a short gap, dense traffic (30–110 km/h), fog, visibility below the odd bound (outside odd, foreseeable).</t>
  </si>
  <si>
    <t xml:space="preserve">H-2821</t>
  </si>
  <si>
    <t xml:space="preserve">No Function of 'Longitudinal control, Experimental Mode (end-to-end)' while in Stop-and-go queue or standstill behind a lead; pedestrians may cross (0–30 km/h), dry, daylight.</t>
  </si>
  <si>
    <t xml:space="preserve">H-2822</t>
  </si>
  <si>
    <t xml:space="preserve">No Function of 'Longitudinal control, Experimental Mode (end-to-end)' while in Stop-and-go queue or standstill behind a lead; pedestrians may cross (0–30 km/h), wet road or light rain.</t>
  </si>
  <si>
    <t xml:space="preserve">H-2823</t>
  </si>
  <si>
    <t xml:space="preserve">No Function of 'Longitudinal control, Experimental Mode (end-to-end)' while in Stop-and-go queue or standstill behind a lead; pedestrians may cross (0–30 km/h), night, dry, headlights.</t>
  </si>
  <si>
    <t xml:space="preserve">H-2824</t>
  </si>
  <si>
    <t xml:space="preserve">No Function of 'Longitudinal control, Experimental Mode (end-to-end)' while in Stop-and-go queue or standstill behind a lead; pedestrians may cross (0–30 km/h), moderate or heavy rain (outside odd, foreseeable).</t>
  </si>
  <si>
    <t xml:space="preserve">H-2825</t>
  </si>
  <si>
    <t xml:space="preserve">No Function of 'Longitudinal control, Experimental Mode (end-to-end)' while in Stop-and-go queue or standstill behind a lead; pedestrians may cross (0–30 km/h), snow or ice (outside odd, foreseeable).</t>
  </si>
  <si>
    <t xml:space="preserve">H-2826</t>
  </si>
  <si>
    <t xml:space="preserve">No Function of 'Longitudinal control, Experimental Mode (end-to-end)' while in Stop-and-go queue or standstill behind a lead; pedestrians may cross (0–30 km/h), fog, visibility below the odd bound (outside odd, foreseeable).</t>
  </si>
  <si>
    <t xml:space="preserve">H-2827</t>
  </si>
  <si>
    <t xml:space="preserve">No Function of 'Longitudinal control, Experimental Mode (end-to-end)' while in Approaching slower or stationary traffic from highway speed (70–120 km/h), dry, daylight.</t>
  </si>
  <si>
    <t xml:space="preserve">H-2828</t>
  </si>
  <si>
    <t xml:space="preserve">No Function of 'Longitudinal control, Experimental Mode (end-to-end)' while in Approaching slower or stationary traffic from highway speed (70–120 km/h), wet road or light rain.</t>
  </si>
  <si>
    <t xml:space="preserve">H-2829</t>
  </si>
  <si>
    <t xml:space="preserve">No Function of 'Longitudinal control, Experimental Mode (end-to-end)' while in Approaching slower or stationary traffic from highway speed (70–120 km/h), night, dry, headlights.</t>
  </si>
  <si>
    <t xml:space="preserve">H-2830</t>
  </si>
  <si>
    <t xml:space="preserve">No Function of 'Longitudinal control, Experimental Mode (end-to-end)' while in Approaching slower or stationary traffic from highway speed (70–120 km/h), moderate or heavy rain (outside odd, foreseeable).</t>
  </si>
  <si>
    <t xml:space="preserve">H-2831</t>
  </si>
  <si>
    <t xml:space="preserve">No Function of 'Longitudinal control, Experimental Mode (end-to-end)' while in Approaching slower or stationary traffic from highway speed (70–120 km/h), snow or ice (outside odd, foreseeable).</t>
  </si>
  <si>
    <t xml:space="preserve">H-2832</t>
  </si>
  <si>
    <t xml:space="preserve">No Function of 'Longitudinal control, Experimental Mode (end-to-end)' while in Approaching slower or stationary traffic from highway speed (70–120 km/h), fog, visibility below the odd bound (outside odd, foreseeable).</t>
  </si>
  <si>
    <t xml:space="preserve">H-2833</t>
  </si>
  <si>
    <t xml:space="preserve">No Function of 'Longitudinal control, Experimental Mode (end-to-end)' while in Close following vehicle behind (gap &lt; 1.5 s) (50–120 km/h), dry, daylight.</t>
  </si>
  <si>
    <t xml:space="preserve">H-2834</t>
  </si>
  <si>
    <t xml:space="preserve">No Function of 'Longitudinal control, Experimental Mode (end-to-end)' while in Close following vehicle behind (gap &lt; 1.5 s) (50–120 km/h), wet road or light rain.</t>
  </si>
  <si>
    <t xml:space="preserve">H-2835</t>
  </si>
  <si>
    <t xml:space="preserve">No Function of 'Longitudinal control, Experimental Mode (end-to-end)' while in Close following vehicle behind (gap &lt; 1.5 s) (50–120 km/h), night, dry, headlights.</t>
  </si>
  <si>
    <t xml:space="preserve">H-2836</t>
  </si>
  <si>
    <t xml:space="preserve">No Function of 'Longitudinal control, Experimental Mode (end-to-end)' while in Close following vehicle behind (gap &lt; 1.5 s) (50–120 km/h), moderate or heavy rain (outside odd, foreseeable).</t>
  </si>
  <si>
    <t xml:space="preserve">H-2837</t>
  </si>
  <si>
    <t xml:space="preserve">No Function of 'Longitudinal control, Experimental Mode (end-to-end)' while in Close following vehicle behind (gap &lt; 1.5 s) (50–120 km/h), snow or ice (outside odd, foreseeable).</t>
  </si>
  <si>
    <t xml:space="preserve">H-2838</t>
  </si>
  <si>
    <t xml:space="preserve">No Function of 'Longitudinal control, Experimental Mode (end-to-end)' while in Close following vehicle behind (gap &lt; 1.5 s) (50–120 km/h), fog, visibility below the odd bound (outside odd, foreseeable).</t>
  </si>
  <si>
    <t xml:space="preserve">H-2839</t>
  </si>
  <si>
    <t xml:space="preserve">No Function of 'Longitudinal control, Experimental Mode (end-to-end)' while in Imminent collision where the stock PCS/AEB would intervene (0–120 km/h), dry, daylight.</t>
  </si>
  <si>
    <t xml:space="preserve">H-2840</t>
  </si>
  <si>
    <t xml:space="preserve">No Function of 'Longitudinal control, Experimental Mode (end-to-end)' while in Imminent collision where the stock PCS/AEB would intervene (0–120 km/h), wet road or light rain.</t>
  </si>
  <si>
    <t xml:space="preserve">H-2841</t>
  </si>
  <si>
    <t xml:space="preserve">No Function of 'Longitudinal control, Experimental Mode (end-to-end)' while in Imminent collision where the stock PCS/AEB would intervene (0–120 km/h), night, dry, headlights.</t>
  </si>
  <si>
    <t xml:space="preserve">H-2842</t>
  </si>
  <si>
    <t xml:space="preserve">No Function of 'Longitudinal control, Experimental Mode (end-to-end)' while in Imminent collision where the stock PCS/AEB would intervene (0–120 km/h), moderate or heavy rain (outside odd, foreseeable).</t>
  </si>
  <si>
    <t xml:space="preserve">H-2843</t>
  </si>
  <si>
    <t xml:space="preserve">No Function of 'Longitudinal control, Experimental Mode (end-to-end)' while in Imminent collision where the stock PCS/AEB would intervene (0–120 km/h), snow or ice (outside odd, foreseeable).</t>
  </si>
  <si>
    <t xml:space="preserve">H-2844</t>
  </si>
  <si>
    <t xml:space="preserve">No Function of 'Longitudinal control, Experimental Mode (end-to-end)' while in Imminent collision where the stock PCS/AEB would intervene (0–120 km/h), fog, visibility below the odd bound (outside odd, foreseeable).</t>
  </si>
  <si>
    <t xml:space="preserve">H-2845</t>
  </si>
  <si>
    <t xml:space="preserve">No Function of 'Longitudinal control, Experimental Mode (end-to-end)' while in Driver override while engaged: braking, cancel or evasive steering (0–120 km/h), dry, daylight.</t>
  </si>
  <si>
    <t xml:space="preserve">H-2846</t>
  </si>
  <si>
    <t xml:space="preserve">No Function of 'Longitudinal control, Experimental Mode (end-to-end)' while in Driver override while engaged: braking, cancel or evasive steering (0–120 km/h), wet road or light rain.</t>
  </si>
  <si>
    <t xml:space="preserve">H-2847</t>
  </si>
  <si>
    <t xml:space="preserve">No Function of 'Longitudinal control, Experimental Mode (end-to-end)' while in Driver override while engaged: braking, cancel or evasive steering (0–120 km/h), night, dry, headlights.</t>
  </si>
  <si>
    <t xml:space="preserve">H-2848</t>
  </si>
  <si>
    <t xml:space="preserve">No Function of 'Longitudinal control, Experimental Mode (end-to-end)' while in Driver override while engaged: braking, cancel or evasive steering (0–120 km/h), moderate or heavy rain (outside odd, foreseeable).</t>
  </si>
  <si>
    <t xml:space="preserve">H-2849</t>
  </si>
  <si>
    <t xml:space="preserve">No Function of 'Longitudinal control, Experimental Mode (end-to-end)' while in Driver override while engaged: braking, cancel or evasive steering (0–120 km/h), snow or ice (outside odd, foreseeable).</t>
  </si>
  <si>
    <t xml:space="preserve">H-2850</t>
  </si>
  <si>
    <t xml:space="preserve">No Function of 'Longitudinal control, Experimental Mode (end-to-end)' while in Driver override while engaged: braking, cancel or evasive steering (0–120 km/h), fog, visibility below the odd bound (outside odd, foreseeable).</t>
  </si>
  <si>
    <t xml:space="preserve">H-2851</t>
  </si>
  <si>
    <t xml:space="preserve">No Function of 'Longitudinal control, Experimental Mode (end-to-end)' while in Driver-initiated assisted lane change (70–120 km/h), dry, daylight.</t>
  </si>
  <si>
    <t xml:space="preserve">H-2852</t>
  </si>
  <si>
    <t xml:space="preserve">No Function of 'Longitudinal control, Experimental Mode (end-to-end)' while in Driver-initiated assisted lane change (70–120 km/h), wet road or light rain.</t>
  </si>
  <si>
    <t xml:space="preserve">H-2853</t>
  </si>
  <si>
    <t xml:space="preserve">No Function of 'Longitudinal control, Experimental Mode (end-to-end)' while in Driver-initiated assisted lane change (70–120 km/h), night, dry, headlights.</t>
  </si>
  <si>
    <t xml:space="preserve">H-2854</t>
  </si>
  <si>
    <t xml:space="preserve">No Function of 'Longitudinal control, Experimental Mode (end-to-end)' while in Driver-initiated assisted lane change (70–120 km/h), moderate or heavy rain (outside odd, foreseeable).</t>
  </si>
  <si>
    <t xml:space="preserve">H-2855</t>
  </si>
  <si>
    <t xml:space="preserve">No Function of 'Longitudinal control, Experimental Mode (end-to-end)' while in Driver-initiated assisted lane change (70–120 km/h), snow or ice (outside odd, foreseeable).</t>
  </si>
  <si>
    <t xml:space="preserve">H-2856</t>
  </si>
  <si>
    <t xml:space="preserve">No Function of 'Longitudinal control, Experimental Mode (end-to-end)' while in Driver-initiated assisted lane change (70–120 km/h), fog, visibility below the odd bound (outside odd, foreseeable).</t>
  </si>
  <si>
    <t xml:space="preserve">H-2857</t>
  </si>
  <si>
    <t xml:space="preserve">No Function of 'Longitudinal control, Experimental Mode (end-to-end)' while in Manual driving, item powered but not engaged (0–120 km/h), dry, daylight.</t>
  </si>
  <si>
    <t xml:space="preserve">H-2858</t>
  </si>
  <si>
    <t xml:space="preserve">No Function of 'Longitudinal control, Experimental Mode (end-to-end)' while in Manual driving, item powered but not engaged (0–120 km/h), wet road or light rain.</t>
  </si>
  <si>
    <t xml:space="preserve">H-2859</t>
  </si>
  <si>
    <t xml:space="preserve">No Function of 'Longitudinal control, Experimental Mode (end-to-end)' while in Manual driving, item powered but not engaged (0–120 km/h), night, dry, headlights.</t>
  </si>
  <si>
    <t xml:space="preserve">H-2860</t>
  </si>
  <si>
    <t xml:space="preserve">No Function of 'Longitudinal control, Experimental Mode (end-to-end)' while in Manual driving, item powered but not engaged (0–120 km/h), moderate or heavy rain (outside odd, foreseeable).</t>
  </si>
  <si>
    <t xml:space="preserve">H-2861</t>
  </si>
  <si>
    <t xml:space="preserve">No Function of 'Longitudinal control, Experimental Mode (end-to-end)' while in Manual driving, item powered but not engaged (0–120 km/h), snow or ice (outside odd, foreseeable).</t>
  </si>
  <si>
    <t xml:space="preserve">H-2862</t>
  </si>
  <si>
    <t xml:space="preserve">No Function of 'Longitudinal control, Experimental Mode (end-to-end)' while in Manual driving, item powered but not engaged (0–120 km/h), fog, visibility below the odd bound (outside odd, foreseeable).</t>
  </si>
  <si>
    <t xml:space="preserve">H-2863</t>
  </si>
  <si>
    <t xml:space="preserve">No Function of 'Longitudinal control, Experimental Mode (end-to-end)' while in Engaged outside the ODD (residential street, ramp, tight curve): foreseeable misuse (15–60 km/h), dry, daylight.</t>
  </si>
  <si>
    <t xml:space="preserve">S3: residential stop sign with VRUs.</t>
  </si>
  <si>
    <t xml:space="preserve">C2 ⚠: as OS-15.</t>
  </si>
  <si>
    <t xml:space="preserve">H-2864</t>
  </si>
  <si>
    <t xml:space="preserve">No Function of 'Longitudinal control, Experimental Mode (end-to-end)' while in Engaged outside the ODD (residential street, ramp, tight curve): foreseeable misuse (15–60 km/h), wet road or light rain.</t>
  </si>
  <si>
    <t xml:space="preserve">H-2865</t>
  </si>
  <si>
    <t xml:space="preserve">No Function of 'Longitudinal control, Experimental Mode (end-to-end)' while in Engaged outside the ODD (residential street, ramp, tight curve): foreseeable misuse (15–60 km/h), night, dry, headlights.</t>
  </si>
  <si>
    <t xml:space="preserve">H-2866</t>
  </si>
  <si>
    <t xml:space="preserve">No Function of 'Longitudinal control, Experimental Mode (end-to-end)' while in Engaged outside the ODD (residential street, ramp, tight curve): foreseeable misuse (15–60 km/h), moderate or heavy rain (outside odd, foreseeable).</t>
  </si>
  <si>
    <t xml:space="preserve">C2 ⚠: as OS-15. Reduced visibility outside the ODD delays the driver's detection of the hazard (C+1).</t>
  </si>
  <si>
    <t xml:space="preserve">H-2867</t>
  </si>
  <si>
    <t xml:space="preserve">No Function of 'Longitudinal control, Experimental Mode (end-to-end)' while in Engaged outside the ODD (residential street, ramp, tight curve): foreseeable misuse (15–60 km/h), snow or ice (outside odd, foreseeable).</t>
  </si>
  <si>
    <t xml:space="preserve">C2 ⚠: as OS-15. Snow/ice: low friction; a correction or braking can induce a skid (C+1).</t>
  </si>
  <si>
    <t xml:space="preserve">H-2868</t>
  </si>
  <si>
    <t xml:space="preserve">No Function of 'Longitudinal control, Experimental Mode (end-to-end)' while in Engaged outside the ODD (residential street, ramp, tight curve): foreseeable misuse (15–60 km/h), fog, visibility below the odd bound (outside odd, foreseeable).</t>
  </si>
  <si>
    <t xml:space="preserve">H-2869</t>
  </si>
  <si>
    <t xml:space="preserve">No Function of 'Longitudinal control, Experimental Mode (end-to-end)' while in Approaching a signalised or stop-controlled intersection (ODD-A) (30–90 km/h), dry, daylight.</t>
  </si>
  <si>
    <t xml:space="preserve">S3: entering an intersection against a red light or stop sign; side impact or VRU.</t>
  </si>
  <si>
    <t xml:space="preserve">C2 ⚠: the driver remains responsible, but Experimental Mode invites over-trust (SH-09, WP-C-05); evidence for C2 needed.</t>
  </si>
  <si>
    <t xml:space="preserve">H-2870</t>
  </si>
  <si>
    <t xml:space="preserve">No Function of 'Longitudinal control, Experimental Mode (end-to-end)' while in Approaching a signalised or stop-controlled intersection (ODD-A) (30–90 km/h), wet road or light rain.</t>
  </si>
  <si>
    <t xml:space="preserve">H-2871</t>
  </si>
  <si>
    <t xml:space="preserve">No Function of 'Longitudinal control, Experimental Mode (end-to-end)' while in Approaching a signalised or stop-controlled intersection (ODD-A) (30–90 km/h), night, dry, headlights.</t>
  </si>
  <si>
    <t xml:space="preserve">H-2872</t>
  </si>
  <si>
    <t xml:space="preserve">No Function of 'Longitudinal control, Experimental Mode (end-to-end)' while in Approaching a signalised or stop-controlled intersection (ODD-A) (30–90 km/h), moderate or heavy rain (outside odd, foreseeable).</t>
  </si>
  <si>
    <t xml:space="preserve">C2 ⚠: the driver remains responsible, but Experimental Mode invites over-trust (SH-09, WP-C-05); evidence for C2 needed. Reduced visibility outside the ODD delays the driver's detection of the hazard (C+1).</t>
  </si>
  <si>
    <t xml:space="preserve">H-2873</t>
  </si>
  <si>
    <t xml:space="preserve">No Function of 'Longitudinal control, Experimental Mode (end-to-end)' while in Approaching a signalised or stop-controlled intersection (ODD-A) (30–90 km/h), snow or ice (outside odd, foreseeable).</t>
  </si>
  <si>
    <t xml:space="preserve">C2 ⚠: the driver remains responsible, but Experimental Mode invites over-trust (SH-09, WP-C-05); evidence for C2 needed. Snow/ice: low friction; a correction or braking can induce a skid (C+1).</t>
  </si>
  <si>
    <t xml:space="preserve">H-2874</t>
  </si>
  <si>
    <t xml:space="preserve">No Function of 'Longitudinal control, Experimental Mode (end-to-end)' while in Approaching a signalised or stop-controlled intersection (ODD-A) (30–90 km/h), fog, visibility below the odd bound (outside odd, foreseeable).</t>
  </si>
  <si>
    <t xml:space="preserve">H-2875</t>
  </si>
  <si>
    <t xml:space="preserve">No Function of 'Longitudinal control, Experimental Mode (end-to-end)' while in Rural or arterial curve near R_ODD with oncoming traffic (60–90 km/h), dry, daylight.</t>
  </si>
  <si>
    <t xml:space="preserve">H-2876</t>
  </si>
  <si>
    <t xml:space="preserve">No Function of 'Longitudinal control, Experimental Mode (end-to-end)' while in Rural or arterial curve near R_ODD with oncoming traffic (60–90 km/h), wet road or light rain.</t>
  </si>
  <si>
    <t xml:space="preserve">H-2877</t>
  </si>
  <si>
    <t xml:space="preserve">No Function of 'Longitudinal control, Experimental Mode (end-to-end)' while in Rural or arterial curve near R_ODD with oncoming traffic (60–90 km/h), night, dry, headlights.</t>
  </si>
  <si>
    <t xml:space="preserve">H-2878</t>
  </si>
  <si>
    <t xml:space="preserve">No Function of 'Longitudinal control, Experimental Mode (end-to-end)' while in Rural or arterial curve near R_ODD with oncoming traffic (60–90 km/h), moderate or heavy rain (outside odd, foreseeable).</t>
  </si>
  <si>
    <t xml:space="preserve">H-2879</t>
  </si>
  <si>
    <t xml:space="preserve">No Function of 'Longitudinal control, Experimental Mode (end-to-end)' while in Rural or arterial curve near R_ODD with oncoming traffic (60–90 km/h), snow or ice (outside odd, foreseeable).</t>
  </si>
  <si>
    <t xml:space="preserve">H-2880</t>
  </si>
  <si>
    <t xml:space="preserve">No Function of 'Longitudinal control, Experimental Mode (end-to-end)' while in Rural or arterial curve near R_ODD with oncoming traffic (60–90 km/h), fog, visibility below the odd bound (outside odd, foreseeable).</t>
  </si>
  <si>
    <t xml:space="preserve">H-2881</t>
  </si>
  <si>
    <t xml:space="preserve">Unrequested Function of 'Longitudinal control, Experimental Mode (end-to-end)' while in Limited-access highway, free flow, adjacent traffic (90–120 km/h), dry, daylight.</t>
  </si>
  <si>
    <t xml:space="preserve">H-2882</t>
  </si>
  <si>
    <t xml:space="preserve">Unrequested Function of 'Longitudinal control, Experimental Mode (end-to-end)' while in Limited-access highway, free flow, adjacent traffic (90–120 km/h), wet road or light rain.</t>
  </si>
  <si>
    <t xml:space="preserve">H-2883</t>
  </si>
  <si>
    <t xml:space="preserve">Unrequested Function of 'Longitudinal control, Experimental Mode (end-to-end)' while in Limited-access highway, free flow, adjacent traffic (90–120 km/h), night, dry, headlights.</t>
  </si>
  <si>
    <t xml:space="preserve">H-2884</t>
  </si>
  <si>
    <t xml:space="preserve">Unrequested Function of 'Longitudinal control, Experimental Mode (end-to-end)' while in Limited-access highway, free flow, adjacent traffic (90–120 km/h), moderate or heavy rain (outside odd, foreseeable).</t>
  </si>
  <si>
    <t xml:space="preserve">H-2885</t>
  </si>
  <si>
    <t xml:space="preserve">Unrequested Function of 'Longitudinal control, Experimental Mode (end-to-end)' while in Limited-access highway, free flow, adjacent traffic (90–120 km/h), snow or ice (outside odd, foreseeable).</t>
  </si>
  <si>
    <t xml:space="preserve">H-2886</t>
  </si>
  <si>
    <t xml:space="preserve">Unrequested Function of 'Longitudinal control, Experimental Mode (end-to-end)' while in Limited-access highway, free flow, adjacent traffic (90–120 km/h), fog, visibility below the odd bound (outside odd, foreseeable).</t>
  </si>
  <si>
    <t xml:space="preserve">H-2887</t>
  </si>
  <si>
    <t xml:space="preserve">Unrequested Function of 'Longitudinal control, Experimental Mode (end-to-end)' while in Highway curve near R_ODD with barrier or adjacent traffic (70–110 km/h), dry, daylight.</t>
  </si>
  <si>
    <t xml:space="preserve">H-2888</t>
  </si>
  <si>
    <t xml:space="preserve">Unrequested Function of 'Longitudinal control, Experimental Mode (end-to-end)' while in Highway curve near R_ODD with barrier or adjacent traffic (70–110 km/h), wet road or light rain.</t>
  </si>
  <si>
    <t xml:space="preserve">H-2889</t>
  </si>
  <si>
    <t xml:space="preserve">Unrequested Function of 'Longitudinal control, Experimental Mode (end-to-end)' while in Highway curve near R_ODD with barrier or adjacent traffic (70–110 km/h), night, dry, headlights.</t>
  </si>
  <si>
    <t xml:space="preserve">H-2890</t>
  </si>
  <si>
    <t xml:space="preserve">Unrequested Function of 'Longitudinal control, Experimental Mode (end-to-end)' while in Highway curve near R_ODD with barrier or adjacent traffic (70–110 km/h), moderate or heavy rain (outside odd, foreseeable).</t>
  </si>
  <si>
    <t xml:space="preserve">H-2891</t>
  </si>
  <si>
    <t xml:space="preserve">Unrequested Function of 'Longitudinal control, Experimental Mode (end-to-end)' while in Highway curve near R_ODD with barrier or adjacent traffic (70–110 km/h), snow or ice (outside odd, foreseeable).</t>
  </si>
  <si>
    <t xml:space="preserve">H-2892</t>
  </si>
  <si>
    <t xml:space="preserve">Unrequested Function of 'Longitudinal control, Experimental Mode (end-to-end)' while in Highway curve near R_ODD with barrier or adjacent traffic (70–110 km/h), fog, visibility below the odd bound (outside odd, foreseeable).</t>
  </si>
  <si>
    <t xml:space="preserve">H-2893</t>
  </si>
  <si>
    <t xml:space="preserve">Unrequested Function of 'Longitudinal control, Experimental Mode (end-to-end)' while in Undivided rural or arterial road, oncoming traffic (60–90 km/h), dry, daylight.</t>
  </si>
  <si>
    <t xml:space="preserve">H-2894</t>
  </si>
  <si>
    <t xml:space="preserve">Unrequested Function of 'Longitudinal control, Experimental Mode (end-to-end)' while in Undivided rural or arterial road, oncoming traffic (60–90 km/h), wet road or light rain.</t>
  </si>
  <si>
    <t xml:space="preserve">H-2895</t>
  </si>
  <si>
    <t xml:space="preserve">Unrequested Function of 'Longitudinal control, Experimental Mode (end-to-end)' while in Undivided rural or arterial road, oncoming traffic (60–90 km/h), night, dry, headlights.</t>
  </si>
  <si>
    <t xml:space="preserve">H-2896</t>
  </si>
  <si>
    <t xml:space="preserve">Unrequested Function of 'Longitudinal control, Experimental Mode (end-to-end)' while in Undivided rural or arterial road, oncoming traffic (60–90 km/h), moderate or heavy rain (outside odd, foreseeable).</t>
  </si>
  <si>
    <t xml:space="preserve">H-2897</t>
  </si>
  <si>
    <t xml:space="preserve">Unrequested Function of 'Longitudinal control, Experimental Mode (end-to-end)' while in Undivided rural or arterial road, oncoming traffic (60–90 km/h), snow or ice (outside odd, foreseeable).</t>
  </si>
  <si>
    <t xml:space="preserve">H-2898</t>
  </si>
  <si>
    <t xml:space="preserve">Unrequested Function of 'Longitudinal control, Experimental Mode (end-to-end)' while in Undivided rural or arterial road, oncoming traffic (60–90 km/h), fog, visibility below the odd bound (outside odd, foreseeable).</t>
  </si>
  <si>
    <t xml:space="preserve">H-2899</t>
  </si>
  <si>
    <t xml:space="preserve">Unrequested Function of 'Longitudinal control, Experimental Mode (end-to-end)' while in Urban arterial, pedestrians and cyclists near the lane edge (30–60 km/h), dry, daylight.</t>
  </si>
  <si>
    <t xml:space="preserve">H-2900</t>
  </si>
  <si>
    <t xml:space="preserve">Unrequested Function of 'Longitudinal control, Experimental Mode (end-to-end)' while in Urban arterial, pedestrians and cyclists near the lane edge (30–60 km/h), wet road or light rain.</t>
  </si>
  <si>
    <t xml:space="preserve">H-2901</t>
  </si>
  <si>
    <t xml:space="preserve">Unrequested Function of 'Longitudinal control, Experimental Mode (end-to-end)' while in Urban arterial, pedestrians and cyclists near the lane edge (30–60 km/h), night, dry, headlights.</t>
  </si>
  <si>
    <t xml:space="preserve">H-2902</t>
  </si>
  <si>
    <t xml:space="preserve">Unrequested Function of 'Longitudinal control, Experimental Mode (end-to-end)' while in Urban arterial, pedestrians and cyclists near the lane edge (30–60 km/h), moderate or heavy rain (outside odd, foreseeable).</t>
  </si>
  <si>
    <t xml:space="preserve">H-2903</t>
  </si>
  <si>
    <t xml:space="preserve">Unrequested Function of 'Longitudinal control, Experimental Mode (end-to-end)' while in Urban arterial, pedestrians and cyclists near the lane edge (30–60 km/h), snow or ice (outside odd, foreseeable).</t>
  </si>
  <si>
    <t xml:space="preserve">H-2904</t>
  </si>
  <si>
    <t xml:space="preserve">Unrequested Function of 'Longitudinal control, Experimental Mode (end-to-end)' while in Urban arterial, pedestrians and cyclists near the lane edge (30–60 km/h), fog, visibility below the odd bound (outside odd, foreseeable).</t>
  </si>
  <si>
    <t xml:space="preserve">H-2905</t>
  </si>
  <si>
    <t xml:space="preserve">Unrequested Function of 'Longitudinal control, Experimental Mode (end-to-end)' while in Following a lead vehicle at a short gap, dense traffic (30–110 km/h), dry, daylight.</t>
  </si>
  <si>
    <t xml:space="preserve">H-2906</t>
  </si>
  <si>
    <t xml:space="preserve">Unrequested Function of 'Longitudinal control, Experimental Mode (end-to-end)' while in Following a lead vehicle at a short gap, dense traffic (30–110 km/h), wet road or light rain.</t>
  </si>
  <si>
    <t xml:space="preserve">H-2907</t>
  </si>
  <si>
    <t xml:space="preserve">Unrequested Function of 'Longitudinal control, Experimental Mode (end-to-end)' while in Following a lead vehicle at a short gap, dense traffic (30–110 km/h), night, dry, headlights.</t>
  </si>
  <si>
    <t xml:space="preserve">H-2908</t>
  </si>
  <si>
    <t xml:space="preserve">Unrequested Function of 'Longitudinal control, Experimental Mode (end-to-end)' while in Following a lead vehicle at a short gap, dense traffic (30–110 km/h), moderate or heavy rain (outside odd, foreseeable).</t>
  </si>
  <si>
    <t xml:space="preserve">H-2909</t>
  </si>
  <si>
    <t xml:space="preserve">Unrequested Function of 'Longitudinal control, Experimental Mode (end-to-end)' while in Following a lead vehicle at a short gap, dense traffic (30–110 km/h), snow or ice (outside odd, foreseeable).</t>
  </si>
  <si>
    <t xml:space="preserve">H-2910</t>
  </si>
  <si>
    <t xml:space="preserve">Unrequested Function of 'Longitudinal control, Experimental Mode (end-to-end)' while in Following a lead vehicle at a short gap, dense traffic (30–110 km/h), fog, visibility below the odd bound (outside odd, foreseeable).</t>
  </si>
  <si>
    <t xml:space="preserve">H-2911</t>
  </si>
  <si>
    <t xml:space="preserve">Unrequested Function of 'Longitudinal control, Experimental Mode (end-to-end)' while in Stop-and-go queue or standstill behind a lead; pedestrians may cross (0–30 km/h), dry, daylight.</t>
  </si>
  <si>
    <t xml:space="preserve">H-2912</t>
  </si>
  <si>
    <t xml:space="preserve">Unrequested Function of 'Longitudinal control, Experimental Mode (end-to-end)' while in Stop-and-go queue or standstill behind a lead; pedestrians may cross (0–30 km/h), wet road or light rain.</t>
  </si>
  <si>
    <t xml:space="preserve">H-2913</t>
  </si>
  <si>
    <t xml:space="preserve">Unrequested Function of 'Longitudinal control, Experimental Mode (end-to-end)' while in Stop-and-go queue or standstill behind a lead; pedestrians may cross (0–30 km/h), night, dry, headlights.</t>
  </si>
  <si>
    <t xml:space="preserve">H-2914</t>
  </si>
  <si>
    <t xml:space="preserve">Unrequested Function of 'Longitudinal control, Experimental Mode (end-to-end)' while in Stop-and-go queue or standstill behind a lead; pedestrians may cross (0–30 km/h), moderate or heavy rain (outside odd, foreseeable).</t>
  </si>
  <si>
    <t xml:space="preserve">H-2915</t>
  </si>
  <si>
    <t xml:space="preserve">Unrequested Function of 'Longitudinal control, Experimental Mode (end-to-end)' while in Stop-and-go queue or standstill behind a lead; pedestrians may cross (0–30 km/h), snow or ice (outside odd, foreseeable).</t>
  </si>
  <si>
    <t xml:space="preserve">H-2916</t>
  </si>
  <si>
    <t xml:space="preserve">Unrequested Function of 'Longitudinal control, Experimental Mode (end-to-end)' while in Stop-and-go queue or standstill behind a lead; pedestrians may cross (0–30 km/h), fog, visibility below the odd bound (outside odd, foreseeable).</t>
  </si>
  <si>
    <t xml:space="preserve">H-2917</t>
  </si>
  <si>
    <t xml:space="preserve">Unrequested Function of 'Longitudinal control, Experimental Mode (end-to-end)' while in Approaching slower or stationary traffic from highway speed (70–120 km/h), dry, daylight.</t>
  </si>
  <si>
    <t xml:space="preserve">H-2918</t>
  </si>
  <si>
    <t xml:space="preserve">Unrequested Function of 'Longitudinal control, Experimental Mode (end-to-end)' while in Approaching slower or stationary traffic from highway speed (70–120 km/h), wet road or light rain.</t>
  </si>
  <si>
    <t xml:space="preserve">H-2919</t>
  </si>
  <si>
    <t xml:space="preserve">Unrequested Function of 'Longitudinal control, Experimental Mode (end-to-end)' while in Approaching slower or stationary traffic from highway speed (70–120 km/h), night, dry, headlights.</t>
  </si>
  <si>
    <t xml:space="preserve">H-2920</t>
  </si>
  <si>
    <t xml:space="preserve">Unrequested Function of 'Longitudinal control, Experimental Mode (end-to-end)' while in Approaching slower or stationary traffic from highway speed (70–120 km/h), moderate or heavy rain (outside odd, foreseeable).</t>
  </si>
  <si>
    <t xml:space="preserve">H-2921</t>
  </si>
  <si>
    <t xml:space="preserve">Unrequested Function of 'Longitudinal control, Experimental Mode (end-to-end)' while in Approaching slower or stationary traffic from highway speed (70–120 km/h), snow or ice (outside odd, foreseeable).</t>
  </si>
  <si>
    <t xml:space="preserve">H-2922</t>
  </si>
  <si>
    <t xml:space="preserve">Unrequested Function of 'Longitudinal control, Experimental Mode (end-to-end)' while in Approaching slower or stationary traffic from highway speed (70–120 km/h), fog, visibility below the odd bound (outside odd, foreseeable).</t>
  </si>
  <si>
    <t xml:space="preserve">H-2923</t>
  </si>
  <si>
    <t xml:space="preserve">Unrequested Function of 'Longitudinal control, Experimental Mode (end-to-end)' while in Close following vehicle behind (gap &lt; 1.5 s) (50–120 km/h), dry, daylight.</t>
  </si>
  <si>
    <t xml:space="preserve">H-2924</t>
  </si>
  <si>
    <t xml:space="preserve">Unrequested Function of 'Longitudinal control, Experimental Mode (end-to-end)' while in Close following vehicle behind (gap &lt; 1.5 s) (50–120 km/h), wet road or light rain.</t>
  </si>
  <si>
    <t xml:space="preserve">H-2925</t>
  </si>
  <si>
    <t xml:space="preserve">Unrequested Function of 'Longitudinal control, Experimental Mode (end-to-end)' while in Close following vehicle behind (gap &lt; 1.5 s) (50–120 km/h), night, dry, headlights.</t>
  </si>
  <si>
    <t xml:space="preserve">H-2926</t>
  </si>
  <si>
    <t xml:space="preserve">Unrequested Function of 'Longitudinal control, Experimental Mode (end-to-end)' while in Close following vehicle behind (gap &lt; 1.5 s) (50–120 km/h), moderate or heavy rain (outside odd, foreseeable).</t>
  </si>
  <si>
    <t xml:space="preserve">H-2927</t>
  </si>
  <si>
    <t xml:space="preserve">Unrequested Function of 'Longitudinal control, Experimental Mode (end-to-end)' while in Close following vehicle behind (gap &lt; 1.5 s) (50–120 km/h), snow or ice (outside odd, foreseeable).</t>
  </si>
  <si>
    <t xml:space="preserve">H-2928</t>
  </si>
  <si>
    <t xml:space="preserve">Unrequested Function of 'Longitudinal control, Experimental Mode (end-to-end)' while in Close following vehicle behind (gap &lt; 1.5 s) (50–120 km/h), fog, visibility below the odd bound (outside odd, foreseeable).</t>
  </si>
  <si>
    <t xml:space="preserve">H-2929</t>
  </si>
  <si>
    <t xml:space="preserve">Unrequested Function of 'Longitudinal control, Experimental Mode (end-to-end)' while in Imminent collision where the stock PCS/AEB would intervene (0–120 km/h), dry, daylight.</t>
  </si>
  <si>
    <t xml:space="preserve">H-2930</t>
  </si>
  <si>
    <t xml:space="preserve">Unrequested Function of 'Longitudinal control, Experimental Mode (end-to-end)' while in Imminent collision where the stock PCS/AEB would intervene (0–120 km/h), wet road or light rain.</t>
  </si>
  <si>
    <t xml:space="preserve">H-2931</t>
  </si>
  <si>
    <t xml:space="preserve">Unrequested Function of 'Longitudinal control, Experimental Mode (end-to-end)' while in Imminent collision where the stock PCS/AEB would intervene (0–120 km/h), night, dry, headlights.</t>
  </si>
  <si>
    <t xml:space="preserve">H-2932</t>
  </si>
  <si>
    <t xml:space="preserve">Unrequested Function of 'Longitudinal control, Experimental Mode (end-to-end)' while in Imminent collision where the stock PCS/AEB would intervene (0–120 km/h), moderate or heavy rain (outside odd, foreseeable).</t>
  </si>
  <si>
    <t xml:space="preserve">H-2933</t>
  </si>
  <si>
    <t xml:space="preserve">Unrequested Function of 'Longitudinal control, Experimental Mode (end-to-end)' while in Imminent collision where the stock PCS/AEB would intervene (0–120 km/h), snow or ice (outside odd, foreseeable).</t>
  </si>
  <si>
    <t xml:space="preserve">H-2934</t>
  </si>
  <si>
    <t xml:space="preserve">Unrequested Function of 'Longitudinal control, Experimental Mode (end-to-end)' while in Imminent collision where the stock PCS/AEB would intervene (0–120 km/h), fog, visibility below the odd bound (outside odd, foreseeable).</t>
  </si>
  <si>
    <t xml:space="preserve">H-2935</t>
  </si>
  <si>
    <t xml:space="preserve">Unrequested Function of 'Longitudinal control, Experimental Mode (end-to-end)' while in Driver override while engaged: braking, cancel or evasive steering (0–120 km/h), dry, daylight.</t>
  </si>
  <si>
    <t xml:space="preserve">H-2936</t>
  </si>
  <si>
    <t xml:space="preserve">Unrequested Function of 'Longitudinal control, Experimental Mode (end-to-end)' while in Driver override while engaged: braking, cancel or evasive steering (0–120 km/h), wet road or light rain.</t>
  </si>
  <si>
    <t xml:space="preserve">H-2937</t>
  </si>
  <si>
    <t xml:space="preserve">Unrequested Function of 'Longitudinal control, Experimental Mode (end-to-end)' while in Driver override while engaged: braking, cancel or evasive steering (0–120 km/h), night, dry, headlights.</t>
  </si>
  <si>
    <t xml:space="preserve">H-2938</t>
  </si>
  <si>
    <t xml:space="preserve">Unrequested Function of 'Longitudinal control, Experimental Mode (end-to-end)' while in Driver override while engaged: braking, cancel or evasive steering (0–120 km/h), moderate or heavy rain (outside odd, foreseeable).</t>
  </si>
  <si>
    <t xml:space="preserve">H-2939</t>
  </si>
  <si>
    <t xml:space="preserve">Unrequested Function of 'Longitudinal control, Experimental Mode (end-to-end)' while in Driver override while engaged: braking, cancel or evasive steering (0–120 km/h), snow or ice (outside odd, foreseeable).</t>
  </si>
  <si>
    <t xml:space="preserve">H-2940</t>
  </si>
  <si>
    <t xml:space="preserve">Unrequested Function of 'Longitudinal control, Experimental Mode (end-to-end)' while in Driver override while engaged: braking, cancel or evasive steering (0–120 km/h), fog, visibility below the odd bound (outside odd, foreseeable).</t>
  </si>
  <si>
    <t xml:space="preserve">H-2941</t>
  </si>
  <si>
    <t xml:space="preserve">Unrequested Function of 'Longitudinal control, Experimental Mode (end-to-end)' while in Driver-initiated assisted lane change (70–120 km/h), dry, daylight.</t>
  </si>
  <si>
    <t xml:space="preserve">H-2942</t>
  </si>
  <si>
    <t xml:space="preserve">Unrequested Function of 'Longitudinal control, Experimental Mode (end-to-end)' while in Driver-initiated assisted lane change (70–120 km/h), wet road or light rain.</t>
  </si>
  <si>
    <t xml:space="preserve">H-2943</t>
  </si>
  <si>
    <t xml:space="preserve">Unrequested Function of 'Longitudinal control, Experimental Mode (end-to-end)' while in Driver-initiated assisted lane change (70–120 km/h), night, dry, headlights.</t>
  </si>
  <si>
    <t xml:space="preserve">H-2944</t>
  </si>
  <si>
    <t xml:space="preserve">Unrequested Function of 'Longitudinal control, Experimental Mode (end-to-end)' while in Driver-initiated assisted lane change (70–120 km/h), moderate or heavy rain (outside odd, foreseeable).</t>
  </si>
  <si>
    <t xml:space="preserve">H-2945</t>
  </si>
  <si>
    <t xml:space="preserve">Unrequested Function of 'Longitudinal control, Experimental Mode (end-to-end)' while in Driver-initiated assisted lane change (70–120 km/h), snow or ice (outside odd, foreseeable).</t>
  </si>
  <si>
    <t xml:space="preserve">H-2946</t>
  </si>
  <si>
    <t xml:space="preserve">Unrequested Function of 'Longitudinal control, Experimental Mode (end-to-end)' while in Driver-initiated assisted lane change (70–120 km/h), fog, visibility below the odd bound (outside odd, foreseeable).</t>
  </si>
  <si>
    <t xml:space="preserve">H-2947</t>
  </si>
  <si>
    <t xml:space="preserve">Unrequested Function of 'Longitudinal control, Experimental Mode (end-to-end)' while in Manual driving, item powered but not engaged (0–120 km/h), dry, daylight.</t>
  </si>
  <si>
    <t xml:space="preserve">H-2948</t>
  </si>
  <si>
    <t xml:space="preserve">Unrequested Function of 'Longitudinal control, Experimental Mode (end-to-end)' while in Manual driving, item powered but not engaged (0–120 km/h), wet road or light rain.</t>
  </si>
  <si>
    <t xml:space="preserve">H-2949</t>
  </si>
  <si>
    <t xml:space="preserve">Unrequested Function of 'Longitudinal control, Experimental Mode (end-to-end)' while in Manual driving, item powered but not engaged (0–120 km/h), night, dry, headlights.</t>
  </si>
  <si>
    <t xml:space="preserve">H-2950</t>
  </si>
  <si>
    <t xml:space="preserve">Unrequested Function of 'Longitudinal control, Experimental Mode (end-to-end)' while in Manual driving, item powered but not engaged (0–120 km/h), moderate or heavy rain (outside odd, foreseeable).</t>
  </si>
  <si>
    <t xml:space="preserve">H-2951</t>
  </si>
  <si>
    <t xml:space="preserve">Unrequested Function of 'Longitudinal control, Experimental Mode (end-to-end)' while in Manual driving, item powered but not engaged (0–120 km/h), snow or ice (outside odd, foreseeable).</t>
  </si>
  <si>
    <t xml:space="preserve">H-2952</t>
  </si>
  <si>
    <t xml:space="preserve">Unrequested Function of 'Longitudinal control, Experimental Mode (end-to-end)' while in Manual driving, item powered but not engaged (0–120 km/h), fog, visibility below the odd bound (outside odd, foreseeable).</t>
  </si>
  <si>
    <t xml:space="preserve">H-2953</t>
  </si>
  <si>
    <t xml:space="preserve">Unrequested Function of 'Longitudinal control, Experimental Mode (end-to-end)' while in Engaged outside the ODD (residential street, ramp, tight curve): foreseeable misuse (15–60 km/h), dry, daylight.</t>
  </si>
  <si>
    <t xml:space="preserve">H-2954</t>
  </si>
  <si>
    <t xml:space="preserve">Unrequested Function of 'Longitudinal control, Experimental Mode (end-to-end)' while in Engaged outside the ODD (residential street, ramp, tight curve): foreseeable misuse (15–60 km/h), wet road or light rain.</t>
  </si>
  <si>
    <t xml:space="preserve">H-2955</t>
  </si>
  <si>
    <t xml:space="preserve">Unrequested Function of 'Longitudinal control, Experimental Mode (end-to-end)' while in Engaged outside the ODD (residential street, ramp, tight curve): foreseeable misuse (15–60 km/h), night, dry, headlights.</t>
  </si>
  <si>
    <t xml:space="preserve">H-2956</t>
  </si>
  <si>
    <t xml:space="preserve">Unrequested Function of 'Longitudinal control, Experimental Mode (end-to-end)' while in Engaged outside the ODD (residential street, ramp, tight curve): foreseeable misuse (15–60 km/h), moderate or heavy rain (outside odd, foreseeable).</t>
  </si>
  <si>
    <t xml:space="preserve">H-2957</t>
  </si>
  <si>
    <t xml:space="preserve">Unrequested Function of 'Longitudinal control, Experimental Mode (end-to-end)' while in Engaged outside the ODD (residential street, ramp, tight curve): foreseeable misuse (15–60 km/h), snow or ice (outside odd, foreseeable).</t>
  </si>
  <si>
    <t xml:space="preserve">H-2958</t>
  </si>
  <si>
    <t xml:space="preserve">Unrequested Function of 'Longitudinal control, Experimental Mode (end-to-end)' while in Engaged outside the ODD (residential street, ramp, tight curve): foreseeable misuse (15–60 km/h), fog, visibility below the odd bound (outside odd, foreseeable).</t>
  </si>
  <si>
    <t xml:space="preserve">H-2959</t>
  </si>
  <si>
    <t xml:space="preserve">Unrequested Function of 'Longitudinal control, Experimental Mode (end-to-end)' while in Approaching a signalised or stop-controlled intersection (ODD-A) (30–90 km/h), dry, daylight.</t>
  </si>
  <si>
    <t xml:space="preserve">H-2960</t>
  </si>
  <si>
    <t xml:space="preserve">Unrequested Function of 'Longitudinal control, Experimental Mode (end-to-end)' while in Approaching a signalised or stop-controlled intersection (ODD-A) (30–90 km/h), wet road or light rain.</t>
  </si>
  <si>
    <t xml:space="preserve">H-2961</t>
  </si>
  <si>
    <t xml:space="preserve">Unrequested Function of 'Longitudinal control, Experimental Mode (end-to-end)' while in Approaching a signalised or stop-controlled intersection (ODD-A) (30–90 km/h), night, dry, headlights.</t>
  </si>
  <si>
    <t xml:space="preserve">H-2962</t>
  </si>
  <si>
    <t xml:space="preserve">Unrequested Function of 'Longitudinal control, Experimental Mode (end-to-end)' while in Approaching a signalised or stop-controlled intersection (ODD-A) (30–90 km/h), moderate or heavy rain (outside odd, foreseeable).</t>
  </si>
  <si>
    <t xml:space="preserve">H-2963</t>
  </si>
  <si>
    <t xml:space="preserve">Unrequested Function of 'Longitudinal control, Experimental Mode (end-to-end)' while in Approaching a signalised or stop-controlled intersection (ODD-A) (30–90 km/h), snow or ice (outside odd, foreseeable).</t>
  </si>
  <si>
    <t xml:space="preserve">H-2964</t>
  </si>
  <si>
    <t xml:space="preserve">Unrequested Function of 'Longitudinal control, Experimental Mode (end-to-end)' while in Approaching a signalised or stop-controlled intersection (ODD-A) (30–90 km/h), fog, visibility below the odd bound (outside odd, foreseeable).</t>
  </si>
  <si>
    <t xml:space="preserve">H-2965</t>
  </si>
  <si>
    <t xml:space="preserve">Unrequested Function of 'Longitudinal control, Experimental Mode (end-to-end)' while in Rural or arterial curve near R_ODD with oncoming traffic (60–90 km/h), dry, daylight.</t>
  </si>
  <si>
    <t xml:space="preserve">H-2966</t>
  </si>
  <si>
    <t xml:space="preserve">Unrequested Function of 'Longitudinal control, Experimental Mode (end-to-end)' while in Rural or arterial curve near R_ODD with oncoming traffic (60–90 km/h), wet road or light rain.</t>
  </si>
  <si>
    <t xml:space="preserve">H-2967</t>
  </si>
  <si>
    <t xml:space="preserve">Unrequested Function of 'Longitudinal control, Experimental Mode (end-to-end)' while in Rural or arterial curve near R_ODD with oncoming traffic (60–90 km/h), night, dry, headlights.</t>
  </si>
  <si>
    <t xml:space="preserve">H-2968</t>
  </si>
  <si>
    <t xml:space="preserve">Unrequested Function of 'Longitudinal control, Experimental Mode (end-to-end)' while in Rural or arterial curve near R_ODD with oncoming traffic (60–90 km/h), moderate or heavy rain (outside odd, foreseeable).</t>
  </si>
  <si>
    <t xml:space="preserve">H-2969</t>
  </si>
  <si>
    <t xml:space="preserve">Unrequested Function of 'Longitudinal control, Experimental Mode (end-to-end)' while in Rural or arterial curve near R_ODD with oncoming traffic (60–90 km/h), snow or ice (outside odd, foreseeable).</t>
  </si>
  <si>
    <t xml:space="preserve">H-2970</t>
  </si>
  <si>
    <t xml:space="preserve">Unrequested Function of 'Longitudinal control, Experimental Mode (end-to-end)' while in Rural or arterial curve near R_ODD with oncoming traffic (60–90 km/h), fog, visibility below the odd bound (outside odd, foreseeable).</t>
  </si>
  <si>
    <t xml:space="preserve">Safety Goals and Safe States</t>
  </si>
  <si>
    <t xml:space="preserve">Candidate goals per (function, hazard) as grouped by the generator. They are consolidated per hazard into SG-01…SG-07 in WP-C-03 §6; see column H.</t>
  </si>
  <si>
    <t xml:space="preserve">SG_ID</t>
  </si>
  <si>
    <t xml:space="preserve">Hazard</t>
  </si>
  <si>
    <t xml:space="preserve">Worst-case ASIL</t>
  </si>
  <si>
    <t xml:space="preserve">Driving HARA IDs</t>
  </si>
  <si>
    <t xml:space="preserve">Safety Goal</t>
  </si>
  <si>
    <t xml:space="preserve">Consolidated into</t>
  </si>
  <si>
    <t xml:space="preserve">SG-001</t>
  </si>
  <si>
    <t xml:space="preserve">H-0181, H-0182, H-0183, H-0184, H-0185, H-0187…</t>
  </si>
  <si>
    <t xml:space="preserve">Prevent H-01 Unintended or excessive lateral motion</t>
  </si>
  <si>
    <t xml:space="preserve">SG-01</t>
  </si>
  <si>
    <t xml:space="preserve">SG-002</t>
  </si>
  <si>
    <t xml:space="preserve">H-1981, H-1982, H-1983, H-1984, H-1985, H-1987…</t>
  </si>
  <si>
    <t xml:space="preserve">SG-003</t>
  </si>
  <si>
    <t xml:space="preserve">H-0001, H-0002, H-0003, H-0005, H-0007, H-0008…</t>
  </si>
  <si>
    <t xml:space="preserve">Prevent H-02 Unannounced loss or degradation of lateral control</t>
  </si>
  <si>
    <t xml:space="preserve">SG-02</t>
  </si>
  <si>
    <t xml:space="preserve">SG-004</t>
  </si>
  <si>
    <t xml:space="preserve">H-0925, H-0926, H-0927, H-0928, H-0929, H-0937…</t>
  </si>
  <si>
    <t xml:space="preserve">Prevent H-06 Unannounced loss of longitudinal deceleration</t>
  </si>
  <si>
    <t xml:space="preserve">SG-06</t>
  </si>
  <si>
    <t xml:space="preserve">SG-005</t>
  </si>
  <si>
    <t xml:space="preserve">H-1081, H-1085, H-1088, H-1091, H-1093, H-1097…</t>
  </si>
  <si>
    <t xml:space="preserve">Prevent H-04 Unintended or excessive deceleration</t>
  </si>
  <si>
    <t xml:space="preserve">SG-04</t>
  </si>
  <si>
    <t xml:space="preserve">SG-006</t>
  </si>
  <si>
    <t xml:space="preserve">H-1171, H-1177, H-1178, H-1179, H-1180, H-1181…</t>
  </si>
  <si>
    <t xml:space="preserve">Prevent H-03 Unintended acceleration</t>
  </si>
  <si>
    <t xml:space="preserve">SG-03</t>
  </si>
  <si>
    <t xml:space="preserve">SG-007</t>
  </si>
  <si>
    <t xml:space="preserve">H-1849, H-1850, H-1851, H-1852, H-1853, H-1855…</t>
  </si>
  <si>
    <t xml:space="preserve">Prevent H-05 Driver unable to override or disengage</t>
  </si>
  <si>
    <t xml:space="preserve">SG-05</t>
  </si>
  <si>
    <t xml:space="preserve">SG-008</t>
  </si>
  <si>
    <t xml:space="preserve">H-1891, H-1892, H-1893, H-1895, H-1897, H-1898…</t>
  </si>
  <si>
    <t xml:space="preserve">SG-009</t>
  </si>
  <si>
    <t xml:space="preserve">H-2251, H-2255, H-2258, H-2261, H-2263, H-2267…</t>
  </si>
  <si>
    <t xml:space="preserve">SG-010</t>
  </si>
  <si>
    <t xml:space="preserve">H-2341, H-2342, H-2343, H-2345, H-2347, H-2348…</t>
  </si>
  <si>
    <t xml:space="preserve">Prevent H-07 Displayed system state differs from actual state (mode confusion)</t>
  </si>
  <si>
    <t xml:space="preserve">SG-02 / SG-06 (see WP-C-03 §6)</t>
  </si>
  <si>
    <t xml:space="preserve">SG-011</t>
  </si>
  <si>
    <t xml:space="preserve">H-2659, H-2660, H-2661, H-2662, H-2663, H-2664</t>
  </si>
  <si>
    <t xml:space="preserve">Prevent H-08 Suppression of the vehicle's stock pre-collision braking</t>
  </si>
  <si>
    <t xml:space="preserve">SG-07</t>
  </si>
  <si>
    <t xml:space="preserve">SG-012</t>
  </si>
  <si>
    <t xml:space="preserve">H-2701, H-2702, H-2703, H-2705, H-2707, H-2708…</t>
  </si>
  <si>
    <t xml:space="preserve">SG-013</t>
  </si>
  <si>
    <t xml:space="preserve">H-2863, H-2864, H-2865, H-2866, H-2867, H-2868…</t>
  </si>
  <si>
    <t xml:space="preserve">Prevent H-09 Vehicle does not stop for a traffic signal or stop sign it is expected to stop for</t>
  </si>
  <si>
    <t xml:space="preserve">SG-09 (only if D-08 option B)</t>
  </si>
  <si>
    <t xml:space="preserve">SG-014</t>
  </si>
  <si>
    <t xml:space="preserve">H-2881, H-2885, H-2888, H-2891, H-2893, H-2897…</t>
  </si>
  <si>
    <t xml:space="preserve">SG-015</t>
  </si>
  <si>
    <t xml:space="preserve">H-2545, H-2549, H-2563, H-2567, H-2585, H-2587…</t>
  </si>
  <si>
    <t xml:space="preserve">Functional Safety Concept (FSC) — Hand-off</t>
  </si>
  <si>
    <t xml:space="preserve">Pre-populated from Safety Goals. Analyst fills FTTI, allocation, warning strategy, FSRs, verification methods, and any ASIL decomposition decisions during the FSC phase.</t>
  </si>
  <si>
    <t xml:space="preserve">FTTI (ms)</t>
  </si>
  <si>
    <t xml:space="preserve">Allocation Target</t>
  </si>
  <si>
    <t xml:space="preserve">Warning &amp; Degradation</t>
  </si>
  <si>
    <t xml:space="preserve">FSR ID</t>
  </si>
  <si>
    <t xml:space="preserve">Functional Safety Requirement</t>
  </si>
  <si>
    <t xml:space="preserve">Verification Method</t>
  </si>
  <si>
    <t xml:space="preserve">Decomposition</t>
  </si>
  <si>
    <t xml:space="preserve">FSR-001-01</t>
  </si>
  <si>
    <t xml:space="preserve">(Derived requirement — to be authored in FSC phase.)</t>
  </si>
  <si>
    <t xml:space="preserve">Test</t>
  </si>
  <si>
    <t xml:space="preserve">None</t>
  </si>
  <si>
    <t xml:space="preserve">FSR-001-02</t>
  </si>
  <si>
    <t xml:space="preserve">FSR-001-03</t>
  </si>
  <si>
    <t xml:space="preserve">FSR-002-01</t>
  </si>
  <si>
    <t xml:space="preserve">FSR-002-02</t>
  </si>
  <si>
    <t xml:space="preserve">FSR-002-03</t>
  </si>
  <si>
    <t xml:space="preserve">FSR-003-01</t>
  </si>
  <si>
    <t xml:space="preserve">FSR-003-02</t>
  </si>
  <si>
    <t xml:space="preserve">FSR-003-03</t>
  </si>
  <si>
    <t xml:space="preserve">FSR-004-01</t>
  </si>
  <si>
    <t xml:space="preserve">FSR-004-02</t>
  </si>
  <si>
    <t xml:space="preserve">FSR-004-03</t>
  </si>
  <si>
    <t xml:space="preserve">FSR-005-01</t>
  </si>
  <si>
    <t xml:space="preserve">FSR-005-02</t>
  </si>
  <si>
    <t xml:space="preserve">FSR-005-03</t>
  </si>
  <si>
    <t xml:space="preserve">FSR-006-01</t>
  </si>
  <si>
    <t xml:space="preserve">FSR-006-02</t>
  </si>
  <si>
    <t xml:space="preserve">FSR-006-03</t>
  </si>
  <si>
    <t xml:space="preserve">FSR-007-01</t>
  </si>
  <si>
    <t xml:space="preserve">FSR-007-02</t>
  </si>
  <si>
    <t xml:space="preserve">FSR-007-03</t>
  </si>
  <si>
    <t xml:space="preserve">FSR-008-01</t>
  </si>
  <si>
    <t xml:space="preserve">FSR-008-02</t>
  </si>
  <si>
    <t xml:space="preserve">FSR-008-03</t>
  </si>
  <si>
    <t xml:space="preserve">FSR-009-01</t>
  </si>
  <si>
    <t xml:space="preserve">FSR-009-02</t>
  </si>
  <si>
    <t xml:space="preserve">FSR-009-03</t>
  </si>
  <si>
    <t xml:space="preserve">FSR-010-01</t>
  </si>
  <si>
    <t xml:space="preserve">FSR-010-02</t>
  </si>
  <si>
    <t xml:space="preserve">FSR-010-03</t>
  </si>
  <si>
    <t xml:space="preserve">FSR-011-01</t>
  </si>
  <si>
    <t xml:space="preserve">FSR-011-02</t>
  </si>
  <si>
    <t xml:space="preserve">FSR-011-03</t>
  </si>
  <si>
    <t xml:space="preserve">FSR-012-01</t>
  </si>
  <si>
    <t xml:space="preserve">FSR-012-02</t>
  </si>
  <si>
    <t xml:space="preserve">FSR-012-03</t>
  </si>
  <si>
    <t xml:space="preserve">FSR-013-01</t>
  </si>
  <si>
    <t xml:space="preserve">FSR-013-02</t>
  </si>
  <si>
    <t xml:space="preserve">FSR-013-03</t>
  </si>
  <si>
    <t xml:space="preserve">FSR-014-01</t>
  </si>
  <si>
    <t xml:space="preserve">FSR-014-02</t>
  </si>
  <si>
    <t xml:space="preserve">FSR-014-03</t>
  </si>
  <si>
    <t xml:space="preserve">FSR-015-01</t>
  </si>
  <si>
    <t xml:space="preserve">FSR-015-02</t>
  </si>
  <si>
    <t xml:space="preserve">FSR-015-03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</si>
</sst>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libri"/>
      <family val="0"/>
      <charset val="1"/>
    </font>
    <font>
      <b val="true"/>
      <sz val="11"/>
      <color rgb="FF1F3864"/>
      <name val="Calibri"/>
      <family val="0"/>
      <charset val="1"/>
    </font>
    <font>
      <sz val="1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i val="true"/>
      <sz val="10"/>
      <color rgb="FF9C5700"/>
      <name val="Calibri"/>
      <family val="0"/>
      <charset val="1"/>
    </font>
    <font>
      <i val="true"/>
      <sz val="10"/>
      <name val="Cambria"/>
      <family val="0"/>
      <charset val="1"/>
    </font>
    <font>
      <i val="true"/>
      <sz val="10"/>
      <name val="Calibri"/>
      <family val="0"/>
      <charset val="1"/>
    </font>
    <font>
      <b val="true"/>
      <sz val="11"/>
      <name val="Cambria"/>
      <family val="0"/>
      <charset val="1"/>
    </font>
    <font>
      <b val="true"/>
      <sz val="10"/>
      <name val="Calibri"/>
      <family val="0"/>
      <charset val="1"/>
    </font>
    <font>
      <b val="true"/>
      <sz val="11"/>
      <color rgb="FF00000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F8CBAD"/>
        <bgColor rgb="FFFFE699"/>
      </patternFill>
    </fill>
    <fill>
      <patternFill patternType="solid">
        <fgColor rgb="FFC6EFCE"/>
        <bgColor rgb="FFCCFFFF"/>
      </patternFill>
    </fill>
    <fill>
      <patternFill patternType="solid">
        <fgColor rgb="FFF4B084"/>
        <bgColor rgb="FFF8CBAD"/>
      </patternFill>
    </fill>
    <fill>
      <patternFill patternType="solid">
        <fgColor rgb="FFFFE699"/>
        <bgColor rgb="FFFFF2CC"/>
      </patternFill>
    </fill>
    <fill>
      <patternFill patternType="solid">
        <fgColor rgb="FFF8696B"/>
        <bgColor rgb="FFFF66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8696B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4B084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4" min="4" style="0" width="4"/>
  </cols>
  <sheetData>
    <row r="2" customFormat="false" ht="27.75" hidden="false" customHeight="true" outlineLevel="0" collapsed="false">
      <c r="A2" s="1" t="s">
        <v>0</v>
      </c>
      <c r="B2" s="1"/>
      <c r="C2" s="1"/>
      <c r="D2" s="1"/>
    </row>
    <row r="3" customFormat="false" ht="27.75" hidden="false" customHeight="true" outlineLevel="0" collapsed="false">
      <c r="A3" s="1" t="s">
        <v>1</v>
      </c>
      <c r="B3" s="1"/>
      <c r="C3" s="1"/>
      <c r="D3" s="1"/>
    </row>
    <row r="6" customFormat="false" ht="15" hidden="false" customHeight="false" outlineLevel="0" collapsed="false">
      <c r="B6" s="2" t="s">
        <v>2</v>
      </c>
      <c r="C6" s="3" t="s">
        <v>3</v>
      </c>
    </row>
    <row r="7" customFormat="false" ht="15" hidden="false" customHeight="false" outlineLevel="0" collapsed="false">
      <c r="B7" s="2" t="s">
        <v>4</v>
      </c>
      <c r="C7" s="3" t="s">
        <v>5</v>
      </c>
    </row>
    <row r="8" customFormat="false" ht="15" hidden="false" customHeight="false" outlineLevel="0" collapsed="false">
      <c r="B8" s="2" t="s">
        <v>6</v>
      </c>
      <c r="C8" s="3" t="s">
        <v>7</v>
      </c>
    </row>
    <row r="9" customFormat="false" ht="15" hidden="false" customHeight="false" outlineLevel="0" collapsed="false">
      <c r="B9" s="2" t="s">
        <v>8</v>
      </c>
      <c r="C9" s="3" t="s">
        <v>9</v>
      </c>
    </row>
    <row r="10" customFormat="false" ht="15" hidden="false" customHeight="false" outlineLevel="0" collapsed="false">
      <c r="B10" s="2" t="s">
        <v>10</v>
      </c>
      <c r="C10" s="3" t="s">
        <v>11</v>
      </c>
    </row>
    <row r="11" customFormat="false" ht="15" hidden="false" customHeight="false" outlineLevel="0" collapsed="false">
      <c r="B11" s="2" t="s">
        <v>12</v>
      </c>
      <c r="C11" s="3" t="s">
        <v>13</v>
      </c>
    </row>
    <row r="12" customFormat="false" ht="15" hidden="false" customHeight="false" outlineLevel="0" collapsed="false">
      <c r="B12" s="2" t="s">
        <v>14</v>
      </c>
      <c r="C12" s="3" t="s">
        <v>3</v>
      </c>
    </row>
    <row r="13" customFormat="false" ht="15" hidden="false" customHeight="false" outlineLevel="0" collapsed="false">
      <c r="B13" s="2" t="s">
        <v>15</v>
      </c>
      <c r="C13" s="3" t="s">
        <v>16</v>
      </c>
    </row>
    <row r="14" customFormat="false" ht="15" hidden="false" customHeight="false" outlineLevel="0" collapsed="false">
      <c r="B14" s="2" t="s">
        <v>17</v>
      </c>
      <c r="C14" s="3" t="s">
        <v>18</v>
      </c>
    </row>
  </sheetData>
  <mergeCells count="2">
    <mergeCell ref="A2:D2"/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50"/>
    <col collapsed="false" customWidth="true" hidden="false" outlineLevel="0" max="5" min="5" style="0" width="22"/>
  </cols>
  <sheetData>
    <row r="1" customFormat="false" ht="27.75" hidden="false" customHeight="true" outlineLevel="0" collapsed="false">
      <c r="A1" s="1" t="s">
        <v>19</v>
      </c>
      <c r="B1" s="1"/>
      <c r="C1" s="1"/>
      <c r="D1" s="1"/>
      <c r="E1" s="1"/>
    </row>
    <row r="3" customFormat="false" ht="31.5" hidden="false" customHeight="true" outlineLevel="0" collapsed="false">
      <c r="A3" s="4" t="s">
        <v>6</v>
      </c>
      <c r="B3" s="4" t="s">
        <v>8</v>
      </c>
      <c r="C3" s="4" t="s">
        <v>10</v>
      </c>
      <c r="D3" s="4" t="s">
        <v>20</v>
      </c>
      <c r="E3" s="4" t="s">
        <v>12</v>
      </c>
    </row>
    <row r="4" customFormat="false" ht="15" hidden="false" customHeight="false" outlineLevel="0" collapsed="false">
      <c r="A4" s="5" t="s">
        <v>21</v>
      </c>
      <c r="B4" s="5"/>
      <c r="C4" s="5"/>
      <c r="D4" s="5" t="s">
        <v>22</v>
      </c>
      <c r="E4" s="5"/>
    </row>
    <row r="5" customFormat="false" ht="15" hidden="false" customHeight="false" outlineLevel="0" collapsed="false">
      <c r="A5" s="6" t="s">
        <v>23</v>
      </c>
      <c r="B5" s="6"/>
      <c r="C5" s="6"/>
      <c r="D5" s="6" t="s">
        <v>24</v>
      </c>
      <c r="E5" s="6"/>
    </row>
    <row r="6" customFormat="false" ht="15" hidden="false" customHeight="false" outlineLevel="0" collapsed="false">
      <c r="A6" s="5" t="s">
        <v>25</v>
      </c>
      <c r="B6" s="5"/>
      <c r="C6" s="5"/>
      <c r="D6" s="5" t="s">
        <v>26</v>
      </c>
      <c r="E6" s="5"/>
    </row>
    <row r="10" customFormat="false" ht="27.75" hidden="false" customHeight="true" outlineLevel="0" collapsed="false">
      <c r="A10" s="1" t="s">
        <v>27</v>
      </c>
      <c r="B10" s="1"/>
      <c r="C10" s="1"/>
      <c r="D10" s="1"/>
      <c r="E10" s="1"/>
    </row>
    <row r="11" customFormat="false" ht="31.5" hidden="false" customHeight="true" outlineLevel="0" collapsed="false">
      <c r="A11" s="4" t="s">
        <v>28</v>
      </c>
      <c r="B11" s="4" t="s">
        <v>29</v>
      </c>
      <c r="C11" s="4" t="s">
        <v>30</v>
      </c>
      <c r="D11" s="4" t="s">
        <v>31</v>
      </c>
      <c r="E11" s="4" t="s">
        <v>32</v>
      </c>
    </row>
    <row r="12" customFormat="false" ht="15" hidden="false" customHeight="false" outlineLevel="0" collapsed="false">
      <c r="A12" s="5"/>
      <c r="B12" s="5"/>
      <c r="C12" s="5"/>
      <c r="D12" s="5"/>
      <c r="E12" s="5"/>
    </row>
    <row r="13" customFormat="false" ht="15" hidden="false" customHeight="false" outlineLevel="0" collapsed="false">
      <c r="A13" s="6"/>
      <c r="B13" s="6"/>
      <c r="C13" s="6"/>
      <c r="D13" s="6"/>
      <c r="E13" s="6"/>
    </row>
    <row r="14" customFormat="false" ht="15" hidden="false" customHeight="false" outlineLevel="0" collapsed="false">
      <c r="A14" s="5"/>
      <c r="B14" s="5"/>
      <c r="C14" s="5"/>
      <c r="D14" s="5"/>
      <c r="E14" s="5"/>
    </row>
    <row r="15" customFormat="false" ht="15" hidden="false" customHeight="false" outlineLevel="0" collapsed="false">
      <c r="A15" s="6"/>
      <c r="B15" s="6"/>
      <c r="C15" s="6"/>
      <c r="D15" s="6"/>
      <c r="E15" s="6"/>
    </row>
  </sheetData>
  <mergeCells count="2">
    <mergeCell ref="A1:E1"/>
    <mergeCell ref="A10:E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60"/>
    <col collapsed="false" customWidth="true" hidden="false" outlineLevel="0" max="4" min="4" style="0" width="40"/>
  </cols>
  <sheetData>
    <row r="1" customFormat="false" ht="27.75" hidden="false" customHeight="true" outlineLevel="0" collapsed="false">
      <c r="A1" s="1" t="s">
        <v>33</v>
      </c>
      <c r="B1" s="1"/>
      <c r="C1" s="1"/>
      <c r="D1" s="1"/>
    </row>
    <row r="3" customFormat="false" ht="31.5" hidden="false" customHeight="true" outlineLevel="0" collapsed="false">
      <c r="A3" s="4" t="s">
        <v>34</v>
      </c>
      <c r="B3" s="4" t="s">
        <v>35</v>
      </c>
      <c r="C3" s="4" t="s">
        <v>36</v>
      </c>
      <c r="D3" s="4" t="s">
        <v>37</v>
      </c>
    </row>
    <row r="4" customFormat="false" ht="23.85" hidden="false" customHeight="false" outlineLevel="0" collapsed="false">
      <c r="A4" s="5" t="s">
        <v>38</v>
      </c>
      <c r="B4" s="5" t="s">
        <v>39</v>
      </c>
      <c r="C4" s="5" t="s">
        <v>40</v>
      </c>
      <c r="D4" s="5" t="s">
        <v>41</v>
      </c>
    </row>
    <row r="5" customFormat="false" ht="15" hidden="false" customHeight="false" outlineLevel="0" collapsed="false">
      <c r="A5" s="6" t="s">
        <v>42</v>
      </c>
      <c r="B5" s="6" t="s">
        <v>43</v>
      </c>
      <c r="C5" s="6" t="s">
        <v>44</v>
      </c>
      <c r="D5" s="6" t="s">
        <v>41</v>
      </c>
    </row>
    <row r="6" customFormat="false" ht="15" hidden="false" customHeight="false" outlineLevel="0" collapsed="false">
      <c r="A6" s="5" t="s">
        <v>45</v>
      </c>
      <c r="B6" s="5" t="s">
        <v>39</v>
      </c>
      <c r="C6" s="5" t="s">
        <v>46</v>
      </c>
      <c r="D6" s="5" t="s">
        <v>41</v>
      </c>
    </row>
    <row r="7" customFormat="false" ht="15" hidden="false" customHeight="false" outlineLevel="0" collapsed="false">
      <c r="A7" s="6" t="s">
        <v>47</v>
      </c>
      <c r="B7" s="6" t="s">
        <v>39</v>
      </c>
      <c r="C7" s="6" t="s">
        <v>48</v>
      </c>
      <c r="D7" s="6" t="s">
        <v>41</v>
      </c>
    </row>
    <row r="8" customFormat="false" ht="23.85" hidden="false" customHeight="false" outlineLevel="0" collapsed="false">
      <c r="A8" s="5" t="s">
        <v>49</v>
      </c>
      <c r="B8" s="5" t="s">
        <v>43</v>
      </c>
      <c r="C8" s="5" t="s">
        <v>50</v>
      </c>
      <c r="D8" s="5" t="s">
        <v>51</v>
      </c>
    </row>
    <row r="9" customFormat="false" ht="15" hidden="false" customHeight="false" outlineLevel="0" collapsed="false">
      <c r="A9" s="6" t="s">
        <v>52</v>
      </c>
      <c r="B9" s="6" t="s">
        <v>39</v>
      </c>
      <c r="C9" s="6" t="s">
        <v>53</v>
      </c>
      <c r="D9" s="6" t="s">
        <v>54</v>
      </c>
    </row>
    <row r="10" customFormat="false" ht="23.85" hidden="false" customHeight="false" outlineLevel="0" collapsed="false">
      <c r="A10" s="5" t="s">
        <v>55</v>
      </c>
      <c r="B10" s="5" t="s">
        <v>56</v>
      </c>
      <c r="C10" s="5" t="s">
        <v>57</v>
      </c>
      <c r="D10" s="5" t="s">
        <v>58</v>
      </c>
    </row>
    <row r="11" customFormat="false" ht="23.85" hidden="false" customHeight="false" outlineLevel="0" collapsed="false">
      <c r="A11" s="6" t="s">
        <v>59</v>
      </c>
      <c r="B11" s="6" t="s">
        <v>60</v>
      </c>
      <c r="C11" s="6" t="s">
        <v>61</v>
      </c>
      <c r="D11" s="6" t="s">
        <v>62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40"/>
    <col collapsed="false" customWidth="true" hidden="false" outlineLevel="0" max="5" min="5" style="0" width="30"/>
  </cols>
  <sheetData>
    <row r="1" customFormat="false" ht="27.75" hidden="false" customHeight="true" outlineLevel="0" collapsed="false">
      <c r="A1" s="1" t="s">
        <v>63</v>
      </c>
      <c r="B1" s="1"/>
      <c r="C1" s="1"/>
      <c r="D1" s="1"/>
      <c r="E1" s="1"/>
    </row>
    <row r="3" customFormat="false" ht="41.75" hidden="false" customHeight="true" outlineLevel="0" collapsed="false">
      <c r="A3" s="2" t="s">
        <v>64</v>
      </c>
      <c r="B3" s="7" t="s">
        <v>65</v>
      </c>
      <c r="C3" s="7"/>
      <c r="D3" s="7"/>
      <c r="E3" s="7"/>
    </row>
    <row r="5" customFormat="false" ht="120" hidden="false" customHeight="true" outlineLevel="0" collapsed="false">
      <c r="A5" s="2" t="s">
        <v>66</v>
      </c>
      <c r="B5" s="7" t="s">
        <v>67</v>
      </c>
      <c r="C5" s="7"/>
      <c r="D5" s="7"/>
      <c r="E5" s="7"/>
    </row>
    <row r="8" customFormat="false" ht="27.75" hidden="false" customHeight="true" outlineLevel="0" collapsed="false">
      <c r="A8" s="1" t="s">
        <v>68</v>
      </c>
      <c r="B8" s="1"/>
      <c r="C8" s="1"/>
      <c r="D8" s="1"/>
      <c r="E8" s="1"/>
    </row>
    <row r="9" customFormat="false" ht="31.5" hidden="false" customHeight="true" outlineLevel="0" collapsed="false">
      <c r="A9" s="4" t="s">
        <v>69</v>
      </c>
      <c r="B9" s="4" t="s">
        <v>70</v>
      </c>
      <c r="C9" s="4" t="s">
        <v>71</v>
      </c>
      <c r="D9" s="4" t="s">
        <v>72</v>
      </c>
      <c r="E9" s="4" t="s">
        <v>32</v>
      </c>
    </row>
    <row r="10" customFormat="false" ht="23.85" hidden="false" customHeight="false" outlineLevel="0" collapsed="false">
      <c r="A10" s="5" t="s">
        <v>73</v>
      </c>
      <c r="B10" s="5" t="s">
        <v>74</v>
      </c>
      <c r="C10" s="5" t="s">
        <v>75</v>
      </c>
      <c r="D10" s="5" t="s">
        <v>76</v>
      </c>
      <c r="E10" s="5"/>
    </row>
    <row r="11" customFormat="false" ht="23.85" hidden="false" customHeight="false" outlineLevel="0" collapsed="false">
      <c r="A11" s="6" t="s">
        <v>77</v>
      </c>
      <c r="B11" s="6" t="s">
        <v>78</v>
      </c>
      <c r="C11" s="6" t="s">
        <v>79</v>
      </c>
      <c r="D11" s="6" t="s">
        <v>80</v>
      </c>
      <c r="E11" s="6"/>
    </row>
    <row r="12" customFormat="false" ht="15" hidden="false" customHeight="false" outlineLevel="0" collapsed="false">
      <c r="A12" s="5" t="s">
        <v>81</v>
      </c>
      <c r="B12" s="5" t="s">
        <v>82</v>
      </c>
      <c r="C12" s="5" t="s">
        <v>83</v>
      </c>
      <c r="D12" s="5" t="s">
        <v>84</v>
      </c>
      <c r="E12" s="5"/>
    </row>
    <row r="13" customFormat="false" ht="15" hidden="false" customHeight="false" outlineLevel="0" collapsed="false">
      <c r="A13" s="6" t="s">
        <v>85</v>
      </c>
      <c r="B13" s="6" t="s">
        <v>86</v>
      </c>
      <c r="C13" s="6" t="s">
        <v>87</v>
      </c>
      <c r="D13" s="6" t="s">
        <v>88</v>
      </c>
      <c r="E13" s="6"/>
    </row>
    <row r="14" customFormat="false" ht="15" hidden="false" customHeight="false" outlineLevel="0" collapsed="false">
      <c r="A14" s="5" t="s">
        <v>89</v>
      </c>
      <c r="B14" s="5" t="s">
        <v>90</v>
      </c>
      <c r="C14" s="5" t="s">
        <v>79</v>
      </c>
      <c r="D14" s="5" t="s">
        <v>91</v>
      </c>
      <c r="E14" s="5"/>
    </row>
    <row r="15" customFormat="false" ht="15" hidden="false" customHeight="false" outlineLevel="0" collapsed="false">
      <c r="A15" s="6" t="s">
        <v>92</v>
      </c>
      <c r="B15" s="6" t="s">
        <v>93</v>
      </c>
      <c r="C15" s="6" t="s">
        <v>94</v>
      </c>
      <c r="D15" s="6" t="s">
        <v>95</v>
      </c>
      <c r="E15" s="6"/>
    </row>
  </sheetData>
  <mergeCells count="4">
    <mergeCell ref="A1:E1"/>
    <mergeCell ref="B3:E3"/>
    <mergeCell ref="B5:E5"/>
    <mergeCell ref="A8:E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60"/>
    <col collapsed="false" customWidth="true" hidden="false" outlineLevel="0" max="4" min="4" style="0" width="18"/>
  </cols>
  <sheetData>
    <row r="1" customFormat="false" ht="27.75" hidden="false" customHeight="true" outlineLevel="0" collapsed="false">
      <c r="A1" s="1" t="s">
        <v>96</v>
      </c>
      <c r="B1" s="1"/>
      <c r="C1" s="1"/>
      <c r="D1" s="1"/>
    </row>
    <row r="3" customFormat="false" ht="31.5" hidden="false" customHeight="true" outlineLevel="0" collapsed="false">
      <c r="A3" s="4" t="s">
        <v>97</v>
      </c>
      <c r="B3" s="4" t="s">
        <v>98</v>
      </c>
      <c r="C3" s="4" t="s">
        <v>99</v>
      </c>
      <c r="D3" s="4" t="s">
        <v>100</v>
      </c>
    </row>
    <row r="4" customFormat="false" ht="23.85" hidden="false" customHeight="false" outlineLevel="0" collapsed="false">
      <c r="A4" s="5" t="s">
        <v>101</v>
      </c>
      <c r="B4" s="5" t="s">
        <v>102</v>
      </c>
      <c r="C4" s="5" t="s">
        <v>103</v>
      </c>
      <c r="D4" s="5" t="s">
        <v>104</v>
      </c>
    </row>
    <row r="5" customFormat="false" ht="23.85" hidden="false" customHeight="false" outlineLevel="0" collapsed="false">
      <c r="A5" s="6" t="s">
        <v>105</v>
      </c>
      <c r="B5" s="6" t="s">
        <v>106</v>
      </c>
      <c r="C5" s="6" t="s">
        <v>107</v>
      </c>
      <c r="D5" s="6" t="s">
        <v>104</v>
      </c>
    </row>
    <row r="6" customFormat="false" ht="23.85" hidden="false" customHeight="false" outlineLevel="0" collapsed="false">
      <c r="A6" s="5" t="s">
        <v>108</v>
      </c>
      <c r="B6" s="5" t="s">
        <v>109</v>
      </c>
      <c r="C6" s="5" t="s">
        <v>110</v>
      </c>
      <c r="D6" s="5" t="s">
        <v>111</v>
      </c>
    </row>
    <row r="7" customFormat="false" ht="23.85" hidden="false" customHeight="false" outlineLevel="0" collapsed="false">
      <c r="A7" s="6" t="s">
        <v>112</v>
      </c>
      <c r="B7" s="6" t="s">
        <v>113</v>
      </c>
      <c r="C7" s="6" t="s">
        <v>114</v>
      </c>
      <c r="D7" s="6" t="s">
        <v>111</v>
      </c>
    </row>
    <row r="8" customFormat="false" ht="23.85" hidden="false" customHeight="false" outlineLevel="0" collapsed="false">
      <c r="A8" s="5" t="s">
        <v>115</v>
      </c>
      <c r="B8" s="5" t="s">
        <v>116</v>
      </c>
      <c r="C8" s="5" t="s">
        <v>117</v>
      </c>
      <c r="D8" s="5" t="s">
        <v>118</v>
      </c>
    </row>
    <row r="9" customFormat="false" ht="23.85" hidden="false" customHeight="false" outlineLevel="0" collapsed="false">
      <c r="A9" s="6" t="s">
        <v>119</v>
      </c>
      <c r="B9" s="6" t="s">
        <v>120</v>
      </c>
      <c r="C9" s="6" t="s">
        <v>121</v>
      </c>
      <c r="D9" s="6" t="s">
        <v>118</v>
      </c>
    </row>
    <row r="10" customFormat="false" ht="15" hidden="false" customHeight="false" outlineLevel="0" collapsed="false">
      <c r="A10" s="5" t="s">
        <v>122</v>
      </c>
      <c r="B10" s="5" t="s">
        <v>123</v>
      </c>
      <c r="C10" s="5" t="s">
        <v>124</v>
      </c>
      <c r="D10" s="5" t="s">
        <v>118</v>
      </c>
    </row>
    <row r="11" customFormat="false" ht="35.05" hidden="false" customHeight="false" outlineLevel="0" collapsed="false">
      <c r="A11" s="6" t="s">
        <v>125</v>
      </c>
      <c r="B11" s="6" t="s">
        <v>126</v>
      </c>
      <c r="C11" s="6" t="s">
        <v>127</v>
      </c>
      <c r="D11" s="6" t="s">
        <v>111</v>
      </c>
    </row>
    <row r="12" customFormat="false" ht="23.85" hidden="false" customHeight="false" outlineLevel="0" collapsed="false">
      <c r="A12" s="5" t="s">
        <v>128</v>
      </c>
      <c r="B12" s="5" t="s">
        <v>129</v>
      </c>
      <c r="C12" s="5" t="s">
        <v>130</v>
      </c>
      <c r="D12" s="5" t="s">
        <v>131</v>
      </c>
    </row>
    <row r="13" customFormat="false" ht="35.05" hidden="false" customHeight="false" outlineLevel="0" collapsed="false">
      <c r="A13" s="6" t="s">
        <v>132</v>
      </c>
      <c r="B13" s="6" t="s">
        <v>133</v>
      </c>
      <c r="C13" s="6" t="s">
        <v>134</v>
      </c>
      <c r="D13" s="6" t="s">
        <v>104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8"/>
    <col collapsed="false" customWidth="true" hidden="false" outlineLevel="0" max="3" min="3" style="0" width="70"/>
  </cols>
  <sheetData>
    <row r="1" customFormat="false" ht="27.75" hidden="false" customHeight="true" outlineLevel="0" collapsed="false">
      <c r="A1" s="1" t="s">
        <v>135</v>
      </c>
      <c r="B1" s="1"/>
      <c r="C1" s="1"/>
    </row>
    <row r="3" customFormat="false" ht="31.5" hidden="false" customHeight="true" outlineLevel="0" collapsed="false">
      <c r="A3" s="4" t="s">
        <v>34</v>
      </c>
      <c r="B3" s="4" t="s">
        <v>28</v>
      </c>
      <c r="C3" s="4" t="s">
        <v>136</v>
      </c>
    </row>
    <row r="4" customFormat="false" ht="15" hidden="false" customHeight="false" outlineLevel="0" collapsed="false">
      <c r="A4" s="5" t="s">
        <v>137</v>
      </c>
      <c r="B4" s="5" t="s">
        <v>138</v>
      </c>
      <c r="C4" s="5" t="s">
        <v>139</v>
      </c>
    </row>
    <row r="5" customFormat="false" ht="15" hidden="false" customHeight="false" outlineLevel="0" collapsed="false">
      <c r="A5" s="6" t="s">
        <v>140</v>
      </c>
      <c r="B5" s="6" t="s">
        <v>141</v>
      </c>
      <c r="C5" s="6" t="s">
        <v>142</v>
      </c>
    </row>
    <row r="6" customFormat="false" ht="15" hidden="false" customHeight="false" outlineLevel="0" collapsed="false">
      <c r="A6" s="5" t="s">
        <v>143</v>
      </c>
      <c r="B6" s="5" t="s">
        <v>144</v>
      </c>
      <c r="C6" s="5" t="s">
        <v>145</v>
      </c>
    </row>
    <row r="7" customFormat="false" ht="15" hidden="false" customHeight="false" outlineLevel="0" collapsed="false">
      <c r="A7" s="6" t="s">
        <v>146</v>
      </c>
      <c r="B7" s="6" t="s">
        <v>147</v>
      </c>
      <c r="C7" s="6" t="s">
        <v>148</v>
      </c>
    </row>
    <row r="8" customFormat="false" ht="15" hidden="false" customHeight="false" outlineLevel="0" collapsed="false">
      <c r="A8" s="5" t="s">
        <v>149</v>
      </c>
      <c r="B8" s="5" t="s">
        <v>150</v>
      </c>
      <c r="C8" s="5" t="s">
        <v>151</v>
      </c>
    </row>
    <row r="9" customFormat="false" ht="15" hidden="false" customHeight="false" outlineLevel="0" collapsed="false">
      <c r="A9" s="6" t="s">
        <v>152</v>
      </c>
      <c r="B9" s="6" t="s">
        <v>153</v>
      </c>
      <c r="C9" s="6" t="s">
        <v>154</v>
      </c>
    </row>
    <row r="10" customFormat="false" ht="15" hidden="false" customHeight="false" outlineLevel="0" collapsed="false">
      <c r="A10" s="5" t="s">
        <v>155</v>
      </c>
      <c r="B10" s="5" t="s">
        <v>156</v>
      </c>
      <c r="C10" s="5" t="s">
        <v>157</v>
      </c>
    </row>
    <row r="11" customFormat="false" ht="15" hidden="false" customHeight="false" outlineLevel="0" collapsed="false">
      <c r="A11" s="6" t="s">
        <v>158</v>
      </c>
      <c r="B11" s="6" t="s">
        <v>159</v>
      </c>
      <c r="C11" s="6" t="s">
        <v>160</v>
      </c>
    </row>
    <row r="12" customFormat="false" ht="15" hidden="false" customHeight="false" outlineLevel="0" collapsed="false">
      <c r="A12" s="5" t="s">
        <v>161</v>
      </c>
      <c r="B12" s="5" t="s">
        <v>162</v>
      </c>
      <c r="C12" s="5" t="s">
        <v>163</v>
      </c>
    </row>
    <row r="13" customFormat="false" ht="15" hidden="false" customHeight="false" outlineLevel="0" collapsed="false">
      <c r="A13" s="6" t="s">
        <v>164</v>
      </c>
      <c r="B13" s="6" t="s">
        <v>165</v>
      </c>
      <c r="C13" s="6" t="s">
        <v>166</v>
      </c>
    </row>
    <row r="14" customFormat="false" ht="15" hidden="false" customHeight="false" outlineLevel="0" collapsed="false">
      <c r="A14" s="5" t="s">
        <v>167</v>
      </c>
      <c r="B14" s="5" t="s">
        <v>168</v>
      </c>
      <c r="C14" s="5" t="s">
        <v>169</v>
      </c>
    </row>
    <row r="15" customFormat="false" ht="15" hidden="false" customHeight="false" outlineLevel="0" collapsed="false">
      <c r="A15" s="6" t="s">
        <v>170</v>
      </c>
      <c r="B15" s="6" t="s">
        <v>171</v>
      </c>
      <c r="C15" s="6" t="s">
        <v>172</v>
      </c>
    </row>
    <row r="16" customFormat="false" ht="15" hidden="false" customHeight="false" outlineLevel="0" collapsed="false">
      <c r="A16" s="5" t="s">
        <v>173</v>
      </c>
      <c r="B16" s="5" t="s">
        <v>174</v>
      </c>
      <c r="C16" s="5" t="s">
        <v>175</v>
      </c>
    </row>
    <row r="17" customFormat="false" ht="15" hidden="false" customHeight="false" outlineLevel="0" collapsed="false">
      <c r="A17" s="6" t="s">
        <v>176</v>
      </c>
      <c r="B17" s="6" t="s">
        <v>177</v>
      </c>
      <c r="C17" s="6" t="s">
        <v>178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8"/>
    <col collapsed="false" customWidth="true" hidden="false" outlineLevel="0" max="4" min="3" style="0" width="16"/>
    <col collapsed="false" customWidth="true" hidden="false" outlineLevel="0" max="5" min="5" style="0" width="12"/>
  </cols>
  <sheetData>
    <row r="1" customFormat="false" ht="27.75" hidden="false" customHeight="true" outlineLevel="0" collapsed="false">
      <c r="A1" s="1" t="s">
        <v>179</v>
      </c>
      <c r="B1" s="1"/>
      <c r="C1" s="1"/>
      <c r="D1" s="1"/>
      <c r="E1" s="1"/>
    </row>
    <row r="3" customFormat="false" ht="31.5" hidden="false" customHeight="true" outlineLevel="0" collapsed="false">
      <c r="A3" s="4" t="s">
        <v>180</v>
      </c>
      <c r="B3" s="4" t="s">
        <v>181</v>
      </c>
      <c r="C3" s="4" t="s">
        <v>182</v>
      </c>
      <c r="D3" s="4" t="s">
        <v>183</v>
      </c>
      <c r="E3" s="4" t="s">
        <v>184</v>
      </c>
    </row>
    <row r="4" customFormat="false" ht="23.85" hidden="false" customHeight="false" outlineLevel="0" collapsed="false">
      <c r="A4" s="5" t="s">
        <v>185</v>
      </c>
      <c r="B4" s="5" t="s">
        <v>186</v>
      </c>
      <c r="C4" s="5" t="n">
        <v>90</v>
      </c>
      <c r="D4" s="5" t="n">
        <v>120</v>
      </c>
      <c r="E4" s="5" t="s">
        <v>187</v>
      </c>
    </row>
    <row r="5" customFormat="false" ht="23.85" hidden="false" customHeight="false" outlineLevel="0" collapsed="false">
      <c r="A5" s="6" t="s">
        <v>188</v>
      </c>
      <c r="B5" s="6" t="s">
        <v>189</v>
      </c>
      <c r="C5" s="6" t="n">
        <v>70</v>
      </c>
      <c r="D5" s="6" t="n">
        <v>110</v>
      </c>
      <c r="E5" s="6" t="s">
        <v>190</v>
      </c>
    </row>
    <row r="6" customFormat="false" ht="23.85" hidden="false" customHeight="false" outlineLevel="0" collapsed="false">
      <c r="A6" s="5" t="s">
        <v>191</v>
      </c>
      <c r="B6" s="5" t="s">
        <v>192</v>
      </c>
      <c r="C6" s="5" t="n">
        <v>60</v>
      </c>
      <c r="D6" s="5" t="n">
        <v>90</v>
      </c>
      <c r="E6" s="5" t="s">
        <v>187</v>
      </c>
    </row>
    <row r="7" customFormat="false" ht="23.85" hidden="false" customHeight="false" outlineLevel="0" collapsed="false">
      <c r="A7" s="6" t="s">
        <v>193</v>
      </c>
      <c r="B7" s="6" t="s">
        <v>194</v>
      </c>
      <c r="C7" s="6" t="n">
        <v>30</v>
      </c>
      <c r="D7" s="6" t="n">
        <v>60</v>
      </c>
      <c r="E7" s="6" t="s">
        <v>190</v>
      </c>
    </row>
    <row r="8" customFormat="false" ht="23.85" hidden="false" customHeight="false" outlineLevel="0" collapsed="false">
      <c r="A8" s="5" t="s">
        <v>195</v>
      </c>
      <c r="B8" s="5" t="s">
        <v>196</v>
      </c>
      <c r="C8" s="5" t="n">
        <v>30</v>
      </c>
      <c r="D8" s="5" t="n">
        <v>110</v>
      </c>
      <c r="E8" s="5" t="s">
        <v>187</v>
      </c>
    </row>
    <row r="9" customFormat="false" ht="23.85" hidden="false" customHeight="false" outlineLevel="0" collapsed="false">
      <c r="A9" s="6" t="s">
        <v>197</v>
      </c>
      <c r="B9" s="6" t="s">
        <v>198</v>
      </c>
      <c r="C9" s="6" t="n">
        <v>0</v>
      </c>
      <c r="D9" s="6" t="n">
        <v>30</v>
      </c>
      <c r="E9" s="6" t="s">
        <v>190</v>
      </c>
    </row>
    <row r="10" customFormat="false" ht="23.85" hidden="false" customHeight="false" outlineLevel="0" collapsed="false">
      <c r="A10" s="5" t="s">
        <v>199</v>
      </c>
      <c r="B10" s="5" t="s">
        <v>200</v>
      </c>
      <c r="C10" s="5" t="n">
        <v>70</v>
      </c>
      <c r="D10" s="5" t="n">
        <v>120</v>
      </c>
      <c r="E10" s="5" t="s">
        <v>190</v>
      </c>
    </row>
    <row r="11" customFormat="false" ht="23.85" hidden="false" customHeight="false" outlineLevel="0" collapsed="false">
      <c r="A11" s="6" t="s">
        <v>201</v>
      </c>
      <c r="B11" s="6" t="s">
        <v>202</v>
      </c>
      <c r="C11" s="6" t="n">
        <v>50</v>
      </c>
      <c r="D11" s="6" t="n">
        <v>120</v>
      </c>
      <c r="E11" s="6" t="s">
        <v>187</v>
      </c>
    </row>
    <row r="12" customFormat="false" ht="23.85" hidden="false" customHeight="false" outlineLevel="0" collapsed="false">
      <c r="A12" s="5" t="s">
        <v>203</v>
      </c>
      <c r="B12" s="5" t="s">
        <v>204</v>
      </c>
      <c r="C12" s="5" t="n">
        <v>0</v>
      </c>
      <c r="D12" s="5" t="n">
        <v>120</v>
      </c>
      <c r="E12" s="5" t="s">
        <v>205</v>
      </c>
    </row>
    <row r="13" customFormat="false" ht="23.85" hidden="false" customHeight="false" outlineLevel="0" collapsed="false">
      <c r="A13" s="6" t="s">
        <v>206</v>
      </c>
      <c r="B13" s="6" t="s">
        <v>207</v>
      </c>
      <c r="C13" s="6" t="n">
        <v>0</v>
      </c>
      <c r="D13" s="6" t="n">
        <v>120</v>
      </c>
      <c r="E13" s="6" t="s">
        <v>190</v>
      </c>
    </row>
    <row r="14" customFormat="false" ht="15" hidden="false" customHeight="false" outlineLevel="0" collapsed="false">
      <c r="A14" s="5" t="s">
        <v>208</v>
      </c>
      <c r="B14" s="5" t="s">
        <v>209</v>
      </c>
      <c r="C14" s="5" t="n">
        <v>70</v>
      </c>
      <c r="D14" s="5" t="n">
        <v>120</v>
      </c>
      <c r="E14" s="5" t="s">
        <v>190</v>
      </c>
    </row>
    <row r="15" customFormat="false" ht="23.85" hidden="false" customHeight="false" outlineLevel="0" collapsed="false">
      <c r="A15" s="6" t="s">
        <v>210</v>
      </c>
      <c r="B15" s="6" t="s">
        <v>211</v>
      </c>
      <c r="C15" s="6" t="n">
        <v>0</v>
      </c>
      <c r="D15" s="6" t="n">
        <v>120</v>
      </c>
      <c r="E15" s="6" t="s">
        <v>187</v>
      </c>
    </row>
    <row r="16" customFormat="false" ht="35.05" hidden="false" customHeight="false" outlineLevel="0" collapsed="false">
      <c r="A16" s="5" t="s">
        <v>212</v>
      </c>
      <c r="B16" s="5" t="s">
        <v>213</v>
      </c>
      <c r="C16" s="5" t="n">
        <v>15</v>
      </c>
      <c r="D16" s="5" t="n">
        <v>60</v>
      </c>
      <c r="E16" s="5" t="s">
        <v>205</v>
      </c>
    </row>
    <row r="17" customFormat="false" ht="23.85" hidden="false" customHeight="false" outlineLevel="0" collapsed="false">
      <c r="A17" s="6" t="s">
        <v>214</v>
      </c>
      <c r="B17" s="6" t="s">
        <v>215</v>
      </c>
      <c r="C17" s="6" t="n">
        <v>30</v>
      </c>
      <c r="D17" s="6" t="n">
        <v>90</v>
      </c>
      <c r="E17" s="6" t="s">
        <v>190</v>
      </c>
    </row>
    <row r="18" customFormat="false" ht="23.85" hidden="false" customHeight="false" outlineLevel="0" collapsed="false">
      <c r="A18" s="5" t="s">
        <v>216</v>
      </c>
      <c r="B18" s="5" t="s">
        <v>217</v>
      </c>
      <c r="C18" s="5" t="n">
        <v>60</v>
      </c>
      <c r="D18" s="5" t="n">
        <v>90</v>
      </c>
      <c r="E18" s="5" t="s">
        <v>190</v>
      </c>
    </row>
    <row r="21" customFormat="false" ht="27.75" hidden="false" customHeight="true" outlineLevel="0" collapsed="false">
      <c r="A21" s="1" t="s">
        <v>218</v>
      </c>
      <c r="B21" s="1"/>
      <c r="C21" s="1"/>
      <c r="D21" s="1"/>
      <c r="E21" s="1"/>
    </row>
    <row r="22" customFormat="false" ht="31.5" hidden="false" customHeight="true" outlineLevel="0" collapsed="false">
      <c r="A22" s="4" t="s">
        <v>219</v>
      </c>
      <c r="B22" s="4" t="s">
        <v>220</v>
      </c>
      <c r="C22" s="4"/>
      <c r="D22" s="4"/>
      <c r="E22" s="4" t="s">
        <v>184</v>
      </c>
    </row>
    <row r="23" customFormat="false" ht="15" hidden="false" customHeight="false" outlineLevel="0" collapsed="false">
      <c r="A23" s="5" t="s">
        <v>221</v>
      </c>
      <c r="B23" s="5" t="s">
        <v>222</v>
      </c>
      <c r="C23" s="5"/>
      <c r="D23" s="5"/>
      <c r="E23" s="5" t="s">
        <v>187</v>
      </c>
    </row>
    <row r="24" customFormat="false" ht="15" hidden="false" customHeight="false" outlineLevel="0" collapsed="false">
      <c r="A24" s="6" t="s">
        <v>223</v>
      </c>
      <c r="B24" s="6" t="s">
        <v>224</v>
      </c>
      <c r="C24" s="6"/>
      <c r="D24" s="6"/>
      <c r="E24" s="6" t="s">
        <v>190</v>
      </c>
    </row>
    <row r="25" customFormat="false" ht="15" hidden="false" customHeight="false" outlineLevel="0" collapsed="false">
      <c r="A25" s="5" t="s">
        <v>225</v>
      </c>
      <c r="B25" s="5" t="s">
        <v>226</v>
      </c>
      <c r="C25" s="5"/>
      <c r="D25" s="5"/>
      <c r="E25" s="5" t="s">
        <v>190</v>
      </c>
    </row>
    <row r="26" customFormat="false" ht="23.85" hidden="false" customHeight="false" outlineLevel="0" collapsed="false">
      <c r="A26" s="6" t="s">
        <v>227</v>
      </c>
      <c r="B26" s="6" t="s">
        <v>228</v>
      </c>
      <c r="C26" s="6"/>
      <c r="D26" s="6"/>
      <c r="E26" s="6" t="s">
        <v>205</v>
      </c>
    </row>
    <row r="27" customFormat="false" ht="23.85" hidden="false" customHeight="false" outlineLevel="0" collapsed="false">
      <c r="A27" s="5" t="s">
        <v>229</v>
      </c>
      <c r="B27" s="5" t="s">
        <v>230</v>
      </c>
      <c r="C27" s="5"/>
      <c r="D27" s="5"/>
      <c r="E27" s="5" t="s">
        <v>205</v>
      </c>
    </row>
    <row r="28" customFormat="false" ht="23.85" hidden="false" customHeight="false" outlineLevel="0" collapsed="false">
      <c r="A28" s="6" t="s">
        <v>231</v>
      </c>
      <c r="B28" s="6" t="s">
        <v>232</v>
      </c>
      <c r="C28" s="6"/>
      <c r="D28" s="6"/>
      <c r="E28" s="6" t="s">
        <v>233</v>
      </c>
    </row>
  </sheetData>
  <mergeCells count="2">
    <mergeCell ref="A1:E1"/>
    <mergeCell ref="A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2"/>
    <col collapsed="false" customWidth="true" hidden="false" outlineLevel="0" max="4" min="3" style="0" width="50"/>
  </cols>
  <sheetData>
    <row r="1" customFormat="false" ht="27.75" hidden="false" customHeight="true" outlineLevel="0" collapsed="false">
      <c r="A1" s="1" t="s">
        <v>234</v>
      </c>
      <c r="B1" s="1"/>
      <c r="C1" s="1"/>
      <c r="D1" s="1"/>
    </row>
    <row r="3" customFormat="false" ht="31.5" hidden="false" customHeight="true" outlineLevel="0" collapsed="false">
      <c r="A3" s="4" t="s">
        <v>235</v>
      </c>
      <c r="B3" s="4" t="s">
        <v>236</v>
      </c>
      <c r="C3" s="4" t="s">
        <v>99</v>
      </c>
      <c r="D3" s="4" t="s">
        <v>237</v>
      </c>
    </row>
    <row r="4" customFormat="false" ht="15" hidden="false" customHeight="false" outlineLevel="0" collapsed="false">
      <c r="A4" s="5" t="s">
        <v>238</v>
      </c>
      <c r="B4" s="5" t="s">
        <v>239</v>
      </c>
      <c r="C4" s="5" t="s">
        <v>240</v>
      </c>
      <c r="D4" s="5" t="s">
        <v>241</v>
      </c>
    </row>
    <row r="5" customFormat="false" ht="15" hidden="false" customHeight="false" outlineLevel="0" collapsed="false">
      <c r="A5" s="6" t="s">
        <v>242</v>
      </c>
      <c r="B5" s="6" t="s">
        <v>243</v>
      </c>
      <c r="C5" s="6" t="s">
        <v>244</v>
      </c>
      <c r="D5" s="6" t="s">
        <v>245</v>
      </c>
    </row>
    <row r="6" customFormat="false" ht="15" hidden="false" customHeight="false" outlineLevel="0" collapsed="false">
      <c r="A6" s="5" t="s">
        <v>246</v>
      </c>
      <c r="B6" s="5" t="s">
        <v>247</v>
      </c>
      <c r="C6" s="5" t="s">
        <v>248</v>
      </c>
      <c r="D6" s="5" t="s">
        <v>249</v>
      </c>
    </row>
    <row r="7" customFormat="false" ht="15" hidden="false" customHeight="false" outlineLevel="0" collapsed="false">
      <c r="A7" s="6" t="s">
        <v>250</v>
      </c>
      <c r="B7" s="6" t="s">
        <v>251</v>
      </c>
      <c r="C7" s="6" t="s">
        <v>252</v>
      </c>
      <c r="D7" s="6" t="s">
        <v>253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38"/>
    <col collapsed="false" customWidth="true" hidden="false" outlineLevel="0" max="4" min="4" style="0" width="50"/>
  </cols>
  <sheetData>
    <row r="1" customFormat="false" ht="27.75" hidden="false" customHeight="true" outlineLevel="0" collapsed="false">
      <c r="A1" s="1" t="s">
        <v>254</v>
      </c>
      <c r="B1" s="1"/>
      <c r="C1" s="1"/>
      <c r="D1" s="1"/>
    </row>
    <row r="3" customFormat="false" ht="36" hidden="false" customHeight="true" outlineLevel="0" collapsed="false">
      <c r="A3" s="8" t="s">
        <v>255</v>
      </c>
      <c r="B3" s="8"/>
      <c r="C3" s="8"/>
      <c r="D3" s="8"/>
    </row>
    <row r="5" customFormat="false" ht="31.5" hidden="false" customHeight="true" outlineLevel="0" collapsed="false">
      <c r="A5" s="4" t="s">
        <v>256</v>
      </c>
      <c r="B5" s="4" t="s">
        <v>257</v>
      </c>
      <c r="C5" s="4" t="s">
        <v>258</v>
      </c>
      <c r="D5" s="4" t="s">
        <v>237</v>
      </c>
    </row>
    <row r="6" customFormat="false" ht="23.85" hidden="false" customHeight="false" outlineLevel="0" collapsed="false">
      <c r="A6" s="5" t="s">
        <v>259</v>
      </c>
      <c r="B6" s="5" t="s">
        <v>260</v>
      </c>
      <c r="C6" s="5" t="s">
        <v>261</v>
      </c>
      <c r="D6" s="5" t="s">
        <v>262</v>
      </c>
    </row>
    <row r="7" customFormat="false" ht="23.85" hidden="false" customHeight="false" outlineLevel="0" collapsed="false">
      <c r="A7" s="6" t="s">
        <v>233</v>
      </c>
      <c r="B7" s="6" t="s">
        <v>263</v>
      </c>
      <c r="C7" s="6" t="s">
        <v>264</v>
      </c>
      <c r="D7" s="6" t="s">
        <v>265</v>
      </c>
    </row>
    <row r="8" customFormat="false" ht="15" hidden="false" customHeight="false" outlineLevel="0" collapsed="false">
      <c r="A8" s="5" t="s">
        <v>205</v>
      </c>
      <c r="B8" s="5" t="s">
        <v>266</v>
      </c>
      <c r="C8" s="5" t="s">
        <v>267</v>
      </c>
      <c r="D8" s="5" t="s">
        <v>268</v>
      </c>
    </row>
    <row r="9" customFormat="false" ht="15" hidden="false" customHeight="false" outlineLevel="0" collapsed="false">
      <c r="A9" s="6" t="s">
        <v>190</v>
      </c>
      <c r="B9" s="6" t="s">
        <v>269</v>
      </c>
      <c r="C9" s="6" t="s">
        <v>270</v>
      </c>
      <c r="D9" s="6" t="s">
        <v>271</v>
      </c>
    </row>
    <row r="10" customFormat="false" ht="15" hidden="false" customHeight="false" outlineLevel="0" collapsed="false">
      <c r="A10" s="5" t="s">
        <v>187</v>
      </c>
      <c r="B10" s="5" t="s">
        <v>272</v>
      </c>
      <c r="C10" s="5" t="s">
        <v>273</v>
      </c>
      <c r="D10" s="5" t="s">
        <v>274</v>
      </c>
    </row>
    <row r="12" customFormat="false" ht="15" hidden="false" customHeight="false" outlineLevel="0" collapsed="false">
      <c r="A12" s="9" t="s">
        <v>275</v>
      </c>
    </row>
  </sheetData>
  <mergeCells count="2">
    <mergeCell ref="A1:D1"/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38"/>
    <col collapsed="false" customWidth="true" hidden="false" outlineLevel="0" max="4" min="4" style="0" width="50"/>
  </cols>
  <sheetData>
    <row r="1" customFormat="false" ht="27.75" hidden="false" customHeight="true" outlineLevel="0" collapsed="false">
      <c r="A1" s="1" t="s">
        <v>276</v>
      </c>
      <c r="B1" s="1"/>
      <c r="C1" s="1"/>
      <c r="D1" s="1"/>
    </row>
    <row r="3" customFormat="false" ht="31.5" hidden="false" customHeight="true" outlineLevel="0" collapsed="false">
      <c r="A3" s="4" t="s">
        <v>277</v>
      </c>
      <c r="B3" s="4" t="s">
        <v>99</v>
      </c>
      <c r="C3" s="4" t="s">
        <v>258</v>
      </c>
      <c r="D3" s="4" t="s">
        <v>237</v>
      </c>
    </row>
    <row r="4" customFormat="false" ht="15" hidden="false" customHeight="false" outlineLevel="0" collapsed="false">
      <c r="A4" s="5" t="s">
        <v>278</v>
      </c>
      <c r="B4" s="5" t="s">
        <v>279</v>
      </c>
      <c r="C4" s="5" t="s">
        <v>280</v>
      </c>
      <c r="D4" s="5" t="s">
        <v>281</v>
      </c>
    </row>
    <row r="5" customFormat="false" ht="15" hidden="false" customHeight="false" outlineLevel="0" collapsed="false">
      <c r="A5" s="6" t="s">
        <v>282</v>
      </c>
      <c r="B5" s="6" t="s">
        <v>283</v>
      </c>
      <c r="C5" s="6" t="s">
        <v>284</v>
      </c>
      <c r="D5" s="6" t="s">
        <v>285</v>
      </c>
    </row>
    <row r="6" customFormat="false" ht="15" hidden="false" customHeight="false" outlineLevel="0" collapsed="false">
      <c r="A6" s="5" t="s">
        <v>286</v>
      </c>
      <c r="B6" s="5" t="s">
        <v>287</v>
      </c>
      <c r="C6" s="5" t="s">
        <v>288</v>
      </c>
      <c r="D6" s="5" t="s">
        <v>289</v>
      </c>
    </row>
    <row r="7" customFormat="false" ht="15" hidden="false" customHeight="false" outlineLevel="0" collapsed="false">
      <c r="A7" s="6" t="s">
        <v>290</v>
      </c>
      <c r="B7" s="6" t="s">
        <v>291</v>
      </c>
      <c r="C7" s="6" t="s">
        <v>292</v>
      </c>
      <c r="D7" s="6" t="s">
        <v>293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6"/>
    <col collapsed="false" customWidth="true" hidden="false" outlineLevel="0" max="3" min="3" style="0" width="10"/>
    <col collapsed="false" customWidth="true" hidden="false" outlineLevel="0" max="6" min="4" style="0" width="8"/>
  </cols>
  <sheetData>
    <row r="1" customFormat="false" ht="27.75" hidden="false" customHeight="true" outlineLevel="0" collapsed="false">
      <c r="A1" s="1" t="s">
        <v>294</v>
      </c>
      <c r="B1" s="1"/>
      <c r="C1" s="1"/>
      <c r="D1" s="1"/>
      <c r="E1" s="1"/>
      <c r="F1" s="1"/>
    </row>
    <row r="3" customFormat="false" ht="24" hidden="false" customHeight="true" outlineLevel="0" collapsed="false">
      <c r="A3" s="10" t="s">
        <v>235</v>
      </c>
      <c r="B3" s="10" t="s">
        <v>256</v>
      </c>
      <c r="C3" s="10" t="s">
        <v>295</v>
      </c>
      <c r="D3" s="10" t="s">
        <v>282</v>
      </c>
      <c r="E3" s="10" t="s">
        <v>286</v>
      </c>
      <c r="F3" s="10" t="s">
        <v>290</v>
      </c>
    </row>
    <row r="4" customFormat="false" ht="15" hidden="false" customHeight="false" outlineLevel="0" collapsed="false">
      <c r="A4" s="5" t="s">
        <v>242</v>
      </c>
      <c r="B4" s="5" t="s">
        <v>233</v>
      </c>
      <c r="C4" s="5" t="str">
        <f aca="false">A4&amp;"-"&amp;B4</f>
        <v>S1-E1</v>
      </c>
      <c r="D4" s="5" t="s">
        <v>296</v>
      </c>
      <c r="E4" s="5" t="s">
        <v>296</v>
      </c>
      <c r="F4" s="5" t="s">
        <v>296</v>
      </c>
    </row>
    <row r="5" customFormat="false" ht="15" hidden="false" customHeight="false" outlineLevel="0" collapsed="false">
      <c r="A5" s="6" t="s">
        <v>242</v>
      </c>
      <c r="B5" s="6" t="s">
        <v>205</v>
      </c>
      <c r="C5" s="6" t="str">
        <f aca="false">A5&amp;"-"&amp;B5</f>
        <v>S1-E2</v>
      </c>
      <c r="D5" s="6" t="s">
        <v>296</v>
      </c>
      <c r="E5" s="6" t="s">
        <v>296</v>
      </c>
      <c r="F5" s="6" t="s">
        <v>296</v>
      </c>
    </row>
    <row r="6" customFormat="false" ht="15" hidden="false" customHeight="false" outlineLevel="0" collapsed="false">
      <c r="A6" s="5" t="s">
        <v>242</v>
      </c>
      <c r="B6" s="5" t="s">
        <v>190</v>
      </c>
      <c r="C6" s="5" t="str">
        <f aca="false">A6&amp;"-"&amp;B6</f>
        <v>S1-E3</v>
      </c>
      <c r="D6" s="5" t="s">
        <v>296</v>
      </c>
      <c r="E6" s="5" t="s">
        <v>296</v>
      </c>
      <c r="F6" s="5" t="s">
        <v>297</v>
      </c>
    </row>
    <row r="7" customFormat="false" ht="15" hidden="false" customHeight="false" outlineLevel="0" collapsed="false">
      <c r="A7" s="6" t="s">
        <v>242</v>
      </c>
      <c r="B7" s="6" t="s">
        <v>187</v>
      </c>
      <c r="C7" s="6" t="str">
        <f aca="false">A7&amp;"-"&amp;B7</f>
        <v>S1-E4</v>
      </c>
      <c r="D7" s="6" t="s">
        <v>296</v>
      </c>
      <c r="E7" s="6" t="s">
        <v>297</v>
      </c>
      <c r="F7" s="6" t="s">
        <v>298</v>
      </c>
    </row>
    <row r="8" customFormat="false" ht="15" hidden="false" customHeight="false" outlineLevel="0" collapsed="false">
      <c r="A8" s="5" t="s">
        <v>246</v>
      </c>
      <c r="B8" s="5" t="s">
        <v>233</v>
      </c>
      <c r="C8" s="5" t="str">
        <f aca="false">A8&amp;"-"&amp;B8</f>
        <v>S2-E1</v>
      </c>
      <c r="D8" s="5" t="s">
        <v>296</v>
      </c>
      <c r="E8" s="5" t="s">
        <v>296</v>
      </c>
      <c r="F8" s="5" t="s">
        <v>296</v>
      </c>
    </row>
    <row r="9" customFormat="false" ht="15" hidden="false" customHeight="false" outlineLevel="0" collapsed="false">
      <c r="A9" s="6" t="s">
        <v>246</v>
      </c>
      <c r="B9" s="6" t="s">
        <v>205</v>
      </c>
      <c r="C9" s="6" t="str">
        <f aca="false">A9&amp;"-"&amp;B9</f>
        <v>S2-E2</v>
      </c>
      <c r="D9" s="6" t="s">
        <v>296</v>
      </c>
      <c r="E9" s="6" t="s">
        <v>296</v>
      </c>
      <c r="F9" s="6" t="s">
        <v>297</v>
      </c>
    </row>
    <row r="10" customFormat="false" ht="15" hidden="false" customHeight="false" outlineLevel="0" collapsed="false">
      <c r="A10" s="5" t="s">
        <v>246</v>
      </c>
      <c r="B10" s="5" t="s">
        <v>190</v>
      </c>
      <c r="C10" s="5" t="str">
        <f aca="false">A10&amp;"-"&amp;B10</f>
        <v>S2-E3</v>
      </c>
      <c r="D10" s="5" t="s">
        <v>296</v>
      </c>
      <c r="E10" s="5" t="s">
        <v>297</v>
      </c>
      <c r="F10" s="5" t="s">
        <v>298</v>
      </c>
    </row>
    <row r="11" customFormat="false" ht="15" hidden="false" customHeight="false" outlineLevel="0" collapsed="false">
      <c r="A11" s="6" t="s">
        <v>246</v>
      </c>
      <c r="B11" s="6" t="s">
        <v>187</v>
      </c>
      <c r="C11" s="6" t="str">
        <f aca="false">A11&amp;"-"&amp;B11</f>
        <v>S2-E4</v>
      </c>
      <c r="D11" s="6" t="s">
        <v>297</v>
      </c>
      <c r="E11" s="6" t="s">
        <v>298</v>
      </c>
      <c r="F11" s="6" t="s">
        <v>277</v>
      </c>
    </row>
    <row r="12" customFormat="false" ht="15" hidden="false" customHeight="false" outlineLevel="0" collapsed="false">
      <c r="A12" s="5" t="s">
        <v>250</v>
      </c>
      <c r="B12" s="5" t="s">
        <v>233</v>
      </c>
      <c r="C12" s="5" t="str">
        <f aca="false">A12&amp;"-"&amp;B12</f>
        <v>S3-E1</v>
      </c>
      <c r="D12" s="5" t="s">
        <v>296</v>
      </c>
      <c r="E12" s="5" t="s">
        <v>296</v>
      </c>
      <c r="F12" s="5" t="s">
        <v>297</v>
      </c>
    </row>
    <row r="13" customFormat="false" ht="15" hidden="false" customHeight="false" outlineLevel="0" collapsed="false">
      <c r="A13" s="6" t="s">
        <v>250</v>
      </c>
      <c r="B13" s="6" t="s">
        <v>205</v>
      </c>
      <c r="C13" s="6" t="str">
        <f aca="false">A13&amp;"-"&amp;B13</f>
        <v>S3-E2</v>
      </c>
      <c r="D13" s="6" t="s">
        <v>296</v>
      </c>
      <c r="E13" s="6" t="s">
        <v>297</v>
      </c>
      <c r="F13" s="6" t="s">
        <v>298</v>
      </c>
    </row>
    <row r="14" customFormat="false" ht="15" hidden="false" customHeight="false" outlineLevel="0" collapsed="false">
      <c r="A14" s="5" t="s">
        <v>250</v>
      </c>
      <c r="B14" s="5" t="s">
        <v>190</v>
      </c>
      <c r="C14" s="5" t="str">
        <f aca="false">A14&amp;"-"&amp;B14</f>
        <v>S3-E3</v>
      </c>
      <c r="D14" s="5" t="s">
        <v>297</v>
      </c>
      <c r="E14" s="5" t="s">
        <v>298</v>
      </c>
      <c r="F14" s="5" t="s">
        <v>277</v>
      </c>
    </row>
    <row r="15" customFormat="false" ht="15" hidden="false" customHeight="false" outlineLevel="0" collapsed="false">
      <c r="A15" s="6" t="s">
        <v>250</v>
      </c>
      <c r="B15" s="6" t="s">
        <v>187</v>
      </c>
      <c r="C15" s="6" t="str">
        <f aca="false">A15&amp;"-"&amp;B15</f>
        <v>S3-E4</v>
      </c>
      <c r="D15" s="6" t="s">
        <v>298</v>
      </c>
      <c r="E15" s="6" t="s">
        <v>277</v>
      </c>
      <c r="F15" s="6" t="s">
        <v>299</v>
      </c>
    </row>
    <row r="17" customFormat="false" ht="15" hidden="false" customHeight="false" outlineLevel="0" collapsed="false">
      <c r="A17" s="11" t="s">
        <v>300</v>
      </c>
      <c r="B17" s="11"/>
      <c r="C17" s="11"/>
      <c r="D17" s="11"/>
      <c r="E17" s="11"/>
      <c r="F17" s="11"/>
    </row>
  </sheetData>
  <mergeCells count="2">
    <mergeCell ref="A1:F1"/>
    <mergeCell ref="A17:F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6" min="5" style="0" width="14"/>
    <col collapsed="false" customWidth="true" hidden="false" outlineLevel="0" max="7" min="7" style="0" width="50"/>
    <col collapsed="false" customWidth="true" hidden="false" outlineLevel="0" max="8" min="8" style="0" width="70"/>
  </cols>
  <sheetData>
    <row r="1" customFormat="false" ht="27.75" hidden="false" customHeight="true" outlineLevel="0" collapsed="false">
      <c r="A1" s="1" t="s">
        <v>301</v>
      </c>
      <c r="B1" s="1"/>
      <c r="C1" s="1"/>
      <c r="D1" s="1"/>
      <c r="E1" s="1"/>
      <c r="F1" s="1"/>
      <c r="G1" s="1"/>
    </row>
    <row r="2" customFormat="false" ht="36" hidden="false" customHeight="true" outlineLevel="0" collapsed="false">
      <c r="A2" s="12" t="s">
        <v>302</v>
      </c>
      <c r="B2" s="12"/>
      <c r="C2" s="12"/>
      <c r="D2" s="12"/>
      <c r="E2" s="12"/>
      <c r="F2" s="12"/>
      <c r="G2" s="12"/>
    </row>
    <row r="4" customFormat="false" ht="31.5" hidden="false" customHeight="true" outlineLevel="0" collapsed="false">
      <c r="A4" s="4" t="s">
        <v>97</v>
      </c>
      <c r="B4" s="4" t="s">
        <v>303</v>
      </c>
      <c r="C4" s="4" t="s">
        <v>304</v>
      </c>
      <c r="D4" s="4" t="s">
        <v>305</v>
      </c>
      <c r="E4" s="4" t="s">
        <v>306</v>
      </c>
      <c r="F4" s="4" t="s">
        <v>307</v>
      </c>
      <c r="G4" s="4" t="s">
        <v>308</v>
      </c>
      <c r="H4" s="13" t="s">
        <v>309</v>
      </c>
    </row>
    <row r="5" customFormat="false" ht="28.35" hidden="false" customHeight="false" outlineLevel="0" collapsed="false">
      <c r="A5" s="5" t="s">
        <v>101</v>
      </c>
      <c r="B5" s="5" t="s">
        <v>102</v>
      </c>
      <c r="C5" s="5" t="s">
        <v>137</v>
      </c>
      <c r="D5" s="5" t="s">
        <v>138</v>
      </c>
      <c r="E5" s="14" t="s">
        <v>310</v>
      </c>
      <c r="F5" s="5"/>
      <c r="G5" s="5" t="s">
        <v>311</v>
      </c>
      <c r="H5" s="15" t="s">
        <v>312</v>
      </c>
    </row>
    <row r="6" customFormat="false" ht="28.35" hidden="false" customHeight="false" outlineLevel="0" collapsed="false">
      <c r="A6" s="5" t="s">
        <v>101</v>
      </c>
      <c r="B6" s="5" t="s">
        <v>102</v>
      </c>
      <c r="C6" s="5" t="s">
        <v>140</v>
      </c>
      <c r="D6" s="5" t="s">
        <v>141</v>
      </c>
      <c r="E6" s="14" t="s">
        <v>310</v>
      </c>
      <c r="F6" s="5"/>
      <c r="G6" s="5" t="s">
        <v>311</v>
      </c>
      <c r="H6" s="15" t="s">
        <v>313</v>
      </c>
    </row>
    <row r="7" customFormat="false" ht="23.85" hidden="false" customHeight="false" outlineLevel="0" collapsed="false">
      <c r="A7" s="5" t="s">
        <v>101</v>
      </c>
      <c r="B7" s="5" t="s">
        <v>102</v>
      </c>
      <c r="C7" s="5" t="s">
        <v>143</v>
      </c>
      <c r="D7" s="5" t="s">
        <v>144</v>
      </c>
      <c r="E7" s="14" t="s">
        <v>310</v>
      </c>
      <c r="F7" s="5"/>
      <c r="G7" s="5" t="s">
        <v>314</v>
      </c>
      <c r="H7" s="15" t="s">
        <v>315</v>
      </c>
    </row>
    <row r="8" customFormat="false" ht="28.35" hidden="false" customHeight="false" outlineLevel="0" collapsed="false">
      <c r="A8" s="5" t="s">
        <v>101</v>
      </c>
      <c r="B8" s="5" t="s">
        <v>102</v>
      </c>
      <c r="C8" s="5" t="s">
        <v>146</v>
      </c>
      <c r="D8" s="5" t="s">
        <v>147</v>
      </c>
      <c r="E8" s="14" t="s">
        <v>310</v>
      </c>
      <c r="F8" s="5"/>
      <c r="G8" s="5" t="s">
        <v>311</v>
      </c>
      <c r="H8" s="15" t="s">
        <v>316</v>
      </c>
    </row>
    <row r="9" customFormat="false" ht="23.85" hidden="false" customHeight="false" outlineLevel="0" collapsed="false">
      <c r="A9" s="5" t="s">
        <v>101</v>
      </c>
      <c r="B9" s="5" t="s">
        <v>102</v>
      </c>
      <c r="C9" s="5" t="s">
        <v>149</v>
      </c>
      <c r="D9" s="5" t="s">
        <v>150</v>
      </c>
      <c r="E9" s="14" t="s">
        <v>310</v>
      </c>
      <c r="F9" s="5"/>
      <c r="G9" s="5" t="s">
        <v>314</v>
      </c>
      <c r="H9" s="15" t="s">
        <v>317</v>
      </c>
    </row>
    <row r="10" customFormat="false" ht="23.85" hidden="false" customHeight="false" outlineLevel="0" collapsed="false">
      <c r="A10" s="5" t="s">
        <v>101</v>
      </c>
      <c r="B10" s="5" t="s">
        <v>102</v>
      </c>
      <c r="C10" s="5" t="s">
        <v>152</v>
      </c>
      <c r="D10" s="5" t="s">
        <v>153</v>
      </c>
      <c r="E10" s="14" t="s">
        <v>310</v>
      </c>
      <c r="F10" s="5"/>
      <c r="G10" s="5" t="s">
        <v>311</v>
      </c>
      <c r="H10" s="15" t="s">
        <v>318</v>
      </c>
    </row>
    <row r="11" customFormat="false" ht="28.35" hidden="false" customHeight="false" outlineLevel="0" collapsed="false">
      <c r="A11" s="5" t="s">
        <v>101</v>
      </c>
      <c r="B11" s="5" t="s">
        <v>102</v>
      </c>
      <c r="C11" s="5" t="s">
        <v>155</v>
      </c>
      <c r="D11" s="5" t="s">
        <v>156</v>
      </c>
      <c r="E11" s="14" t="s">
        <v>310</v>
      </c>
      <c r="F11" s="5"/>
      <c r="G11" s="5" t="s">
        <v>314</v>
      </c>
      <c r="H11" s="15" t="s">
        <v>319</v>
      </c>
    </row>
    <row r="12" customFormat="false" ht="28.35" hidden="false" customHeight="false" outlineLevel="0" collapsed="false">
      <c r="A12" s="5" t="s">
        <v>101</v>
      </c>
      <c r="B12" s="5" t="s">
        <v>102</v>
      </c>
      <c r="C12" s="5" t="s">
        <v>158</v>
      </c>
      <c r="D12" s="5" t="s">
        <v>159</v>
      </c>
      <c r="E12" s="14" t="s">
        <v>310</v>
      </c>
      <c r="F12" s="5" t="s">
        <v>167</v>
      </c>
      <c r="G12" s="5" t="s">
        <v>311</v>
      </c>
      <c r="H12" s="15" t="s">
        <v>320</v>
      </c>
    </row>
    <row r="13" customFormat="false" ht="28.35" hidden="false" customHeight="false" outlineLevel="0" collapsed="false">
      <c r="A13" s="5" t="s">
        <v>101</v>
      </c>
      <c r="B13" s="5" t="s">
        <v>102</v>
      </c>
      <c r="C13" s="5" t="s">
        <v>161</v>
      </c>
      <c r="D13" s="5" t="s">
        <v>162</v>
      </c>
      <c r="E13" s="14" t="s">
        <v>310</v>
      </c>
      <c r="F13" s="5" t="s">
        <v>140</v>
      </c>
      <c r="G13" s="5" t="s">
        <v>311</v>
      </c>
      <c r="H13" s="15" t="s">
        <v>321</v>
      </c>
    </row>
    <row r="14" customFormat="false" ht="28.35" hidden="false" customHeight="false" outlineLevel="0" collapsed="false">
      <c r="A14" s="5" t="s">
        <v>101</v>
      </c>
      <c r="B14" s="5" t="s">
        <v>102</v>
      </c>
      <c r="C14" s="5" t="s">
        <v>164</v>
      </c>
      <c r="D14" s="5" t="s">
        <v>165</v>
      </c>
      <c r="E14" s="14" t="s">
        <v>310</v>
      </c>
      <c r="F14" s="5" t="s">
        <v>143</v>
      </c>
      <c r="G14" s="5" t="s">
        <v>314</v>
      </c>
      <c r="H14" s="15" t="s">
        <v>322</v>
      </c>
    </row>
    <row r="15" customFormat="false" ht="23.85" hidden="false" customHeight="false" outlineLevel="0" collapsed="false">
      <c r="A15" s="5" t="s">
        <v>101</v>
      </c>
      <c r="B15" s="5" t="s">
        <v>102</v>
      </c>
      <c r="C15" s="5" t="s">
        <v>167</v>
      </c>
      <c r="D15" s="5" t="s">
        <v>168</v>
      </c>
      <c r="E15" s="14" t="s">
        <v>310</v>
      </c>
      <c r="F15" s="5"/>
      <c r="G15" s="5" t="s">
        <v>311</v>
      </c>
      <c r="H15" s="15" t="s">
        <v>323</v>
      </c>
    </row>
    <row r="16" customFormat="false" ht="23.85" hidden="false" customHeight="false" outlineLevel="0" collapsed="false">
      <c r="A16" s="5" t="s">
        <v>101</v>
      </c>
      <c r="B16" s="5" t="s">
        <v>102</v>
      </c>
      <c r="C16" s="5" t="s">
        <v>170</v>
      </c>
      <c r="D16" s="5" t="s">
        <v>171</v>
      </c>
      <c r="E16" s="14" t="s">
        <v>310</v>
      </c>
      <c r="F16" s="5"/>
      <c r="G16" s="5" t="s">
        <v>314</v>
      </c>
      <c r="H16" s="15" t="s">
        <v>324</v>
      </c>
    </row>
    <row r="17" customFormat="false" ht="23.85" hidden="false" customHeight="false" outlineLevel="0" collapsed="false">
      <c r="A17" s="5" t="s">
        <v>101</v>
      </c>
      <c r="B17" s="5" t="s">
        <v>102</v>
      </c>
      <c r="C17" s="5" t="s">
        <v>173</v>
      </c>
      <c r="D17" s="5" t="s">
        <v>174</v>
      </c>
      <c r="E17" s="14" t="s">
        <v>310</v>
      </c>
      <c r="F17" s="5"/>
      <c r="G17" s="5" t="s">
        <v>314</v>
      </c>
      <c r="H17" s="15" t="s">
        <v>325</v>
      </c>
    </row>
    <row r="18" customFormat="false" ht="23.85" hidden="false" customHeight="false" outlineLevel="0" collapsed="false">
      <c r="A18" s="5" t="s">
        <v>101</v>
      </c>
      <c r="B18" s="5" t="s">
        <v>102</v>
      </c>
      <c r="C18" s="5" t="s">
        <v>176</v>
      </c>
      <c r="D18" s="5" t="s">
        <v>177</v>
      </c>
      <c r="E18" s="14" t="s">
        <v>310</v>
      </c>
      <c r="F18" s="5" t="s">
        <v>149</v>
      </c>
      <c r="G18" s="5" t="s">
        <v>314</v>
      </c>
      <c r="H18" s="15" t="s">
        <v>326</v>
      </c>
    </row>
    <row r="19" customFormat="false" ht="23.85" hidden="false" customHeight="false" outlineLevel="0" collapsed="false">
      <c r="A19" s="5" t="s">
        <v>105</v>
      </c>
      <c r="B19" s="5" t="s">
        <v>106</v>
      </c>
      <c r="C19" s="5" t="s">
        <v>137</v>
      </c>
      <c r="D19" s="5" t="s">
        <v>138</v>
      </c>
      <c r="E19" s="14" t="s">
        <v>310</v>
      </c>
      <c r="F19" s="5"/>
      <c r="G19" s="5" t="s">
        <v>327</v>
      </c>
      <c r="H19" s="15" t="s">
        <v>328</v>
      </c>
    </row>
    <row r="20" customFormat="false" ht="28.35" hidden="false" customHeight="false" outlineLevel="0" collapsed="false">
      <c r="A20" s="5" t="s">
        <v>105</v>
      </c>
      <c r="B20" s="5" t="s">
        <v>106</v>
      </c>
      <c r="C20" s="5" t="s">
        <v>140</v>
      </c>
      <c r="D20" s="5" t="s">
        <v>141</v>
      </c>
      <c r="E20" s="14" t="s">
        <v>310</v>
      </c>
      <c r="F20" s="5"/>
      <c r="G20" s="5" t="s">
        <v>327</v>
      </c>
      <c r="H20" s="15" t="s">
        <v>329</v>
      </c>
    </row>
    <row r="21" customFormat="false" ht="28.35" hidden="false" customHeight="false" outlineLevel="0" collapsed="false">
      <c r="A21" s="5" t="s">
        <v>105</v>
      </c>
      <c r="B21" s="5" t="s">
        <v>106</v>
      </c>
      <c r="C21" s="5" t="s">
        <v>143</v>
      </c>
      <c r="D21" s="5" t="s">
        <v>144</v>
      </c>
      <c r="E21" s="14" t="s">
        <v>310</v>
      </c>
      <c r="F21" s="5"/>
      <c r="G21" s="5" t="s">
        <v>330</v>
      </c>
      <c r="H21" s="15" t="s">
        <v>331</v>
      </c>
    </row>
    <row r="22" customFormat="false" ht="23.85" hidden="false" customHeight="false" outlineLevel="0" collapsed="false">
      <c r="A22" s="5" t="s">
        <v>105</v>
      </c>
      <c r="B22" s="5" t="s">
        <v>106</v>
      </c>
      <c r="C22" s="5" t="s">
        <v>146</v>
      </c>
      <c r="D22" s="5" t="s">
        <v>147</v>
      </c>
      <c r="E22" s="14" t="s">
        <v>310</v>
      </c>
      <c r="F22" s="5"/>
      <c r="G22" s="5" t="s">
        <v>332</v>
      </c>
      <c r="H22" s="15" t="s">
        <v>333</v>
      </c>
    </row>
    <row r="23" customFormat="false" ht="28.35" hidden="false" customHeight="false" outlineLevel="0" collapsed="false">
      <c r="A23" s="5" t="s">
        <v>105</v>
      </c>
      <c r="B23" s="5" t="s">
        <v>106</v>
      </c>
      <c r="C23" s="5" t="s">
        <v>149</v>
      </c>
      <c r="D23" s="5" t="s">
        <v>150</v>
      </c>
      <c r="E23" s="14" t="s">
        <v>310</v>
      </c>
      <c r="F23" s="5"/>
      <c r="G23" s="5" t="s">
        <v>332</v>
      </c>
      <c r="H23" s="15" t="s">
        <v>334</v>
      </c>
    </row>
    <row r="24" customFormat="false" ht="23.85" hidden="false" customHeight="false" outlineLevel="0" collapsed="false">
      <c r="A24" s="5" t="s">
        <v>105</v>
      </c>
      <c r="B24" s="5" t="s">
        <v>106</v>
      </c>
      <c r="C24" s="5" t="s">
        <v>152</v>
      </c>
      <c r="D24" s="5" t="s">
        <v>153</v>
      </c>
      <c r="E24" s="14" t="s">
        <v>310</v>
      </c>
      <c r="F24" s="5"/>
      <c r="G24" s="5" t="s">
        <v>327</v>
      </c>
      <c r="H24" s="15" t="s">
        <v>335</v>
      </c>
    </row>
    <row r="25" customFormat="false" ht="23.85" hidden="false" customHeight="false" outlineLevel="0" collapsed="false">
      <c r="A25" s="5" t="s">
        <v>105</v>
      </c>
      <c r="B25" s="5" t="s">
        <v>106</v>
      </c>
      <c r="C25" s="5" t="s">
        <v>155</v>
      </c>
      <c r="D25" s="5" t="s">
        <v>156</v>
      </c>
      <c r="E25" s="14" t="s">
        <v>310</v>
      </c>
      <c r="F25" s="5" t="s">
        <v>143</v>
      </c>
      <c r="G25" s="5" t="s">
        <v>330</v>
      </c>
      <c r="H25" s="15" t="s">
        <v>336</v>
      </c>
    </row>
    <row r="26" customFormat="false" ht="23.85" hidden="false" customHeight="false" outlineLevel="0" collapsed="false">
      <c r="A26" s="5" t="s">
        <v>105</v>
      </c>
      <c r="B26" s="5" t="s">
        <v>106</v>
      </c>
      <c r="C26" s="5" t="s">
        <v>158</v>
      </c>
      <c r="D26" s="5" t="s">
        <v>159</v>
      </c>
      <c r="E26" s="14" t="s">
        <v>310</v>
      </c>
      <c r="F26" s="5" t="s">
        <v>167</v>
      </c>
      <c r="G26" s="5" t="s">
        <v>327</v>
      </c>
      <c r="H26" s="15" t="s">
        <v>337</v>
      </c>
    </row>
    <row r="27" customFormat="false" ht="28.35" hidden="false" customHeight="false" outlineLevel="0" collapsed="false">
      <c r="A27" s="5" t="s">
        <v>105</v>
      </c>
      <c r="B27" s="5" t="s">
        <v>106</v>
      </c>
      <c r="C27" s="5" t="s">
        <v>161</v>
      </c>
      <c r="D27" s="5" t="s">
        <v>162</v>
      </c>
      <c r="E27" s="14" t="s">
        <v>310</v>
      </c>
      <c r="F27" s="5" t="s">
        <v>140</v>
      </c>
      <c r="G27" s="5" t="s">
        <v>327</v>
      </c>
      <c r="H27" s="15" t="s">
        <v>338</v>
      </c>
    </row>
    <row r="28" customFormat="false" ht="28.35" hidden="false" customHeight="false" outlineLevel="0" collapsed="false">
      <c r="A28" s="5" t="s">
        <v>105</v>
      </c>
      <c r="B28" s="5" t="s">
        <v>106</v>
      </c>
      <c r="C28" s="5" t="s">
        <v>164</v>
      </c>
      <c r="D28" s="5" t="s">
        <v>165</v>
      </c>
      <c r="E28" s="14" t="s">
        <v>310</v>
      </c>
      <c r="F28" s="5"/>
      <c r="G28" s="5" t="s">
        <v>330</v>
      </c>
      <c r="H28" s="15" t="s">
        <v>339</v>
      </c>
    </row>
    <row r="29" customFormat="false" ht="23.85" hidden="false" customHeight="false" outlineLevel="0" collapsed="false">
      <c r="A29" s="5" t="s">
        <v>105</v>
      </c>
      <c r="B29" s="5" t="s">
        <v>106</v>
      </c>
      <c r="C29" s="5" t="s">
        <v>167</v>
      </c>
      <c r="D29" s="5" t="s">
        <v>168</v>
      </c>
      <c r="E29" s="14" t="s">
        <v>310</v>
      </c>
      <c r="F29" s="5"/>
      <c r="G29" s="5" t="s">
        <v>327</v>
      </c>
      <c r="H29" s="15" t="s">
        <v>340</v>
      </c>
    </row>
    <row r="30" customFormat="false" ht="23.85" hidden="false" customHeight="false" outlineLevel="0" collapsed="false">
      <c r="A30" s="5" t="s">
        <v>105</v>
      </c>
      <c r="B30" s="5" t="s">
        <v>106</v>
      </c>
      <c r="C30" s="5" t="s">
        <v>170</v>
      </c>
      <c r="D30" s="5" t="s">
        <v>171</v>
      </c>
      <c r="E30" s="14" t="s">
        <v>310</v>
      </c>
      <c r="F30" s="5"/>
      <c r="G30" s="5" t="s">
        <v>332</v>
      </c>
      <c r="H30" s="15" t="s">
        <v>341</v>
      </c>
    </row>
    <row r="31" customFormat="false" ht="28.35" hidden="false" customHeight="false" outlineLevel="0" collapsed="false">
      <c r="A31" s="5" t="s">
        <v>105</v>
      </c>
      <c r="B31" s="5" t="s">
        <v>106</v>
      </c>
      <c r="C31" s="5" t="s">
        <v>173</v>
      </c>
      <c r="D31" s="5" t="s">
        <v>174</v>
      </c>
      <c r="E31" s="14" t="s">
        <v>310</v>
      </c>
      <c r="F31" s="5"/>
      <c r="G31" s="5" t="s">
        <v>330</v>
      </c>
      <c r="H31" s="15" t="s">
        <v>342</v>
      </c>
    </row>
    <row r="32" customFormat="false" ht="28.35" hidden="false" customHeight="false" outlineLevel="0" collapsed="false">
      <c r="A32" s="5" t="s">
        <v>105</v>
      </c>
      <c r="B32" s="5" t="s">
        <v>106</v>
      </c>
      <c r="C32" s="5" t="s">
        <v>176</v>
      </c>
      <c r="D32" s="5" t="s">
        <v>177</v>
      </c>
      <c r="E32" s="16" t="s">
        <v>343</v>
      </c>
      <c r="F32" s="5"/>
      <c r="G32" s="5" t="s">
        <v>344</v>
      </c>
      <c r="H32" s="15" t="s">
        <v>344</v>
      </c>
    </row>
    <row r="33" customFormat="false" ht="28.35" hidden="false" customHeight="false" outlineLevel="0" collapsed="false">
      <c r="A33" s="5" t="s">
        <v>108</v>
      </c>
      <c r="B33" s="5" t="s">
        <v>109</v>
      </c>
      <c r="C33" s="5" t="s">
        <v>137</v>
      </c>
      <c r="D33" s="5" t="s">
        <v>138</v>
      </c>
      <c r="E33" s="14" t="s">
        <v>310</v>
      </c>
      <c r="F33" s="5"/>
      <c r="G33" s="5" t="s">
        <v>345</v>
      </c>
      <c r="H33" s="15" t="s">
        <v>346</v>
      </c>
    </row>
    <row r="34" customFormat="false" ht="28.35" hidden="false" customHeight="false" outlineLevel="0" collapsed="false">
      <c r="A34" s="5" t="s">
        <v>108</v>
      </c>
      <c r="B34" s="5" t="s">
        <v>109</v>
      </c>
      <c r="C34" s="5" t="s">
        <v>140</v>
      </c>
      <c r="D34" s="5" t="s">
        <v>141</v>
      </c>
      <c r="E34" s="14" t="s">
        <v>310</v>
      </c>
      <c r="F34" s="5"/>
      <c r="G34" s="5" t="s">
        <v>311</v>
      </c>
      <c r="H34" s="15" t="s">
        <v>347</v>
      </c>
    </row>
    <row r="35" customFormat="false" ht="28.35" hidden="false" customHeight="false" outlineLevel="0" collapsed="false">
      <c r="A35" s="5" t="s">
        <v>108</v>
      </c>
      <c r="B35" s="5" t="s">
        <v>109</v>
      </c>
      <c r="C35" s="5" t="s">
        <v>143</v>
      </c>
      <c r="D35" s="5" t="s">
        <v>144</v>
      </c>
      <c r="E35" s="14" t="s">
        <v>310</v>
      </c>
      <c r="F35" s="5"/>
      <c r="G35" s="5" t="s">
        <v>314</v>
      </c>
      <c r="H35" s="15" t="s">
        <v>348</v>
      </c>
    </row>
    <row r="36" customFormat="false" ht="23.85" hidden="false" customHeight="false" outlineLevel="0" collapsed="false">
      <c r="A36" s="5" t="s">
        <v>108</v>
      </c>
      <c r="B36" s="5" t="s">
        <v>109</v>
      </c>
      <c r="C36" s="5" t="s">
        <v>146</v>
      </c>
      <c r="D36" s="5" t="s">
        <v>147</v>
      </c>
      <c r="E36" s="14" t="s">
        <v>310</v>
      </c>
      <c r="F36" s="5" t="s">
        <v>137</v>
      </c>
      <c r="G36" s="5" t="s">
        <v>345</v>
      </c>
      <c r="H36" s="15" t="s">
        <v>349</v>
      </c>
    </row>
    <row r="37" customFormat="false" ht="23.85" hidden="false" customHeight="false" outlineLevel="0" collapsed="false">
      <c r="A37" s="5" t="s">
        <v>108</v>
      </c>
      <c r="B37" s="5" t="s">
        <v>109</v>
      </c>
      <c r="C37" s="5" t="s">
        <v>149</v>
      </c>
      <c r="D37" s="5" t="s">
        <v>150</v>
      </c>
      <c r="E37" s="16" t="s">
        <v>343</v>
      </c>
      <c r="F37" s="5"/>
      <c r="G37" s="5" t="s">
        <v>350</v>
      </c>
      <c r="H37" s="15" t="s">
        <v>350</v>
      </c>
    </row>
    <row r="38" customFormat="false" ht="28.35" hidden="false" customHeight="false" outlineLevel="0" collapsed="false">
      <c r="A38" s="5" t="s">
        <v>108</v>
      </c>
      <c r="B38" s="5" t="s">
        <v>109</v>
      </c>
      <c r="C38" s="5" t="s">
        <v>152</v>
      </c>
      <c r="D38" s="5" t="s">
        <v>153</v>
      </c>
      <c r="E38" s="14" t="s">
        <v>310</v>
      </c>
      <c r="F38" s="5"/>
      <c r="G38" s="5" t="s">
        <v>345</v>
      </c>
      <c r="H38" s="15" t="s">
        <v>351</v>
      </c>
    </row>
    <row r="39" customFormat="false" ht="28.35" hidden="false" customHeight="false" outlineLevel="0" collapsed="false">
      <c r="A39" s="5" t="s">
        <v>108</v>
      </c>
      <c r="B39" s="5" t="s">
        <v>109</v>
      </c>
      <c r="C39" s="5" t="s">
        <v>155</v>
      </c>
      <c r="D39" s="5" t="s">
        <v>156</v>
      </c>
      <c r="E39" s="17" t="s">
        <v>352</v>
      </c>
      <c r="F39" s="5"/>
      <c r="G39" s="5" t="s">
        <v>353</v>
      </c>
      <c r="H39" s="15" t="s">
        <v>353</v>
      </c>
    </row>
    <row r="40" customFormat="false" ht="23.85" hidden="false" customHeight="false" outlineLevel="0" collapsed="false">
      <c r="A40" s="5" t="s">
        <v>108</v>
      </c>
      <c r="B40" s="5" t="s">
        <v>109</v>
      </c>
      <c r="C40" s="5" t="s">
        <v>158</v>
      </c>
      <c r="D40" s="5" t="s">
        <v>159</v>
      </c>
      <c r="E40" s="14" t="s">
        <v>310</v>
      </c>
      <c r="F40" s="5" t="s">
        <v>167</v>
      </c>
      <c r="G40" s="5" t="s">
        <v>345</v>
      </c>
      <c r="H40" s="15" t="s">
        <v>354</v>
      </c>
    </row>
    <row r="41" customFormat="false" ht="23.85" hidden="false" customHeight="false" outlineLevel="0" collapsed="false">
      <c r="A41" s="5" t="s">
        <v>108</v>
      </c>
      <c r="B41" s="5" t="s">
        <v>109</v>
      </c>
      <c r="C41" s="5" t="s">
        <v>161</v>
      </c>
      <c r="D41" s="5" t="s">
        <v>162</v>
      </c>
      <c r="E41" s="16" t="s">
        <v>343</v>
      </c>
      <c r="F41" s="5"/>
      <c r="G41" s="5" t="s">
        <v>355</v>
      </c>
      <c r="H41" s="15" t="s">
        <v>355</v>
      </c>
    </row>
    <row r="42" customFormat="false" ht="23.85" hidden="false" customHeight="false" outlineLevel="0" collapsed="false">
      <c r="A42" s="5" t="s">
        <v>108</v>
      </c>
      <c r="B42" s="5" t="s">
        <v>109</v>
      </c>
      <c r="C42" s="5" t="s">
        <v>164</v>
      </c>
      <c r="D42" s="5" t="s">
        <v>165</v>
      </c>
      <c r="E42" s="14" t="s">
        <v>310</v>
      </c>
      <c r="F42" s="5" t="s">
        <v>137</v>
      </c>
      <c r="G42" s="5" t="s">
        <v>345</v>
      </c>
      <c r="H42" s="15" t="s">
        <v>356</v>
      </c>
    </row>
    <row r="43" customFormat="false" ht="28.35" hidden="false" customHeight="false" outlineLevel="0" collapsed="false">
      <c r="A43" s="5" t="s">
        <v>108</v>
      </c>
      <c r="B43" s="5" t="s">
        <v>109</v>
      </c>
      <c r="C43" s="5" t="s">
        <v>167</v>
      </c>
      <c r="D43" s="5" t="s">
        <v>168</v>
      </c>
      <c r="E43" s="14" t="s">
        <v>310</v>
      </c>
      <c r="F43" s="5"/>
      <c r="G43" s="5" t="s">
        <v>345</v>
      </c>
      <c r="H43" s="15" t="s">
        <v>357</v>
      </c>
    </row>
    <row r="44" customFormat="false" ht="23.85" hidden="false" customHeight="false" outlineLevel="0" collapsed="false">
      <c r="A44" s="5" t="s">
        <v>108</v>
      </c>
      <c r="B44" s="5" t="s">
        <v>109</v>
      </c>
      <c r="C44" s="5" t="s">
        <v>170</v>
      </c>
      <c r="D44" s="5" t="s">
        <v>171</v>
      </c>
      <c r="E44" s="14" t="s">
        <v>310</v>
      </c>
      <c r="F44" s="5" t="s">
        <v>143</v>
      </c>
      <c r="G44" s="5" t="s">
        <v>314</v>
      </c>
      <c r="H44" s="15" t="s">
        <v>358</v>
      </c>
    </row>
    <row r="45" customFormat="false" ht="28.35" hidden="false" customHeight="false" outlineLevel="0" collapsed="false">
      <c r="A45" s="5" t="s">
        <v>108</v>
      </c>
      <c r="B45" s="5" t="s">
        <v>109</v>
      </c>
      <c r="C45" s="5" t="s">
        <v>173</v>
      </c>
      <c r="D45" s="5" t="s">
        <v>174</v>
      </c>
      <c r="E45" s="14" t="s">
        <v>310</v>
      </c>
      <c r="F45" s="5" t="s">
        <v>140</v>
      </c>
      <c r="G45" s="5" t="s">
        <v>311</v>
      </c>
      <c r="H45" s="15" t="s">
        <v>359</v>
      </c>
    </row>
    <row r="46" customFormat="false" ht="23.85" hidden="false" customHeight="false" outlineLevel="0" collapsed="false">
      <c r="A46" s="5" t="s">
        <v>108</v>
      </c>
      <c r="B46" s="5" t="s">
        <v>109</v>
      </c>
      <c r="C46" s="5" t="s">
        <v>176</v>
      </c>
      <c r="D46" s="5" t="s">
        <v>177</v>
      </c>
      <c r="E46" s="16" t="s">
        <v>343</v>
      </c>
      <c r="F46" s="5"/>
      <c r="G46" s="5" t="s">
        <v>360</v>
      </c>
      <c r="H46" s="15" t="s">
        <v>360</v>
      </c>
    </row>
    <row r="47" customFormat="false" ht="41.75" hidden="false" customHeight="false" outlineLevel="0" collapsed="false">
      <c r="A47" s="5" t="s">
        <v>112</v>
      </c>
      <c r="B47" s="5" t="s">
        <v>113</v>
      </c>
      <c r="C47" s="5" t="s">
        <v>137</v>
      </c>
      <c r="D47" s="5" t="s">
        <v>138</v>
      </c>
      <c r="E47" s="17" t="s">
        <v>352</v>
      </c>
      <c r="F47" s="5"/>
      <c r="G47" s="5" t="s">
        <v>361</v>
      </c>
      <c r="H47" s="15" t="s">
        <v>361</v>
      </c>
    </row>
    <row r="48" customFormat="false" ht="15" hidden="false" customHeight="false" outlineLevel="0" collapsed="false">
      <c r="A48" s="5" t="s">
        <v>112</v>
      </c>
      <c r="B48" s="5" t="s">
        <v>113</v>
      </c>
      <c r="C48" s="5" t="s">
        <v>140</v>
      </c>
      <c r="D48" s="5" t="s">
        <v>141</v>
      </c>
      <c r="E48" s="17" t="s">
        <v>352</v>
      </c>
      <c r="F48" s="5" t="s">
        <v>137</v>
      </c>
      <c r="G48" s="5" t="s">
        <v>362</v>
      </c>
      <c r="H48" s="15" t="s">
        <v>362</v>
      </c>
    </row>
    <row r="49" customFormat="false" ht="15" hidden="false" customHeight="false" outlineLevel="0" collapsed="false">
      <c r="A49" s="5" t="s">
        <v>112</v>
      </c>
      <c r="B49" s="5" t="s">
        <v>113</v>
      </c>
      <c r="C49" s="5" t="s">
        <v>143</v>
      </c>
      <c r="D49" s="5" t="s">
        <v>144</v>
      </c>
      <c r="E49" s="14" t="s">
        <v>310</v>
      </c>
      <c r="F49" s="5"/>
      <c r="G49" s="5" t="s">
        <v>330</v>
      </c>
      <c r="H49" s="15" t="s">
        <v>363</v>
      </c>
    </row>
    <row r="50" customFormat="false" ht="28.35" hidden="false" customHeight="false" outlineLevel="0" collapsed="false">
      <c r="A50" s="5" t="s">
        <v>112</v>
      </c>
      <c r="B50" s="5" t="s">
        <v>113</v>
      </c>
      <c r="C50" s="5" t="s">
        <v>146</v>
      </c>
      <c r="D50" s="5" t="s">
        <v>147</v>
      </c>
      <c r="E50" s="17" t="s">
        <v>352</v>
      </c>
      <c r="F50" s="5" t="s">
        <v>137</v>
      </c>
      <c r="G50" s="5" t="s">
        <v>364</v>
      </c>
      <c r="H50" s="15" t="s">
        <v>364</v>
      </c>
    </row>
    <row r="51" customFormat="false" ht="28.35" hidden="false" customHeight="false" outlineLevel="0" collapsed="false">
      <c r="A51" s="5" t="s">
        <v>112</v>
      </c>
      <c r="B51" s="5" t="s">
        <v>113</v>
      </c>
      <c r="C51" s="5" t="s">
        <v>149</v>
      </c>
      <c r="D51" s="5" t="s">
        <v>150</v>
      </c>
      <c r="E51" s="14" t="s">
        <v>310</v>
      </c>
      <c r="F51" s="5" t="s">
        <v>143</v>
      </c>
      <c r="G51" s="5" t="s">
        <v>330</v>
      </c>
      <c r="H51" s="15" t="s">
        <v>365</v>
      </c>
    </row>
    <row r="52" customFormat="false" ht="15" hidden="false" customHeight="false" outlineLevel="0" collapsed="false">
      <c r="A52" s="5" t="s">
        <v>112</v>
      </c>
      <c r="B52" s="5" t="s">
        <v>113</v>
      </c>
      <c r="C52" s="5" t="s">
        <v>152</v>
      </c>
      <c r="D52" s="5" t="s">
        <v>153</v>
      </c>
      <c r="E52" s="17" t="s">
        <v>352</v>
      </c>
      <c r="F52" s="5" t="s">
        <v>137</v>
      </c>
      <c r="G52" s="5" t="s">
        <v>366</v>
      </c>
      <c r="H52" s="15" t="s">
        <v>366</v>
      </c>
    </row>
    <row r="53" customFormat="false" ht="15" hidden="false" customHeight="false" outlineLevel="0" collapsed="false">
      <c r="A53" s="5" t="s">
        <v>112</v>
      </c>
      <c r="B53" s="5" t="s">
        <v>113</v>
      </c>
      <c r="C53" s="5" t="s">
        <v>155</v>
      </c>
      <c r="D53" s="5" t="s">
        <v>156</v>
      </c>
      <c r="E53" s="14" t="s">
        <v>310</v>
      </c>
      <c r="F53" s="5" t="s">
        <v>143</v>
      </c>
      <c r="G53" s="5" t="s">
        <v>330</v>
      </c>
      <c r="H53" s="15" t="s">
        <v>367</v>
      </c>
    </row>
    <row r="54" customFormat="false" ht="23.85" hidden="false" customHeight="false" outlineLevel="0" collapsed="false">
      <c r="A54" s="5" t="s">
        <v>112</v>
      </c>
      <c r="B54" s="5" t="s">
        <v>113</v>
      </c>
      <c r="C54" s="5" t="s">
        <v>158</v>
      </c>
      <c r="D54" s="5" t="s">
        <v>159</v>
      </c>
      <c r="E54" s="17" t="s">
        <v>352</v>
      </c>
      <c r="F54" s="5" t="s">
        <v>137</v>
      </c>
      <c r="G54" s="5" t="s">
        <v>368</v>
      </c>
      <c r="H54" s="15" t="s">
        <v>368</v>
      </c>
    </row>
    <row r="55" customFormat="false" ht="15" hidden="false" customHeight="false" outlineLevel="0" collapsed="false">
      <c r="A55" s="5" t="s">
        <v>112</v>
      </c>
      <c r="B55" s="5" t="s">
        <v>113</v>
      </c>
      <c r="C55" s="5" t="s">
        <v>161</v>
      </c>
      <c r="D55" s="5" t="s">
        <v>162</v>
      </c>
      <c r="E55" s="16" t="s">
        <v>343</v>
      </c>
      <c r="F55" s="5"/>
      <c r="G55" s="5" t="s">
        <v>369</v>
      </c>
      <c r="H55" s="15" t="s">
        <v>369</v>
      </c>
    </row>
    <row r="56" customFormat="false" ht="15" hidden="false" customHeight="false" outlineLevel="0" collapsed="false">
      <c r="A56" s="5" t="s">
        <v>112</v>
      </c>
      <c r="B56" s="5" t="s">
        <v>113</v>
      </c>
      <c r="C56" s="5" t="s">
        <v>164</v>
      </c>
      <c r="D56" s="5" t="s">
        <v>165</v>
      </c>
      <c r="E56" s="17" t="s">
        <v>352</v>
      </c>
      <c r="F56" s="5"/>
      <c r="G56" s="5" t="s">
        <v>370</v>
      </c>
      <c r="H56" s="15" t="s">
        <v>370</v>
      </c>
    </row>
    <row r="57" customFormat="false" ht="15" hidden="false" customHeight="false" outlineLevel="0" collapsed="false">
      <c r="A57" s="5" t="s">
        <v>112</v>
      </c>
      <c r="B57" s="5" t="s">
        <v>113</v>
      </c>
      <c r="C57" s="5" t="s">
        <v>167</v>
      </c>
      <c r="D57" s="5" t="s">
        <v>168</v>
      </c>
      <c r="E57" s="17" t="s">
        <v>352</v>
      </c>
      <c r="F57" s="5" t="s">
        <v>137</v>
      </c>
      <c r="G57" s="5" t="s">
        <v>371</v>
      </c>
      <c r="H57" s="15" t="s">
        <v>371</v>
      </c>
    </row>
    <row r="58" customFormat="false" ht="15" hidden="false" customHeight="false" outlineLevel="0" collapsed="false">
      <c r="A58" s="5" t="s">
        <v>112</v>
      </c>
      <c r="B58" s="5" t="s">
        <v>113</v>
      </c>
      <c r="C58" s="5" t="s">
        <v>170</v>
      </c>
      <c r="D58" s="5" t="s">
        <v>171</v>
      </c>
      <c r="E58" s="16" t="s">
        <v>343</v>
      </c>
      <c r="F58" s="5"/>
      <c r="G58" s="5" t="s">
        <v>372</v>
      </c>
      <c r="H58" s="15" t="s">
        <v>372</v>
      </c>
    </row>
    <row r="59" customFormat="false" ht="28.35" hidden="false" customHeight="false" outlineLevel="0" collapsed="false">
      <c r="A59" s="5" t="s">
        <v>112</v>
      </c>
      <c r="B59" s="5" t="s">
        <v>113</v>
      </c>
      <c r="C59" s="5" t="s">
        <v>173</v>
      </c>
      <c r="D59" s="5" t="s">
        <v>174</v>
      </c>
      <c r="E59" s="17" t="s">
        <v>352</v>
      </c>
      <c r="F59" s="5"/>
      <c r="G59" s="5" t="s">
        <v>373</v>
      </c>
      <c r="H59" s="15" t="s">
        <v>373</v>
      </c>
    </row>
    <row r="60" customFormat="false" ht="15" hidden="false" customHeight="false" outlineLevel="0" collapsed="false">
      <c r="A60" s="5" t="s">
        <v>112</v>
      </c>
      <c r="B60" s="5" t="s">
        <v>113</v>
      </c>
      <c r="C60" s="5" t="s">
        <v>176</v>
      </c>
      <c r="D60" s="5" t="s">
        <v>177</v>
      </c>
      <c r="E60" s="16" t="s">
        <v>343</v>
      </c>
      <c r="F60" s="5"/>
      <c r="G60" s="5" t="s">
        <v>374</v>
      </c>
      <c r="H60" s="15" t="s">
        <v>374</v>
      </c>
    </row>
    <row r="61" customFormat="false" ht="28.35" hidden="false" customHeight="false" outlineLevel="0" collapsed="false">
      <c r="A61" s="5" t="s">
        <v>115</v>
      </c>
      <c r="B61" s="5" t="s">
        <v>116</v>
      </c>
      <c r="C61" s="5" t="s">
        <v>137</v>
      </c>
      <c r="D61" s="5" t="s">
        <v>138</v>
      </c>
      <c r="E61" s="14" t="s">
        <v>310</v>
      </c>
      <c r="F61" s="5"/>
      <c r="G61" s="5" t="s">
        <v>375</v>
      </c>
      <c r="H61" s="15" t="s">
        <v>376</v>
      </c>
    </row>
    <row r="62" customFormat="false" ht="23.85" hidden="false" customHeight="false" outlineLevel="0" collapsed="false">
      <c r="A62" s="5" t="s">
        <v>115</v>
      </c>
      <c r="B62" s="5" t="s">
        <v>116</v>
      </c>
      <c r="C62" s="5" t="s">
        <v>140</v>
      </c>
      <c r="D62" s="5" t="s">
        <v>141</v>
      </c>
      <c r="E62" s="14" t="s">
        <v>310</v>
      </c>
      <c r="F62" s="5" t="s">
        <v>137</v>
      </c>
      <c r="G62" s="5" t="s">
        <v>375</v>
      </c>
      <c r="H62" s="15" t="s">
        <v>377</v>
      </c>
    </row>
    <row r="63" customFormat="false" ht="23.85" hidden="false" customHeight="false" outlineLevel="0" collapsed="false">
      <c r="A63" s="5" t="s">
        <v>115</v>
      </c>
      <c r="B63" s="5" t="s">
        <v>116</v>
      </c>
      <c r="C63" s="5" t="s">
        <v>143</v>
      </c>
      <c r="D63" s="5" t="s">
        <v>144</v>
      </c>
      <c r="E63" s="17" t="s">
        <v>352</v>
      </c>
      <c r="F63" s="5"/>
      <c r="G63" s="5" t="s">
        <v>378</v>
      </c>
      <c r="H63" s="15" t="s">
        <v>378</v>
      </c>
    </row>
    <row r="64" customFormat="false" ht="23.85" hidden="false" customHeight="false" outlineLevel="0" collapsed="false">
      <c r="A64" s="5" t="s">
        <v>115</v>
      </c>
      <c r="B64" s="5" t="s">
        <v>116</v>
      </c>
      <c r="C64" s="5" t="s">
        <v>146</v>
      </c>
      <c r="D64" s="5" t="s">
        <v>147</v>
      </c>
      <c r="E64" s="14" t="s">
        <v>310</v>
      </c>
      <c r="F64" s="5"/>
      <c r="G64" s="5" t="s">
        <v>375</v>
      </c>
      <c r="H64" s="15" t="s">
        <v>379</v>
      </c>
    </row>
    <row r="65" customFormat="false" ht="23.85" hidden="false" customHeight="false" outlineLevel="0" collapsed="false">
      <c r="A65" s="5" t="s">
        <v>115</v>
      </c>
      <c r="B65" s="5" t="s">
        <v>116</v>
      </c>
      <c r="C65" s="5" t="s">
        <v>149</v>
      </c>
      <c r="D65" s="5" t="s">
        <v>150</v>
      </c>
      <c r="E65" s="16" t="s">
        <v>343</v>
      </c>
      <c r="F65" s="5"/>
      <c r="G65" s="5" t="s">
        <v>380</v>
      </c>
      <c r="H65" s="15" t="s">
        <v>380</v>
      </c>
    </row>
    <row r="66" customFormat="false" ht="23.85" hidden="false" customHeight="false" outlineLevel="0" collapsed="false">
      <c r="A66" s="5" t="s">
        <v>115</v>
      </c>
      <c r="B66" s="5" t="s">
        <v>116</v>
      </c>
      <c r="C66" s="5" t="s">
        <v>152</v>
      </c>
      <c r="D66" s="5" t="s">
        <v>153</v>
      </c>
      <c r="E66" s="14" t="s">
        <v>310</v>
      </c>
      <c r="F66" s="5" t="s">
        <v>137</v>
      </c>
      <c r="G66" s="5" t="s">
        <v>375</v>
      </c>
      <c r="H66" s="15" t="s">
        <v>381</v>
      </c>
    </row>
    <row r="67" customFormat="false" ht="23.85" hidden="false" customHeight="false" outlineLevel="0" collapsed="false">
      <c r="A67" s="5" t="s">
        <v>115</v>
      </c>
      <c r="B67" s="5" t="s">
        <v>116</v>
      </c>
      <c r="C67" s="5" t="s">
        <v>155</v>
      </c>
      <c r="D67" s="5" t="s">
        <v>156</v>
      </c>
      <c r="E67" s="17" t="s">
        <v>352</v>
      </c>
      <c r="F67" s="5"/>
      <c r="G67" s="5" t="s">
        <v>382</v>
      </c>
      <c r="H67" s="15" t="s">
        <v>382</v>
      </c>
    </row>
    <row r="68" customFormat="false" ht="23.85" hidden="false" customHeight="false" outlineLevel="0" collapsed="false">
      <c r="A68" s="5" t="s">
        <v>115</v>
      </c>
      <c r="B68" s="5" t="s">
        <v>116</v>
      </c>
      <c r="C68" s="5" t="s">
        <v>158</v>
      </c>
      <c r="D68" s="5" t="s">
        <v>159</v>
      </c>
      <c r="E68" s="14" t="s">
        <v>310</v>
      </c>
      <c r="F68" s="5" t="s">
        <v>137</v>
      </c>
      <c r="G68" s="5" t="s">
        <v>375</v>
      </c>
      <c r="H68" s="15" t="s">
        <v>383</v>
      </c>
    </row>
    <row r="69" customFormat="false" ht="23.85" hidden="false" customHeight="false" outlineLevel="0" collapsed="false">
      <c r="A69" s="5" t="s">
        <v>115</v>
      </c>
      <c r="B69" s="5" t="s">
        <v>116</v>
      </c>
      <c r="C69" s="5" t="s">
        <v>161</v>
      </c>
      <c r="D69" s="5" t="s">
        <v>162</v>
      </c>
      <c r="E69" s="14" t="s">
        <v>310</v>
      </c>
      <c r="F69" s="5" t="s">
        <v>137</v>
      </c>
      <c r="G69" s="5" t="s">
        <v>375</v>
      </c>
      <c r="H69" s="15" t="s">
        <v>384</v>
      </c>
    </row>
    <row r="70" customFormat="false" ht="23.85" hidden="false" customHeight="false" outlineLevel="0" collapsed="false">
      <c r="A70" s="5" t="s">
        <v>115</v>
      </c>
      <c r="B70" s="5" t="s">
        <v>116</v>
      </c>
      <c r="C70" s="5" t="s">
        <v>164</v>
      </c>
      <c r="D70" s="5" t="s">
        <v>165</v>
      </c>
      <c r="E70" s="17" t="s">
        <v>352</v>
      </c>
      <c r="F70" s="5"/>
      <c r="G70" s="5" t="s">
        <v>385</v>
      </c>
      <c r="H70" s="15" t="s">
        <v>385</v>
      </c>
    </row>
    <row r="71" customFormat="false" ht="23.85" hidden="false" customHeight="false" outlineLevel="0" collapsed="false">
      <c r="A71" s="5" t="s">
        <v>115</v>
      </c>
      <c r="B71" s="5" t="s">
        <v>116</v>
      </c>
      <c r="C71" s="5" t="s">
        <v>167</v>
      </c>
      <c r="D71" s="5" t="s">
        <v>168</v>
      </c>
      <c r="E71" s="14" t="s">
        <v>310</v>
      </c>
      <c r="F71" s="5" t="s">
        <v>137</v>
      </c>
      <c r="G71" s="5" t="s">
        <v>375</v>
      </c>
      <c r="H71" s="15" t="s">
        <v>386</v>
      </c>
    </row>
    <row r="72" customFormat="false" ht="23.85" hidden="false" customHeight="false" outlineLevel="0" collapsed="false">
      <c r="A72" s="5" t="s">
        <v>115</v>
      </c>
      <c r="B72" s="5" t="s">
        <v>116</v>
      </c>
      <c r="C72" s="5" t="s">
        <v>170</v>
      </c>
      <c r="D72" s="5" t="s">
        <v>171</v>
      </c>
      <c r="E72" s="14" t="s">
        <v>310</v>
      </c>
      <c r="F72" s="5" t="s">
        <v>146</v>
      </c>
      <c r="G72" s="5" t="s">
        <v>375</v>
      </c>
      <c r="H72" s="15" t="s">
        <v>387</v>
      </c>
    </row>
    <row r="73" customFormat="false" ht="23.85" hidden="false" customHeight="false" outlineLevel="0" collapsed="false">
      <c r="A73" s="5" t="s">
        <v>115</v>
      </c>
      <c r="B73" s="5" t="s">
        <v>116</v>
      </c>
      <c r="C73" s="5" t="s">
        <v>173</v>
      </c>
      <c r="D73" s="5" t="s">
        <v>174</v>
      </c>
      <c r="E73" s="17" t="s">
        <v>352</v>
      </c>
      <c r="F73" s="5"/>
      <c r="G73" s="5" t="s">
        <v>388</v>
      </c>
      <c r="H73" s="15" t="s">
        <v>388</v>
      </c>
    </row>
    <row r="74" customFormat="false" ht="23.85" hidden="false" customHeight="false" outlineLevel="0" collapsed="false">
      <c r="A74" s="5" t="s">
        <v>115</v>
      </c>
      <c r="B74" s="5" t="s">
        <v>116</v>
      </c>
      <c r="C74" s="5" t="s">
        <v>176</v>
      </c>
      <c r="D74" s="5" t="s">
        <v>177</v>
      </c>
      <c r="E74" s="16" t="s">
        <v>343</v>
      </c>
      <c r="F74" s="5"/>
      <c r="G74" s="5" t="s">
        <v>374</v>
      </c>
      <c r="H74" s="15" t="s">
        <v>374</v>
      </c>
    </row>
    <row r="75" customFormat="false" ht="35.05" hidden="false" customHeight="false" outlineLevel="0" collapsed="false">
      <c r="A75" s="5" t="s">
        <v>119</v>
      </c>
      <c r="B75" s="5" t="s">
        <v>120</v>
      </c>
      <c r="C75" s="5" t="s">
        <v>137</v>
      </c>
      <c r="D75" s="5" t="s">
        <v>138</v>
      </c>
      <c r="E75" s="17" t="s">
        <v>352</v>
      </c>
      <c r="F75" s="5"/>
      <c r="G75" s="5" t="s">
        <v>389</v>
      </c>
      <c r="H75" s="15" t="s">
        <v>389</v>
      </c>
    </row>
    <row r="76" customFormat="false" ht="15" hidden="false" customHeight="false" outlineLevel="0" collapsed="false">
      <c r="A76" s="5" t="s">
        <v>119</v>
      </c>
      <c r="B76" s="5" t="s">
        <v>120</v>
      </c>
      <c r="C76" s="5" t="s">
        <v>140</v>
      </c>
      <c r="D76" s="5" t="s">
        <v>141</v>
      </c>
      <c r="E76" s="17" t="s">
        <v>352</v>
      </c>
      <c r="F76" s="5" t="s">
        <v>137</v>
      </c>
      <c r="G76" s="5" t="s">
        <v>390</v>
      </c>
      <c r="H76" s="15" t="s">
        <v>390</v>
      </c>
    </row>
    <row r="77" customFormat="false" ht="28.35" hidden="false" customHeight="false" outlineLevel="0" collapsed="false">
      <c r="A77" s="5" t="s">
        <v>119</v>
      </c>
      <c r="B77" s="5" t="s">
        <v>120</v>
      </c>
      <c r="C77" s="5" t="s">
        <v>143</v>
      </c>
      <c r="D77" s="5" t="s">
        <v>144</v>
      </c>
      <c r="E77" s="14" t="s">
        <v>310</v>
      </c>
      <c r="F77" s="5"/>
      <c r="G77" s="5" t="s">
        <v>330</v>
      </c>
      <c r="H77" s="15" t="s">
        <v>391</v>
      </c>
    </row>
    <row r="78" customFormat="false" ht="15" hidden="false" customHeight="false" outlineLevel="0" collapsed="false">
      <c r="A78" s="5" t="s">
        <v>119</v>
      </c>
      <c r="B78" s="5" t="s">
        <v>120</v>
      </c>
      <c r="C78" s="5" t="s">
        <v>146</v>
      </c>
      <c r="D78" s="5" t="s">
        <v>147</v>
      </c>
      <c r="E78" s="16" t="s">
        <v>343</v>
      </c>
      <c r="F78" s="5"/>
      <c r="G78" s="5" t="s">
        <v>392</v>
      </c>
      <c r="H78" s="15" t="s">
        <v>392</v>
      </c>
    </row>
    <row r="79" customFormat="false" ht="15" hidden="false" customHeight="false" outlineLevel="0" collapsed="false">
      <c r="A79" s="5" t="s">
        <v>119</v>
      </c>
      <c r="B79" s="5" t="s">
        <v>120</v>
      </c>
      <c r="C79" s="5" t="s">
        <v>149</v>
      </c>
      <c r="D79" s="5" t="s">
        <v>150</v>
      </c>
      <c r="E79" s="16" t="s">
        <v>343</v>
      </c>
      <c r="F79" s="5"/>
      <c r="G79" s="5" t="s">
        <v>392</v>
      </c>
      <c r="H79" s="15" t="s">
        <v>392</v>
      </c>
    </row>
    <row r="80" customFormat="false" ht="15" hidden="false" customHeight="false" outlineLevel="0" collapsed="false">
      <c r="A80" s="5" t="s">
        <v>119</v>
      </c>
      <c r="B80" s="5" t="s">
        <v>120</v>
      </c>
      <c r="C80" s="5" t="s">
        <v>152</v>
      </c>
      <c r="D80" s="5" t="s">
        <v>153</v>
      </c>
      <c r="E80" s="16" t="s">
        <v>343</v>
      </c>
      <c r="F80" s="5"/>
      <c r="G80" s="5" t="s">
        <v>392</v>
      </c>
      <c r="H80" s="15" t="s">
        <v>392</v>
      </c>
    </row>
    <row r="81" customFormat="false" ht="15" hidden="false" customHeight="false" outlineLevel="0" collapsed="false">
      <c r="A81" s="5" t="s">
        <v>119</v>
      </c>
      <c r="B81" s="5" t="s">
        <v>120</v>
      </c>
      <c r="C81" s="5" t="s">
        <v>155</v>
      </c>
      <c r="D81" s="5" t="s">
        <v>156</v>
      </c>
      <c r="E81" s="17" t="s">
        <v>352</v>
      </c>
      <c r="F81" s="5" t="s">
        <v>143</v>
      </c>
      <c r="G81" s="5" t="s">
        <v>393</v>
      </c>
      <c r="H81" s="15" t="s">
        <v>393</v>
      </c>
    </row>
    <row r="82" customFormat="false" ht="15" hidden="false" customHeight="false" outlineLevel="0" collapsed="false">
      <c r="A82" s="5" t="s">
        <v>119</v>
      </c>
      <c r="B82" s="5" t="s">
        <v>120</v>
      </c>
      <c r="C82" s="5" t="s">
        <v>158</v>
      </c>
      <c r="D82" s="5" t="s">
        <v>159</v>
      </c>
      <c r="E82" s="17" t="s">
        <v>352</v>
      </c>
      <c r="F82" s="5" t="s">
        <v>137</v>
      </c>
      <c r="G82" s="5" t="s">
        <v>394</v>
      </c>
      <c r="H82" s="15" t="s">
        <v>394</v>
      </c>
    </row>
    <row r="83" customFormat="false" ht="15" hidden="false" customHeight="false" outlineLevel="0" collapsed="false">
      <c r="A83" s="5" t="s">
        <v>119</v>
      </c>
      <c r="B83" s="5" t="s">
        <v>120</v>
      </c>
      <c r="C83" s="5" t="s">
        <v>161</v>
      </c>
      <c r="D83" s="5" t="s">
        <v>162</v>
      </c>
      <c r="E83" s="16" t="s">
        <v>343</v>
      </c>
      <c r="F83" s="5"/>
      <c r="G83" s="5" t="s">
        <v>395</v>
      </c>
      <c r="H83" s="15" t="s">
        <v>395</v>
      </c>
    </row>
    <row r="84" customFormat="false" ht="15" hidden="false" customHeight="false" outlineLevel="0" collapsed="false">
      <c r="A84" s="5" t="s">
        <v>119</v>
      </c>
      <c r="B84" s="5" t="s">
        <v>120</v>
      </c>
      <c r="C84" s="5" t="s">
        <v>164</v>
      </c>
      <c r="D84" s="5" t="s">
        <v>165</v>
      </c>
      <c r="E84" s="16" t="s">
        <v>343</v>
      </c>
      <c r="F84" s="5"/>
      <c r="G84" s="5" t="s">
        <v>395</v>
      </c>
      <c r="H84" s="15" t="s">
        <v>395</v>
      </c>
    </row>
    <row r="85" customFormat="false" ht="15" hidden="false" customHeight="false" outlineLevel="0" collapsed="false">
      <c r="A85" s="5" t="s">
        <v>119</v>
      </c>
      <c r="B85" s="5" t="s">
        <v>120</v>
      </c>
      <c r="C85" s="5" t="s">
        <v>167</v>
      </c>
      <c r="D85" s="5" t="s">
        <v>168</v>
      </c>
      <c r="E85" s="17" t="s">
        <v>352</v>
      </c>
      <c r="F85" s="5" t="s">
        <v>137</v>
      </c>
      <c r="G85" s="5" t="s">
        <v>396</v>
      </c>
      <c r="H85" s="15" t="s">
        <v>396</v>
      </c>
    </row>
    <row r="86" customFormat="false" ht="15" hidden="false" customHeight="false" outlineLevel="0" collapsed="false">
      <c r="A86" s="5" t="s">
        <v>119</v>
      </c>
      <c r="B86" s="5" t="s">
        <v>120</v>
      </c>
      <c r="C86" s="5" t="s">
        <v>170</v>
      </c>
      <c r="D86" s="5" t="s">
        <v>171</v>
      </c>
      <c r="E86" s="16" t="s">
        <v>343</v>
      </c>
      <c r="F86" s="5"/>
      <c r="G86" s="5" t="s">
        <v>372</v>
      </c>
      <c r="H86" s="15" t="s">
        <v>372</v>
      </c>
    </row>
    <row r="87" customFormat="false" ht="15" hidden="false" customHeight="false" outlineLevel="0" collapsed="false">
      <c r="A87" s="5" t="s">
        <v>119</v>
      </c>
      <c r="B87" s="5" t="s">
        <v>120</v>
      </c>
      <c r="C87" s="5" t="s">
        <v>173</v>
      </c>
      <c r="D87" s="5" t="s">
        <v>174</v>
      </c>
      <c r="E87" s="17" t="s">
        <v>352</v>
      </c>
      <c r="F87" s="5" t="s">
        <v>143</v>
      </c>
      <c r="G87" s="5" t="s">
        <v>397</v>
      </c>
      <c r="H87" s="15" t="s">
        <v>397</v>
      </c>
    </row>
    <row r="88" customFormat="false" ht="15" hidden="false" customHeight="false" outlineLevel="0" collapsed="false">
      <c r="A88" s="5" t="s">
        <v>119</v>
      </c>
      <c r="B88" s="5" t="s">
        <v>120</v>
      </c>
      <c r="C88" s="5" t="s">
        <v>176</v>
      </c>
      <c r="D88" s="5" t="s">
        <v>177</v>
      </c>
      <c r="E88" s="16" t="s">
        <v>343</v>
      </c>
      <c r="F88" s="5"/>
      <c r="G88" s="5" t="s">
        <v>374</v>
      </c>
      <c r="H88" s="15" t="s">
        <v>374</v>
      </c>
    </row>
    <row r="89" customFormat="false" ht="23.85" hidden="false" customHeight="false" outlineLevel="0" collapsed="false">
      <c r="A89" s="5" t="s">
        <v>122</v>
      </c>
      <c r="B89" s="5" t="s">
        <v>123</v>
      </c>
      <c r="C89" s="5" t="s">
        <v>137</v>
      </c>
      <c r="D89" s="5" t="s">
        <v>138</v>
      </c>
      <c r="E89" s="17" t="s">
        <v>352</v>
      </c>
      <c r="F89" s="5"/>
      <c r="G89" s="5" t="s">
        <v>398</v>
      </c>
      <c r="H89" s="15" t="s">
        <v>398</v>
      </c>
    </row>
    <row r="90" customFormat="false" ht="15" hidden="false" customHeight="false" outlineLevel="0" collapsed="false">
      <c r="A90" s="5" t="s">
        <v>122</v>
      </c>
      <c r="B90" s="5" t="s">
        <v>123</v>
      </c>
      <c r="C90" s="5" t="s">
        <v>140</v>
      </c>
      <c r="D90" s="5" t="s">
        <v>141</v>
      </c>
      <c r="E90" s="17" t="s">
        <v>352</v>
      </c>
      <c r="F90" s="5" t="s">
        <v>137</v>
      </c>
      <c r="G90" s="5" t="s">
        <v>390</v>
      </c>
      <c r="H90" s="15" t="s">
        <v>390</v>
      </c>
    </row>
    <row r="91" customFormat="false" ht="15" hidden="false" customHeight="false" outlineLevel="0" collapsed="false">
      <c r="A91" s="5" t="s">
        <v>122</v>
      </c>
      <c r="B91" s="5" t="s">
        <v>123</v>
      </c>
      <c r="C91" s="5" t="s">
        <v>143</v>
      </c>
      <c r="D91" s="5" t="s">
        <v>144</v>
      </c>
      <c r="E91" s="17" t="s">
        <v>352</v>
      </c>
      <c r="F91" s="5"/>
      <c r="G91" s="5" t="s">
        <v>399</v>
      </c>
      <c r="H91" s="15" t="s">
        <v>399</v>
      </c>
    </row>
    <row r="92" customFormat="false" ht="15" hidden="false" customHeight="false" outlineLevel="0" collapsed="false">
      <c r="A92" s="5" t="s">
        <v>122</v>
      </c>
      <c r="B92" s="5" t="s">
        <v>123</v>
      </c>
      <c r="C92" s="5" t="s">
        <v>146</v>
      </c>
      <c r="D92" s="5" t="s">
        <v>147</v>
      </c>
      <c r="E92" s="16" t="s">
        <v>343</v>
      </c>
      <c r="F92" s="5"/>
      <c r="G92" s="5" t="s">
        <v>392</v>
      </c>
      <c r="H92" s="15" t="s">
        <v>392</v>
      </c>
    </row>
    <row r="93" customFormat="false" ht="15" hidden="false" customHeight="false" outlineLevel="0" collapsed="false">
      <c r="A93" s="5" t="s">
        <v>122</v>
      </c>
      <c r="B93" s="5" t="s">
        <v>123</v>
      </c>
      <c r="C93" s="5" t="s">
        <v>149</v>
      </c>
      <c r="D93" s="5" t="s">
        <v>150</v>
      </c>
      <c r="E93" s="16" t="s">
        <v>343</v>
      </c>
      <c r="F93" s="5"/>
      <c r="G93" s="5" t="s">
        <v>392</v>
      </c>
      <c r="H93" s="15" t="s">
        <v>392</v>
      </c>
    </row>
    <row r="94" customFormat="false" ht="15" hidden="false" customHeight="false" outlineLevel="0" collapsed="false">
      <c r="A94" s="5" t="s">
        <v>122</v>
      </c>
      <c r="B94" s="5" t="s">
        <v>123</v>
      </c>
      <c r="C94" s="5" t="s">
        <v>152</v>
      </c>
      <c r="D94" s="5" t="s">
        <v>153</v>
      </c>
      <c r="E94" s="16" t="s">
        <v>343</v>
      </c>
      <c r="F94" s="5"/>
      <c r="G94" s="5" t="s">
        <v>392</v>
      </c>
      <c r="H94" s="15" t="s">
        <v>392</v>
      </c>
    </row>
    <row r="95" customFormat="false" ht="15" hidden="false" customHeight="false" outlineLevel="0" collapsed="false">
      <c r="A95" s="5" t="s">
        <v>122</v>
      </c>
      <c r="B95" s="5" t="s">
        <v>123</v>
      </c>
      <c r="C95" s="5" t="s">
        <v>155</v>
      </c>
      <c r="D95" s="5" t="s">
        <v>156</v>
      </c>
      <c r="E95" s="17" t="s">
        <v>352</v>
      </c>
      <c r="F95" s="5"/>
      <c r="G95" s="5" t="s">
        <v>400</v>
      </c>
      <c r="H95" s="15" t="s">
        <v>400</v>
      </c>
    </row>
    <row r="96" customFormat="false" ht="15" hidden="false" customHeight="false" outlineLevel="0" collapsed="false">
      <c r="A96" s="5" t="s">
        <v>122</v>
      </c>
      <c r="B96" s="5" t="s">
        <v>123</v>
      </c>
      <c r="C96" s="5" t="s">
        <v>158</v>
      </c>
      <c r="D96" s="5" t="s">
        <v>159</v>
      </c>
      <c r="E96" s="17" t="s">
        <v>352</v>
      </c>
      <c r="F96" s="5" t="s">
        <v>137</v>
      </c>
      <c r="G96" s="5" t="s">
        <v>401</v>
      </c>
      <c r="H96" s="15" t="s">
        <v>401</v>
      </c>
    </row>
    <row r="97" customFormat="false" ht="15" hidden="false" customHeight="false" outlineLevel="0" collapsed="false">
      <c r="A97" s="5" t="s">
        <v>122</v>
      </c>
      <c r="B97" s="5" t="s">
        <v>123</v>
      </c>
      <c r="C97" s="5" t="s">
        <v>161</v>
      </c>
      <c r="D97" s="5" t="s">
        <v>162</v>
      </c>
      <c r="E97" s="16" t="s">
        <v>343</v>
      </c>
      <c r="F97" s="5"/>
      <c r="G97" s="5" t="s">
        <v>395</v>
      </c>
      <c r="H97" s="15" t="s">
        <v>395</v>
      </c>
    </row>
    <row r="98" customFormat="false" ht="15" hidden="false" customHeight="false" outlineLevel="0" collapsed="false">
      <c r="A98" s="5" t="s">
        <v>122</v>
      </c>
      <c r="B98" s="5" t="s">
        <v>123</v>
      </c>
      <c r="C98" s="5" t="s">
        <v>164</v>
      </c>
      <c r="D98" s="5" t="s">
        <v>165</v>
      </c>
      <c r="E98" s="16" t="s">
        <v>343</v>
      </c>
      <c r="F98" s="5"/>
      <c r="G98" s="5" t="s">
        <v>395</v>
      </c>
      <c r="H98" s="15" t="s">
        <v>395</v>
      </c>
    </row>
    <row r="99" customFormat="false" ht="15" hidden="false" customHeight="false" outlineLevel="0" collapsed="false">
      <c r="A99" s="5" t="s">
        <v>122</v>
      </c>
      <c r="B99" s="5" t="s">
        <v>123</v>
      </c>
      <c r="C99" s="5" t="s">
        <v>167</v>
      </c>
      <c r="D99" s="5" t="s">
        <v>168</v>
      </c>
      <c r="E99" s="17" t="s">
        <v>352</v>
      </c>
      <c r="F99" s="5" t="s">
        <v>137</v>
      </c>
      <c r="G99" s="5" t="s">
        <v>396</v>
      </c>
      <c r="H99" s="15" t="s">
        <v>396</v>
      </c>
    </row>
    <row r="100" customFormat="false" ht="15" hidden="false" customHeight="false" outlineLevel="0" collapsed="false">
      <c r="A100" s="5" t="s">
        <v>122</v>
      </c>
      <c r="B100" s="5" t="s">
        <v>123</v>
      </c>
      <c r="C100" s="5" t="s">
        <v>170</v>
      </c>
      <c r="D100" s="5" t="s">
        <v>171</v>
      </c>
      <c r="E100" s="16" t="s">
        <v>343</v>
      </c>
      <c r="F100" s="5"/>
      <c r="G100" s="5" t="s">
        <v>372</v>
      </c>
      <c r="H100" s="15" t="s">
        <v>372</v>
      </c>
    </row>
    <row r="101" customFormat="false" ht="15" hidden="false" customHeight="false" outlineLevel="0" collapsed="false">
      <c r="A101" s="5" t="s">
        <v>122</v>
      </c>
      <c r="B101" s="5" t="s">
        <v>123</v>
      </c>
      <c r="C101" s="5" t="s">
        <v>173</v>
      </c>
      <c r="D101" s="5" t="s">
        <v>174</v>
      </c>
      <c r="E101" s="17" t="s">
        <v>352</v>
      </c>
      <c r="F101" s="5" t="s">
        <v>143</v>
      </c>
      <c r="G101" s="5" t="s">
        <v>402</v>
      </c>
      <c r="H101" s="15" t="s">
        <v>402</v>
      </c>
    </row>
    <row r="102" customFormat="false" ht="15" hidden="false" customHeight="false" outlineLevel="0" collapsed="false">
      <c r="A102" s="5" t="s">
        <v>122</v>
      </c>
      <c r="B102" s="5" t="s">
        <v>123</v>
      </c>
      <c r="C102" s="5" t="s">
        <v>176</v>
      </c>
      <c r="D102" s="5" t="s">
        <v>177</v>
      </c>
      <c r="E102" s="16" t="s">
        <v>343</v>
      </c>
      <c r="F102" s="5"/>
      <c r="G102" s="5" t="s">
        <v>374</v>
      </c>
      <c r="H102" s="15" t="s">
        <v>374</v>
      </c>
    </row>
    <row r="103" customFormat="false" ht="57.45" hidden="false" customHeight="false" outlineLevel="0" collapsed="false">
      <c r="A103" s="5" t="s">
        <v>125</v>
      </c>
      <c r="B103" s="5" t="s">
        <v>126</v>
      </c>
      <c r="C103" s="5" t="s">
        <v>137</v>
      </c>
      <c r="D103" s="5" t="s">
        <v>138</v>
      </c>
      <c r="E103" s="17" t="s">
        <v>352</v>
      </c>
      <c r="F103" s="5"/>
      <c r="G103" s="5" t="s">
        <v>403</v>
      </c>
      <c r="H103" s="15" t="s">
        <v>403</v>
      </c>
    </row>
    <row r="104" customFormat="false" ht="23.85" hidden="false" customHeight="false" outlineLevel="0" collapsed="false">
      <c r="A104" s="5" t="s">
        <v>125</v>
      </c>
      <c r="B104" s="5" t="s">
        <v>126</v>
      </c>
      <c r="C104" s="5" t="s">
        <v>140</v>
      </c>
      <c r="D104" s="5" t="s">
        <v>141</v>
      </c>
      <c r="E104" s="17" t="s">
        <v>352</v>
      </c>
      <c r="F104" s="5" t="s">
        <v>137</v>
      </c>
      <c r="G104" s="5" t="s">
        <v>404</v>
      </c>
      <c r="H104" s="15" t="s">
        <v>404</v>
      </c>
    </row>
    <row r="105" customFormat="false" ht="28.35" hidden="false" customHeight="false" outlineLevel="0" collapsed="false">
      <c r="A105" s="5" t="s">
        <v>125</v>
      </c>
      <c r="B105" s="5" t="s">
        <v>126</v>
      </c>
      <c r="C105" s="5" t="s">
        <v>143</v>
      </c>
      <c r="D105" s="5" t="s">
        <v>144</v>
      </c>
      <c r="E105" s="14" t="s">
        <v>310</v>
      </c>
      <c r="F105" s="5"/>
      <c r="G105" s="5" t="s">
        <v>405</v>
      </c>
      <c r="H105" s="15" t="s">
        <v>406</v>
      </c>
    </row>
    <row r="106" customFormat="false" ht="28.35" hidden="false" customHeight="false" outlineLevel="0" collapsed="false">
      <c r="A106" s="5" t="s">
        <v>125</v>
      </c>
      <c r="B106" s="5" t="s">
        <v>126</v>
      </c>
      <c r="C106" s="5" t="s">
        <v>146</v>
      </c>
      <c r="D106" s="5" t="s">
        <v>147</v>
      </c>
      <c r="E106" s="14" t="s">
        <v>310</v>
      </c>
      <c r="F106" s="5"/>
      <c r="G106" s="5" t="s">
        <v>311</v>
      </c>
      <c r="H106" s="15" t="s">
        <v>407</v>
      </c>
    </row>
    <row r="107" customFormat="false" ht="28.35" hidden="false" customHeight="false" outlineLevel="0" collapsed="false">
      <c r="A107" s="5" t="s">
        <v>125</v>
      </c>
      <c r="B107" s="5" t="s">
        <v>126</v>
      </c>
      <c r="C107" s="5" t="s">
        <v>149</v>
      </c>
      <c r="D107" s="5" t="s">
        <v>150</v>
      </c>
      <c r="E107" s="14" t="s">
        <v>310</v>
      </c>
      <c r="F107" s="5" t="s">
        <v>146</v>
      </c>
      <c r="G107" s="5" t="s">
        <v>311</v>
      </c>
      <c r="H107" s="15" t="s">
        <v>408</v>
      </c>
    </row>
    <row r="108" customFormat="false" ht="23.85" hidden="false" customHeight="false" outlineLevel="0" collapsed="false">
      <c r="A108" s="5" t="s">
        <v>125</v>
      </c>
      <c r="B108" s="5" t="s">
        <v>126</v>
      </c>
      <c r="C108" s="5" t="s">
        <v>152</v>
      </c>
      <c r="D108" s="5" t="s">
        <v>153</v>
      </c>
      <c r="E108" s="17" t="s">
        <v>352</v>
      </c>
      <c r="F108" s="5" t="s">
        <v>137</v>
      </c>
      <c r="G108" s="5" t="s">
        <v>409</v>
      </c>
      <c r="H108" s="15" t="s">
        <v>409</v>
      </c>
    </row>
    <row r="109" customFormat="false" ht="28.35" hidden="false" customHeight="false" outlineLevel="0" collapsed="false">
      <c r="A109" s="5" t="s">
        <v>125</v>
      </c>
      <c r="B109" s="5" t="s">
        <v>126</v>
      </c>
      <c r="C109" s="5" t="s">
        <v>155</v>
      </c>
      <c r="D109" s="5" t="s">
        <v>156</v>
      </c>
      <c r="E109" s="17" t="s">
        <v>352</v>
      </c>
      <c r="F109" s="5"/>
      <c r="G109" s="5" t="s">
        <v>410</v>
      </c>
      <c r="H109" s="15" t="s">
        <v>410</v>
      </c>
    </row>
    <row r="110" customFormat="false" ht="23.85" hidden="false" customHeight="false" outlineLevel="0" collapsed="false">
      <c r="A110" s="5" t="s">
        <v>125</v>
      </c>
      <c r="B110" s="5" t="s">
        <v>126</v>
      </c>
      <c r="C110" s="5" t="s">
        <v>158</v>
      </c>
      <c r="D110" s="5" t="s">
        <v>159</v>
      </c>
      <c r="E110" s="17" t="s">
        <v>352</v>
      </c>
      <c r="F110" s="5" t="s">
        <v>137</v>
      </c>
      <c r="G110" s="5" t="s">
        <v>411</v>
      </c>
      <c r="H110" s="15" t="s">
        <v>411</v>
      </c>
    </row>
    <row r="111" customFormat="false" ht="23.85" hidden="false" customHeight="false" outlineLevel="0" collapsed="false">
      <c r="A111" s="5" t="s">
        <v>125</v>
      </c>
      <c r="B111" s="5" t="s">
        <v>126</v>
      </c>
      <c r="C111" s="5" t="s">
        <v>161</v>
      </c>
      <c r="D111" s="5" t="s">
        <v>162</v>
      </c>
      <c r="E111" s="16" t="s">
        <v>343</v>
      </c>
      <c r="F111" s="5"/>
      <c r="G111" s="5" t="s">
        <v>412</v>
      </c>
      <c r="H111" s="15" t="s">
        <v>412</v>
      </c>
    </row>
    <row r="112" customFormat="false" ht="23.85" hidden="false" customHeight="false" outlineLevel="0" collapsed="false">
      <c r="A112" s="5" t="s">
        <v>125</v>
      </c>
      <c r="B112" s="5" t="s">
        <v>126</v>
      </c>
      <c r="C112" s="5" t="s">
        <v>164</v>
      </c>
      <c r="D112" s="5" t="s">
        <v>165</v>
      </c>
      <c r="E112" s="17" t="s">
        <v>352</v>
      </c>
      <c r="F112" s="5" t="s">
        <v>137</v>
      </c>
      <c r="G112" s="5" t="s">
        <v>413</v>
      </c>
      <c r="H112" s="15" t="s">
        <v>413</v>
      </c>
    </row>
    <row r="113" customFormat="false" ht="23.85" hidden="false" customHeight="false" outlineLevel="0" collapsed="false">
      <c r="A113" s="5" t="s">
        <v>125</v>
      </c>
      <c r="B113" s="5" t="s">
        <v>126</v>
      </c>
      <c r="C113" s="5" t="s">
        <v>167</v>
      </c>
      <c r="D113" s="5" t="s">
        <v>168</v>
      </c>
      <c r="E113" s="17" t="s">
        <v>352</v>
      </c>
      <c r="F113" s="5" t="s">
        <v>137</v>
      </c>
      <c r="G113" s="5" t="s">
        <v>414</v>
      </c>
      <c r="H113" s="15" t="s">
        <v>414</v>
      </c>
    </row>
    <row r="114" customFormat="false" ht="23.85" hidden="false" customHeight="false" outlineLevel="0" collapsed="false">
      <c r="A114" s="5" t="s">
        <v>125</v>
      </c>
      <c r="B114" s="5" t="s">
        <v>126</v>
      </c>
      <c r="C114" s="5" t="s">
        <v>170</v>
      </c>
      <c r="D114" s="5" t="s">
        <v>171</v>
      </c>
      <c r="E114" s="16" t="s">
        <v>343</v>
      </c>
      <c r="F114" s="5"/>
      <c r="G114" s="5" t="s">
        <v>372</v>
      </c>
      <c r="H114" s="15" t="s">
        <v>372</v>
      </c>
    </row>
    <row r="115" customFormat="false" ht="23.85" hidden="false" customHeight="false" outlineLevel="0" collapsed="false">
      <c r="A115" s="5" t="s">
        <v>125</v>
      </c>
      <c r="B115" s="5" t="s">
        <v>126</v>
      </c>
      <c r="C115" s="5" t="s">
        <v>173</v>
      </c>
      <c r="D115" s="5" t="s">
        <v>174</v>
      </c>
      <c r="E115" s="14" t="s">
        <v>310</v>
      </c>
      <c r="F115" s="5" t="s">
        <v>146</v>
      </c>
      <c r="G115" s="5" t="s">
        <v>311</v>
      </c>
      <c r="H115" s="15" t="s">
        <v>415</v>
      </c>
    </row>
    <row r="116" customFormat="false" ht="23.85" hidden="false" customHeight="false" outlineLevel="0" collapsed="false">
      <c r="A116" s="5" t="s">
        <v>125</v>
      </c>
      <c r="B116" s="5" t="s">
        <v>126</v>
      </c>
      <c r="C116" s="5" t="s">
        <v>176</v>
      </c>
      <c r="D116" s="5" t="s">
        <v>177</v>
      </c>
      <c r="E116" s="16" t="s">
        <v>343</v>
      </c>
      <c r="F116" s="5"/>
      <c r="G116" s="5" t="s">
        <v>374</v>
      </c>
      <c r="H116" s="15" t="s">
        <v>374</v>
      </c>
    </row>
    <row r="117" customFormat="false" ht="41.75" hidden="false" customHeight="false" outlineLevel="0" collapsed="false">
      <c r="A117" s="5" t="s">
        <v>128</v>
      </c>
      <c r="B117" s="5" t="s">
        <v>129</v>
      </c>
      <c r="C117" s="5" t="s">
        <v>137</v>
      </c>
      <c r="D117" s="5" t="s">
        <v>138</v>
      </c>
      <c r="E117" s="17" t="s">
        <v>352</v>
      </c>
      <c r="F117" s="5"/>
      <c r="G117" s="5" t="s">
        <v>416</v>
      </c>
      <c r="H117" s="15" t="s">
        <v>416</v>
      </c>
    </row>
    <row r="118" customFormat="false" ht="41.75" hidden="false" customHeight="false" outlineLevel="0" collapsed="false">
      <c r="A118" s="5" t="s">
        <v>128</v>
      </c>
      <c r="B118" s="5" t="s">
        <v>129</v>
      </c>
      <c r="C118" s="5" t="s">
        <v>140</v>
      </c>
      <c r="D118" s="5" t="s">
        <v>141</v>
      </c>
      <c r="E118" s="17" t="s">
        <v>352</v>
      </c>
      <c r="F118" s="5"/>
      <c r="G118" s="5" t="s">
        <v>416</v>
      </c>
      <c r="H118" s="15" t="s">
        <v>416</v>
      </c>
    </row>
    <row r="119" customFormat="false" ht="41.75" hidden="false" customHeight="false" outlineLevel="0" collapsed="false">
      <c r="A119" s="5" t="s">
        <v>128</v>
      </c>
      <c r="B119" s="5" t="s">
        <v>129</v>
      </c>
      <c r="C119" s="5" t="s">
        <v>143</v>
      </c>
      <c r="D119" s="5" t="s">
        <v>144</v>
      </c>
      <c r="E119" s="17" t="s">
        <v>352</v>
      </c>
      <c r="F119" s="5"/>
      <c r="G119" s="5" t="s">
        <v>416</v>
      </c>
      <c r="H119" s="15" t="s">
        <v>416</v>
      </c>
    </row>
    <row r="120" customFormat="false" ht="41.75" hidden="false" customHeight="false" outlineLevel="0" collapsed="false">
      <c r="A120" s="5" t="s">
        <v>128</v>
      </c>
      <c r="B120" s="5" t="s">
        <v>129</v>
      </c>
      <c r="C120" s="5" t="s">
        <v>146</v>
      </c>
      <c r="D120" s="5" t="s">
        <v>147</v>
      </c>
      <c r="E120" s="17" t="s">
        <v>352</v>
      </c>
      <c r="F120" s="5"/>
      <c r="G120" s="5" t="s">
        <v>416</v>
      </c>
      <c r="H120" s="15" t="s">
        <v>416</v>
      </c>
    </row>
    <row r="121" customFormat="false" ht="41.75" hidden="false" customHeight="false" outlineLevel="0" collapsed="false">
      <c r="A121" s="5" t="s">
        <v>128</v>
      </c>
      <c r="B121" s="5" t="s">
        <v>129</v>
      </c>
      <c r="C121" s="5" t="s">
        <v>149</v>
      </c>
      <c r="D121" s="5" t="s">
        <v>150</v>
      </c>
      <c r="E121" s="17" t="s">
        <v>352</v>
      </c>
      <c r="F121" s="5"/>
      <c r="G121" s="5" t="s">
        <v>416</v>
      </c>
      <c r="H121" s="15" t="s">
        <v>416</v>
      </c>
    </row>
    <row r="122" customFormat="false" ht="41.75" hidden="false" customHeight="false" outlineLevel="0" collapsed="false">
      <c r="A122" s="5" t="s">
        <v>128</v>
      </c>
      <c r="B122" s="5" t="s">
        <v>129</v>
      </c>
      <c r="C122" s="5" t="s">
        <v>152</v>
      </c>
      <c r="D122" s="5" t="s">
        <v>153</v>
      </c>
      <c r="E122" s="17" t="s">
        <v>352</v>
      </c>
      <c r="F122" s="5"/>
      <c r="G122" s="5" t="s">
        <v>416</v>
      </c>
      <c r="H122" s="15" t="s">
        <v>416</v>
      </c>
    </row>
    <row r="123" customFormat="false" ht="41.75" hidden="false" customHeight="false" outlineLevel="0" collapsed="false">
      <c r="A123" s="5" t="s">
        <v>128</v>
      </c>
      <c r="B123" s="5" t="s">
        <v>129</v>
      </c>
      <c r="C123" s="5" t="s">
        <v>155</v>
      </c>
      <c r="D123" s="5" t="s">
        <v>156</v>
      </c>
      <c r="E123" s="17" t="s">
        <v>352</v>
      </c>
      <c r="F123" s="5"/>
      <c r="G123" s="5" t="s">
        <v>416</v>
      </c>
      <c r="H123" s="15" t="s">
        <v>416</v>
      </c>
    </row>
    <row r="124" customFormat="false" ht="41.75" hidden="false" customHeight="false" outlineLevel="0" collapsed="false">
      <c r="A124" s="5" t="s">
        <v>128</v>
      </c>
      <c r="B124" s="5" t="s">
        <v>129</v>
      </c>
      <c r="C124" s="5" t="s">
        <v>158</v>
      </c>
      <c r="D124" s="5" t="s">
        <v>159</v>
      </c>
      <c r="E124" s="17" t="s">
        <v>352</v>
      </c>
      <c r="F124" s="5"/>
      <c r="G124" s="5" t="s">
        <v>416</v>
      </c>
      <c r="H124" s="15" t="s">
        <v>416</v>
      </c>
    </row>
    <row r="125" customFormat="false" ht="41.75" hidden="false" customHeight="false" outlineLevel="0" collapsed="false">
      <c r="A125" s="5" t="s">
        <v>128</v>
      </c>
      <c r="B125" s="5" t="s">
        <v>129</v>
      </c>
      <c r="C125" s="5" t="s">
        <v>161</v>
      </c>
      <c r="D125" s="5" t="s">
        <v>162</v>
      </c>
      <c r="E125" s="17" t="s">
        <v>352</v>
      </c>
      <c r="F125" s="5"/>
      <c r="G125" s="5" t="s">
        <v>416</v>
      </c>
      <c r="H125" s="15" t="s">
        <v>416</v>
      </c>
    </row>
    <row r="126" customFormat="false" ht="41.75" hidden="false" customHeight="false" outlineLevel="0" collapsed="false">
      <c r="A126" s="5" t="s">
        <v>128</v>
      </c>
      <c r="B126" s="5" t="s">
        <v>129</v>
      </c>
      <c r="C126" s="5" t="s">
        <v>164</v>
      </c>
      <c r="D126" s="5" t="s">
        <v>165</v>
      </c>
      <c r="E126" s="17" t="s">
        <v>352</v>
      </c>
      <c r="F126" s="5"/>
      <c r="G126" s="5" t="s">
        <v>416</v>
      </c>
      <c r="H126" s="15" t="s">
        <v>416</v>
      </c>
    </row>
    <row r="127" customFormat="false" ht="41.75" hidden="false" customHeight="false" outlineLevel="0" collapsed="false">
      <c r="A127" s="5" t="s">
        <v>128</v>
      </c>
      <c r="B127" s="5" t="s">
        <v>129</v>
      </c>
      <c r="C127" s="5" t="s">
        <v>167</v>
      </c>
      <c r="D127" s="5" t="s">
        <v>168</v>
      </c>
      <c r="E127" s="17" t="s">
        <v>352</v>
      </c>
      <c r="F127" s="5"/>
      <c r="G127" s="5" t="s">
        <v>416</v>
      </c>
      <c r="H127" s="15" t="s">
        <v>416</v>
      </c>
    </row>
    <row r="128" customFormat="false" ht="41.75" hidden="false" customHeight="false" outlineLevel="0" collapsed="false">
      <c r="A128" s="5" t="s">
        <v>128</v>
      </c>
      <c r="B128" s="5" t="s">
        <v>129</v>
      </c>
      <c r="C128" s="5" t="s">
        <v>170</v>
      </c>
      <c r="D128" s="5" t="s">
        <v>171</v>
      </c>
      <c r="E128" s="17" t="s">
        <v>352</v>
      </c>
      <c r="F128" s="5"/>
      <c r="G128" s="5" t="s">
        <v>416</v>
      </c>
      <c r="H128" s="15" t="s">
        <v>416</v>
      </c>
    </row>
    <row r="129" customFormat="false" ht="41.75" hidden="false" customHeight="false" outlineLevel="0" collapsed="false">
      <c r="A129" s="5" t="s">
        <v>128</v>
      </c>
      <c r="B129" s="5" t="s">
        <v>129</v>
      </c>
      <c r="C129" s="5" t="s">
        <v>173</v>
      </c>
      <c r="D129" s="5" t="s">
        <v>174</v>
      </c>
      <c r="E129" s="17" t="s">
        <v>352</v>
      </c>
      <c r="F129" s="5"/>
      <c r="G129" s="5" t="s">
        <v>416</v>
      </c>
      <c r="H129" s="15" t="s">
        <v>416</v>
      </c>
    </row>
    <row r="130" customFormat="false" ht="41.75" hidden="false" customHeight="false" outlineLevel="0" collapsed="false">
      <c r="A130" s="5" t="s">
        <v>128</v>
      </c>
      <c r="B130" s="5" t="s">
        <v>129</v>
      </c>
      <c r="C130" s="5" t="s">
        <v>176</v>
      </c>
      <c r="D130" s="5" t="s">
        <v>177</v>
      </c>
      <c r="E130" s="17" t="s">
        <v>352</v>
      </c>
      <c r="F130" s="5"/>
      <c r="G130" s="5" t="s">
        <v>416</v>
      </c>
      <c r="H130" s="15" t="s">
        <v>416</v>
      </c>
    </row>
    <row r="131" customFormat="false" ht="35.05" hidden="false" customHeight="false" outlineLevel="0" collapsed="false">
      <c r="A131" s="5" t="s">
        <v>132</v>
      </c>
      <c r="B131" s="5" t="s">
        <v>133</v>
      </c>
      <c r="C131" s="5" t="s">
        <v>137</v>
      </c>
      <c r="D131" s="5" t="s">
        <v>138</v>
      </c>
      <c r="E131" s="14" t="s">
        <v>310</v>
      </c>
      <c r="F131" s="5"/>
      <c r="G131" s="5" t="s">
        <v>417</v>
      </c>
      <c r="H131" s="15" t="s">
        <v>418</v>
      </c>
    </row>
    <row r="132" customFormat="false" ht="35.05" hidden="false" customHeight="false" outlineLevel="0" collapsed="false">
      <c r="A132" s="5" t="s">
        <v>132</v>
      </c>
      <c r="B132" s="5" t="s">
        <v>133</v>
      </c>
      <c r="C132" s="5" t="s">
        <v>140</v>
      </c>
      <c r="D132" s="5" t="s">
        <v>141</v>
      </c>
      <c r="E132" s="14" t="s">
        <v>310</v>
      </c>
      <c r="F132" s="5" t="s">
        <v>137</v>
      </c>
      <c r="G132" s="5" t="s">
        <v>417</v>
      </c>
      <c r="H132" s="15" t="s">
        <v>419</v>
      </c>
    </row>
    <row r="133" customFormat="false" ht="35.05" hidden="false" customHeight="false" outlineLevel="0" collapsed="false">
      <c r="A133" s="5" t="s">
        <v>132</v>
      </c>
      <c r="B133" s="5" t="s">
        <v>133</v>
      </c>
      <c r="C133" s="5" t="s">
        <v>143</v>
      </c>
      <c r="D133" s="5" t="s">
        <v>144</v>
      </c>
      <c r="E133" s="14" t="s">
        <v>310</v>
      </c>
      <c r="F133" s="5"/>
      <c r="G133" s="5" t="s">
        <v>330</v>
      </c>
      <c r="H133" s="15" t="s">
        <v>420</v>
      </c>
    </row>
    <row r="134" customFormat="false" ht="35.05" hidden="false" customHeight="false" outlineLevel="0" collapsed="false">
      <c r="A134" s="5" t="s">
        <v>132</v>
      </c>
      <c r="B134" s="5" t="s">
        <v>133</v>
      </c>
      <c r="C134" s="5" t="s">
        <v>146</v>
      </c>
      <c r="D134" s="5" t="s">
        <v>147</v>
      </c>
      <c r="E134" s="17" t="s">
        <v>352</v>
      </c>
      <c r="F134" s="5"/>
      <c r="G134" s="5" t="s">
        <v>421</v>
      </c>
      <c r="H134" s="15" t="s">
        <v>421</v>
      </c>
    </row>
    <row r="135" customFormat="false" ht="35.05" hidden="false" customHeight="false" outlineLevel="0" collapsed="false">
      <c r="A135" s="5" t="s">
        <v>132</v>
      </c>
      <c r="B135" s="5" t="s">
        <v>133</v>
      </c>
      <c r="C135" s="5" t="s">
        <v>149</v>
      </c>
      <c r="D135" s="5" t="s">
        <v>150</v>
      </c>
      <c r="E135" s="14" t="s">
        <v>310</v>
      </c>
      <c r="F135" s="5" t="s">
        <v>143</v>
      </c>
      <c r="G135" s="5" t="s">
        <v>330</v>
      </c>
      <c r="H135" s="15" t="s">
        <v>422</v>
      </c>
    </row>
    <row r="136" customFormat="false" ht="35.05" hidden="false" customHeight="false" outlineLevel="0" collapsed="false">
      <c r="A136" s="5" t="s">
        <v>132</v>
      </c>
      <c r="B136" s="5" t="s">
        <v>133</v>
      </c>
      <c r="C136" s="5" t="s">
        <v>152</v>
      </c>
      <c r="D136" s="5" t="s">
        <v>153</v>
      </c>
      <c r="E136" s="14" t="s">
        <v>310</v>
      </c>
      <c r="F136" s="5" t="s">
        <v>137</v>
      </c>
      <c r="G136" s="5" t="s">
        <v>417</v>
      </c>
      <c r="H136" s="15" t="s">
        <v>423</v>
      </c>
    </row>
    <row r="137" customFormat="false" ht="35.05" hidden="false" customHeight="false" outlineLevel="0" collapsed="false">
      <c r="A137" s="5" t="s">
        <v>132</v>
      </c>
      <c r="B137" s="5" t="s">
        <v>133</v>
      </c>
      <c r="C137" s="5" t="s">
        <v>155</v>
      </c>
      <c r="D137" s="5" t="s">
        <v>156</v>
      </c>
      <c r="E137" s="14" t="s">
        <v>310</v>
      </c>
      <c r="F137" s="5" t="s">
        <v>143</v>
      </c>
      <c r="G137" s="5" t="s">
        <v>330</v>
      </c>
      <c r="H137" s="15" t="s">
        <v>424</v>
      </c>
    </row>
    <row r="138" customFormat="false" ht="35.05" hidden="false" customHeight="false" outlineLevel="0" collapsed="false">
      <c r="A138" s="5" t="s">
        <v>132</v>
      </c>
      <c r="B138" s="5" t="s">
        <v>133</v>
      </c>
      <c r="C138" s="5" t="s">
        <v>158</v>
      </c>
      <c r="D138" s="5" t="s">
        <v>159</v>
      </c>
      <c r="E138" s="14" t="s">
        <v>310</v>
      </c>
      <c r="F138" s="5" t="s">
        <v>137</v>
      </c>
      <c r="G138" s="5" t="s">
        <v>417</v>
      </c>
      <c r="H138" s="15" t="s">
        <v>425</v>
      </c>
    </row>
    <row r="139" customFormat="false" ht="35.05" hidden="false" customHeight="false" outlineLevel="0" collapsed="false">
      <c r="A139" s="5" t="s">
        <v>132</v>
      </c>
      <c r="B139" s="5" t="s">
        <v>133</v>
      </c>
      <c r="C139" s="5" t="s">
        <v>161</v>
      </c>
      <c r="D139" s="5" t="s">
        <v>162</v>
      </c>
      <c r="E139" s="14" t="s">
        <v>310</v>
      </c>
      <c r="F139" s="5" t="s">
        <v>137</v>
      </c>
      <c r="G139" s="5" t="s">
        <v>417</v>
      </c>
      <c r="H139" s="15" t="s">
        <v>426</v>
      </c>
    </row>
    <row r="140" customFormat="false" ht="35.05" hidden="false" customHeight="false" outlineLevel="0" collapsed="false">
      <c r="A140" s="5" t="s">
        <v>132</v>
      </c>
      <c r="B140" s="5" t="s">
        <v>133</v>
      </c>
      <c r="C140" s="5" t="s">
        <v>164</v>
      </c>
      <c r="D140" s="5" t="s">
        <v>165</v>
      </c>
      <c r="E140" s="14" t="s">
        <v>310</v>
      </c>
      <c r="F140" s="5" t="s">
        <v>143</v>
      </c>
      <c r="G140" s="5" t="s">
        <v>330</v>
      </c>
      <c r="H140" s="15" t="s">
        <v>427</v>
      </c>
    </row>
    <row r="141" customFormat="false" ht="35.05" hidden="false" customHeight="false" outlineLevel="0" collapsed="false">
      <c r="A141" s="5" t="s">
        <v>132</v>
      </c>
      <c r="B141" s="5" t="s">
        <v>133</v>
      </c>
      <c r="C141" s="5" t="s">
        <v>167</v>
      </c>
      <c r="D141" s="5" t="s">
        <v>168</v>
      </c>
      <c r="E141" s="14" t="s">
        <v>310</v>
      </c>
      <c r="F141" s="5" t="s">
        <v>137</v>
      </c>
      <c r="G141" s="5" t="s">
        <v>417</v>
      </c>
      <c r="H141" s="15" t="s">
        <v>428</v>
      </c>
    </row>
    <row r="142" customFormat="false" ht="41.75" hidden="false" customHeight="false" outlineLevel="0" collapsed="false">
      <c r="A142" s="5" t="s">
        <v>132</v>
      </c>
      <c r="B142" s="5" t="s">
        <v>133</v>
      </c>
      <c r="C142" s="5" t="s">
        <v>170</v>
      </c>
      <c r="D142" s="5" t="s">
        <v>171</v>
      </c>
      <c r="E142" s="16" t="s">
        <v>343</v>
      </c>
      <c r="F142" s="5"/>
      <c r="G142" s="5" t="s">
        <v>429</v>
      </c>
      <c r="H142" s="15" t="s">
        <v>429</v>
      </c>
    </row>
    <row r="143" customFormat="false" ht="35.05" hidden="false" customHeight="false" outlineLevel="0" collapsed="false">
      <c r="A143" s="5" t="s">
        <v>132</v>
      </c>
      <c r="B143" s="5" t="s">
        <v>133</v>
      </c>
      <c r="C143" s="5" t="s">
        <v>173</v>
      </c>
      <c r="D143" s="5" t="s">
        <v>174</v>
      </c>
      <c r="E143" s="14" t="s">
        <v>310</v>
      </c>
      <c r="F143" s="5" t="s">
        <v>143</v>
      </c>
      <c r="G143" s="5" t="s">
        <v>330</v>
      </c>
      <c r="H143" s="15" t="s">
        <v>430</v>
      </c>
    </row>
    <row r="144" customFormat="false" ht="35.05" hidden="false" customHeight="false" outlineLevel="0" collapsed="false">
      <c r="A144" s="5" t="s">
        <v>132</v>
      </c>
      <c r="B144" s="5" t="s">
        <v>133</v>
      </c>
      <c r="C144" s="5" t="s">
        <v>176</v>
      </c>
      <c r="D144" s="5" t="s">
        <v>177</v>
      </c>
      <c r="E144" s="16" t="s">
        <v>343</v>
      </c>
      <c r="F144" s="5"/>
      <c r="G144" s="5" t="s">
        <v>431</v>
      </c>
      <c r="H144" s="15" t="s">
        <v>431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9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6" min="6" style="0" width="20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50"/>
    <col collapsed="false" customWidth="true" hidden="false" outlineLevel="0" max="10" min="10" style="0" width="6"/>
    <col collapsed="false" customWidth="true" hidden="false" outlineLevel="0" max="11" min="11" style="0" width="50"/>
    <col collapsed="false" customWidth="true" hidden="false" outlineLevel="0" max="12" min="12" style="0" width="6"/>
    <col collapsed="false" customWidth="true" hidden="false" outlineLevel="0" max="13" min="13" style="0" width="50"/>
    <col collapsed="false" customWidth="true" hidden="false" outlineLevel="0" max="14" min="14" style="0" width="6"/>
    <col collapsed="false" customWidth="true" hidden="false" outlineLevel="0" max="15" min="15" style="0" width="50"/>
    <col collapsed="false" customWidth="true" hidden="false" outlineLevel="0" max="16" min="16" style="0" width="8"/>
    <col collapsed="false" customWidth="true" hidden="false" outlineLevel="0" max="17" min="17" style="0" width="40"/>
  </cols>
  <sheetData>
    <row r="1" customFormat="false" ht="27.75" hidden="false" customHeight="true" outlineLevel="0" collapsed="false">
      <c r="A1" s="1" t="s">
        <v>432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customFormat="false" ht="31.5" hidden="false" customHeight="true" outlineLevel="0" collapsed="false">
      <c r="A3" s="4" t="s">
        <v>433</v>
      </c>
      <c r="B3" s="4" t="s">
        <v>97</v>
      </c>
      <c r="C3" s="4" t="s">
        <v>303</v>
      </c>
      <c r="D3" s="4" t="s">
        <v>304</v>
      </c>
      <c r="E3" s="4" t="s">
        <v>305</v>
      </c>
      <c r="F3" s="4" t="s">
        <v>181</v>
      </c>
      <c r="G3" s="4" t="s">
        <v>434</v>
      </c>
      <c r="H3" s="4" t="s">
        <v>435</v>
      </c>
      <c r="I3" s="4" t="s">
        <v>436</v>
      </c>
      <c r="J3" s="4" t="s">
        <v>235</v>
      </c>
      <c r="K3" s="4" t="s">
        <v>437</v>
      </c>
      <c r="L3" s="4" t="s">
        <v>256</v>
      </c>
      <c r="M3" s="4" t="s">
        <v>438</v>
      </c>
      <c r="N3" s="4" t="s">
        <v>277</v>
      </c>
      <c r="O3" s="4" t="s">
        <v>439</v>
      </c>
      <c r="P3" s="4" t="s">
        <v>440</v>
      </c>
      <c r="Q3" s="4" t="s">
        <v>441</v>
      </c>
    </row>
    <row r="4" customFormat="false" ht="35.05" hidden="false" customHeight="false" outlineLevel="0" collapsed="false">
      <c r="A4" s="5" t="s">
        <v>442</v>
      </c>
      <c r="B4" s="5" t="s">
        <v>101</v>
      </c>
      <c r="C4" s="5" t="s">
        <v>102</v>
      </c>
      <c r="D4" s="5" t="s">
        <v>137</v>
      </c>
      <c r="E4" s="5" t="s">
        <v>138</v>
      </c>
      <c r="F4" s="5" t="s">
        <v>186</v>
      </c>
      <c r="G4" s="5" t="s">
        <v>443</v>
      </c>
      <c r="H4" s="5" t="s">
        <v>222</v>
      </c>
      <c r="I4" s="5" t="s">
        <v>444</v>
      </c>
      <c r="J4" s="5" t="s">
        <v>250</v>
      </c>
      <c r="K4" s="5" t="s">
        <v>445</v>
      </c>
      <c r="L4" s="5" t="s">
        <v>187</v>
      </c>
      <c r="M4" s="5" t="s">
        <v>446</v>
      </c>
      <c r="N4" s="5" t="s">
        <v>282</v>
      </c>
      <c r="O4" s="5" t="s">
        <v>447</v>
      </c>
      <c r="P4" s="18" t="str">
        <f aca="false">IF(J4="S0","—",IF(K4="","",IF(L4="E0","QM",INDEX(10_ASIL_Matrix!$D$4:$F$15,MATCH(J4&amp;"-"&amp;L4,10_ASIL_Matrix!$C$4:$C$15,0),MATCH(N4,10_ASIL_Matrix!$D$3:$F$3,0)))))</f>
        <v>B</v>
      </c>
      <c r="Q4" s="5" t="s">
        <v>448</v>
      </c>
    </row>
    <row r="5" customFormat="false" ht="35.05" hidden="false" customHeight="false" outlineLevel="0" collapsed="false">
      <c r="A5" s="6" t="s">
        <v>449</v>
      </c>
      <c r="B5" s="6" t="s">
        <v>101</v>
      </c>
      <c r="C5" s="6" t="s">
        <v>102</v>
      </c>
      <c r="D5" s="6" t="s">
        <v>137</v>
      </c>
      <c r="E5" s="6" t="s">
        <v>138</v>
      </c>
      <c r="F5" s="6" t="s">
        <v>186</v>
      </c>
      <c r="G5" s="6" t="s">
        <v>443</v>
      </c>
      <c r="H5" s="6" t="s">
        <v>224</v>
      </c>
      <c r="I5" s="6" t="s">
        <v>450</v>
      </c>
      <c r="J5" s="6" t="s">
        <v>250</v>
      </c>
      <c r="K5" s="6" t="s">
        <v>445</v>
      </c>
      <c r="L5" s="6" t="s">
        <v>190</v>
      </c>
      <c r="M5" s="6" t="s">
        <v>451</v>
      </c>
      <c r="N5" s="6" t="s">
        <v>282</v>
      </c>
      <c r="O5" s="6" t="s">
        <v>447</v>
      </c>
      <c r="P5" s="19" t="str">
        <f aca="false">IF(J5="S0","—",IF(K5="","",IF(L5="E0","QM",INDEX(10_ASIL_Matrix!$D$4:$F$15,MATCH(J5&amp;"-"&amp;L5,10_ASIL_Matrix!$C$4:$C$15,0),MATCH(N5,10_ASIL_Matrix!$D$3:$F$3,0)))))</f>
        <v>A</v>
      </c>
      <c r="Q5" s="6" t="s">
        <v>448</v>
      </c>
    </row>
    <row r="6" customFormat="false" ht="35.05" hidden="false" customHeight="false" outlineLevel="0" collapsed="false">
      <c r="A6" s="5" t="s">
        <v>452</v>
      </c>
      <c r="B6" s="5" t="s">
        <v>101</v>
      </c>
      <c r="C6" s="5" t="s">
        <v>102</v>
      </c>
      <c r="D6" s="5" t="s">
        <v>137</v>
      </c>
      <c r="E6" s="5" t="s">
        <v>138</v>
      </c>
      <c r="F6" s="5" t="s">
        <v>186</v>
      </c>
      <c r="G6" s="5" t="s">
        <v>443</v>
      </c>
      <c r="H6" s="5" t="s">
        <v>226</v>
      </c>
      <c r="I6" s="5" t="s">
        <v>453</v>
      </c>
      <c r="J6" s="5" t="s">
        <v>250</v>
      </c>
      <c r="K6" s="5" t="s">
        <v>445</v>
      </c>
      <c r="L6" s="5" t="s">
        <v>190</v>
      </c>
      <c r="M6" s="5" t="s">
        <v>454</v>
      </c>
      <c r="N6" s="5" t="s">
        <v>282</v>
      </c>
      <c r="O6" s="5" t="s">
        <v>447</v>
      </c>
      <c r="P6" s="19" t="str">
        <f aca="false">IF(J6="S0","—",IF(K6="","",IF(L6="E0","QM",INDEX(10_ASIL_Matrix!$D$4:$F$15,MATCH(J6&amp;"-"&amp;L6,10_ASIL_Matrix!$C$4:$C$15,0),MATCH(N6,10_ASIL_Matrix!$D$3:$F$3,0)))))</f>
        <v>A</v>
      </c>
      <c r="Q6" s="5" t="s">
        <v>448</v>
      </c>
    </row>
    <row r="7" customFormat="false" ht="35.05" hidden="false" customHeight="false" outlineLevel="0" collapsed="false">
      <c r="A7" s="6" t="s">
        <v>455</v>
      </c>
      <c r="B7" s="6" t="s">
        <v>101</v>
      </c>
      <c r="C7" s="6" t="s">
        <v>102</v>
      </c>
      <c r="D7" s="6" t="s">
        <v>137</v>
      </c>
      <c r="E7" s="6" t="s">
        <v>138</v>
      </c>
      <c r="F7" s="6" t="s">
        <v>186</v>
      </c>
      <c r="G7" s="6" t="s">
        <v>443</v>
      </c>
      <c r="H7" s="6" t="s">
        <v>228</v>
      </c>
      <c r="I7" s="6" t="s">
        <v>456</v>
      </c>
      <c r="J7" s="6" t="s">
        <v>250</v>
      </c>
      <c r="K7" s="6" t="s">
        <v>445</v>
      </c>
      <c r="L7" s="6" t="s">
        <v>205</v>
      </c>
      <c r="M7" s="6" t="s">
        <v>457</v>
      </c>
      <c r="N7" s="6" t="s">
        <v>282</v>
      </c>
      <c r="O7" s="6" t="s">
        <v>447</v>
      </c>
      <c r="P7" s="6" t="str">
        <f aca="false">IF(J7="S0","—",IF(K7="","",IF(L7="E0","QM",INDEX(10_ASIL_Matrix!$D$4:$F$15,MATCH(J7&amp;"-"&amp;L7,10_ASIL_Matrix!$C$4:$C$15,0),MATCH(N7,10_ASIL_Matrix!$D$3:$F$3,0)))))</f>
        <v>QM</v>
      </c>
      <c r="Q7" s="6" t="s">
        <v>448</v>
      </c>
    </row>
    <row r="8" customFormat="false" ht="35.05" hidden="false" customHeight="false" outlineLevel="0" collapsed="false">
      <c r="A8" s="5" t="s">
        <v>458</v>
      </c>
      <c r="B8" s="5" t="s">
        <v>101</v>
      </c>
      <c r="C8" s="5" t="s">
        <v>102</v>
      </c>
      <c r="D8" s="5" t="s">
        <v>137</v>
      </c>
      <c r="E8" s="5" t="s">
        <v>138</v>
      </c>
      <c r="F8" s="5" t="s">
        <v>186</v>
      </c>
      <c r="G8" s="5" t="s">
        <v>443</v>
      </c>
      <c r="H8" s="5" t="s">
        <v>230</v>
      </c>
      <c r="I8" s="5" t="s">
        <v>459</v>
      </c>
      <c r="J8" s="5" t="s">
        <v>250</v>
      </c>
      <c r="K8" s="5" t="s">
        <v>445</v>
      </c>
      <c r="L8" s="5" t="s">
        <v>205</v>
      </c>
      <c r="M8" s="5" t="s">
        <v>460</v>
      </c>
      <c r="N8" s="5" t="s">
        <v>286</v>
      </c>
      <c r="O8" s="5" t="s">
        <v>461</v>
      </c>
      <c r="P8" s="19" t="str">
        <f aca="false">IF(J8="S0","—",IF(K8="","",IF(L8="E0","QM",INDEX(10_ASIL_Matrix!$D$4:$F$15,MATCH(J8&amp;"-"&amp;L8,10_ASIL_Matrix!$C$4:$C$15,0),MATCH(N8,10_ASIL_Matrix!$D$3:$F$3,0)))))</f>
        <v>A</v>
      </c>
      <c r="Q8" s="5" t="s">
        <v>448</v>
      </c>
    </row>
    <row r="9" customFormat="false" ht="46.25" hidden="false" customHeight="false" outlineLevel="0" collapsed="false">
      <c r="A9" s="6" t="s">
        <v>462</v>
      </c>
      <c r="B9" s="6" t="s">
        <v>101</v>
      </c>
      <c r="C9" s="6" t="s">
        <v>102</v>
      </c>
      <c r="D9" s="6" t="s">
        <v>137</v>
      </c>
      <c r="E9" s="6" t="s">
        <v>138</v>
      </c>
      <c r="F9" s="6" t="s">
        <v>186</v>
      </c>
      <c r="G9" s="6" t="s">
        <v>443</v>
      </c>
      <c r="H9" s="6" t="s">
        <v>232</v>
      </c>
      <c r="I9" s="6" t="s">
        <v>463</v>
      </c>
      <c r="J9" s="6" t="s">
        <v>250</v>
      </c>
      <c r="K9" s="6" t="s">
        <v>445</v>
      </c>
      <c r="L9" s="6" t="s">
        <v>233</v>
      </c>
      <c r="M9" s="6" t="s">
        <v>464</v>
      </c>
      <c r="N9" s="6" t="s">
        <v>282</v>
      </c>
      <c r="O9" s="6" t="s">
        <v>447</v>
      </c>
      <c r="P9" s="6" t="str">
        <f aca="false">IF(J9="S0","—",IF(K9="","",IF(L9="E0","QM",INDEX(10_ASIL_Matrix!$D$4:$F$15,MATCH(J9&amp;"-"&amp;L9,10_ASIL_Matrix!$C$4:$C$15,0),MATCH(N9,10_ASIL_Matrix!$D$3:$F$3,0)))))</f>
        <v>QM</v>
      </c>
      <c r="Q9" s="6" t="s">
        <v>448</v>
      </c>
    </row>
    <row r="10" customFormat="false" ht="35.05" hidden="false" customHeight="false" outlineLevel="0" collapsed="false">
      <c r="A10" s="5" t="s">
        <v>465</v>
      </c>
      <c r="B10" s="5" t="s">
        <v>101</v>
      </c>
      <c r="C10" s="5" t="s">
        <v>102</v>
      </c>
      <c r="D10" s="5" t="s">
        <v>137</v>
      </c>
      <c r="E10" s="5" t="s">
        <v>138</v>
      </c>
      <c r="F10" s="5" t="s">
        <v>189</v>
      </c>
      <c r="G10" s="5" t="s">
        <v>466</v>
      </c>
      <c r="H10" s="5" t="s">
        <v>222</v>
      </c>
      <c r="I10" s="5" t="s">
        <v>467</v>
      </c>
      <c r="J10" s="5" t="s">
        <v>250</v>
      </c>
      <c r="K10" s="5" t="s">
        <v>468</v>
      </c>
      <c r="L10" s="5" t="s">
        <v>190</v>
      </c>
      <c r="M10" s="5" t="s">
        <v>469</v>
      </c>
      <c r="N10" s="5" t="s">
        <v>286</v>
      </c>
      <c r="O10" s="5" t="s">
        <v>470</v>
      </c>
      <c r="P10" s="18" t="str">
        <f aca="false">IF(J10="S0","—",IF(K10="","",IF(L10="E0","QM",INDEX(10_ASIL_Matrix!$D$4:$F$15,MATCH(J10&amp;"-"&amp;L10,10_ASIL_Matrix!$C$4:$C$15,0),MATCH(N10,10_ASIL_Matrix!$D$3:$F$3,0)))))</f>
        <v>B</v>
      </c>
      <c r="Q10" s="5" t="s">
        <v>448</v>
      </c>
    </row>
    <row r="11" customFormat="false" ht="35.05" hidden="false" customHeight="false" outlineLevel="0" collapsed="false">
      <c r="A11" s="6" t="s">
        <v>471</v>
      </c>
      <c r="B11" s="6" t="s">
        <v>101</v>
      </c>
      <c r="C11" s="6" t="s">
        <v>102</v>
      </c>
      <c r="D11" s="6" t="s">
        <v>137</v>
      </c>
      <c r="E11" s="6" t="s">
        <v>138</v>
      </c>
      <c r="F11" s="6" t="s">
        <v>189</v>
      </c>
      <c r="G11" s="6" t="s">
        <v>466</v>
      </c>
      <c r="H11" s="6" t="s">
        <v>224</v>
      </c>
      <c r="I11" s="6" t="s">
        <v>472</v>
      </c>
      <c r="J11" s="6" t="s">
        <v>250</v>
      </c>
      <c r="K11" s="6" t="s">
        <v>468</v>
      </c>
      <c r="L11" s="6" t="s">
        <v>190</v>
      </c>
      <c r="M11" s="6" t="s">
        <v>473</v>
      </c>
      <c r="N11" s="6" t="s">
        <v>286</v>
      </c>
      <c r="O11" s="6" t="s">
        <v>470</v>
      </c>
      <c r="P11" s="18" t="str">
        <f aca="false">IF(J11="S0","—",IF(K11="","",IF(L11="E0","QM",INDEX(10_ASIL_Matrix!$D$4:$F$15,MATCH(J11&amp;"-"&amp;L11,10_ASIL_Matrix!$C$4:$C$15,0),MATCH(N11,10_ASIL_Matrix!$D$3:$F$3,0)))))</f>
        <v>B</v>
      </c>
      <c r="Q11" s="6" t="s">
        <v>448</v>
      </c>
    </row>
    <row r="12" customFormat="false" ht="35.05" hidden="false" customHeight="false" outlineLevel="0" collapsed="false">
      <c r="A12" s="5" t="s">
        <v>474</v>
      </c>
      <c r="B12" s="5" t="s">
        <v>101</v>
      </c>
      <c r="C12" s="5" t="s">
        <v>102</v>
      </c>
      <c r="D12" s="5" t="s">
        <v>137</v>
      </c>
      <c r="E12" s="5" t="s">
        <v>138</v>
      </c>
      <c r="F12" s="5" t="s">
        <v>189</v>
      </c>
      <c r="G12" s="5" t="s">
        <v>466</v>
      </c>
      <c r="H12" s="5" t="s">
        <v>226</v>
      </c>
      <c r="I12" s="5" t="s">
        <v>475</v>
      </c>
      <c r="J12" s="5" t="s">
        <v>250</v>
      </c>
      <c r="K12" s="5" t="s">
        <v>468</v>
      </c>
      <c r="L12" s="5" t="s">
        <v>190</v>
      </c>
      <c r="M12" s="5" t="s">
        <v>476</v>
      </c>
      <c r="N12" s="5" t="s">
        <v>286</v>
      </c>
      <c r="O12" s="5" t="s">
        <v>470</v>
      </c>
      <c r="P12" s="18" t="str">
        <f aca="false">IF(J12="S0","—",IF(K12="","",IF(L12="E0","QM",INDEX(10_ASIL_Matrix!$D$4:$F$15,MATCH(J12&amp;"-"&amp;L12,10_ASIL_Matrix!$C$4:$C$15,0),MATCH(N12,10_ASIL_Matrix!$D$3:$F$3,0)))))</f>
        <v>B</v>
      </c>
      <c r="Q12" s="5" t="s">
        <v>448</v>
      </c>
    </row>
    <row r="13" customFormat="false" ht="35.05" hidden="false" customHeight="false" outlineLevel="0" collapsed="false">
      <c r="A13" s="6" t="s">
        <v>477</v>
      </c>
      <c r="B13" s="6" t="s">
        <v>101</v>
      </c>
      <c r="C13" s="6" t="s">
        <v>102</v>
      </c>
      <c r="D13" s="6" t="s">
        <v>137</v>
      </c>
      <c r="E13" s="6" t="s">
        <v>138</v>
      </c>
      <c r="F13" s="6" t="s">
        <v>189</v>
      </c>
      <c r="G13" s="6" t="s">
        <v>466</v>
      </c>
      <c r="H13" s="6" t="s">
        <v>228</v>
      </c>
      <c r="I13" s="6" t="s">
        <v>478</v>
      </c>
      <c r="J13" s="6" t="s">
        <v>250</v>
      </c>
      <c r="K13" s="6" t="s">
        <v>468</v>
      </c>
      <c r="L13" s="6" t="s">
        <v>205</v>
      </c>
      <c r="M13" s="6" t="s">
        <v>479</v>
      </c>
      <c r="N13" s="6" t="s">
        <v>286</v>
      </c>
      <c r="O13" s="6" t="s">
        <v>470</v>
      </c>
      <c r="P13" s="19" t="str">
        <f aca="false">IF(J13="S0","—",IF(K13="","",IF(L13="E0","QM",INDEX(10_ASIL_Matrix!$D$4:$F$15,MATCH(J13&amp;"-"&amp;L13,10_ASIL_Matrix!$C$4:$C$15,0),MATCH(N13,10_ASIL_Matrix!$D$3:$F$3,0)))))</f>
        <v>A</v>
      </c>
      <c r="Q13" s="6" t="s">
        <v>448</v>
      </c>
    </row>
    <row r="14" customFormat="false" ht="46.25" hidden="false" customHeight="false" outlineLevel="0" collapsed="false">
      <c r="A14" s="5" t="s">
        <v>480</v>
      </c>
      <c r="B14" s="5" t="s">
        <v>101</v>
      </c>
      <c r="C14" s="5" t="s">
        <v>102</v>
      </c>
      <c r="D14" s="5" t="s">
        <v>137</v>
      </c>
      <c r="E14" s="5" t="s">
        <v>138</v>
      </c>
      <c r="F14" s="5" t="s">
        <v>189</v>
      </c>
      <c r="G14" s="5" t="s">
        <v>466</v>
      </c>
      <c r="H14" s="5" t="s">
        <v>230</v>
      </c>
      <c r="I14" s="5" t="s">
        <v>481</v>
      </c>
      <c r="J14" s="5" t="s">
        <v>250</v>
      </c>
      <c r="K14" s="5" t="s">
        <v>468</v>
      </c>
      <c r="L14" s="5" t="s">
        <v>205</v>
      </c>
      <c r="M14" s="5" t="s">
        <v>482</v>
      </c>
      <c r="N14" s="5" t="s">
        <v>290</v>
      </c>
      <c r="O14" s="5" t="s">
        <v>483</v>
      </c>
      <c r="P14" s="18" t="str">
        <f aca="false">IF(J14="S0","—",IF(K14="","",IF(L14="E0","QM",INDEX(10_ASIL_Matrix!$D$4:$F$15,MATCH(J14&amp;"-"&amp;L14,10_ASIL_Matrix!$C$4:$C$15,0),MATCH(N14,10_ASIL_Matrix!$D$3:$F$3,0)))))</f>
        <v>B</v>
      </c>
      <c r="Q14" s="5" t="s">
        <v>448</v>
      </c>
    </row>
    <row r="15" customFormat="false" ht="46.25" hidden="false" customHeight="false" outlineLevel="0" collapsed="false">
      <c r="A15" s="6" t="s">
        <v>484</v>
      </c>
      <c r="B15" s="6" t="s">
        <v>101</v>
      </c>
      <c r="C15" s="6" t="s">
        <v>102</v>
      </c>
      <c r="D15" s="6" t="s">
        <v>137</v>
      </c>
      <c r="E15" s="6" t="s">
        <v>138</v>
      </c>
      <c r="F15" s="6" t="s">
        <v>189</v>
      </c>
      <c r="G15" s="6" t="s">
        <v>466</v>
      </c>
      <c r="H15" s="6" t="s">
        <v>232</v>
      </c>
      <c r="I15" s="6" t="s">
        <v>485</v>
      </c>
      <c r="J15" s="6" t="s">
        <v>250</v>
      </c>
      <c r="K15" s="6" t="s">
        <v>468</v>
      </c>
      <c r="L15" s="6" t="s">
        <v>233</v>
      </c>
      <c r="M15" s="6" t="s">
        <v>486</v>
      </c>
      <c r="N15" s="6" t="s">
        <v>286</v>
      </c>
      <c r="O15" s="6" t="s">
        <v>470</v>
      </c>
      <c r="P15" s="6" t="str">
        <f aca="false">IF(J15="S0","—",IF(K15="","",IF(L15="E0","QM",INDEX(10_ASIL_Matrix!$D$4:$F$15,MATCH(J15&amp;"-"&amp;L15,10_ASIL_Matrix!$C$4:$C$15,0),MATCH(N15,10_ASIL_Matrix!$D$3:$F$3,0)))))</f>
        <v>QM</v>
      </c>
      <c r="Q15" s="6" t="s">
        <v>448</v>
      </c>
    </row>
    <row r="16" customFormat="false" ht="35.05" hidden="false" customHeight="false" outlineLevel="0" collapsed="false">
      <c r="A16" s="5" t="s">
        <v>487</v>
      </c>
      <c r="B16" s="5" t="s">
        <v>101</v>
      </c>
      <c r="C16" s="5" t="s">
        <v>102</v>
      </c>
      <c r="D16" s="5" t="s">
        <v>137</v>
      </c>
      <c r="E16" s="5" t="s">
        <v>138</v>
      </c>
      <c r="F16" s="5" t="s">
        <v>192</v>
      </c>
      <c r="G16" s="5" t="s">
        <v>488</v>
      </c>
      <c r="H16" s="5" t="s">
        <v>222</v>
      </c>
      <c r="I16" s="5" t="s">
        <v>489</v>
      </c>
      <c r="J16" s="5" t="s">
        <v>250</v>
      </c>
      <c r="K16" s="5" t="s">
        <v>490</v>
      </c>
      <c r="L16" s="5" t="s">
        <v>187</v>
      </c>
      <c r="M16" s="5" t="s">
        <v>491</v>
      </c>
      <c r="N16" s="5" t="s">
        <v>282</v>
      </c>
      <c r="O16" s="5" t="s">
        <v>447</v>
      </c>
      <c r="P16" s="18" t="str">
        <f aca="false">IF(J16="S0","—",IF(K16="","",IF(L16="E0","QM",INDEX(10_ASIL_Matrix!$D$4:$F$15,MATCH(J16&amp;"-"&amp;L16,10_ASIL_Matrix!$C$4:$C$15,0),MATCH(N16,10_ASIL_Matrix!$D$3:$F$3,0)))))</f>
        <v>B</v>
      </c>
      <c r="Q16" s="5" t="s">
        <v>448</v>
      </c>
    </row>
    <row r="17" customFormat="false" ht="35.05" hidden="false" customHeight="false" outlineLevel="0" collapsed="false">
      <c r="A17" s="6" t="s">
        <v>492</v>
      </c>
      <c r="B17" s="6" t="s">
        <v>101</v>
      </c>
      <c r="C17" s="6" t="s">
        <v>102</v>
      </c>
      <c r="D17" s="6" t="s">
        <v>137</v>
      </c>
      <c r="E17" s="6" t="s">
        <v>138</v>
      </c>
      <c r="F17" s="6" t="s">
        <v>192</v>
      </c>
      <c r="G17" s="6" t="s">
        <v>488</v>
      </c>
      <c r="H17" s="6" t="s">
        <v>224</v>
      </c>
      <c r="I17" s="6" t="s">
        <v>493</v>
      </c>
      <c r="J17" s="6" t="s">
        <v>250</v>
      </c>
      <c r="K17" s="6" t="s">
        <v>490</v>
      </c>
      <c r="L17" s="6" t="s">
        <v>190</v>
      </c>
      <c r="M17" s="6" t="s">
        <v>494</v>
      </c>
      <c r="N17" s="6" t="s">
        <v>282</v>
      </c>
      <c r="O17" s="6" t="s">
        <v>447</v>
      </c>
      <c r="P17" s="19" t="str">
        <f aca="false">IF(J17="S0","—",IF(K17="","",IF(L17="E0","QM",INDEX(10_ASIL_Matrix!$D$4:$F$15,MATCH(J17&amp;"-"&amp;L17,10_ASIL_Matrix!$C$4:$C$15,0),MATCH(N17,10_ASIL_Matrix!$D$3:$F$3,0)))))</f>
        <v>A</v>
      </c>
      <c r="Q17" s="6" t="s">
        <v>448</v>
      </c>
    </row>
    <row r="18" customFormat="false" ht="35.05" hidden="false" customHeight="false" outlineLevel="0" collapsed="false">
      <c r="A18" s="5" t="s">
        <v>495</v>
      </c>
      <c r="B18" s="5" t="s">
        <v>101</v>
      </c>
      <c r="C18" s="5" t="s">
        <v>102</v>
      </c>
      <c r="D18" s="5" t="s">
        <v>137</v>
      </c>
      <c r="E18" s="5" t="s">
        <v>138</v>
      </c>
      <c r="F18" s="5" t="s">
        <v>192</v>
      </c>
      <c r="G18" s="5" t="s">
        <v>488</v>
      </c>
      <c r="H18" s="5" t="s">
        <v>226</v>
      </c>
      <c r="I18" s="5" t="s">
        <v>496</v>
      </c>
      <c r="J18" s="5" t="s">
        <v>250</v>
      </c>
      <c r="K18" s="5" t="s">
        <v>490</v>
      </c>
      <c r="L18" s="5" t="s">
        <v>190</v>
      </c>
      <c r="M18" s="5" t="s">
        <v>497</v>
      </c>
      <c r="N18" s="5" t="s">
        <v>282</v>
      </c>
      <c r="O18" s="5" t="s">
        <v>447</v>
      </c>
      <c r="P18" s="19" t="str">
        <f aca="false">IF(J18="S0","—",IF(K18="","",IF(L18="E0","QM",INDEX(10_ASIL_Matrix!$D$4:$F$15,MATCH(J18&amp;"-"&amp;L18,10_ASIL_Matrix!$C$4:$C$15,0),MATCH(N18,10_ASIL_Matrix!$D$3:$F$3,0)))))</f>
        <v>A</v>
      </c>
      <c r="Q18" s="5" t="s">
        <v>448</v>
      </c>
    </row>
    <row r="19" customFormat="false" ht="35.05" hidden="false" customHeight="false" outlineLevel="0" collapsed="false">
      <c r="A19" s="6" t="s">
        <v>498</v>
      </c>
      <c r="B19" s="6" t="s">
        <v>101</v>
      </c>
      <c r="C19" s="6" t="s">
        <v>102</v>
      </c>
      <c r="D19" s="6" t="s">
        <v>137</v>
      </c>
      <c r="E19" s="6" t="s">
        <v>138</v>
      </c>
      <c r="F19" s="6" t="s">
        <v>192</v>
      </c>
      <c r="G19" s="6" t="s">
        <v>488</v>
      </c>
      <c r="H19" s="6" t="s">
        <v>228</v>
      </c>
      <c r="I19" s="6" t="s">
        <v>499</v>
      </c>
      <c r="J19" s="6" t="s">
        <v>250</v>
      </c>
      <c r="K19" s="6" t="s">
        <v>490</v>
      </c>
      <c r="L19" s="6" t="s">
        <v>205</v>
      </c>
      <c r="M19" s="6" t="s">
        <v>500</v>
      </c>
      <c r="N19" s="6" t="s">
        <v>282</v>
      </c>
      <c r="O19" s="6" t="s">
        <v>447</v>
      </c>
      <c r="P19" s="6" t="str">
        <f aca="false">IF(J19="S0","—",IF(K19="","",IF(L19="E0","QM",INDEX(10_ASIL_Matrix!$D$4:$F$15,MATCH(J19&amp;"-"&amp;L19,10_ASIL_Matrix!$C$4:$C$15,0),MATCH(N19,10_ASIL_Matrix!$D$3:$F$3,0)))))</f>
        <v>QM</v>
      </c>
      <c r="Q19" s="6" t="s">
        <v>448</v>
      </c>
    </row>
    <row r="20" customFormat="false" ht="35.05" hidden="false" customHeight="false" outlineLevel="0" collapsed="false">
      <c r="A20" s="5" t="s">
        <v>501</v>
      </c>
      <c r="B20" s="5" t="s">
        <v>101</v>
      </c>
      <c r="C20" s="5" t="s">
        <v>102</v>
      </c>
      <c r="D20" s="5" t="s">
        <v>137</v>
      </c>
      <c r="E20" s="5" t="s">
        <v>138</v>
      </c>
      <c r="F20" s="5" t="s">
        <v>192</v>
      </c>
      <c r="G20" s="5" t="s">
        <v>488</v>
      </c>
      <c r="H20" s="5" t="s">
        <v>230</v>
      </c>
      <c r="I20" s="5" t="s">
        <v>502</v>
      </c>
      <c r="J20" s="5" t="s">
        <v>250</v>
      </c>
      <c r="K20" s="5" t="s">
        <v>490</v>
      </c>
      <c r="L20" s="5" t="s">
        <v>205</v>
      </c>
      <c r="M20" s="5" t="s">
        <v>503</v>
      </c>
      <c r="N20" s="5" t="s">
        <v>286</v>
      </c>
      <c r="O20" s="5" t="s">
        <v>461</v>
      </c>
      <c r="P20" s="19" t="str">
        <f aca="false">IF(J20="S0","—",IF(K20="","",IF(L20="E0","QM",INDEX(10_ASIL_Matrix!$D$4:$F$15,MATCH(J20&amp;"-"&amp;L20,10_ASIL_Matrix!$C$4:$C$15,0),MATCH(N20,10_ASIL_Matrix!$D$3:$F$3,0)))))</f>
        <v>A</v>
      </c>
      <c r="Q20" s="5" t="s">
        <v>448</v>
      </c>
    </row>
    <row r="21" customFormat="false" ht="46.25" hidden="false" customHeight="false" outlineLevel="0" collapsed="false">
      <c r="A21" s="6" t="s">
        <v>504</v>
      </c>
      <c r="B21" s="6" t="s">
        <v>101</v>
      </c>
      <c r="C21" s="6" t="s">
        <v>102</v>
      </c>
      <c r="D21" s="6" t="s">
        <v>137</v>
      </c>
      <c r="E21" s="6" t="s">
        <v>138</v>
      </c>
      <c r="F21" s="6" t="s">
        <v>192</v>
      </c>
      <c r="G21" s="6" t="s">
        <v>488</v>
      </c>
      <c r="H21" s="6" t="s">
        <v>232</v>
      </c>
      <c r="I21" s="6" t="s">
        <v>505</v>
      </c>
      <c r="J21" s="6" t="s">
        <v>250</v>
      </c>
      <c r="K21" s="6" t="s">
        <v>490</v>
      </c>
      <c r="L21" s="6" t="s">
        <v>233</v>
      </c>
      <c r="M21" s="6" t="s">
        <v>506</v>
      </c>
      <c r="N21" s="6" t="s">
        <v>282</v>
      </c>
      <c r="O21" s="6" t="s">
        <v>447</v>
      </c>
      <c r="P21" s="6" t="str">
        <f aca="false">IF(J21="S0","—",IF(K21="","",IF(L21="E0","QM",INDEX(10_ASIL_Matrix!$D$4:$F$15,MATCH(J21&amp;"-"&amp;L21,10_ASIL_Matrix!$C$4:$C$15,0),MATCH(N21,10_ASIL_Matrix!$D$3:$F$3,0)))))</f>
        <v>QM</v>
      </c>
      <c r="Q21" s="6" t="s">
        <v>448</v>
      </c>
    </row>
    <row r="22" customFormat="false" ht="35.05" hidden="false" customHeight="false" outlineLevel="0" collapsed="false">
      <c r="A22" s="5" t="s">
        <v>507</v>
      </c>
      <c r="B22" s="5" t="s">
        <v>101</v>
      </c>
      <c r="C22" s="5" t="s">
        <v>102</v>
      </c>
      <c r="D22" s="5" t="s">
        <v>137</v>
      </c>
      <c r="E22" s="5" t="s">
        <v>138</v>
      </c>
      <c r="F22" s="5" t="s">
        <v>194</v>
      </c>
      <c r="G22" s="5" t="s">
        <v>508</v>
      </c>
      <c r="H22" s="5" t="s">
        <v>222</v>
      </c>
      <c r="I22" s="5" t="s">
        <v>509</v>
      </c>
      <c r="J22" s="5" t="s">
        <v>250</v>
      </c>
      <c r="K22" s="5" t="s">
        <v>510</v>
      </c>
      <c r="L22" s="5" t="s">
        <v>190</v>
      </c>
      <c r="M22" s="5" t="s">
        <v>511</v>
      </c>
      <c r="N22" s="5" t="s">
        <v>282</v>
      </c>
      <c r="O22" s="5" t="s">
        <v>447</v>
      </c>
      <c r="P22" s="19" t="str">
        <f aca="false">IF(J22="S0","—",IF(K22="","",IF(L22="E0","QM",INDEX(10_ASIL_Matrix!$D$4:$F$15,MATCH(J22&amp;"-"&amp;L22,10_ASIL_Matrix!$C$4:$C$15,0),MATCH(N22,10_ASIL_Matrix!$D$3:$F$3,0)))))</f>
        <v>A</v>
      </c>
      <c r="Q22" s="5" t="s">
        <v>448</v>
      </c>
    </row>
    <row r="23" customFormat="false" ht="35.05" hidden="false" customHeight="false" outlineLevel="0" collapsed="false">
      <c r="A23" s="6" t="s">
        <v>512</v>
      </c>
      <c r="B23" s="6" t="s">
        <v>101</v>
      </c>
      <c r="C23" s="6" t="s">
        <v>102</v>
      </c>
      <c r="D23" s="6" t="s">
        <v>137</v>
      </c>
      <c r="E23" s="6" t="s">
        <v>138</v>
      </c>
      <c r="F23" s="6" t="s">
        <v>194</v>
      </c>
      <c r="G23" s="6" t="s">
        <v>508</v>
      </c>
      <c r="H23" s="6" t="s">
        <v>224</v>
      </c>
      <c r="I23" s="6" t="s">
        <v>513</v>
      </c>
      <c r="J23" s="6" t="s">
        <v>250</v>
      </c>
      <c r="K23" s="6" t="s">
        <v>510</v>
      </c>
      <c r="L23" s="6" t="s">
        <v>190</v>
      </c>
      <c r="M23" s="6" t="s">
        <v>514</v>
      </c>
      <c r="N23" s="6" t="s">
        <v>282</v>
      </c>
      <c r="O23" s="6" t="s">
        <v>447</v>
      </c>
      <c r="P23" s="19" t="str">
        <f aca="false">IF(J23="S0","—",IF(K23="","",IF(L23="E0","QM",INDEX(10_ASIL_Matrix!$D$4:$F$15,MATCH(J23&amp;"-"&amp;L23,10_ASIL_Matrix!$C$4:$C$15,0),MATCH(N23,10_ASIL_Matrix!$D$3:$F$3,0)))))</f>
        <v>A</v>
      </c>
      <c r="Q23" s="6" t="s">
        <v>448</v>
      </c>
    </row>
    <row r="24" customFormat="false" ht="35.05" hidden="false" customHeight="false" outlineLevel="0" collapsed="false">
      <c r="A24" s="5" t="s">
        <v>515</v>
      </c>
      <c r="B24" s="5" t="s">
        <v>101</v>
      </c>
      <c r="C24" s="5" t="s">
        <v>102</v>
      </c>
      <c r="D24" s="5" t="s">
        <v>137</v>
      </c>
      <c r="E24" s="5" t="s">
        <v>138</v>
      </c>
      <c r="F24" s="5" t="s">
        <v>194</v>
      </c>
      <c r="G24" s="5" t="s">
        <v>508</v>
      </c>
      <c r="H24" s="5" t="s">
        <v>226</v>
      </c>
      <c r="I24" s="5" t="s">
        <v>516</v>
      </c>
      <c r="J24" s="5" t="s">
        <v>250</v>
      </c>
      <c r="K24" s="5" t="s">
        <v>510</v>
      </c>
      <c r="L24" s="5" t="s">
        <v>190</v>
      </c>
      <c r="M24" s="5" t="s">
        <v>517</v>
      </c>
      <c r="N24" s="5" t="s">
        <v>282</v>
      </c>
      <c r="O24" s="5" t="s">
        <v>447</v>
      </c>
      <c r="P24" s="19" t="str">
        <f aca="false">IF(J24="S0","—",IF(K24="","",IF(L24="E0","QM",INDEX(10_ASIL_Matrix!$D$4:$F$15,MATCH(J24&amp;"-"&amp;L24,10_ASIL_Matrix!$C$4:$C$15,0),MATCH(N24,10_ASIL_Matrix!$D$3:$F$3,0)))))</f>
        <v>A</v>
      </c>
      <c r="Q24" s="5" t="s">
        <v>448</v>
      </c>
    </row>
    <row r="25" customFormat="false" ht="35.05" hidden="false" customHeight="false" outlineLevel="0" collapsed="false">
      <c r="A25" s="6" t="s">
        <v>518</v>
      </c>
      <c r="B25" s="6" t="s">
        <v>101</v>
      </c>
      <c r="C25" s="6" t="s">
        <v>102</v>
      </c>
      <c r="D25" s="6" t="s">
        <v>137</v>
      </c>
      <c r="E25" s="6" t="s">
        <v>138</v>
      </c>
      <c r="F25" s="6" t="s">
        <v>194</v>
      </c>
      <c r="G25" s="6" t="s">
        <v>508</v>
      </c>
      <c r="H25" s="6" t="s">
        <v>228</v>
      </c>
      <c r="I25" s="6" t="s">
        <v>519</v>
      </c>
      <c r="J25" s="6" t="s">
        <v>250</v>
      </c>
      <c r="K25" s="6" t="s">
        <v>510</v>
      </c>
      <c r="L25" s="6" t="s">
        <v>205</v>
      </c>
      <c r="M25" s="6" t="s">
        <v>520</v>
      </c>
      <c r="N25" s="6" t="s">
        <v>282</v>
      </c>
      <c r="O25" s="6" t="s">
        <v>447</v>
      </c>
      <c r="P25" s="6" t="str">
        <f aca="false">IF(J25="S0","—",IF(K25="","",IF(L25="E0","QM",INDEX(10_ASIL_Matrix!$D$4:$F$15,MATCH(J25&amp;"-"&amp;L25,10_ASIL_Matrix!$C$4:$C$15,0),MATCH(N25,10_ASIL_Matrix!$D$3:$F$3,0)))))</f>
        <v>QM</v>
      </c>
      <c r="Q25" s="6" t="s">
        <v>448</v>
      </c>
    </row>
    <row r="26" customFormat="false" ht="35.05" hidden="false" customHeight="false" outlineLevel="0" collapsed="false">
      <c r="A26" s="5" t="s">
        <v>521</v>
      </c>
      <c r="B26" s="5" t="s">
        <v>101</v>
      </c>
      <c r="C26" s="5" t="s">
        <v>102</v>
      </c>
      <c r="D26" s="5" t="s">
        <v>137</v>
      </c>
      <c r="E26" s="5" t="s">
        <v>138</v>
      </c>
      <c r="F26" s="5" t="s">
        <v>194</v>
      </c>
      <c r="G26" s="5" t="s">
        <v>508</v>
      </c>
      <c r="H26" s="5" t="s">
        <v>230</v>
      </c>
      <c r="I26" s="5" t="s">
        <v>522</v>
      </c>
      <c r="J26" s="5" t="s">
        <v>250</v>
      </c>
      <c r="K26" s="5" t="s">
        <v>510</v>
      </c>
      <c r="L26" s="5" t="s">
        <v>205</v>
      </c>
      <c r="M26" s="5" t="s">
        <v>523</v>
      </c>
      <c r="N26" s="5" t="s">
        <v>286</v>
      </c>
      <c r="O26" s="5" t="s">
        <v>461</v>
      </c>
      <c r="P26" s="19" t="str">
        <f aca="false">IF(J26="S0","—",IF(K26="","",IF(L26="E0","QM",INDEX(10_ASIL_Matrix!$D$4:$F$15,MATCH(J26&amp;"-"&amp;L26,10_ASIL_Matrix!$C$4:$C$15,0),MATCH(N26,10_ASIL_Matrix!$D$3:$F$3,0)))))</f>
        <v>A</v>
      </c>
      <c r="Q26" s="5" t="s">
        <v>448</v>
      </c>
    </row>
    <row r="27" customFormat="false" ht="46.25" hidden="false" customHeight="false" outlineLevel="0" collapsed="false">
      <c r="A27" s="6" t="s">
        <v>524</v>
      </c>
      <c r="B27" s="6" t="s">
        <v>101</v>
      </c>
      <c r="C27" s="6" t="s">
        <v>102</v>
      </c>
      <c r="D27" s="6" t="s">
        <v>137</v>
      </c>
      <c r="E27" s="6" t="s">
        <v>138</v>
      </c>
      <c r="F27" s="6" t="s">
        <v>194</v>
      </c>
      <c r="G27" s="6" t="s">
        <v>508</v>
      </c>
      <c r="H27" s="6" t="s">
        <v>232</v>
      </c>
      <c r="I27" s="6" t="s">
        <v>525</v>
      </c>
      <c r="J27" s="6" t="s">
        <v>250</v>
      </c>
      <c r="K27" s="6" t="s">
        <v>510</v>
      </c>
      <c r="L27" s="6" t="s">
        <v>233</v>
      </c>
      <c r="M27" s="6" t="s">
        <v>526</v>
      </c>
      <c r="N27" s="6" t="s">
        <v>282</v>
      </c>
      <c r="O27" s="6" t="s">
        <v>447</v>
      </c>
      <c r="P27" s="6" t="str">
        <f aca="false">IF(J27="S0","—",IF(K27="","",IF(L27="E0","QM",INDEX(10_ASIL_Matrix!$D$4:$F$15,MATCH(J27&amp;"-"&amp;L27,10_ASIL_Matrix!$C$4:$C$15,0),MATCH(N27,10_ASIL_Matrix!$D$3:$F$3,0)))))</f>
        <v>QM</v>
      </c>
      <c r="Q27" s="6" t="s">
        <v>448</v>
      </c>
    </row>
    <row r="28" customFormat="false" ht="35.05" hidden="false" customHeight="false" outlineLevel="0" collapsed="false">
      <c r="A28" s="5" t="s">
        <v>527</v>
      </c>
      <c r="B28" s="5" t="s">
        <v>101</v>
      </c>
      <c r="C28" s="5" t="s">
        <v>102</v>
      </c>
      <c r="D28" s="5" t="s">
        <v>137</v>
      </c>
      <c r="E28" s="5" t="s">
        <v>138</v>
      </c>
      <c r="F28" s="5" t="s">
        <v>196</v>
      </c>
      <c r="G28" s="5" t="s">
        <v>528</v>
      </c>
      <c r="H28" s="5" t="s">
        <v>222</v>
      </c>
      <c r="I28" s="5" t="s">
        <v>529</v>
      </c>
      <c r="J28" s="5" t="s">
        <v>250</v>
      </c>
      <c r="K28" s="5" t="s">
        <v>530</v>
      </c>
      <c r="L28" s="5" t="s">
        <v>187</v>
      </c>
      <c r="M28" s="5" t="s">
        <v>531</v>
      </c>
      <c r="N28" s="5" t="s">
        <v>282</v>
      </c>
      <c r="O28" s="5" t="s">
        <v>447</v>
      </c>
      <c r="P28" s="18" t="str">
        <f aca="false">IF(J28="S0","—",IF(K28="","",IF(L28="E0","QM",INDEX(10_ASIL_Matrix!$D$4:$F$15,MATCH(J28&amp;"-"&amp;L28,10_ASIL_Matrix!$C$4:$C$15,0),MATCH(N28,10_ASIL_Matrix!$D$3:$F$3,0)))))</f>
        <v>B</v>
      </c>
      <c r="Q28" s="5" t="s">
        <v>448</v>
      </c>
    </row>
    <row r="29" customFormat="false" ht="35.05" hidden="false" customHeight="false" outlineLevel="0" collapsed="false">
      <c r="A29" s="6" t="s">
        <v>532</v>
      </c>
      <c r="B29" s="6" t="s">
        <v>101</v>
      </c>
      <c r="C29" s="6" t="s">
        <v>102</v>
      </c>
      <c r="D29" s="6" t="s">
        <v>137</v>
      </c>
      <c r="E29" s="6" t="s">
        <v>138</v>
      </c>
      <c r="F29" s="6" t="s">
        <v>196</v>
      </c>
      <c r="G29" s="6" t="s">
        <v>528</v>
      </c>
      <c r="H29" s="6" t="s">
        <v>224</v>
      </c>
      <c r="I29" s="6" t="s">
        <v>533</v>
      </c>
      <c r="J29" s="6" t="s">
        <v>250</v>
      </c>
      <c r="K29" s="6" t="s">
        <v>530</v>
      </c>
      <c r="L29" s="6" t="s">
        <v>190</v>
      </c>
      <c r="M29" s="6" t="s">
        <v>534</v>
      </c>
      <c r="N29" s="6" t="s">
        <v>282</v>
      </c>
      <c r="O29" s="6" t="s">
        <v>447</v>
      </c>
      <c r="P29" s="19" t="str">
        <f aca="false">IF(J29="S0","—",IF(K29="","",IF(L29="E0","QM",INDEX(10_ASIL_Matrix!$D$4:$F$15,MATCH(J29&amp;"-"&amp;L29,10_ASIL_Matrix!$C$4:$C$15,0),MATCH(N29,10_ASIL_Matrix!$D$3:$F$3,0)))))</f>
        <v>A</v>
      </c>
      <c r="Q29" s="6" t="s">
        <v>448</v>
      </c>
    </row>
    <row r="30" customFormat="false" ht="35.05" hidden="false" customHeight="false" outlineLevel="0" collapsed="false">
      <c r="A30" s="5" t="s">
        <v>535</v>
      </c>
      <c r="B30" s="5" t="s">
        <v>101</v>
      </c>
      <c r="C30" s="5" t="s">
        <v>102</v>
      </c>
      <c r="D30" s="5" t="s">
        <v>137</v>
      </c>
      <c r="E30" s="5" t="s">
        <v>138</v>
      </c>
      <c r="F30" s="5" t="s">
        <v>196</v>
      </c>
      <c r="G30" s="5" t="s">
        <v>528</v>
      </c>
      <c r="H30" s="5" t="s">
        <v>226</v>
      </c>
      <c r="I30" s="5" t="s">
        <v>536</v>
      </c>
      <c r="J30" s="5" t="s">
        <v>250</v>
      </c>
      <c r="K30" s="5" t="s">
        <v>530</v>
      </c>
      <c r="L30" s="5" t="s">
        <v>190</v>
      </c>
      <c r="M30" s="5" t="s">
        <v>537</v>
      </c>
      <c r="N30" s="5" t="s">
        <v>282</v>
      </c>
      <c r="O30" s="5" t="s">
        <v>447</v>
      </c>
      <c r="P30" s="19" t="str">
        <f aca="false">IF(J30="S0","—",IF(K30="","",IF(L30="E0","QM",INDEX(10_ASIL_Matrix!$D$4:$F$15,MATCH(J30&amp;"-"&amp;L30,10_ASIL_Matrix!$C$4:$C$15,0),MATCH(N30,10_ASIL_Matrix!$D$3:$F$3,0)))))</f>
        <v>A</v>
      </c>
      <c r="Q30" s="5" t="s">
        <v>448</v>
      </c>
    </row>
    <row r="31" customFormat="false" ht="35.05" hidden="false" customHeight="false" outlineLevel="0" collapsed="false">
      <c r="A31" s="6" t="s">
        <v>538</v>
      </c>
      <c r="B31" s="6" t="s">
        <v>101</v>
      </c>
      <c r="C31" s="6" t="s">
        <v>102</v>
      </c>
      <c r="D31" s="6" t="s">
        <v>137</v>
      </c>
      <c r="E31" s="6" t="s">
        <v>138</v>
      </c>
      <c r="F31" s="6" t="s">
        <v>196</v>
      </c>
      <c r="G31" s="6" t="s">
        <v>528</v>
      </c>
      <c r="H31" s="6" t="s">
        <v>228</v>
      </c>
      <c r="I31" s="6" t="s">
        <v>539</v>
      </c>
      <c r="J31" s="6" t="s">
        <v>250</v>
      </c>
      <c r="K31" s="6" t="s">
        <v>530</v>
      </c>
      <c r="L31" s="6" t="s">
        <v>205</v>
      </c>
      <c r="M31" s="6" t="s">
        <v>540</v>
      </c>
      <c r="N31" s="6" t="s">
        <v>282</v>
      </c>
      <c r="O31" s="6" t="s">
        <v>447</v>
      </c>
      <c r="P31" s="6" t="str">
        <f aca="false">IF(J31="S0","—",IF(K31="","",IF(L31="E0","QM",INDEX(10_ASIL_Matrix!$D$4:$F$15,MATCH(J31&amp;"-"&amp;L31,10_ASIL_Matrix!$C$4:$C$15,0),MATCH(N31,10_ASIL_Matrix!$D$3:$F$3,0)))))</f>
        <v>QM</v>
      </c>
      <c r="Q31" s="6" t="s">
        <v>448</v>
      </c>
    </row>
    <row r="32" customFormat="false" ht="35.05" hidden="false" customHeight="false" outlineLevel="0" collapsed="false">
      <c r="A32" s="5" t="s">
        <v>541</v>
      </c>
      <c r="B32" s="5" t="s">
        <v>101</v>
      </c>
      <c r="C32" s="5" t="s">
        <v>102</v>
      </c>
      <c r="D32" s="5" t="s">
        <v>137</v>
      </c>
      <c r="E32" s="5" t="s">
        <v>138</v>
      </c>
      <c r="F32" s="5" t="s">
        <v>196</v>
      </c>
      <c r="G32" s="5" t="s">
        <v>528</v>
      </c>
      <c r="H32" s="5" t="s">
        <v>230</v>
      </c>
      <c r="I32" s="5" t="s">
        <v>542</v>
      </c>
      <c r="J32" s="5" t="s">
        <v>250</v>
      </c>
      <c r="K32" s="5" t="s">
        <v>530</v>
      </c>
      <c r="L32" s="5" t="s">
        <v>205</v>
      </c>
      <c r="M32" s="5" t="s">
        <v>543</v>
      </c>
      <c r="N32" s="5" t="s">
        <v>286</v>
      </c>
      <c r="O32" s="5" t="s">
        <v>461</v>
      </c>
      <c r="P32" s="19" t="str">
        <f aca="false">IF(J32="S0","—",IF(K32="","",IF(L32="E0","QM",INDEX(10_ASIL_Matrix!$D$4:$F$15,MATCH(J32&amp;"-"&amp;L32,10_ASIL_Matrix!$C$4:$C$15,0),MATCH(N32,10_ASIL_Matrix!$D$3:$F$3,0)))))</f>
        <v>A</v>
      </c>
      <c r="Q32" s="5" t="s">
        <v>448</v>
      </c>
    </row>
    <row r="33" customFormat="false" ht="46.25" hidden="false" customHeight="false" outlineLevel="0" collapsed="false">
      <c r="A33" s="6" t="s">
        <v>544</v>
      </c>
      <c r="B33" s="6" t="s">
        <v>101</v>
      </c>
      <c r="C33" s="6" t="s">
        <v>102</v>
      </c>
      <c r="D33" s="6" t="s">
        <v>137</v>
      </c>
      <c r="E33" s="6" t="s">
        <v>138</v>
      </c>
      <c r="F33" s="6" t="s">
        <v>196</v>
      </c>
      <c r="G33" s="6" t="s">
        <v>528</v>
      </c>
      <c r="H33" s="6" t="s">
        <v>232</v>
      </c>
      <c r="I33" s="6" t="s">
        <v>545</v>
      </c>
      <c r="J33" s="6" t="s">
        <v>250</v>
      </c>
      <c r="K33" s="6" t="s">
        <v>530</v>
      </c>
      <c r="L33" s="6" t="s">
        <v>233</v>
      </c>
      <c r="M33" s="6" t="s">
        <v>546</v>
      </c>
      <c r="N33" s="6" t="s">
        <v>282</v>
      </c>
      <c r="O33" s="6" t="s">
        <v>447</v>
      </c>
      <c r="P33" s="6" t="str">
        <f aca="false">IF(J33="S0","—",IF(K33="","",IF(L33="E0","QM",INDEX(10_ASIL_Matrix!$D$4:$F$15,MATCH(J33&amp;"-"&amp;L33,10_ASIL_Matrix!$C$4:$C$15,0),MATCH(N33,10_ASIL_Matrix!$D$3:$F$3,0)))))</f>
        <v>QM</v>
      </c>
      <c r="Q33" s="6" t="s">
        <v>448</v>
      </c>
    </row>
    <row r="34" customFormat="false" ht="35.05" hidden="false" customHeight="false" outlineLevel="0" collapsed="false">
      <c r="A34" s="5" t="s">
        <v>547</v>
      </c>
      <c r="B34" s="5" t="s">
        <v>101</v>
      </c>
      <c r="C34" s="5" t="s">
        <v>102</v>
      </c>
      <c r="D34" s="5" t="s">
        <v>137</v>
      </c>
      <c r="E34" s="5" t="s">
        <v>138</v>
      </c>
      <c r="F34" s="5" t="s">
        <v>198</v>
      </c>
      <c r="G34" s="5" t="s">
        <v>548</v>
      </c>
      <c r="H34" s="5" t="s">
        <v>222</v>
      </c>
      <c r="I34" s="5" t="s">
        <v>549</v>
      </c>
      <c r="J34" s="5" t="s">
        <v>242</v>
      </c>
      <c r="K34" s="5" t="s">
        <v>550</v>
      </c>
      <c r="L34" s="5" t="s">
        <v>190</v>
      </c>
      <c r="M34" s="5" t="s">
        <v>551</v>
      </c>
      <c r="N34" s="5" t="s">
        <v>282</v>
      </c>
      <c r="O34" s="5" t="s">
        <v>552</v>
      </c>
      <c r="P34" s="5" t="str">
        <f aca="false">IF(J34="S0","—",IF(K34="","",IF(L34="E0","QM",INDEX(10_ASIL_Matrix!$D$4:$F$15,MATCH(J34&amp;"-"&amp;L34,10_ASIL_Matrix!$C$4:$C$15,0),MATCH(N34,10_ASIL_Matrix!$D$3:$F$3,0)))))</f>
        <v>QM</v>
      </c>
      <c r="Q34" s="5" t="s">
        <v>448</v>
      </c>
    </row>
    <row r="35" customFormat="false" ht="35.05" hidden="false" customHeight="false" outlineLevel="0" collapsed="false">
      <c r="A35" s="6" t="s">
        <v>553</v>
      </c>
      <c r="B35" s="6" t="s">
        <v>101</v>
      </c>
      <c r="C35" s="6" t="s">
        <v>102</v>
      </c>
      <c r="D35" s="6" t="s">
        <v>137</v>
      </c>
      <c r="E35" s="6" t="s">
        <v>138</v>
      </c>
      <c r="F35" s="6" t="s">
        <v>198</v>
      </c>
      <c r="G35" s="6" t="s">
        <v>548</v>
      </c>
      <c r="H35" s="6" t="s">
        <v>224</v>
      </c>
      <c r="I35" s="6" t="s">
        <v>554</v>
      </c>
      <c r="J35" s="6" t="s">
        <v>242</v>
      </c>
      <c r="K35" s="6" t="s">
        <v>550</v>
      </c>
      <c r="L35" s="6" t="s">
        <v>190</v>
      </c>
      <c r="M35" s="6" t="s">
        <v>555</v>
      </c>
      <c r="N35" s="6" t="s">
        <v>282</v>
      </c>
      <c r="O35" s="6" t="s">
        <v>552</v>
      </c>
      <c r="P35" s="6" t="str">
        <f aca="false">IF(J35="S0","—",IF(K35="","",IF(L35="E0","QM",INDEX(10_ASIL_Matrix!$D$4:$F$15,MATCH(J35&amp;"-"&amp;L35,10_ASIL_Matrix!$C$4:$C$15,0),MATCH(N35,10_ASIL_Matrix!$D$3:$F$3,0)))))</f>
        <v>QM</v>
      </c>
      <c r="Q35" s="6" t="s">
        <v>448</v>
      </c>
    </row>
    <row r="36" customFormat="false" ht="35.05" hidden="false" customHeight="false" outlineLevel="0" collapsed="false">
      <c r="A36" s="5" t="s">
        <v>556</v>
      </c>
      <c r="B36" s="5" t="s">
        <v>101</v>
      </c>
      <c r="C36" s="5" t="s">
        <v>102</v>
      </c>
      <c r="D36" s="5" t="s">
        <v>137</v>
      </c>
      <c r="E36" s="5" t="s">
        <v>138</v>
      </c>
      <c r="F36" s="5" t="s">
        <v>198</v>
      </c>
      <c r="G36" s="5" t="s">
        <v>548</v>
      </c>
      <c r="H36" s="5" t="s">
        <v>226</v>
      </c>
      <c r="I36" s="5" t="s">
        <v>557</v>
      </c>
      <c r="J36" s="5" t="s">
        <v>242</v>
      </c>
      <c r="K36" s="5" t="s">
        <v>550</v>
      </c>
      <c r="L36" s="5" t="s">
        <v>190</v>
      </c>
      <c r="M36" s="5" t="s">
        <v>558</v>
      </c>
      <c r="N36" s="5" t="s">
        <v>282</v>
      </c>
      <c r="O36" s="5" t="s">
        <v>552</v>
      </c>
      <c r="P36" s="5" t="str">
        <f aca="false">IF(J36="S0","—",IF(K36="","",IF(L36="E0","QM",INDEX(10_ASIL_Matrix!$D$4:$F$15,MATCH(J36&amp;"-"&amp;L36,10_ASIL_Matrix!$C$4:$C$15,0),MATCH(N36,10_ASIL_Matrix!$D$3:$F$3,0)))))</f>
        <v>QM</v>
      </c>
      <c r="Q36" s="5" t="s">
        <v>448</v>
      </c>
    </row>
    <row r="37" customFormat="false" ht="35.05" hidden="false" customHeight="false" outlineLevel="0" collapsed="false">
      <c r="A37" s="6" t="s">
        <v>559</v>
      </c>
      <c r="B37" s="6" t="s">
        <v>101</v>
      </c>
      <c r="C37" s="6" t="s">
        <v>102</v>
      </c>
      <c r="D37" s="6" t="s">
        <v>137</v>
      </c>
      <c r="E37" s="6" t="s">
        <v>138</v>
      </c>
      <c r="F37" s="6" t="s">
        <v>198</v>
      </c>
      <c r="G37" s="6" t="s">
        <v>548</v>
      </c>
      <c r="H37" s="6" t="s">
        <v>228</v>
      </c>
      <c r="I37" s="6" t="s">
        <v>560</v>
      </c>
      <c r="J37" s="6" t="s">
        <v>242</v>
      </c>
      <c r="K37" s="6" t="s">
        <v>550</v>
      </c>
      <c r="L37" s="6" t="s">
        <v>205</v>
      </c>
      <c r="M37" s="6" t="s">
        <v>561</v>
      </c>
      <c r="N37" s="6" t="s">
        <v>282</v>
      </c>
      <c r="O37" s="6" t="s">
        <v>552</v>
      </c>
      <c r="P37" s="6" t="str">
        <f aca="false">IF(J37="S0","—",IF(K37="","",IF(L37="E0","QM",INDEX(10_ASIL_Matrix!$D$4:$F$15,MATCH(J37&amp;"-"&amp;L37,10_ASIL_Matrix!$C$4:$C$15,0),MATCH(N37,10_ASIL_Matrix!$D$3:$F$3,0)))))</f>
        <v>QM</v>
      </c>
      <c r="Q37" s="6" t="s">
        <v>448</v>
      </c>
    </row>
    <row r="38" customFormat="false" ht="35.05" hidden="false" customHeight="false" outlineLevel="0" collapsed="false">
      <c r="A38" s="5" t="s">
        <v>562</v>
      </c>
      <c r="B38" s="5" t="s">
        <v>101</v>
      </c>
      <c r="C38" s="5" t="s">
        <v>102</v>
      </c>
      <c r="D38" s="5" t="s">
        <v>137</v>
      </c>
      <c r="E38" s="5" t="s">
        <v>138</v>
      </c>
      <c r="F38" s="5" t="s">
        <v>198</v>
      </c>
      <c r="G38" s="5" t="s">
        <v>548</v>
      </c>
      <c r="H38" s="5" t="s">
        <v>230</v>
      </c>
      <c r="I38" s="5" t="s">
        <v>563</v>
      </c>
      <c r="J38" s="5" t="s">
        <v>242</v>
      </c>
      <c r="K38" s="5" t="s">
        <v>550</v>
      </c>
      <c r="L38" s="5" t="s">
        <v>205</v>
      </c>
      <c r="M38" s="5" t="s">
        <v>564</v>
      </c>
      <c r="N38" s="5" t="s">
        <v>286</v>
      </c>
      <c r="O38" s="5" t="s">
        <v>565</v>
      </c>
      <c r="P38" s="5" t="str">
        <f aca="false">IF(J38="S0","—",IF(K38="","",IF(L38="E0","QM",INDEX(10_ASIL_Matrix!$D$4:$F$15,MATCH(J38&amp;"-"&amp;L38,10_ASIL_Matrix!$C$4:$C$15,0),MATCH(N38,10_ASIL_Matrix!$D$3:$F$3,0)))))</f>
        <v>QM</v>
      </c>
      <c r="Q38" s="5" t="s">
        <v>448</v>
      </c>
    </row>
    <row r="39" customFormat="false" ht="46.25" hidden="false" customHeight="false" outlineLevel="0" collapsed="false">
      <c r="A39" s="6" t="s">
        <v>566</v>
      </c>
      <c r="B39" s="6" t="s">
        <v>101</v>
      </c>
      <c r="C39" s="6" t="s">
        <v>102</v>
      </c>
      <c r="D39" s="6" t="s">
        <v>137</v>
      </c>
      <c r="E39" s="6" t="s">
        <v>138</v>
      </c>
      <c r="F39" s="6" t="s">
        <v>198</v>
      </c>
      <c r="G39" s="6" t="s">
        <v>548</v>
      </c>
      <c r="H39" s="6" t="s">
        <v>232</v>
      </c>
      <c r="I39" s="6" t="s">
        <v>567</v>
      </c>
      <c r="J39" s="6" t="s">
        <v>242</v>
      </c>
      <c r="K39" s="6" t="s">
        <v>550</v>
      </c>
      <c r="L39" s="6" t="s">
        <v>233</v>
      </c>
      <c r="M39" s="6" t="s">
        <v>568</v>
      </c>
      <c r="N39" s="6" t="s">
        <v>282</v>
      </c>
      <c r="O39" s="6" t="s">
        <v>552</v>
      </c>
      <c r="P39" s="6" t="str">
        <f aca="false">IF(J39="S0","—",IF(K39="","",IF(L39="E0","QM",INDEX(10_ASIL_Matrix!$D$4:$F$15,MATCH(J39&amp;"-"&amp;L39,10_ASIL_Matrix!$C$4:$C$15,0),MATCH(N39,10_ASIL_Matrix!$D$3:$F$3,0)))))</f>
        <v>QM</v>
      </c>
      <c r="Q39" s="6" t="s">
        <v>448</v>
      </c>
    </row>
    <row r="40" customFormat="false" ht="35.05" hidden="false" customHeight="false" outlineLevel="0" collapsed="false">
      <c r="A40" s="5" t="s">
        <v>569</v>
      </c>
      <c r="B40" s="5" t="s">
        <v>101</v>
      </c>
      <c r="C40" s="5" t="s">
        <v>102</v>
      </c>
      <c r="D40" s="5" t="s">
        <v>137</v>
      </c>
      <c r="E40" s="5" t="s">
        <v>138</v>
      </c>
      <c r="F40" s="5" t="s">
        <v>200</v>
      </c>
      <c r="G40" s="5" t="s">
        <v>570</v>
      </c>
      <c r="H40" s="5" t="s">
        <v>222</v>
      </c>
      <c r="I40" s="5" t="s">
        <v>571</v>
      </c>
      <c r="J40" s="5" t="s">
        <v>250</v>
      </c>
      <c r="K40" s="5" t="s">
        <v>572</v>
      </c>
      <c r="L40" s="5" t="s">
        <v>190</v>
      </c>
      <c r="M40" s="5" t="s">
        <v>573</v>
      </c>
      <c r="N40" s="5" t="s">
        <v>282</v>
      </c>
      <c r="O40" s="5" t="s">
        <v>447</v>
      </c>
      <c r="P40" s="19" t="str">
        <f aca="false">IF(J40="S0","—",IF(K40="","",IF(L40="E0","QM",INDEX(10_ASIL_Matrix!$D$4:$F$15,MATCH(J40&amp;"-"&amp;L40,10_ASIL_Matrix!$C$4:$C$15,0),MATCH(N40,10_ASIL_Matrix!$D$3:$F$3,0)))))</f>
        <v>A</v>
      </c>
      <c r="Q40" s="5" t="s">
        <v>448</v>
      </c>
    </row>
    <row r="41" customFormat="false" ht="35.05" hidden="false" customHeight="false" outlineLevel="0" collapsed="false">
      <c r="A41" s="6" t="s">
        <v>574</v>
      </c>
      <c r="B41" s="6" t="s">
        <v>101</v>
      </c>
      <c r="C41" s="6" t="s">
        <v>102</v>
      </c>
      <c r="D41" s="6" t="s">
        <v>137</v>
      </c>
      <c r="E41" s="6" t="s">
        <v>138</v>
      </c>
      <c r="F41" s="6" t="s">
        <v>200</v>
      </c>
      <c r="G41" s="6" t="s">
        <v>570</v>
      </c>
      <c r="H41" s="6" t="s">
        <v>224</v>
      </c>
      <c r="I41" s="6" t="s">
        <v>575</v>
      </c>
      <c r="J41" s="6" t="s">
        <v>250</v>
      </c>
      <c r="K41" s="6" t="s">
        <v>572</v>
      </c>
      <c r="L41" s="6" t="s">
        <v>190</v>
      </c>
      <c r="M41" s="6" t="s">
        <v>576</v>
      </c>
      <c r="N41" s="6" t="s">
        <v>282</v>
      </c>
      <c r="O41" s="6" t="s">
        <v>447</v>
      </c>
      <c r="P41" s="19" t="str">
        <f aca="false">IF(J41="S0","—",IF(K41="","",IF(L41="E0","QM",INDEX(10_ASIL_Matrix!$D$4:$F$15,MATCH(J41&amp;"-"&amp;L41,10_ASIL_Matrix!$C$4:$C$15,0),MATCH(N41,10_ASIL_Matrix!$D$3:$F$3,0)))))</f>
        <v>A</v>
      </c>
      <c r="Q41" s="6" t="s">
        <v>448</v>
      </c>
    </row>
    <row r="42" customFormat="false" ht="35.05" hidden="false" customHeight="false" outlineLevel="0" collapsed="false">
      <c r="A42" s="5" t="s">
        <v>577</v>
      </c>
      <c r="B42" s="5" t="s">
        <v>101</v>
      </c>
      <c r="C42" s="5" t="s">
        <v>102</v>
      </c>
      <c r="D42" s="5" t="s">
        <v>137</v>
      </c>
      <c r="E42" s="5" t="s">
        <v>138</v>
      </c>
      <c r="F42" s="5" t="s">
        <v>200</v>
      </c>
      <c r="G42" s="5" t="s">
        <v>570</v>
      </c>
      <c r="H42" s="5" t="s">
        <v>226</v>
      </c>
      <c r="I42" s="5" t="s">
        <v>578</v>
      </c>
      <c r="J42" s="5" t="s">
        <v>250</v>
      </c>
      <c r="K42" s="5" t="s">
        <v>572</v>
      </c>
      <c r="L42" s="5" t="s">
        <v>190</v>
      </c>
      <c r="M42" s="5" t="s">
        <v>579</v>
      </c>
      <c r="N42" s="5" t="s">
        <v>282</v>
      </c>
      <c r="O42" s="5" t="s">
        <v>447</v>
      </c>
      <c r="P42" s="19" t="str">
        <f aca="false">IF(J42="S0","—",IF(K42="","",IF(L42="E0","QM",INDEX(10_ASIL_Matrix!$D$4:$F$15,MATCH(J42&amp;"-"&amp;L42,10_ASIL_Matrix!$C$4:$C$15,0),MATCH(N42,10_ASIL_Matrix!$D$3:$F$3,0)))))</f>
        <v>A</v>
      </c>
      <c r="Q42" s="5" t="s">
        <v>448</v>
      </c>
    </row>
    <row r="43" customFormat="false" ht="35.05" hidden="false" customHeight="false" outlineLevel="0" collapsed="false">
      <c r="A43" s="6" t="s">
        <v>580</v>
      </c>
      <c r="B43" s="6" t="s">
        <v>101</v>
      </c>
      <c r="C43" s="6" t="s">
        <v>102</v>
      </c>
      <c r="D43" s="6" t="s">
        <v>137</v>
      </c>
      <c r="E43" s="6" t="s">
        <v>138</v>
      </c>
      <c r="F43" s="6" t="s">
        <v>200</v>
      </c>
      <c r="G43" s="6" t="s">
        <v>570</v>
      </c>
      <c r="H43" s="6" t="s">
        <v>228</v>
      </c>
      <c r="I43" s="6" t="s">
        <v>581</v>
      </c>
      <c r="J43" s="6" t="s">
        <v>250</v>
      </c>
      <c r="K43" s="6" t="s">
        <v>572</v>
      </c>
      <c r="L43" s="6" t="s">
        <v>205</v>
      </c>
      <c r="M43" s="6" t="s">
        <v>582</v>
      </c>
      <c r="N43" s="6" t="s">
        <v>282</v>
      </c>
      <c r="O43" s="6" t="s">
        <v>447</v>
      </c>
      <c r="P43" s="6" t="str">
        <f aca="false">IF(J43="S0","—",IF(K43="","",IF(L43="E0","QM",INDEX(10_ASIL_Matrix!$D$4:$F$15,MATCH(J43&amp;"-"&amp;L43,10_ASIL_Matrix!$C$4:$C$15,0),MATCH(N43,10_ASIL_Matrix!$D$3:$F$3,0)))))</f>
        <v>QM</v>
      </c>
      <c r="Q43" s="6" t="s">
        <v>448</v>
      </c>
    </row>
    <row r="44" customFormat="false" ht="35.05" hidden="false" customHeight="false" outlineLevel="0" collapsed="false">
      <c r="A44" s="5" t="s">
        <v>583</v>
      </c>
      <c r="B44" s="5" t="s">
        <v>101</v>
      </c>
      <c r="C44" s="5" t="s">
        <v>102</v>
      </c>
      <c r="D44" s="5" t="s">
        <v>137</v>
      </c>
      <c r="E44" s="5" t="s">
        <v>138</v>
      </c>
      <c r="F44" s="5" t="s">
        <v>200</v>
      </c>
      <c r="G44" s="5" t="s">
        <v>570</v>
      </c>
      <c r="H44" s="5" t="s">
        <v>230</v>
      </c>
      <c r="I44" s="5" t="s">
        <v>584</v>
      </c>
      <c r="J44" s="5" t="s">
        <v>250</v>
      </c>
      <c r="K44" s="5" t="s">
        <v>572</v>
      </c>
      <c r="L44" s="5" t="s">
        <v>205</v>
      </c>
      <c r="M44" s="5" t="s">
        <v>585</v>
      </c>
      <c r="N44" s="5" t="s">
        <v>286</v>
      </c>
      <c r="O44" s="5" t="s">
        <v>461</v>
      </c>
      <c r="P44" s="19" t="str">
        <f aca="false">IF(J44="S0","—",IF(K44="","",IF(L44="E0","QM",INDEX(10_ASIL_Matrix!$D$4:$F$15,MATCH(J44&amp;"-"&amp;L44,10_ASIL_Matrix!$C$4:$C$15,0),MATCH(N44,10_ASIL_Matrix!$D$3:$F$3,0)))))</f>
        <v>A</v>
      </c>
      <c r="Q44" s="5" t="s">
        <v>448</v>
      </c>
    </row>
    <row r="45" customFormat="false" ht="46.25" hidden="false" customHeight="false" outlineLevel="0" collapsed="false">
      <c r="A45" s="6" t="s">
        <v>586</v>
      </c>
      <c r="B45" s="6" t="s">
        <v>101</v>
      </c>
      <c r="C45" s="6" t="s">
        <v>102</v>
      </c>
      <c r="D45" s="6" t="s">
        <v>137</v>
      </c>
      <c r="E45" s="6" t="s">
        <v>138</v>
      </c>
      <c r="F45" s="6" t="s">
        <v>200</v>
      </c>
      <c r="G45" s="6" t="s">
        <v>570</v>
      </c>
      <c r="H45" s="6" t="s">
        <v>232</v>
      </c>
      <c r="I45" s="6" t="s">
        <v>587</v>
      </c>
      <c r="J45" s="6" t="s">
        <v>250</v>
      </c>
      <c r="K45" s="6" t="s">
        <v>572</v>
      </c>
      <c r="L45" s="6" t="s">
        <v>233</v>
      </c>
      <c r="M45" s="6" t="s">
        <v>588</v>
      </c>
      <c r="N45" s="6" t="s">
        <v>282</v>
      </c>
      <c r="O45" s="6" t="s">
        <v>447</v>
      </c>
      <c r="P45" s="6" t="str">
        <f aca="false">IF(J45="S0","—",IF(K45="","",IF(L45="E0","QM",INDEX(10_ASIL_Matrix!$D$4:$F$15,MATCH(J45&amp;"-"&amp;L45,10_ASIL_Matrix!$C$4:$C$15,0),MATCH(N45,10_ASIL_Matrix!$D$3:$F$3,0)))))</f>
        <v>QM</v>
      </c>
      <c r="Q45" s="6" t="s">
        <v>448</v>
      </c>
    </row>
    <row r="46" customFormat="false" ht="35.05" hidden="false" customHeight="false" outlineLevel="0" collapsed="false">
      <c r="A46" s="5" t="s">
        <v>589</v>
      </c>
      <c r="B46" s="5" t="s">
        <v>101</v>
      </c>
      <c r="C46" s="5" t="s">
        <v>102</v>
      </c>
      <c r="D46" s="5" t="s">
        <v>137</v>
      </c>
      <c r="E46" s="5" t="s">
        <v>138</v>
      </c>
      <c r="F46" s="5" t="s">
        <v>202</v>
      </c>
      <c r="G46" s="5" t="s">
        <v>590</v>
      </c>
      <c r="H46" s="5" t="s">
        <v>222</v>
      </c>
      <c r="I46" s="5" t="s">
        <v>591</v>
      </c>
      <c r="J46" s="5" t="s">
        <v>250</v>
      </c>
      <c r="K46" s="5" t="s">
        <v>572</v>
      </c>
      <c r="L46" s="5" t="s">
        <v>187</v>
      </c>
      <c r="M46" s="5" t="s">
        <v>592</v>
      </c>
      <c r="N46" s="5" t="s">
        <v>282</v>
      </c>
      <c r="O46" s="5" t="s">
        <v>447</v>
      </c>
      <c r="P46" s="18" t="str">
        <f aca="false">IF(J46="S0","—",IF(K46="","",IF(L46="E0","QM",INDEX(10_ASIL_Matrix!$D$4:$F$15,MATCH(J46&amp;"-"&amp;L46,10_ASIL_Matrix!$C$4:$C$15,0),MATCH(N46,10_ASIL_Matrix!$D$3:$F$3,0)))))</f>
        <v>B</v>
      </c>
      <c r="Q46" s="5" t="s">
        <v>448</v>
      </c>
    </row>
    <row r="47" customFormat="false" ht="35.05" hidden="false" customHeight="false" outlineLevel="0" collapsed="false">
      <c r="A47" s="6" t="s">
        <v>593</v>
      </c>
      <c r="B47" s="6" t="s">
        <v>101</v>
      </c>
      <c r="C47" s="6" t="s">
        <v>102</v>
      </c>
      <c r="D47" s="6" t="s">
        <v>137</v>
      </c>
      <c r="E47" s="6" t="s">
        <v>138</v>
      </c>
      <c r="F47" s="6" t="s">
        <v>202</v>
      </c>
      <c r="G47" s="6" t="s">
        <v>590</v>
      </c>
      <c r="H47" s="6" t="s">
        <v>224</v>
      </c>
      <c r="I47" s="6" t="s">
        <v>594</v>
      </c>
      <c r="J47" s="6" t="s">
        <v>250</v>
      </c>
      <c r="K47" s="6" t="s">
        <v>572</v>
      </c>
      <c r="L47" s="6" t="s">
        <v>190</v>
      </c>
      <c r="M47" s="6" t="s">
        <v>595</v>
      </c>
      <c r="N47" s="6" t="s">
        <v>282</v>
      </c>
      <c r="O47" s="6" t="s">
        <v>447</v>
      </c>
      <c r="P47" s="19" t="str">
        <f aca="false">IF(J47="S0","—",IF(K47="","",IF(L47="E0","QM",INDEX(10_ASIL_Matrix!$D$4:$F$15,MATCH(J47&amp;"-"&amp;L47,10_ASIL_Matrix!$C$4:$C$15,0),MATCH(N47,10_ASIL_Matrix!$D$3:$F$3,0)))))</f>
        <v>A</v>
      </c>
      <c r="Q47" s="6" t="s">
        <v>448</v>
      </c>
    </row>
    <row r="48" customFormat="false" ht="35.05" hidden="false" customHeight="false" outlineLevel="0" collapsed="false">
      <c r="A48" s="5" t="s">
        <v>596</v>
      </c>
      <c r="B48" s="5" t="s">
        <v>101</v>
      </c>
      <c r="C48" s="5" t="s">
        <v>102</v>
      </c>
      <c r="D48" s="5" t="s">
        <v>137</v>
      </c>
      <c r="E48" s="5" t="s">
        <v>138</v>
      </c>
      <c r="F48" s="5" t="s">
        <v>202</v>
      </c>
      <c r="G48" s="5" t="s">
        <v>590</v>
      </c>
      <c r="H48" s="5" t="s">
        <v>226</v>
      </c>
      <c r="I48" s="5" t="s">
        <v>597</v>
      </c>
      <c r="J48" s="5" t="s">
        <v>250</v>
      </c>
      <c r="K48" s="5" t="s">
        <v>572</v>
      </c>
      <c r="L48" s="5" t="s">
        <v>190</v>
      </c>
      <c r="M48" s="5" t="s">
        <v>598</v>
      </c>
      <c r="N48" s="5" t="s">
        <v>282</v>
      </c>
      <c r="O48" s="5" t="s">
        <v>447</v>
      </c>
      <c r="P48" s="19" t="str">
        <f aca="false">IF(J48="S0","—",IF(K48="","",IF(L48="E0","QM",INDEX(10_ASIL_Matrix!$D$4:$F$15,MATCH(J48&amp;"-"&amp;L48,10_ASIL_Matrix!$C$4:$C$15,0),MATCH(N48,10_ASIL_Matrix!$D$3:$F$3,0)))))</f>
        <v>A</v>
      </c>
      <c r="Q48" s="5" t="s">
        <v>448</v>
      </c>
    </row>
    <row r="49" customFormat="false" ht="35.05" hidden="false" customHeight="false" outlineLevel="0" collapsed="false">
      <c r="A49" s="6" t="s">
        <v>599</v>
      </c>
      <c r="B49" s="6" t="s">
        <v>101</v>
      </c>
      <c r="C49" s="6" t="s">
        <v>102</v>
      </c>
      <c r="D49" s="6" t="s">
        <v>137</v>
      </c>
      <c r="E49" s="6" t="s">
        <v>138</v>
      </c>
      <c r="F49" s="6" t="s">
        <v>202</v>
      </c>
      <c r="G49" s="6" t="s">
        <v>590</v>
      </c>
      <c r="H49" s="6" t="s">
        <v>228</v>
      </c>
      <c r="I49" s="6" t="s">
        <v>600</v>
      </c>
      <c r="J49" s="6" t="s">
        <v>250</v>
      </c>
      <c r="K49" s="6" t="s">
        <v>572</v>
      </c>
      <c r="L49" s="6" t="s">
        <v>205</v>
      </c>
      <c r="M49" s="6" t="s">
        <v>601</v>
      </c>
      <c r="N49" s="6" t="s">
        <v>282</v>
      </c>
      <c r="O49" s="6" t="s">
        <v>447</v>
      </c>
      <c r="P49" s="6" t="str">
        <f aca="false">IF(J49="S0","—",IF(K49="","",IF(L49="E0","QM",INDEX(10_ASIL_Matrix!$D$4:$F$15,MATCH(J49&amp;"-"&amp;L49,10_ASIL_Matrix!$C$4:$C$15,0),MATCH(N49,10_ASIL_Matrix!$D$3:$F$3,0)))))</f>
        <v>QM</v>
      </c>
      <c r="Q49" s="6" t="s">
        <v>448</v>
      </c>
    </row>
    <row r="50" customFormat="false" ht="35.05" hidden="false" customHeight="false" outlineLevel="0" collapsed="false">
      <c r="A50" s="5" t="s">
        <v>602</v>
      </c>
      <c r="B50" s="5" t="s">
        <v>101</v>
      </c>
      <c r="C50" s="5" t="s">
        <v>102</v>
      </c>
      <c r="D50" s="5" t="s">
        <v>137</v>
      </c>
      <c r="E50" s="5" t="s">
        <v>138</v>
      </c>
      <c r="F50" s="5" t="s">
        <v>202</v>
      </c>
      <c r="G50" s="5" t="s">
        <v>590</v>
      </c>
      <c r="H50" s="5" t="s">
        <v>230</v>
      </c>
      <c r="I50" s="5" t="s">
        <v>603</v>
      </c>
      <c r="J50" s="5" t="s">
        <v>250</v>
      </c>
      <c r="K50" s="5" t="s">
        <v>572</v>
      </c>
      <c r="L50" s="5" t="s">
        <v>205</v>
      </c>
      <c r="M50" s="5" t="s">
        <v>604</v>
      </c>
      <c r="N50" s="5" t="s">
        <v>286</v>
      </c>
      <c r="O50" s="5" t="s">
        <v>461</v>
      </c>
      <c r="P50" s="19" t="str">
        <f aca="false">IF(J50="S0","—",IF(K50="","",IF(L50="E0","QM",INDEX(10_ASIL_Matrix!$D$4:$F$15,MATCH(J50&amp;"-"&amp;L50,10_ASIL_Matrix!$C$4:$C$15,0),MATCH(N50,10_ASIL_Matrix!$D$3:$F$3,0)))))</f>
        <v>A</v>
      </c>
      <c r="Q50" s="5" t="s">
        <v>448</v>
      </c>
    </row>
    <row r="51" customFormat="false" ht="46.25" hidden="false" customHeight="false" outlineLevel="0" collapsed="false">
      <c r="A51" s="6" t="s">
        <v>605</v>
      </c>
      <c r="B51" s="6" t="s">
        <v>101</v>
      </c>
      <c r="C51" s="6" t="s">
        <v>102</v>
      </c>
      <c r="D51" s="6" t="s">
        <v>137</v>
      </c>
      <c r="E51" s="6" t="s">
        <v>138</v>
      </c>
      <c r="F51" s="6" t="s">
        <v>202</v>
      </c>
      <c r="G51" s="6" t="s">
        <v>590</v>
      </c>
      <c r="H51" s="6" t="s">
        <v>232</v>
      </c>
      <c r="I51" s="6" t="s">
        <v>606</v>
      </c>
      <c r="J51" s="6" t="s">
        <v>250</v>
      </c>
      <c r="K51" s="6" t="s">
        <v>572</v>
      </c>
      <c r="L51" s="6" t="s">
        <v>233</v>
      </c>
      <c r="M51" s="6" t="s">
        <v>607</v>
      </c>
      <c r="N51" s="6" t="s">
        <v>282</v>
      </c>
      <c r="O51" s="6" t="s">
        <v>447</v>
      </c>
      <c r="P51" s="6" t="str">
        <f aca="false">IF(J51="S0","—",IF(K51="","",IF(L51="E0","QM",INDEX(10_ASIL_Matrix!$D$4:$F$15,MATCH(J51&amp;"-"&amp;L51,10_ASIL_Matrix!$C$4:$C$15,0),MATCH(N51,10_ASIL_Matrix!$D$3:$F$3,0)))))</f>
        <v>QM</v>
      </c>
      <c r="Q51" s="6" t="s">
        <v>448</v>
      </c>
    </row>
    <row r="52" customFormat="false" ht="35.05" hidden="false" customHeight="false" outlineLevel="0" collapsed="false">
      <c r="A52" s="5" t="s">
        <v>608</v>
      </c>
      <c r="B52" s="5" t="s">
        <v>101</v>
      </c>
      <c r="C52" s="5" t="s">
        <v>102</v>
      </c>
      <c r="D52" s="5" t="s">
        <v>137</v>
      </c>
      <c r="E52" s="5" t="s">
        <v>138</v>
      </c>
      <c r="F52" s="5" t="s">
        <v>204</v>
      </c>
      <c r="G52" s="5" t="s">
        <v>609</v>
      </c>
      <c r="H52" s="5" t="s">
        <v>222</v>
      </c>
      <c r="I52" s="5" t="s">
        <v>610</v>
      </c>
      <c r="J52" s="5" t="s">
        <v>250</v>
      </c>
      <c r="K52" s="5" t="s">
        <v>611</v>
      </c>
      <c r="L52" s="5" t="s">
        <v>205</v>
      </c>
      <c r="M52" s="5" t="s">
        <v>612</v>
      </c>
      <c r="N52" s="5" t="s">
        <v>282</v>
      </c>
      <c r="O52" s="5" t="s">
        <v>613</v>
      </c>
      <c r="P52" s="5" t="str">
        <f aca="false">IF(J52="S0","—",IF(K52="","",IF(L52="E0","QM",INDEX(10_ASIL_Matrix!$D$4:$F$15,MATCH(J52&amp;"-"&amp;L52,10_ASIL_Matrix!$C$4:$C$15,0),MATCH(N52,10_ASIL_Matrix!$D$3:$F$3,0)))))</f>
        <v>QM</v>
      </c>
      <c r="Q52" s="5" t="s">
        <v>448</v>
      </c>
    </row>
    <row r="53" customFormat="false" ht="35.05" hidden="false" customHeight="false" outlineLevel="0" collapsed="false">
      <c r="A53" s="6" t="s">
        <v>614</v>
      </c>
      <c r="B53" s="6" t="s">
        <v>101</v>
      </c>
      <c r="C53" s="6" t="s">
        <v>102</v>
      </c>
      <c r="D53" s="6" t="s">
        <v>137</v>
      </c>
      <c r="E53" s="6" t="s">
        <v>138</v>
      </c>
      <c r="F53" s="6" t="s">
        <v>204</v>
      </c>
      <c r="G53" s="6" t="s">
        <v>609</v>
      </c>
      <c r="H53" s="6" t="s">
        <v>224</v>
      </c>
      <c r="I53" s="6" t="s">
        <v>615</v>
      </c>
      <c r="J53" s="6" t="s">
        <v>250</v>
      </c>
      <c r="K53" s="6" t="s">
        <v>611</v>
      </c>
      <c r="L53" s="6" t="s">
        <v>205</v>
      </c>
      <c r="M53" s="6" t="s">
        <v>616</v>
      </c>
      <c r="N53" s="6" t="s">
        <v>282</v>
      </c>
      <c r="O53" s="6" t="s">
        <v>613</v>
      </c>
      <c r="P53" s="6" t="str">
        <f aca="false">IF(J53="S0","—",IF(K53="","",IF(L53="E0","QM",INDEX(10_ASIL_Matrix!$D$4:$F$15,MATCH(J53&amp;"-"&amp;L53,10_ASIL_Matrix!$C$4:$C$15,0),MATCH(N53,10_ASIL_Matrix!$D$3:$F$3,0)))))</f>
        <v>QM</v>
      </c>
      <c r="Q53" s="6" t="s">
        <v>448</v>
      </c>
    </row>
    <row r="54" customFormat="false" ht="35.05" hidden="false" customHeight="false" outlineLevel="0" collapsed="false">
      <c r="A54" s="5" t="s">
        <v>617</v>
      </c>
      <c r="B54" s="5" t="s">
        <v>101</v>
      </c>
      <c r="C54" s="5" t="s">
        <v>102</v>
      </c>
      <c r="D54" s="5" t="s">
        <v>137</v>
      </c>
      <c r="E54" s="5" t="s">
        <v>138</v>
      </c>
      <c r="F54" s="5" t="s">
        <v>204</v>
      </c>
      <c r="G54" s="5" t="s">
        <v>609</v>
      </c>
      <c r="H54" s="5" t="s">
        <v>226</v>
      </c>
      <c r="I54" s="5" t="s">
        <v>618</v>
      </c>
      <c r="J54" s="5" t="s">
        <v>250</v>
      </c>
      <c r="K54" s="5" t="s">
        <v>611</v>
      </c>
      <c r="L54" s="5" t="s">
        <v>205</v>
      </c>
      <c r="M54" s="5" t="s">
        <v>619</v>
      </c>
      <c r="N54" s="5" t="s">
        <v>282</v>
      </c>
      <c r="O54" s="5" t="s">
        <v>613</v>
      </c>
      <c r="P54" s="5" t="str">
        <f aca="false">IF(J54="S0","—",IF(K54="","",IF(L54="E0","QM",INDEX(10_ASIL_Matrix!$D$4:$F$15,MATCH(J54&amp;"-"&amp;L54,10_ASIL_Matrix!$C$4:$C$15,0),MATCH(N54,10_ASIL_Matrix!$D$3:$F$3,0)))))</f>
        <v>QM</v>
      </c>
      <c r="Q54" s="5" t="s">
        <v>448</v>
      </c>
    </row>
    <row r="55" customFormat="false" ht="35.05" hidden="false" customHeight="false" outlineLevel="0" collapsed="false">
      <c r="A55" s="6" t="s">
        <v>620</v>
      </c>
      <c r="B55" s="6" t="s">
        <v>101</v>
      </c>
      <c r="C55" s="6" t="s">
        <v>102</v>
      </c>
      <c r="D55" s="6" t="s">
        <v>137</v>
      </c>
      <c r="E55" s="6" t="s">
        <v>138</v>
      </c>
      <c r="F55" s="6" t="s">
        <v>204</v>
      </c>
      <c r="G55" s="6" t="s">
        <v>609</v>
      </c>
      <c r="H55" s="6" t="s">
        <v>228</v>
      </c>
      <c r="I55" s="6" t="s">
        <v>621</v>
      </c>
      <c r="J55" s="6" t="s">
        <v>250</v>
      </c>
      <c r="K55" s="6" t="s">
        <v>611</v>
      </c>
      <c r="L55" s="6" t="s">
        <v>205</v>
      </c>
      <c r="M55" s="6" t="s">
        <v>622</v>
      </c>
      <c r="N55" s="6" t="s">
        <v>282</v>
      </c>
      <c r="O55" s="6" t="s">
        <v>613</v>
      </c>
      <c r="P55" s="6" t="str">
        <f aca="false">IF(J55="S0","—",IF(K55="","",IF(L55="E0","QM",INDEX(10_ASIL_Matrix!$D$4:$F$15,MATCH(J55&amp;"-"&amp;L55,10_ASIL_Matrix!$C$4:$C$15,0),MATCH(N55,10_ASIL_Matrix!$D$3:$F$3,0)))))</f>
        <v>QM</v>
      </c>
      <c r="Q55" s="6" t="s">
        <v>448</v>
      </c>
    </row>
    <row r="56" customFormat="false" ht="35.05" hidden="false" customHeight="false" outlineLevel="0" collapsed="false">
      <c r="A56" s="5" t="s">
        <v>623</v>
      </c>
      <c r="B56" s="5" t="s">
        <v>101</v>
      </c>
      <c r="C56" s="5" t="s">
        <v>102</v>
      </c>
      <c r="D56" s="5" t="s">
        <v>137</v>
      </c>
      <c r="E56" s="5" t="s">
        <v>138</v>
      </c>
      <c r="F56" s="5" t="s">
        <v>204</v>
      </c>
      <c r="G56" s="5" t="s">
        <v>609</v>
      </c>
      <c r="H56" s="5" t="s">
        <v>230</v>
      </c>
      <c r="I56" s="5" t="s">
        <v>624</v>
      </c>
      <c r="J56" s="5" t="s">
        <v>250</v>
      </c>
      <c r="K56" s="5" t="s">
        <v>611</v>
      </c>
      <c r="L56" s="5" t="s">
        <v>205</v>
      </c>
      <c r="M56" s="5" t="s">
        <v>625</v>
      </c>
      <c r="N56" s="5" t="s">
        <v>286</v>
      </c>
      <c r="O56" s="5" t="s">
        <v>626</v>
      </c>
      <c r="P56" s="19" t="str">
        <f aca="false">IF(J56="S0","—",IF(K56="","",IF(L56="E0","QM",INDEX(10_ASIL_Matrix!$D$4:$F$15,MATCH(J56&amp;"-"&amp;L56,10_ASIL_Matrix!$C$4:$C$15,0),MATCH(N56,10_ASIL_Matrix!$D$3:$F$3,0)))))</f>
        <v>A</v>
      </c>
      <c r="Q56" s="5" t="s">
        <v>448</v>
      </c>
    </row>
    <row r="57" customFormat="false" ht="46.25" hidden="false" customHeight="false" outlineLevel="0" collapsed="false">
      <c r="A57" s="6" t="s">
        <v>627</v>
      </c>
      <c r="B57" s="6" t="s">
        <v>101</v>
      </c>
      <c r="C57" s="6" t="s">
        <v>102</v>
      </c>
      <c r="D57" s="6" t="s">
        <v>137</v>
      </c>
      <c r="E57" s="6" t="s">
        <v>138</v>
      </c>
      <c r="F57" s="6" t="s">
        <v>204</v>
      </c>
      <c r="G57" s="6" t="s">
        <v>609</v>
      </c>
      <c r="H57" s="6" t="s">
        <v>232</v>
      </c>
      <c r="I57" s="6" t="s">
        <v>628</v>
      </c>
      <c r="J57" s="6" t="s">
        <v>250</v>
      </c>
      <c r="K57" s="6" t="s">
        <v>611</v>
      </c>
      <c r="L57" s="6" t="s">
        <v>233</v>
      </c>
      <c r="M57" s="6" t="s">
        <v>629</v>
      </c>
      <c r="N57" s="6" t="s">
        <v>282</v>
      </c>
      <c r="O57" s="6" t="s">
        <v>613</v>
      </c>
      <c r="P57" s="6" t="str">
        <f aca="false">IF(J57="S0","—",IF(K57="","",IF(L57="E0","QM",INDEX(10_ASIL_Matrix!$D$4:$F$15,MATCH(J57&amp;"-"&amp;L57,10_ASIL_Matrix!$C$4:$C$15,0),MATCH(N57,10_ASIL_Matrix!$D$3:$F$3,0)))))</f>
        <v>QM</v>
      </c>
      <c r="Q57" s="6" t="s">
        <v>448</v>
      </c>
    </row>
    <row r="58" customFormat="false" ht="35.05" hidden="false" customHeight="false" outlineLevel="0" collapsed="false">
      <c r="A58" s="5" t="s">
        <v>630</v>
      </c>
      <c r="B58" s="5" t="s">
        <v>101</v>
      </c>
      <c r="C58" s="5" t="s">
        <v>102</v>
      </c>
      <c r="D58" s="5" t="s">
        <v>137</v>
      </c>
      <c r="E58" s="5" t="s">
        <v>138</v>
      </c>
      <c r="F58" s="5" t="s">
        <v>207</v>
      </c>
      <c r="G58" s="5" t="s">
        <v>609</v>
      </c>
      <c r="H58" s="5" t="s">
        <v>222</v>
      </c>
      <c r="I58" s="5" t="s">
        <v>631</v>
      </c>
      <c r="J58" s="5" t="s">
        <v>238</v>
      </c>
      <c r="K58" s="5" t="s">
        <v>632</v>
      </c>
      <c r="L58" s="5" t="s">
        <v>190</v>
      </c>
      <c r="M58" s="5" t="s">
        <v>633</v>
      </c>
      <c r="N58" s="5" t="s">
        <v>278</v>
      </c>
      <c r="O58" s="5" t="s">
        <v>634</v>
      </c>
      <c r="P58" s="5" t="str">
        <f aca="false">IF(J58="S0","—",IF(K58="","",IF(L58="E0","QM",INDEX(10_ASIL_Matrix!$D$4:$F$15,MATCH(J58&amp;"-"&amp;L58,10_ASIL_Matrix!$C$4:$C$15,0),MATCH(N58,10_ASIL_Matrix!$D$3:$F$3,0)))))</f>
        <v>—</v>
      </c>
      <c r="Q58" s="5" t="s">
        <v>448</v>
      </c>
    </row>
    <row r="59" customFormat="false" ht="35.05" hidden="false" customHeight="false" outlineLevel="0" collapsed="false">
      <c r="A59" s="6" t="s">
        <v>635</v>
      </c>
      <c r="B59" s="6" t="s">
        <v>101</v>
      </c>
      <c r="C59" s="6" t="s">
        <v>102</v>
      </c>
      <c r="D59" s="6" t="s">
        <v>137</v>
      </c>
      <c r="E59" s="6" t="s">
        <v>138</v>
      </c>
      <c r="F59" s="6" t="s">
        <v>207</v>
      </c>
      <c r="G59" s="6" t="s">
        <v>609</v>
      </c>
      <c r="H59" s="6" t="s">
        <v>224</v>
      </c>
      <c r="I59" s="6" t="s">
        <v>636</v>
      </c>
      <c r="J59" s="6" t="s">
        <v>238</v>
      </c>
      <c r="K59" s="6" t="s">
        <v>632</v>
      </c>
      <c r="L59" s="6" t="s">
        <v>190</v>
      </c>
      <c r="M59" s="6" t="s">
        <v>637</v>
      </c>
      <c r="N59" s="6" t="s">
        <v>278</v>
      </c>
      <c r="O59" s="6" t="s">
        <v>634</v>
      </c>
      <c r="P59" s="6" t="str">
        <f aca="false">IF(J59="S0","—",IF(K59="","",IF(L59="E0","QM",INDEX(10_ASIL_Matrix!$D$4:$F$15,MATCH(J59&amp;"-"&amp;L59,10_ASIL_Matrix!$C$4:$C$15,0),MATCH(N59,10_ASIL_Matrix!$D$3:$F$3,0)))))</f>
        <v>—</v>
      </c>
      <c r="Q59" s="6" t="s">
        <v>448</v>
      </c>
    </row>
    <row r="60" customFormat="false" ht="35.05" hidden="false" customHeight="false" outlineLevel="0" collapsed="false">
      <c r="A60" s="5" t="s">
        <v>638</v>
      </c>
      <c r="B60" s="5" t="s">
        <v>101</v>
      </c>
      <c r="C60" s="5" t="s">
        <v>102</v>
      </c>
      <c r="D60" s="5" t="s">
        <v>137</v>
      </c>
      <c r="E60" s="5" t="s">
        <v>138</v>
      </c>
      <c r="F60" s="5" t="s">
        <v>207</v>
      </c>
      <c r="G60" s="5" t="s">
        <v>609</v>
      </c>
      <c r="H60" s="5" t="s">
        <v>226</v>
      </c>
      <c r="I60" s="5" t="s">
        <v>639</v>
      </c>
      <c r="J60" s="5" t="s">
        <v>238</v>
      </c>
      <c r="K60" s="5" t="s">
        <v>632</v>
      </c>
      <c r="L60" s="5" t="s">
        <v>190</v>
      </c>
      <c r="M60" s="5" t="s">
        <v>640</v>
      </c>
      <c r="N60" s="5" t="s">
        <v>278</v>
      </c>
      <c r="O60" s="5" t="s">
        <v>634</v>
      </c>
      <c r="P60" s="5" t="str">
        <f aca="false">IF(J60="S0","—",IF(K60="","",IF(L60="E0","QM",INDEX(10_ASIL_Matrix!$D$4:$F$15,MATCH(J60&amp;"-"&amp;L60,10_ASIL_Matrix!$C$4:$C$15,0),MATCH(N60,10_ASIL_Matrix!$D$3:$F$3,0)))))</f>
        <v>—</v>
      </c>
      <c r="Q60" s="5" t="s">
        <v>448</v>
      </c>
    </row>
    <row r="61" customFormat="false" ht="35.05" hidden="false" customHeight="false" outlineLevel="0" collapsed="false">
      <c r="A61" s="6" t="s">
        <v>641</v>
      </c>
      <c r="B61" s="6" t="s">
        <v>101</v>
      </c>
      <c r="C61" s="6" t="s">
        <v>102</v>
      </c>
      <c r="D61" s="6" t="s">
        <v>137</v>
      </c>
      <c r="E61" s="6" t="s">
        <v>138</v>
      </c>
      <c r="F61" s="6" t="s">
        <v>207</v>
      </c>
      <c r="G61" s="6" t="s">
        <v>609</v>
      </c>
      <c r="H61" s="6" t="s">
        <v>228</v>
      </c>
      <c r="I61" s="6" t="s">
        <v>642</v>
      </c>
      <c r="J61" s="6" t="s">
        <v>238</v>
      </c>
      <c r="K61" s="6" t="s">
        <v>632</v>
      </c>
      <c r="L61" s="6" t="s">
        <v>205</v>
      </c>
      <c r="M61" s="6" t="s">
        <v>643</v>
      </c>
      <c r="N61" s="6" t="s">
        <v>278</v>
      </c>
      <c r="O61" s="6" t="s">
        <v>634</v>
      </c>
      <c r="P61" s="6" t="str">
        <f aca="false">IF(J61="S0","—",IF(K61="","",IF(L61="E0","QM",INDEX(10_ASIL_Matrix!$D$4:$F$15,MATCH(J61&amp;"-"&amp;L61,10_ASIL_Matrix!$C$4:$C$15,0),MATCH(N61,10_ASIL_Matrix!$D$3:$F$3,0)))))</f>
        <v>—</v>
      </c>
      <c r="Q61" s="6" t="s">
        <v>448</v>
      </c>
    </row>
    <row r="62" customFormat="false" ht="35.05" hidden="false" customHeight="false" outlineLevel="0" collapsed="false">
      <c r="A62" s="5" t="s">
        <v>644</v>
      </c>
      <c r="B62" s="5" t="s">
        <v>101</v>
      </c>
      <c r="C62" s="5" t="s">
        <v>102</v>
      </c>
      <c r="D62" s="5" t="s">
        <v>137</v>
      </c>
      <c r="E62" s="5" t="s">
        <v>138</v>
      </c>
      <c r="F62" s="5" t="s">
        <v>207</v>
      </c>
      <c r="G62" s="5" t="s">
        <v>609</v>
      </c>
      <c r="H62" s="5" t="s">
        <v>230</v>
      </c>
      <c r="I62" s="5" t="s">
        <v>645</v>
      </c>
      <c r="J62" s="5" t="s">
        <v>238</v>
      </c>
      <c r="K62" s="5" t="s">
        <v>632</v>
      </c>
      <c r="L62" s="5" t="s">
        <v>205</v>
      </c>
      <c r="M62" s="5" t="s">
        <v>646</v>
      </c>
      <c r="N62" s="5" t="s">
        <v>278</v>
      </c>
      <c r="O62" s="5" t="s">
        <v>634</v>
      </c>
      <c r="P62" s="5" t="str">
        <f aca="false">IF(J62="S0","—",IF(K62="","",IF(L62="E0","QM",INDEX(10_ASIL_Matrix!$D$4:$F$15,MATCH(J62&amp;"-"&amp;L62,10_ASIL_Matrix!$C$4:$C$15,0),MATCH(N62,10_ASIL_Matrix!$D$3:$F$3,0)))))</f>
        <v>—</v>
      </c>
      <c r="Q62" s="5" t="s">
        <v>448</v>
      </c>
    </row>
    <row r="63" customFormat="false" ht="46.25" hidden="false" customHeight="false" outlineLevel="0" collapsed="false">
      <c r="A63" s="6" t="s">
        <v>647</v>
      </c>
      <c r="B63" s="6" t="s">
        <v>101</v>
      </c>
      <c r="C63" s="6" t="s">
        <v>102</v>
      </c>
      <c r="D63" s="6" t="s">
        <v>137</v>
      </c>
      <c r="E63" s="6" t="s">
        <v>138</v>
      </c>
      <c r="F63" s="6" t="s">
        <v>207</v>
      </c>
      <c r="G63" s="6" t="s">
        <v>609</v>
      </c>
      <c r="H63" s="6" t="s">
        <v>232</v>
      </c>
      <c r="I63" s="6" t="s">
        <v>648</v>
      </c>
      <c r="J63" s="6" t="s">
        <v>238</v>
      </c>
      <c r="K63" s="6" t="s">
        <v>632</v>
      </c>
      <c r="L63" s="6" t="s">
        <v>233</v>
      </c>
      <c r="M63" s="6" t="s">
        <v>649</v>
      </c>
      <c r="N63" s="6" t="s">
        <v>278</v>
      </c>
      <c r="O63" s="6" t="s">
        <v>634</v>
      </c>
      <c r="P63" s="6" t="str">
        <f aca="false">IF(J63="S0","—",IF(K63="","",IF(L63="E0","QM",INDEX(10_ASIL_Matrix!$D$4:$F$15,MATCH(J63&amp;"-"&amp;L63,10_ASIL_Matrix!$C$4:$C$15,0),MATCH(N63,10_ASIL_Matrix!$D$3:$F$3,0)))))</f>
        <v>—</v>
      </c>
      <c r="Q63" s="6" t="s">
        <v>448</v>
      </c>
    </row>
    <row r="64" customFormat="false" ht="35.05" hidden="false" customHeight="false" outlineLevel="0" collapsed="false">
      <c r="A64" s="5" t="s">
        <v>650</v>
      </c>
      <c r="B64" s="5" t="s">
        <v>101</v>
      </c>
      <c r="C64" s="5" t="s">
        <v>102</v>
      </c>
      <c r="D64" s="5" t="s">
        <v>137</v>
      </c>
      <c r="E64" s="5" t="s">
        <v>138</v>
      </c>
      <c r="F64" s="5" t="s">
        <v>209</v>
      </c>
      <c r="G64" s="5" t="s">
        <v>570</v>
      </c>
      <c r="H64" s="5" t="s">
        <v>222</v>
      </c>
      <c r="I64" s="5" t="s">
        <v>651</v>
      </c>
      <c r="J64" s="5" t="s">
        <v>250</v>
      </c>
      <c r="K64" s="5" t="s">
        <v>652</v>
      </c>
      <c r="L64" s="5" t="s">
        <v>190</v>
      </c>
      <c r="M64" s="5" t="s">
        <v>653</v>
      </c>
      <c r="N64" s="5" t="s">
        <v>286</v>
      </c>
      <c r="O64" s="5" t="s">
        <v>470</v>
      </c>
      <c r="P64" s="18" t="str">
        <f aca="false">IF(J64="S0","—",IF(K64="","",IF(L64="E0","QM",INDEX(10_ASIL_Matrix!$D$4:$F$15,MATCH(J64&amp;"-"&amp;L64,10_ASIL_Matrix!$C$4:$C$15,0),MATCH(N64,10_ASIL_Matrix!$D$3:$F$3,0)))))</f>
        <v>B</v>
      </c>
      <c r="Q64" s="5" t="s">
        <v>448</v>
      </c>
    </row>
    <row r="65" customFormat="false" ht="35.05" hidden="false" customHeight="false" outlineLevel="0" collapsed="false">
      <c r="A65" s="6" t="s">
        <v>654</v>
      </c>
      <c r="B65" s="6" t="s">
        <v>101</v>
      </c>
      <c r="C65" s="6" t="s">
        <v>102</v>
      </c>
      <c r="D65" s="6" t="s">
        <v>137</v>
      </c>
      <c r="E65" s="6" t="s">
        <v>138</v>
      </c>
      <c r="F65" s="6" t="s">
        <v>209</v>
      </c>
      <c r="G65" s="6" t="s">
        <v>570</v>
      </c>
      <c r="H65" s="6" t="s">
        <v>224</v>
      </c>
      <c r="I65" s="6" t="s">
        <v>655</v>
      </c>
      <c r="J65" s="6" t="s">
        <v>250</v>
      </c>
      <c r="K65" s="6" t="s">
        <v>652</v>
      </c>
      <c r="L65" s="6" t="s">
        <v>190</v>
      </c>
      <c r="M65" s="6" t="s">
        <v>656</v>
      </c>
      <c r="N65" s="6" t="s">
        <v>286</v>
      </c>
      <c r="O65" s="6" t="s">
        <v>470</v>
      </c>
      <c r="P65" s="18" t="str">
        <f aca="false">IF(J65="S0","—",IF(K65="","",IF(L65="E0","QM",INDEX(10_ASIL_Matrix!$D$4:$F$15,MATCH(J65&amp;"-"&amp;L65,10_ASIL_Matrix!$C$4:$C$15,0),MATCH(N65,10_ASIL_Matrix!$D$3:$F$3,0)))))</f>
        <v>B</v>
      </c>
      <c r="Q65" s="6" t="s">
        <v>448</v>
      </c>
    </row>
    <row r="66" customFormat="false" ht="35.05" hidden="false" customHeight="false" outlineLevel="0" collapsed="false">
      <c r="A66" s="5" t="s">
        <v>657</v>
      </c>
      <c r="B66" s="5" t="s">
        <v>101</v>
      </c>
      <c r="C66" s="5" t="s">
        <v>102</v>
      </c>
      <c r="D66" s="5" t="s">
        <v>137</v>
      </c>
      <c r="E66" s="5" t="s">
        <v>138</v>
      </c>
      <c r="F66" s="5" t="s">
        <v>209</v>
      </c>
      <c r="G66" s="5" t="s">
        <v>570</v>
      </c>
      <c r="H66" s="5" t="s">
        <v>226</v>
      </c>
      <c r="I66" s="5" t="s">
        <v>658</v>
      </c>
      <c r="J66" s="5" t="s">
        <v>250</v>
      </c>
      <c r="K66" s="5" t="s">
        <v>652</v>
      </c>
      <c r="L66" s="5" t="s">
        <v>190</v>
      </c>
      <c r="M66" s="5" t="s">
        <v>659</v>
      </c>
      <c r="N66" s="5" t="s">
        <v>286</v>
      </c>
      <c r="O66" s="5" t="s">
        <v>470</v>
      </c>
      <c r="P66" s="18" t="str">
        <f aca="false">IF(J66="S0","—",IF(K66="","",IF(L66="E0","QM",INDEX(10_ASIL_Matrix!$D$4:$F$15,MATCH(J66&amp;"-"&amp;L66,10_ASIL_Matrix!$C$4:$C$15,0),MATCH(N66,10_ASIL_Matrix!$D$3:$F$3,0)))))</f>
        <v>B</v>
      </c>
      <c r="Q66" s="5" t="s">
        <v>448</v>
      </c>
    </row>
    <row r="67" customFormat="false" ht="35.05" hidden="false" customHeight="false" outlineLevel="0" collapsed="false">
      <c r="A67" s="6" t="s">
        <v>660</v>
      </c>
      <c r="B67" s="6" t="s">
        <v>101</v>
      </c>
      <c r="C67" s="6" t="s">
        <v>102</v>
      </c>
      <c r="D67" s="6" t="s">
        <v>137</v>
      </c>
      <c r="E67" s="6" t="s">
        <v>138</v>
      </c>
      <c r="F67" s="6" t="s">
        <v>209</v>
      </c>
      <c r="G67" s="6" t="s">
        <v>570</v>
      </c>
      <c r="H67" s="6" t="s">
        <v>228</v>
      </c>
      <c r="I67" s="6" t="s">
        <v>661</v>
      </c>
      <c r="J67" s="6" t="s">
        <v>250</v>
      </c>
      <c r="K67" s="6" t="s">
        <v>652</v>
      </c>
      <c r="L67" s="6" t="s">
        <v>205</v>
      </c>
      <c r="M67" s="6" t="s">
        <v>662</v>
      </c>
      <c r="N67" s="6" t="s">
        <v>286</v>
      </c>
      <c r="O67" s="6" t="s">
        <v>470</v>
      </c>
      <c r="P67" s="19" t="str">
        <f aca="false">IF(J67="S0","—",IF(K67="","",IF(L67="E0","QM",INDEX(10_ASIL_Matrix!$D$4:$F$15,MATCH(J67&amp;"-"&amp;L67,10_ASIL_Matrix!$C$4:$C$15,0),MATCH(N67,10_ASIL_Matrix!$D$3:$F$3,0)))))</f>
        <v>A</v>
      </c>
      <c r="Q67" s="6" t="s">
        <v>448</v>
      </c>
    </row>
    <row r="68" customFormat="false" ht="46.25" hidden="false" customHeight="false" outlineLevel="0" collapsed="false">
      <c r="A68" s="5" t="s">
        <v>663</v>
      </c>
      <c r="B68" s="5" t="s">
        <v>101</v>
      </c>
      <c r="C68" s="5" t="s">
        <v>102</v>
      </c>
      <c r="D68" s="5" t="s">
        <v>137</v>
      </c>
      <c r="E68" s="5" t="s">
        <v>138</v>
      </c>
      <c r="F68" s="5" t="s">
        <v>209</v>
      </c>
      <c r="G68" s="5" t="s">
        <v>570</v>
      </c>
      <c r="H68" s="5" t="s">
        <v>230</v>
      </c>
      <c r="I68" s="5" t="s">
        <v>664</v>
      </c>
      <c r="J68" s="5" t="s">
        <v>250</v>
      </c>
      <c r="K68" s="5" t="s">
        <v>652</v>
      </c>
      <c r="L68" s="5" t="s">
        <v>205</v>
      </c>
      <c r="M68" s="5" t="s">
        <v>665</v>
      </c>
      <c r="N68" s="5" t="s">
        <v>290</v>
      </c>
      <c r="O68" s="5" t="s">
        <v>483</v>
      </c>
      <c r="P68" s="18" t="str">
        <f aca="false">IF(J68="S0","—",IF(K68="","",IF(L68="E0","QM",INDEX(10_ASIL_Matrix!$D$4:$F$15,MATCH(J68&amp;"-"&amp;L68,10_ASIL_Matrix!$C$4:$C$15,0),MATCH(N68,10_ASIL_Matrix!$D$3:$F$3,0)))))</f>
        <v>B</v>
      </c>
      <c r="Q68" s="5" t="s">
        <v>448</v>
      </c>
    </row>
    <row r="69" customFormat="false" ht="46.25" hidden="false" customHeight="false" outlineLevel="0" collapsed="false">
      <c r="A69" s="6" t="s">
        <v>666</v>
      </c>
      <c r="B69" s="6" t="s">
        <v>101</v>
      </c>
      <c r="C69" s="6" t="s">
        <v>102</v>
      </c>
      <c r="D69" s="6" t="s">
        <v>137</v>
      </c>
      <c r="E69" s="6" t="s">
        <v>138</v>
      </c>
      <c r="F69" s="6" t="s">
        <v>209</v>
      </c>
      <c r="G69" s="6" t="s">
        <v>570</v>
      </c>
      <c r="H69" s="6" t="s">
        <v>232</v>
      </c>
      <c r="I69" s="6" t="s">
        <v>667</v>
      </c>
      <c r="J69" s="6" t="s">
        <v>250</v>
      </c>
      <c r="K69" s="6" t="s">
        <v>652</v>
      </c>
      <c r="L69" s="6" t="s">
        <v>233</v>
      </c>
      <c r="M69" s="6" t="s">
        <v>668</v>
      </c>
      <c r="N69" s="6" t="s">
        <v>286</v>
      </c>
      <c r="O69" s="6" t="s">
        <v>470</v>
      </c>
      <c r="P69" s="6" t="str">
        <f aca="false">IF(J69="S0","—",IF(K69="","",IF(L69="E0","QM",INDEX(10_ASIL_Matrix!$D$4:$F$15,MATCH(J69&amp;"-"&amp;L69,10_ASIL_Matrix!$C$4:$C$15,0),MATCH(N69,10_ASIL_Matrix!$D$3:$F$3,0)))))</f>
        <v>QM</v>
      </c>
      <c r="Q69" s="6" t="s">
        <v>448</v>
      </c>
    </row>
    <row r="70" customFormat="false" ht="35.05" hidden="false" customHeight="false" outlineLevel="0" collapsed="false">
      <c r="A70" s="5" t="s">
        <v>669</v>
      </c>
      <c r="B70" s="5" t="s">
        <v>101</v>
      </c>
      <c r="C70" s="5" t="s">
        <v>102</v>
      </c>
      <c r="D70" s="5" t="s">
        <v>137</v>
      </c>
      <c r="E70" s="5" t="s">
        <v>138</v>
      </c>
      <c r="F70" s="5" t="s">
        <v>211</v>
      </c>
      <c r="G70" s="5" t="s">
        <v>609</v>
      </c>
      <c r="H70" s="5" t="s">
        <v>222</v>
      </c>
      <c r="I70" s="5" t="s">
        <v>670</v>
      </c>
      <c r="J70" s="5" t="s">
        <v>238</v>
      </c>
      <c r="K70" s="5" t="s">
        <v>671</v>
      </c>
      <c r="L70" s="5" t="s">
        <v>187</v>
      </c>
      <c r="M70" s="5" t="s">
        <v>672</v>
      </c>
      <c r="N70" s="5" t="s">
        <v>278</v>
      </c>
      <c r="O70" s="5" t="s">
        <v>634</v>
      </c>
      <c r="P70" s="5" t="str">
        <f aca="false">IF(J70="S0","—",IF(K70="","",IF(L70="E0","QM",INDEX(10_ASIL_Matrix!$D$4:$F$15,MATCH(J70&amp;"-"&amp;L70,10_ASIL_Matrix!$C$4:$C$15,0),MATCH(N70,10_ASIL_Matrix!$D$3:$F$3,0)))))</f>
        <v>—</v>
      </c>
      <c r="Q70" s="5" t="s">
        <v>448</v>
      </c>
    </row>
    <row r="71" customFormat="false" ht="35.05" hidden="false" customHeight="false" outlineLevel="0" collapsed="false">
      <c r="A71" s="6" t="s">
        <v>673</v>
      </c>
      <c r="B71" s="6" t="s">
        <v>101</v>
      </c>
      <c r="C71" s="6" t="s">
        <v>102</v>
      </c>
      <c r="D71" s="6" t="s">
        <v>137</v>
      </c>
      <c r="E71" s="6" t="s">
        <v>138</v>
      </c>
      <c r="F71" s="6" t="s">
        <v>211</v>
      </c>
      <c r="G71" s="6" t="s">
        <v>609</v>
      </c>
      <c r="H71" s="6" t="s">
        <v>224</v>
      </c>
      <c r="I71" s="6" t="s">
        <v>674</v>
      </c>
      <c r="J71" s="6" t="s">
        <v>238</v>
      </c>
      <c r="K71" s="6" t="s">
        <v>671</v>
      </c>
      <c r="L71" s="6" t="s">
        <v>190</v>
      </c>
      <c r="M71" s="6" t="s">
        <v>675</v>
      </c>
      <c r="N71" s="6" t="s">
        <v>278</v>
      </c>
      <c r="O71" s="6" t="s">
        <v>634</v>
      </c>
      <c r="P71" s="6" t="str">
        <f aca="false">IF(J71="S0","—",IF(K71="","",IF(L71="E0","QM",INDEX(10_ASIL_Matrix!$D$4:$F$15,MATCH(J71&amp;"-"&amp;L71,10_ASIL_Matrix!$C$4:$C$15,0),MATCH(N71,10_ASIL_Matrix!$D$3:$F$3,0)))))</f>
        <v>—</v>
      </c>
      <c r="Q71" s="6" t="s">
        <v>448</v>
      </c>
    </row>
    <row r="72" customFormat="false" ht="35.05" hidden="false" customHeight="false" outlineLevel="0" collapsed="false">
      <c r="A72" s="5" t="s">
        <v>676</v>
      </c>
      <c r="B72" s="5" t="s">
        <v>101</v>
      </c>
      <c r="C72" s="5" t="s">
        <v>102</v>
      </c>
      <c r="D72" s="5" t="s">
        <v>137</v>
      </c>
      <c r="E72" s="5" t="s">
        <v>138</v>
      </c>
      <c r="F72" s="5" t="s">
        <v>211</v>
      </c>
      <c r="G72" s="5" t="s">
        <v>609</v>
      </c>
      <c r="H72" s="5" t="s">
        <v>226</v>
      </c>
      <c r="I72" s="5" t="s">
        <v>677</v>
      </c>
      <c r="J72" s="5" t="s">
        <v>238</v>
      </c>
      <c r="K72" s="5" t="s">
        <v>671</v>
      </c>
      <c r="L72" s="5" t="s">
        <v>190</v>
      </c>
      <c r="M72" s="5" t="s">
        <v>678</v>
      </c>
      <c r="N72" s="5" t="s">
        <v>278</v>
      </c>
      <c r="O72" s="5" t="s">
        <v>634</v>
      </c>
      <c r="P72" s="5" t="str">
        <f aca="false">IF(J72="S0","—",IF(K72="","",IF(L72="E0","QM",INDEX(10_ASIL_Matrix!$D$4:$F$15,MATCH(J72&amp;"-"&amp;L72,10_ASIL_Matrix!$C$4:$C$15,0),MATCH(N72,10_ASIL_Matrix!$D$3:$F$3,0)))))</f>
        <v>—</v>
      </c>
      <c r="Q72" s="5" t="s">
        <v>448</v>
      </c>
    </row>
    <row r="73" customFormat="false" ht="35.05" hidden="false" customHeight="false" outlineLevel="0" collapsed="false">
      <c r="A73" s="6" t="s">
        <v>679</v>
      </c>
      <c r="B73" s="6" t="s">
        <v>101</v>
      </c>
      <c r="C73" s="6" t="s">
        <v>102</v>
      </c>
      <c r="D73" s="6" t="s">
        <v>137</v>
      </c>
      <c r="E73" s="6" t="s">
        <v>138</v>
      </c>
      <c r="F73" s="6" t="s">
        <v>211</v>
      </c>
      <c r="G73" s="6" t="s">
        <v>609</v>
      </c>
      <c r="H73" s="6" t="s">
        <v>228</v>
      </c>
      <c r="I73" s="6" t="s">
        <v>680</v>
      </c>
      <c r="J73" s="6" t="s">
        <v>238</v>
      </c>
      <c r="K73" s="6" t="s">
        <v>671</v>
      </c>
      <c r="L73" s="6" t="s">
        <v>205</v>
      </c>
      <c r="M73" s="6" t="s">
        <v>681</v>
      </c>
      <c r="N73" s="6" t="s">
        <v>278</v>
      </c>
      <c r="O73" s="6" t="s">
        <v>634</v>
      </c>
      <c r="P73" s="6" t="str">
        <f aca="false">IF(J73="S0","—",IF(K73="","",IF(L73="E0","QM",INDEX(10_ASIL_Matrix!$D$4:$F$15,MATCH(J73&amp;"-"&amp;L73,10_ASIL_Matrix!$C$4:$C$15,0),MATCH(N73,10_ASIL_Matrix!$D$3:$F$3,0)))))</f>
        <v>—</v>
      </c>
      <c r="Q73" s="6" t="s">
        <v>448</v>
      </c>
    </row>
    <row r="74" customFormat="false" ht="35.05" hidden="false" customHeight="false" outlineLevel="0" collapsed="false">
      <c r="A74" s="5" t="s">
        <v>682</v>
      </c>
      <c r="B74" s="5" t="s">
        <v>101</v>
      </c>
      <c r="C74" s="5" t="s">
        <v>102</v>
      </c>
      <c r="D74" s="5" t="s">
        <v>137</v>
      </c>
      <c r="E74" s="5" t="s">
        <v>138</v>
      </c>
      <c r="F74" s="5" t="s">
        <v>211</v>
      </c>
      <c r="G74" s="5" t="s">
        <v>609</v>
      </c>
      <c r="H74" s="5" t="s">
        <v>230</v>
      </c>
      <c r="I74" s="5" t="s">
        <v>683</v>
      </c>
      <c r="J74" s="5" t="s">
        <v>238</v>
      </c>
      <c r="K74" s="5" t="s">
        <v>671</v>
      </c>
      <c r="L74" s="5" t="s">
        <v>205</v>
      </c>
      <c r="M74" s="5" t="s">
        <v>684</v>
      </c>
      <c r="N74" s="5" t="s">
        <v>278</v>
      </c>
      <c r="O74" s="5" t="s">
        <v>634</v>
      </c>
      <c r="P74" s="5" t="str">
        <f aca="false">IF(J74="S0","—",IF(K74="","",IF(L74="E0","QM",INDEX(10_ASIL_Matrix!$D$4:$F$15,MATCH(J74&amp;"-"&amp;L74,10_ASIL_Matrix!$C$4:$C$15,0),MATCH(N74,10_ASIL_Matrix!$D$3:$F$3,0)))))</f>
        <v>—</v>
      </c>
      <c r="Q74" s="5" t="s">
        <v>448</v>
      </c>
    </row>
    <row r="75" customFormat="false" ht="46.25" hidden="false" customHeight="false" outlineLevel="0" collapsed="false">
      <c r="A75" s="6" t="s">
        <v>685</v>
      </c>
      <c r="B75" s="6" t="s">
        <v>101</v>
      </c>
      <c r="C75" s="6" t="s">
        <v>102</v>
      </c>
      <c r="D75" s="6" t="s">
        <v>137</v>
      </c>
      <c r="E75" s="6" t="s">
        <v>138</v>
      </c>
      <c r="F75" s="6" t="s">
        <v>211</v>
      </c>
      <c r="G75" s="6" t="s">
        <v>609</v>
      </c>
      <c r="H75" s="6" t="s">
        <v>232</v>
      </c>
      <c r="I75" s="6" t="s">
        <v>686</v>
      </c>
      <c r="J75" s="6" t="s">
        <v>238</v>
      </c>
      <c r="K75" s="6" t="s">
        <v>671</v>
      </c>
      <c r="L75" s="6" t="s">
        <v>233</v>
      </c>
      <c r="M75" s="6" t="s">
        <v>687</v>
      </c>
      <c r="N75" s="6" t="s">
        <v>278</v>
      </c>
      <c r="O75" s="6" t="s">
        <v>634</v>
      </c>
      <c r="P75" s="6" t="str">
        <f aca="false">IF(J75="S0","—",IF(K75="","",IF(L75="E0","QM",INDEX(10_ASIL_Matrix!$D$4:$F$15,MATCH(J75&amp;"-"&amp;L75,10_ASIL_Matrix!$C$4:$C$15,0),MATCH(N75,10_ASIL_Matrix!$D$3:$F$3,0)))))</f>
        <v>—</v>
      </c>
      <c r="Q75" s="6" t="s">
        <v>448</v>
      </c>
    </row>
    <row r="76" customFormat="false" ht="46.25" hidden="false" customHeight="false" outlineLevel="0" collapsed="false">
      <c r="A76" s="5" t="s">
        <v>688</v>
      </c>
      <c r="B76" s="5" t="s">
        <v>101</v>
      </c>
      <c r="C76" s="5" t="s">
        <v>102</v>
      </c>
      <c r="D76" s="5" t="s">
        <v>137</v>
      </c>
      <c r="E76" s="5" t="s">
        <v>138</v>
      </c>
      <c r="F76" s="5" t="s">
        <v>213</v>
      </c>
      <c r="G76" s="5" t="s">
        <v>689</v>
      </c>
      <c r="H76" s="5" t="s">
        <v>222</v>
      </c>
      <c r="I76" s="5" t="s">
        <v>690</v>
      </c>
      <c r="J76" s="5" t="s">
        <v>250</v>
      </c>
      <c r="K76" s="5" t="s">
        <v>691</v>
      </c>
      <c r="L76" s="5" t="s">
        <v>205</v>
      </c>
      <c r="M76" s="5" t="s">
        <v>692</v>
      </c>
      <c r="N76" s="5" t="s">
        <v>290</v>
      </c>
      <c r="O76" s="5" t="s">
        <v>693</v>
      </c>
      <c r="P76" s="18" t="str">
        <f aca="false">IF(J76="S0","—",IF(K76="","",IF(L76="E0","QM",INDEX(10_ASIL_Matrix!$D$4:$F$15,MATCH(J76&amp;"-"&amp;L76,10_ASIL_Matrix!$C$4:$C$15,0),MATCH(N76,10_ASIL_Matrix!$D$3:$F$3,0)))))</f>
        <v>B</v>
      </c>
      <c r="Q76" s="5" t="s">
        <v>448</v>
      </c>
    </row>
    <row r="77" customFormat="false" ht="46.25" hidden="false" customHeight="false" outlineLevel="0" collapsed="false">
      <c r="A77" s="6" t="s">
        <v>694</v>
      </c>
      <c r="B77" s="6" t="s">
        <v>101</v>
      </c>
      <c r="C77" s="6" t="s">
        <v>102</v>
      </c>
      <c r="D77" s="6" t="s">
        <v>137</v>
      </c>
      <c r="E77" s="6" t="s">
        <v>138</v>
      </c>
      <c r="F77" s="6" t="s">
        <v>213</v>
      </c>
      <c r="G77" s="6" t="s">
        <v>689</v>
      </c>
      <c r="H77" s="6" t="s">
        <v>224</v>
      </c>
      <c r="I77" s="6" t="s">
        <v>695</v>
      </c>
      <c r="J77" s="6" t="s">
        <v>250</v>
      </c>
      <c r="K77" s="6" t="s">
        <v>691</v>
      </c>
      <c r="L77" s="6" t="s">
        <v>205</v>
      </c>
      <c r="M77" s="6" t="s">
        <v>696</v>
      </c>
      <c r="N77" s="6" t="s">
        <v>290</v>
      </c>
      <c r="O77" s="6" t="s">
        <v>693</v>
      </c>
      <c r="P77" s="18" t="str">
        <f aca="false">IF(J77="S0","—",IF(K77="","",IF(L77="E0","QM",INDEX(10_ASIL_Matrix!$D$4:$F$15,MATCH(J77&amp;"-"&amp;L77,10_ASIL_Matrix!$C$4:$C$15,0),MATCH(N77,10_ASIL_Matrix!$D$3:$F$3,0)))))</f>
        <v>B</v>
      </c>
      <c r="Q77" s="6" t="s">
        <v>448</v>
      </c>
    </row>
    <row r="78" customFormat="false" ht="46.25" hidden="false" customHeight="false" outlineLevel="0" collapsed="false">
      <c r="A78" s="5" t="s">
        <v>697</v>
      </c>
      <c r="B78" s="5" t="s">
        <v>101</v>
      </c>
      <c r="C78" s="5" t="s">
        <v>102</v>
      </c>
      <c r="D78" s="5" t="s">
        <v>137</v>
      </c>
      <c r="E78" s="5" t="s">
        <v>138</v>
      </c>
      <c r="F78" s="5" t="s">
        <v>213</v>
      </c>
      <c r="G78" s="5" t="s">
        <v>689</v>
      </c>
      <c r="H78" s="5" t="s">
        <v>226</v>
      </c>
      <c r="I78" s="5" t="s">
        <v>698</v>
      </c>
      <c r="J78" s="5" t="s">
        <v>250</v>
      </c>
      <c r="K78" s="5" t="s">
        <v>691</v>
      </c>
      <c r="L78" s="5" t="s">
        <v>205</v>
      </c>
      <c r="M78" s="5" t="s">
        <v>699</v>
      </c>
      <c r="N78" s="5" t="s">
        <v>290</v>
      </c>
      <c r="O78" s="5" t="s">
        <v>693</v>
      </c>
      <c r="P78" s="18" t="str">
        <f aca="false">IF(J78="S0","—",IF(K78="","",IF(L78="E0","QM",INDEX(10_ASIL_Matrix!$D$4:$F$15,MATCH(J78&amp;"-"&amp;L78,10_ASIL_Matrix!$C$4:$C$15,0),MATCH(N78,10_ASIL_Matrix!$D$3:$F$3,0)))))</f>
        <v>B</v>
      </c>
      <c r="Q78" s="5" t="s">
        <v>448</v>
      </c>
    </row>
    <row r="79" customFormat="false" ht="46.25" hidden="false" customHeight="false" outlineLevel="0" collapsed="false">
      <c r="A79" s="6" t="s">
        <v>700</v>
      </c>
      <c r="B79" s="6" t="s">
        <v>101</v>
      </c>
      <c r="C79" s="6" t="s">
        <v>102</v>
      </c>
      <c r="D79" s="6" t="s">
        <v>137</v>
      </c>
      <c r="E79" s="6" t="s">
        <v>138</v>
      </c>
      <c r="F79" s="6" t="s">
        <v>213</v>
      </c>
      <c r="G79" s="6" t="s">
        <v>689</v>
      </c>
      <c r="H79" s="6" t="s">
        <v>228</v>
      </c>
      <c r="I79" s="6" t="s">
        <v>701</v>
      </c>
      <c r="J79" s="6" t="s">
        <v>250</v>
      </c>
      <c r="K79" s="6" t="s">
        <v>691</v>
      </c>
      <c r="L79" s="6" t="s">
        <v>205</v>
      </c>
      <c r="M79" s="6" t="s">
        <v>702</v>
      </c>
      <c r="N79" s="6" t="s">
        <v>290</v>
      </c>
      <c r="O79" s="6" t="s">
        <v>693</v>
      </c>
      <c r="P79" s="18" t="str">
        <f aca="false">IF(J79="S0","—",IF(K79="","",IF(L79="E0","QM",INDEX(10_ASIL_Matrix!$D$4:$F$15,MATCH(J79&amp;"-"&amp;L79,10_ASIL_Matrix!$C$4:$C$15,0),MATCH(N79,10_ASIL_Matrix!$D$3:$F$3,0)))))</f>
        <v>B</v>
      </c>
      <c r="Q79" s="6" t="s">
        <v>448</v>
      </c>
    </row>
    <row r="80" customFormat="false" ht="46.25" hidden="false" customHeight="false" outlineLevel="0" collapsed="false">
      <c r="A80" s="5" t="s">
        <v>703</v>
      </c>
      <c r="B80" s="5" t="s">
        <v>101</v>
      </c>
      <c r="C80" s="5" t="s">
        <v>102</v>
      </c>
      <c r="D80" s="5" t="s">
        <v>137</v>
      </c>
      <c r="E80" s="5" t="s">
        <v>138</v>
      </c>
      <c r="F80" s="5" t="s">
        <v>213</v>
      </c>
      <c r="G80" s="5" t="s">
        <v>689</v>
      </c>
      <c r="H80" s="5" t="s">
        <v>230</v>
      </c>
      <c r="I80" s="5" t="s">
        <v>704</v>
      </c>
      <c r="J80" s="5" t="s">
        <v>250</v>
      </c>
      <c r="K80" s="5" t="s">
        <v>691</v>
      </c>
      <c r="L80" s="5" t="s">
        <v>205</v>
      </c>
      <c r="M80" s="5" t="s">
        <v>705</v>
      </c>
      <c r="N80" s="5" t="s">
        <v>290</v>
      </c>
      <c r="O80" s="5" t="s">
        <v>706</v>
      </c>
      <c r="P80" s="18" t="str">
        <f aca="false">IF(J80="S0","—",IF(K80="","",IF(L80="E0","QM",INDEX(10_ASIL_Matrix!$D$4:$F$15,MATCH(J80&amp;"-"&amp;L80,10_ASIL_Matrix!$C$4:$C$15,0),MATCH(N80,10_ASIL_Matrix!$D$3:$F$3,0)))))</f>
        <v>B</v>
      </c>
      <c r="Q80" s="5" t="s">
        <v>448</v>
      </c>
    </row>
    <row r="81" customFormat="false" ht="46.25" hidden="false" customHeight="false" outlineLevel="0" collapsed="false">
      <c r="A81" s="6" t="s">
        <v>707</v>
      </c>
      <c r="B81" s="6" t="s">
        <v>101</v>
      </c>
      <c r="C81" s="6" t="s">
        <v>102</v>
      </c>
      <c r="D81" s="6" t="s">
        <v>137</v>
      </c>
      <c r="E81" s="6" t="s">
        <v>138</v>
      </c>
      <c r="F81" s="6" t="s">
        <v>213</v>
      </c>
      <c r="G81" s="6" t="s">
        <v>689</v>
      </c>
      <c r="H81" s="6" t="s">
        <v>232</v>
      </c>
      <c r="I81" s="6" t="s">
        <v>708</v>
      </c>
      <c r="J81" s="6" t="s">
        <v>250</v>
      </c>
      <c r="K81" s="6" t="s">
        <v>691</v>
      </c>
      <c r="L81" s="6" t="s">
        <v>233</v>
      </c>
      <c r="M81" s="6" t="s">
        <v>709</v>
      </c>
      <c r="N81" s="6" t="s">
        <v>290</v>
      </c>
      <c r="O81" s="6" t="s">
        <v>693</v>
      </c>
      <c r="P81" s="19" t="str">
        <f aca="false">IF(J81="S0","—",IF(K81="","",IF(L81="E0","QM",INDEX(10_ASIL_Matrix!$D$4:$F$15,MATCH(J81&amp;"-"&amp;L81,10_ASIL_Matrix!$C$4:$C$15,0),MATCH(N81,10_ASIL_Matrix!$D$3:$F$3,0)))))</f>
        <v>A</v>
      </c>
      <c r="Q81" s="6" t="s">
        <v>448</v>
      </c>
    </row>
    <row r="82" customFormat="false" ht="35.05" hidden="false" customHeight="false" outlineLevel="0" collapsed="false">
      <c r="A82" s="5" t="s">
        <v>710</v>
      </c>
      <c r="B82" s="5" t="s">
        <v>101</v>
      </c>
      <c r="C82" s="5" t="s">
        <v>102</v>
      </c>
      <c r="D82" s="5" t="s">
        <v>137</v>
      </c>
      <c r="E82" s="5" t="s">
        <v>138</v>
      </c>
      <c r="F82" s="5" t="s">
        <v>215</v>
      </c>
      <c r="G82" s="5" t="s">
        <v>711</v>
      </c>
      <c r="H82" s="5" t="s">
        <v>222</v>
      </c>
      <c r="I82" s="5" t="s">
        <v>712</v>
      </c>
      <c r="J82" s="5" t="s">
        <v>250</v>
      </c>
      <c r="K82" s="5" t="s">
        <v>713</v>
      </c>
      <c r="L82" s="5" t="s">
        <v>190</v>
      </c>
      <c r="M82" s="5" t="s">
        <v>714</v>
      </c>
      <c r="N82" s="5" t="s">
        <v>282</v>
      </c>
      <c r="O82" s="5" t="s">
        <v>447</v>
      </c>
      <c r="P82" s="19" t="str">
        <f aca="false">IF(J82="S0","—",IF(K82="","",IF(L82="E0","QM",INDEX(10_ASIL_Matrix!$D$4:$F$15,MATCH(J82&amp;"-"&amp;L82,10_ASIL_Matrix!$C$4:$C$15,0),MATCH(N82,10_ASIL_Matrix!$D$3:$F$3,0)))))</f>
        <v>A</v>
      </c>
      <c r="Q82" s="5" t="s">
        <v>448</v>
      </c>
    </row>
    <row r="83" customFormat="false" ht="35.05" hidden="false" customHeight="false" outlineLevel="0" collapsed="false">
      <c r="A83" s="6" t="s">
        <v>715</v>
      </c>
      <c r="B83" s="6" t="s">
        <v>101</v>
      </c>
      <c r="C83" s="6" t="s">
        <v>102</v>
      </c>
      <c r="D83" s="6" t="s">
        <v>137</v>
      </c>
      <c r="E83" s="6" t="s">
        <v>138</v>
      </c>
      <c r="F83" s="6" t="s">
        <v>215</v>
      </c>
      <c r="G83" s="6" t="s">
        <v>711</v>
      </c>
      <c r="H83" s="6" t="s">
        <v>224</v>
      </c>
      <c r="I83" s="6" t="s">
        <v>716</v>
      </c>
      <c r="J83" s="6" t="s">
        <v>250</v>
      </c>
      <c r="K83" s="6" t="s">
        <v>713</v>
      </c>
      <c r="L83" s="6" t="s">
        <v>190</v>
      </c>
      <c r="M83" s="6" t="s">
        <v>717</v>
      </c>
      <c r="N83" s="6" t="s">
        <v>282</v>
      </c>
      <c r="O83" s="6" t="s">
        <v>447</v>
      </c>
      <c r="P83" s="19" t="str">
        <f aca="false">IF(J83="S0","—",IF(K83="","",IF(L83="E0","QM",INDEX(10_ASIL_Matrix!$D$4:$F$15,MATCH(J83&amp;"-"&amp;L83,10_ASIL_Matrix!$C$4:$C$15,0),MATCH(N83,10_ASIL_Matrix!$D$3:$F$3,0)))))</f>
        <v>A</v>
      </c>
      <c r="Q83" s="6" t="s">
        <v>448</v>
      </c>
    </row>
    <row r="84" customFormat="false" ht="35.05" hidden="false" customHeight="false" outlineLevel="0" collapsed="false">
      <c r="A84" s="5" t="s">
        <v>718</v>
      </c>
      <c r="B84" s="5" t="s">
        <v>101</v>
      </c>
      <c r="C84" s="5" t="s">
        <v>102</v>
      </c>
      <c r="D84" s="5" t="s">
        <v>137</v>
      </c>
      <c r="E84" s="5" t="s">
        <v>138</v>
      </c>
      <c r="F84" s="5" t="s">
        <v>215</v>
      </c>
      <c r="G84" s="5" t="s">
        <v>711</v>
      </c>
      <c r="H84" s="5" t="s">
        <v>226</v>
      </c>
      <c r="I84" s="5" t="s">
        <v>719</v>
      </c>
      <c r="J84" s="5" t="s">
        <v>250</v>
      </c>
      <c r="K84" s="5" t="s">
        <v>713</v>
      </c>
      <c r="L84" s="5" t="s">
        <v>190</v>
      </c>
      <c r="M84" s="5" t="s">
        <v>720</v>
      </c>
      <c r="N84" s="5" t="s">
        <v>282</v>
      </c>
      <c r="O84" s="5" t="s">
        <v>447</v>
      </c>
      <c r="P84" s="19" t="str">
        <f aca="false">IF(J84="S0","—",IF(K84="","",IF(L84="E0","QM",INDEX(10_ASIL_Matrix!$D$4:$F$15,MATCH(J84&amp;"-"&amp;L84,10_ASIL_Matrix!$C$4:$C$15,0),MATCH(N84,10_ASIL_Matrix!$D$3:$F$3,0)))))</f>
        <v>A</v>
      </c>
      <c r="Q84" s="5" t="s">
        <v>448</v>
      </c>
    </row>
    <row r="85" customFormat="false" ht="35.05" hidden="false" customHeight="false" outlineLevel="0" collapsed="false">
      <c r="A85" s="6" t="s">
        <v>721</v>
      </c>
      <c r="B85" s="6" t="s">
        <v>101</v>
      </c>
      <c r="C85" s="6" t="s">
        <v>102</v>
      </c>
      <c r="D85" s="6" t="s">
        <v>137</v>
      </c>
      <c r="E85" s="6" t="s">
        <v>138</v>
      </c>
      <c r="F85" s="6" t="s">
        <v>215</v>
      </c>
      <c r="G85" s="6" t="s">
        <v>711</v>
      </c>
      <c r="H85" s="6" t="s">
        <v>228</v>
      </c>
      <c r="I85" s="6" t="s">
        <v>722</v>
      </c>
      <c r="J85" s="6" t="s">
        <v>250</v>
      </c>
      <c r="K85" s="6" t="s">
        <v>713</v>
      </c>
      <c r="L85" s="6" t="s">
        <v>205</v>
      </c>
      <c r="M85" s="6" t="s">
        <v>723</v>
      </c>
      <c r="N85" s="6" t="s">
        <v>282</v>
      </c>
      <c r="O85" s="6" t="s">
        <v>447</v>
      </c>
      <c r="P85" s="6" t="str">
        <f aca="false">IF(J85="S0","—",IF(K85="","",IF(L85="E0","QM",INDEX(10_ASIL_Matrix!$D$4:$F$15,MATCH(J85&amp;"-"&amp;L85,10_ASIL_Matrix!$C$4:$C$15,0),MATCH(N85,10_ASIL_Matrix!$D$3:$F$3,0)))))</f>
        <v>QM</v>
      </c>
      <c r="Q85" s="6" t="s">
        <v>448</v>
      </c>
    </row>
    <row r="86" customFormat="false" ht="35.05" hidden="false" customHeight="false" outlineLevel="0" collapsed="false">
      <c r="A86" s="5" t="s">
        <v>724</v>
      </c>
      <c r="B86" s="5" t="s">
        <v>101</v>
      </c>
      <c r="C86" s="5" t="s">
        <v>102</v>
      </c>
      <c r="D86" s="5" t="s">
        <v>137</v>
      </c>
      <c r="E86" s="5" t="s">
        <v>138</v>
      </c>
      <c r="F86" s="5" t="s">
        <v>215</v>
      </c>
      <c r="G86" s="5" t="s">
        <v>711</v>
      </c>
      <c r="H86" s="5" t="s">
        <v>230</v>
      </c>
      <c r="I86" s="5" t="s">
        <v>725</v>
      </c>
      <c r="J86" s="5" t="s">
        <v>250</v>
      </c>
      <c r="K86" s="5" t="s">
        <v>713</v>
      </c>
      <c r="L86" s="5" t="s">
        <v>205</v>
      </c>
      <c r="M86" s="5" t="s">
        <v>726</v>
      </c>
      <c r="N86" s="5" t="s">
        <v>286</v>
      </c>
      <c r="O86" s="5" t="s">
        <v>461</v>
      </c>
      <c r="P86" s="19" t="str">
        <f aca="false">IF(J86="S0","—",IF(K86="","",IF(L86="E0","QM",INDEX(10_ASIL_Matrix!$D$4:$F$15,MATCH(J86&amp;"-"&amp;L86,10_ASIL_Matrix!$C$4:$C$15,0),MATCH(N86,10_ASIL_Matrix!$D$3:$F$3,0)))))</f>
        <v>A</v>
      </c>
      <c r="Q86" s="5" t="s">
        <v>448</v>
      </c>
    </row>
    <row r="87" customFormat="false" ht="46.25" hidden="false" customHeight="false" outlineLevel="0" collapsed="false">
      <c r="A87" s="6" t="s">
        <v>727</v>
      </c>
      <c r="B87" s="6" t="s">
        <v>101</v>
      </c>
      <c r="C87" s="6" t="s">
        <v>102</v>
      </c>
      <c r="D87" s="6" t="s">
        <v>137</v>
      </c>
      <c r="E87" s="6" t="s">
        <v>138</v>
      </c>
      <c r="F87" s="6" t="s">
        <v>215</v>
      </c>
      <c r="G87" s="6" t="s">
        <v>711</v>
      </c>
      <c r="H87" s="6" t="s">
        <v>232</v>
      </c>
      <c r="I87" s="6" t="s">
        <v>728</v>
      </c>
      <c r="J87" s="6" t="s">
        <v>250</v>
      </c>
      <c r="K87" s="6" t="s">
        <v>713</v>
      </c>
      <c r="L87" s="6" t="s">
        <v>233</v>
      </c>
      <c r="M87" s="6" t="s">
        <v>729</v>
      </c>
      <c r="N87" s="6" t="s">
        <v>282</v>
      </c>
      <c r="O87" s="6" t="s">
        <v>447</v>
      </c>
      <c r="P87" s="6" t="str">
        <f aca="false">IF(J87="S0","—",IF(K87="","",IF(L87="E0","QM",INDEX(10_ASIL_Matrix!$D$4:$F$15,MATCH(J87&amp;"-"&amp;L87,10_ASIL_Matrix!$C$4:$C$15,0),MATCH(N87,10_ASIL_Matrix!$D$3:$F$3,0)))))</f>
        <v>QM</v>
      </c>
      <c r="Q87" s="6" t="s">
        <v>448</v>
      </c>
    </row>
    <row r="88" customFormat="false" ht="35.05" hidden="false" customHeight="false" outlineLevel="0" collapsed="false">
      <c r="A88" s="5" t="s">
        <v>730</v>
      </c>
      <c r="B88" s="5" t="s">
        <v>101</v>
      </c>
      <c r="C88" s="5" t="s">
        <v>102</v>
      </c>
      <c r="D88" s="5" t="s">
        <v>137</v>
      </c>
      <c r="E88" s="5" t="s">
        <v>138</v>
      </c>
      <c r="F88" s="5" t="s">
        <v>217</v>
      </c>
      <c r="G88" s="5" t="s">
        <v>488</v>
      </c>
      <c r="H88" s="5" t="s">
        <v>222</v>
      </c>
      <c r="I88" s="5" t="s">
        <v>731</v>
      </c>
      <c r="J88" s="5" t="s">
        <v>250</v>
      </c>
      <c r="K88" s="5" t="s">
        <v>732</v>
      </c>
      <c r="L88" s="5" t="s">
        <v>190</v>
      </c>
      <c r="M88" s="5" t="s">
        <v>733</v>
      </c>
      <c r="N88" s="5" t="s">
        <v>286</v>
      </c>
      <c r="O88" s="5" t="s">
        <v>470</v>
      </c>
      <c r="P88" s="18" t="str">
        <f aca="false">IF(J88="S0","—",IF(K88="","",IF(L88="E0","QM",INDEX(10_ASIL_Matrix!$D$4:$F$15,MATCH(J88&amp;"-"&amp;L88,10_ASIL_Matrix!$C$4:$C$15,0),MATCH(N88,10_ASIL_Matrix!$D$3:$F$3,0)))))</f>
        <v>B</v>
      </c>
      <c r="Q88" s="5" t="s">
        <v>448</v>
      </c>
    </row>
    <row r="89" customFormat="false" ht="35.05" hidden="false" customHeight="false" outlineLevel="0" collapsed="false">
      <c r="A89" s="6" t="s">
        <v>734</v>
      </c>
      <c r="B89" s="6" t="s">
        <v>101</v>
      </c>
      <c r="C89" s="6" t="s">
        <v>102</v>
      </c>
      <c r="D89" s="6" t="s">
        <v>137</v>
      </c>
      <c r="E89" s="6" t="s">
        <v>138</v>
      </c>
      <c r="F89" s="6" t="s">
        <v>217</v>
      </c>
      <c r="G89" s="6" t="s">
        <v>488</v>
      </c>
      <c r="H89" s="6" t="s">
        <v>224</v>
      </c>
      <c r="I89" s="6" t="s">
        <v>735</v>
      </c>
      <c r="J89" s="6" t="s">
        <v>250</v>
      </c>
      <c r="K89" s="6" t="s">
        <v>732</v>
      </c>
      <c r="L89" s="6" t="s">
        <v>190</v>
      </c>
      <c r="M89" s="6" t="s">
        <v>736</v>
      </c>
      <c r="N89" s="6" t="s">
        <v>286</v>
      </c>
      <c r="O89" s="6" t="s">
        <v>470</v>
      </c>
      <c r="P89" s="18" t="str">
        <f aca="false">IF(J89="S0","—",IF(K89="","",IF(L89="E0","QM",INDEX(10_ASIL_Matrix!$D$4:$F$15,MATCH(J89&amp;"-"&amp;L89,10_ASIL_Matrix!$C$4:$C$15,0),MATCH(N89,10_ASIL_Matrix!$D$3:$F$3,0)))))</f>
        <v>B</v>
      </c>
      <c r="Q89" s="6" t="s">
        <v>448</v>
      </c>
    </row>
    <row r="90" customFormat="false" ht="35.05" hidden="false" customHeight="false" outlineLevel="0" collapsed="false">
      <c r="A90" s="5" t="s">
        <v>737</v>
      </c>
      <c r="B90" s="5" t="s">
        <v>101</v>
      </c>
      <c r="C90" s="5" t="s">
        <v>102</v>
      </c>
      <c r="D90" s="5" t="s">
        <v>137</v>
      </c>
      <c r="E90" s="5" t="s">
        <v>138</v>
      </c>
      <c r="F90" s="5" t="s">
        <v>217</v>
      </c>
      <c r="G90" s="5" t="s">
        <v>488</v>
      </c>
      <c r="H90" s="5" t="s">
        <v>226</v>
      </c>
      <c r="I90" s="5" t="s">
        <v>738</v>
      </c>
      <c r="J90" s="5" t="s">
        <v>250</v>
      </c>
      <c r="K90" s="5" t="s">
        <v>732</v>
      </c>
      <c r="L90" s="5" t="s">
        <v>190</v>
      </c>
      <c r="M90" s="5" t="s">
        <v>739</v>
      </c>
      <c r="N90" s="5" t="s">
        <v>286</v>
      </c>
      <c r="O90" s="5" t="s">
        <v>470</v>
      </c>
      <c r="P90" s="18" t="str">
        <f aca="false">IF(J90="S0","—",IF(K90="","",IF(L90="E0","QM",INDEX(10_ASIL_Matrix!$D$4:$F$15,MATCH(J90&amp;"-"&amp;L90,10_ASIL_Matrix!$C$4:$C$15,0),MATCH(N90,10_ASIL_Matrix!$D$3:$F$3,0)))))</f>
        <v>B</v>
      </c>
      <c r="Q90" s="5" t="s">
        <v>448</v>
      </c>
    </row>
    <row r="91" customFormat="false" ht="35.05" hidden="false" customHeight="false" outlineLevel="0" collapsed="false">
      <c r="A91" s="6" t="s">
        <v>740</v>
      </c>
      <c r="B91" s="6" t="s">
        <v>101</v>
      </c>
      <c r="C91" s="6" t="s">
        <v>102</v>
      </c>
      <c r="D91" s="6" t="s">
        <v>137</v>
      </c>
      <c r="E91" s="6" t="s">
        <v>138</v>
      </c>
      <c r="F91" s="6" t="s">
        <v>217</v>
      </c>
      <c r="G91" s="6" t="s">
        <v>488</v>
      </c>
      <c r="H91" s="6" t="s">
        <v>228</v>
      </c>
      <c r="I91" s="6" t="s">
        <v>741</v>
      </c>
      <c r="J91" s="6" t="s">
        <v>250</v>
      </c>
      <c r="K91" s="6" t="s">
        <v>732</v>
      </c>
      <c r="L91" s="6" t="s">
        <v>205</v>
      </c>
      <c r="M91" s="6" t="s">
        <v>742</v>
      </c>
      <c r="N91" s="6" t="s">
        <v>286</v>
      </c>
      <c r="O91" s="6" t="s">
        <v>470</v>
      </c>
      <c r="P91" s="19" t="str">
        <f aca="false">IF(J91="S0","—",IF(K91="","",IF(L91="E0","QM",INDEX(10_ASIL_Matrix!$D$4:$F$15,MATCH(J91&amp;"-"&amp;L91,10_ASIL_Matrix!$C$4:$C$15,0),MATCH(N91,10_ASIL_Matrix!$D$3:$F$3,0)))))</f>
        <v>A</v>
      </c>
      <c r="Q91" s="6" t="s">
        <v>448</v>
      </c>
    </row>
    <row r="92" customFormat="false" ht="46.25" hidden="false" customHeight="false" outlineLevel="0" collapsed="false">
      <c r="A92" s="5" t="s">
        <v>743</v>
      </c>
      <c r="B92" s="5" t="s">
        <v>101</v>
      </c>
      <c r="C92" s="5" t="s">
        <v>102</v>
      </c>
      <c r="D92" s="5" t="s">
        <v>137</v>
      </c>
      <c r="E92" s="5" t="s">
        <v>138</v>
      </c>
      <c r="F92" s="5" t="s">
        <v>217</v>
      </c>
      <c r="G92" s="5" t="s">
        <v>488</v>
      </c>
      <c r="H92" s="5" t="s">
        <v>230</v>
      </c>
      <c r="I92" s="5" t="s">
        <v>744</v>
      </c>
      <c r="J92" s="5" t="s">
        <v>250</v>
      </c>
      <c r="K92" s="5" t="s">
        <v>732</v>
      </c>
      <c r="L92" s="5" t="s">
        <v>205</v>
      </c>
      <c r="M92" s="5" t="s">
        <v>745</v>
      </c>
      <c r="N92" s="5" t="s">
        <v>290</v>
      </c>
      <c r="O92" s="5" t="s">
        <v>483</v>
      </c>
      <c r="P92" s="18" t="str">
        <f aca="false">IF(J92="S0","—",IF(K92="","",IF(L92="E0","QM",INDEX(10_ASIL_Matrix!$D$4:$F$15,MATCH(J92&amp;"-"&amp;L92,10_ASIL_Matrix!$C$4:$C$15,0),MATCH(N92,10_ASIL_Matrix!$D$3:$F$3,0)))))</f>
        <v>B</v>
      </c>
      <c r="Q92" s="5" t="s">
        <v>448</v>
      </c>
    </row>
    <row r="93" customFormat="false" ht="46.25" hidden="false" customHeight="false" outlineLevel="0" collapsed="false">
      <c r="A93" s="6" t="s">
        <v>746</v>
      </c>
      <c r="B93" s="6" t="s">
        <v>101</v>
      </c>
      <c r="C93" s="6" t="s">
        <v>102</v>
      </c>
      <c r="D93" s="6" t="s">
        <v>137</v>
      </c>
      <c r="E93" s="6" t="s">
        <v>138</v>
      </c>
      <c r="F93" s="6" t="s">
        <v>217</v>
      </c>
      <c r="G93" s="6" t="s">
        <v>488</v>
      </c>
      <c r="H93" s="6" t="s">
        <v>232</v>
      </c>
      <c r="I93" s="6" t="s">
        <v>747</v>
      </c>
      <c r="J93" s="6" t="s">
        <v>250</v>
      </c>
      <c r="K93" s="6" t="s">
        <v>732</v>
      </c>
      <c r="L93" s="6" t="s">
        <v>233</v>
      </c>
      <c r="M93" s="6" t="s">
        <v>748</v>
      </c>
      <c r="N93" s="6" t="s">
        <v>286</v>
      </c>
      <c r="O93" s="6" t="s">
        <v>470</v>
      </c>
      <c r="P93" s="6" t="str">
        <f aca="false">IF(J93="S0","—",IF(K93="","",IF(L93="E0","QM",INDEX(10_ASIL_Matrix!$D$4:$F$15,MATCH(J93&amp;"-"&amp;L93,10_ASIL_Matrix!$C$4:$C$15,0),MATCH(N93,10_ASIL_Matrix!$D$3:$F$3,0)))))</f>
        <v>QM</v>
      </c>
      <c r="Q93" s="6" t="s">
        <v>448</v>
      </c>
    </row>
    <row r="94" customFormat="false" ht="35.05" hidden="false" customHeight="false" outlineLevel="0" collapsed="false">
      <c r="A94" s="5" t="s">
        <v>749</v>
      </c>
      <c r="B94" s="5" t="s">
        <v>101</v>
      </c>
      <c r="C94" s="5" t="s">
        <v>102</v>
      </c>
      <c r="D94" s="5" t="s">
        <v>140</v>
      </c>
      <c r="E94" s="5" t="s">
        <v>141</v>
      </c>
      <c r="F94" s="5" t="s">
        <v>186</v>
      </c>
      <c r="G94" s="5" t="s">
        <v>443</v>
      </c>
      <c r="H94" s="5" t="s">
        <v>222</v>
      </c>
      <c r="I94" s="5" t="s">
        <v>750</v>
      </c>
      <c r="J94" s="5" t="s">
        <v>250</v>
      </c>
      <c r="K94" s="5" t="s">
        <v>445</v>
      </c>
      <c r="L94" s="5" t="s">
        <v>187</v>
      </c>
      <c r="M94" s="5" t="s">
        <v>446</v>
      </c>
      <c r="N94" s="5" t="s">
        <v>282</v>
      </c>
      <c r="O94" s="5" t="s">
        <v>447</v>
      </c>
      <c r="P94" s="18" t="str">
        <f aca="false">IF(J94="S0","—",IF(K94="","",IF(L94="E0","QM",INDEX(10_ASIL_Matrix!$D$4:$F$15,MATCH(J94&amp;"-"&amp;L94,10_ASIL_Matrix!$C$4:$C$15,0),MATCH(N94,10_ASIL_Matrix!$D$3:$F$3,0)))))</f>
        <v>B</v>
      </c>
      <c r="Q94" s="5" t="s">
        <v>448</v>
      </c>
    </row>
    <row r="95" customFormat="false" ht="35.05" hidden="false" customHeight="false" outlineLevel="0" collapsed="false">
      <c r="A95" s="6" t="s">
        <v>751</v>
      </c>
      <c r="B95" s="6" t="s">
        <v>101</v>
      </c>
      <c r="C95" s="6" t="s">
        <v>102</v>
      </c>
      <c r="D95" s="6" t="s">
        <v>140</v>
      </c>
      <c r="E95" s="6" t="s">
        <v>141</v>
      </c>
      <c r="F95" s="6" t="s">
        <v>186</v>
      </c>
      <c r="G95" s="6" t="s">
        <v>443</v>
      </c>
      <c r="H95" s="6" t="s">
        <v>224</v>
      </c>
      <c r="I95" s="6" t="s">
        <v>752</v>
      </c>
      <c r="J95" s="6" t="s">
        <v>250</v>
      </c>
      <c r="K95" s="6" t="s">
        <v>445</v>
      </c>
      <c r="L95" s="6" t="s">
        <v>190</v>
      </c>
      <c r="M95" s="6" t="s">
        <v>451</v>
      </c>
      <c r="N95" s="6" t="s">
        <v>282</v>
      </c>
      <c r="O95" s="6" t="s">
        <v>447</v>
      </c>
      <c r="P95" s="19" t="str">
        <f aca="false">IF(J95="S0","—",IF(K95="","",IF(L95="E0","QM",INDEX(10_ASIL_Matrix!$D$4:$F$15,MATCH(J95&amp;"-"&amp;L95,10_ASIL_Matrix!$C$4:$C$15,0),MATCH(N95,10_ASIL_Matrix!$D$3:$F$3,0)))))</f>
        <v>A</v>
      </c>
      <c r="Q95" s="6" t="s">
        <v>448</v>
      </c>
    </row>
    <row r="96" customFormat="false" ht="35.05" hidden="false" customHeight="false" outlineLevel="0" collapsed="false">
      <c r="A96" s="5" t="s">
        <v>753</v>
      </c>
      <c r="B96" s="5" t="s">
        <v>101</v>
      </c>
      <c r="C96" s="5" t="s">
        <v>102</v>
      </c>
      <c r="D96" s="5" t="s">
        <v>140</v>
      </c>
      <c r="E96" s="5" t="s">
        <v>141</v>
      </c>
      <c r="F96" s="5" t="s">
        <v>186</v>
      </c>
      <c r="G96" s="5" t="s">
        <v>443</v>
      </c>
      <c r="H96" s="5" t="s">
        <v>226</v>
      </c>
      <c r="I96" s="5" t="s">
        <v>754</v>
      </c>
      <c r="J96" s="5" t="s">
        <v>250</v>
      </c>
      <c r="K96" s="5" t="s">
        <v>445</v>
      </c>
      <c r="L96" s="5" t="s">
        <v>190</v>
      </c>
      <c r="M96" s="5" t="s">
        <v>454</v>
      </c>
      <c r="N96" s="5" t="s">
        <v>282</v>
      </c>
      <c r="O96" s="5" t="s">
        <v>447</v>
      </c>
      <c r="P96" s="19" t="str">
        <f aca="false">IF(J96="S0","—",IF(K96="","",IF(L96="E0","QM",INDEX(10_ASIL_Matrix!$D$4:$F$15,MATCH(J96&amp;"-"&amp;L96,10_ASIL_Matrix!$C$4:$C$15,0),MATCH(N96,10_ASIL_Matrix!$D$3:$F$3,0)))))</f>
        <v>A</v>
      </c>
      <c r="Q96" s="5" t="s">
        <v>448</v>
      </c>
    </row>
    <row r="97" customFormat="false" ht="35.05" hidden="false" customHeight="false" outlineLevel="0" collapsed="false">
      <c r="A97" s="6" t="s">
        <v>755</v>
      </c>
      <c r="B97" s="6" t="s">
        <v>101</v>
      </c>
      <c r="C97" s="6" t="s">
        <v>102</v>
      </c>
      <c r="D97" s="6" t="s">
        <v>140</v>
      </c>
      <c r="E97" s="6" t="s">
        <v>141</v>
      </c>
      <c r="F97" s="6" t="s">
        <v>186</v>
      </c>
      <c r="G97" s="6" t="s">
        <v>443</v>
      </c>
      <c r="H97" s="6" t="s">
        <v>228</v>
      </c>
      <c r="I97" s="6" t="s">
        <v>756</v>
      </c>
      <c r="J97" s="6" t="s">
        <v>250</v>
      </c>
      <c r="K97" s="6" t="s">
        <v>445</v>
      </c>
      <c r="L97" s="6" t="s">
        <v>205</v>
      </c>
      <c r="M97" s="6" t="s">
        <v>457</v>
      </c>
      <c r="N97" s="6" t="s">
        <v>282</v>
      </c>
      <c r="O97" s="6" t="s">
        <v>447</v>
      </c>
      <c r="P97" s="6" t="str">
        <f aca="false">IF(J97="S0","—",IF(K97="","",IF(L97="E0","QM",INDEX(10_ASIL_Matrix!$D$4:$F$15,MATCH(J97&amp;"-"&amp;L97,10_ASIL_Matrix!$C$4:$C$15,0),MATCH(N97,10_ASIL_Matrix!$D$3:$F$3,0)))))</f>
        <v>QM</v>
      </c>
      <c r="Q97" s="6" t="s">
        <v>448</v>
      </c>
    </row>
    <row r="98" customFormat="false" ht="35.05" hidden="false" customHeight="false" outlineLevel="0" collapsed="false">
      <c r="A98" s="5" t="s">
        <v>757</v>
      </c>
      <c r="B98" s="5" t="s">
        <v>101</v>
      </c>
      <c r="C98" s="5" t="s">
        <v>102</v>
      </c>
      <c r="D98" s="5" t="s">
        <v>140</v>
      </c>
      <c r="E98" s="5" t="s">
        <v>141</v>
      </c>
      <c r="F98" s="5" t="s">
        <v>186</v>
      </c>
      <c r="G98" s="5" t="s">
        <v>443</v>
      </c>
      <c r="H98" s="5" t="s">
        <v>230</v>
      </c>
      <c r="I98" s="5" t="s">
        <v>758</v>
      </c>
      <c r="J98" s="5" t="s">
        <v>250</v>
      </c>
      <c r="K98" s="5" t="s">
        <v>445</v>
      </c>
      <c r="L98" s="5" t="s">
        <v>205</v>
      </c>
      <c r="M98" s="5" t="s">
        <v>460</v>
      </c>
      <c r="N98" s="5" t="s">
        <v>286</v>
      </c>
      <c r="O98" s="5" t="s">
        <v>461</v>
      </c>
      <c r="P98" s="19" t="str">
        <f aca="false">IF(J98="S0","—",IF(K98="","",IF(L98="E0","QM",INDEX(10_ASIL_Matrix!$D$4:$F$15,MATCH(J98&amp;"-"&amp;L98,10_ASIL_Matrix!$C$4:$C$15,0),MATCH(N98,10_ASIL_Matrix!$D$3:$F$3,0)))))</f>
        <v>A</v>
      </c>
      <c r="Q98" s="5" t="s">
        <v>448</v>
      </c>
    </row>
    <row r="99" customFormat="false" ht="46.25" hidden="false" customHeight="false" outlineLevel="0" collapsed="false">
      <c r="A99" s="6" t="s">
        <v>759</v>
      </c>
      <c r="B99" s="6" t="s">
        <v>101</v>
      </c>
      <c r="C99" s="6" t="s">
        <v>102</v>
      </c>
      <c r="D99" s="6" t="s">
        <v>140</v>
      </c>
      <c r="E99" s="6" t="s">
        <v>141</v>
      </c>
      <c r="F99" s="6" t="s">
        <v>186</v>
      </c>
      <c r="G99" s="6" t="s">
        <v>443</v>
      </c>
      <c r="H99" s="6" t="s">
        <v>232</v>
      </c>
      <c r="I99" s="6" t="s">
        <v>760</v>
      </c>
      <c r="J99" s="6" t="s">
        <v>250</v>
      </c>
      <c r="K99" s="6" t="s">
        <v>445</v>
      </c>
      <c r="L99" s="6" t="s">
        <v>233</v>
      </c>
      <c r="M99" s="6" t="s">
        <v>464</v>
      </c>
      <c r="N99" s="6" t="s">
        <v>282</v>
      </c>
      <c r="O99" s="6" t="s">
        <v>447</v>
      </c>
      <c r="P99" s="6" t="str">
        <f aca="false">IF(J99="S0","—",IF(K99="","",IF(L99="E0","QM",INDEX(10_ASIL_Matrix!$D$4:$F$15,MATCH(J99&amp;"-"&amp;L99,10_ASIL_Matrix!$C$4:$C$15,0),MATCH(N99,10_ASIL_Matrix!$D$3:$F$3,0)))))</f>
        <v>QM</v>
      </c>
      <c r="Q99" s="6" t="s">
        <v>448</v>
      </c>
    </row>
    <row r="100" customFormat="false" ht="35.05" hidden="false" customHeight="false" outlineLevel="0" collapsed="false">
      <c r="A100" s="5" t="s">
        <v>761</v>
      </c>
      <c r="B100" s="5" t="s">
        <v>101</v>
      </c>
      <c r="C100" s="5" t="s">
        <v>102</v>
      </c>
      <c r="D100" s="5" t="s">
        <v>140</v>
      </c>
      <c r="E100" s="5" t="s">
        <v>141</v>
      </c>
      <c r="F100" s="5" t="s">
        <v>189</v>
      </c>
      <c r="G100" s="5" t="s">
        <v>466</v>
      </c>
      <c r="H100" s="5" t="s">
        <v>222</v>
      </c>
      <c r="I100" s="5" t="s">
        <v>762</v>
      </c>
      <c r="J100" s="5" t="s">
        <v>250</v>
      </c>
      <c r="K100" s="5" t="s">
        <v>468</v>
      </c>
      <c r="L100" s="5" t="s">
        <v>190</v>
      </c>
      <c r="M100" s="5" t="s">
        <v>469</v>
      </c>
      <c r="N100" s="5" t="s">
        <v>286</v>
      </c>
      <c r="O100" s="5" t="s">
        <v>470</v>
      </c>
      <c r="P100" s="18" t="str">
        <f aca="false">IF(J100="S0","—",IF(K100="","",IF(L100="E0","QM",INDEX(10_ASIL_Matrix!$D$4:$F$15,MATCH(J100&amp;"-"&amp;L100,10_ASIL_Matrix!$C$4:$C$15,0),MATCH(N100,10_ASIL_Matrix!$D$3:$F$3,0)))))</f>
        <v>B</v>
      </c>
      <c r="Q100" s="5" t="s">
        <v>448</v>
      </c>
    </row>
    <row r="101" customFormat="false" ht="35.05" hidden="false" customHeight="false" outlineLevel="0" collapsed="false">
      <c r="A101" s="6" t="s">
        <v>763</v>
      </c>
      <c r="B101" s="6" t="s">
        <v>101</v>
      </c>
      <c r="C101" s="6" t="s">
        <v>102</v>
      </c>
      <c r="D101" s="6" t="s">
        <v>140</v>
      </c>
      <c r="E101" s="6" t="s">
        <v>141</v>
      </c>
      <c r="F101" s="6" t="s">
        <v>189</v>
      </c>
      <c r="G101" s="6" t="s">
        <v>466</v>
      </c>
      <c r="H101" s="6" t="s">
        <v>224</v>
      </c>
      <c r="I101" s="6" t="s">
        <v>764</v>
      </c>
      <c r="J101" s="6" t="s">
        <v>250</v>
      </c>
      <c r="K101" s="6" t="s">
        <v>468</v>
      </c>
      <c r="L101" s="6" t="s">
        <v>190</v>
      </c>
      <c r="M101" s="6" t="s">
        <v>473</v>
      </c>
      <c r="N101" s="6" t="s">
        <v>286</v>
      </c>
      <c r="O101" s="6" t="s">
        <v>470</v>
      </c>
      <c r="P101" s="18" t="str">
        <f aca="false">IF(J101="S0","—",IF(K101="","",IF(L101="E0","QM",INDEX(10_ASIL_Matrix!$D$4:$F$15,MATCH(J101&amp;"-"&amp;L101,10_ASIL_Matrix!$C$4:$C$15,0),MATCH(N101,10_ASIL_Matrix!$D$3:$F$3,0)))))</f>
        <v>B</v>
      </c>
      <c r="Q101" s="6" t="s">
        <v>448</v>
      </c>
    </row>
    <row r="102" customFormat="false" ht="35.05" hidden="false" customHeight="false" outlineLevel="0" collapsed="false">
      <c r="A102" s="5" t="s">
        <v>765</v>
      </c>
      <c r="B102" s="5" t="s">
        <v>101</v>
      </c>
      <c r="C102" s="5" t="s">
        <v>102</v>
      </c>
      <c r="D102" s="5" t="s">
        <v>140</v>
      </c>
      <c r="E102" s="5" t="s">
        <v>141</v>
      </c>
      <c r="F102" s="5" t="s">
        <v>189</v>
      </c>
      <c r="G102" s="5" t="s">
        <v>466</v>
      </c>
      <c r="H102" s="5" t="s">
        <v>226</v>
      </c>
      <c r="I102" s="5" t="s">
        <v>766</v>
      </c>
      <c r="J102" s="5" t="s">
        <v>250</v>
      </c>
      <c r="K102" s="5" t="s">
        <v>468</v>
      </c>
      <c r="L102" s="5" t="s">
        <v>190</v>
      </c>
      <c r="M102" s="5" t="s">
        <v>476</v>
      </c>
      <c r="N102" s="5" t="s">
        <v>286</v>
      </c>
      <c r="O102" s="5" t="s">
        <v>470</v>
      </c>
      <c r="P102" s="18" t="str">
        <f aca="false">IF(J102="S0","—",IF(K102="","",IF(L102="E0","QM",INDEX(10_ASIL_Matrix!$D$4:$F$15,MATCH(J102&amp;"-"&amp;L102,10_ASIL_Matrix!$C$4:$C$15,0),MATCH(N102,10_ASIL_Matrix!$D$3:$F$3,0)))))</f>
        <v>B</v>
      </c>
      <c r="Q102" s="5" t="s">
        <v>448</v>
      </c>
    </row>
    <row r="103" customFormat="false" ht="35.05" hidden="false" customHeight="false" outlineLevel="0" collapsed="false">
      <c r="A103" s="6" t="s">
        <v>767</v>
      </c>
      <c r="B103" s="6" t="s">
        <v>101</v>
      </c>
      <c r="C103" s="6" t="s">
        <v>102</v>
      </c>
      <c r="D103" s="6" t="s">
        <v>140</v>
      </c>
      <c r="E103" s="6" t="s">
        <v>141</v>
      </c>
      <c r="F103" s="6" t="s">
        <v>189</v>
      </c>
      <c r="G103" s="6" t="s">
        <v>466</v>
      </c>
      <c r="H103" s="6" t="s">
        <v>228</v>
      </c>
      <c r="I103" s="6" t="s">
        <v>768</v>
      </c>
      <c r="J103" s="6" t="s">
        <v>250</v>
      </c>
      <c r="K103" s="6" t="s">
        <v>468</v>
      </c>
      <c r="L103" s="6" t="s">
        <v>205</v>
      </c>
      <c r="M103" s="6" t="s">
        <v>479</v>
      </c>
      <c r="N103" s="6" t="s">
        <v>286</v>
      </c>
      <c r="O103" s="6" t="s">
        <v>470</v>
      </c>
      <c r="P103" s="19" t="str">
        <f aca="false">IF(J103="S0","—",IF(K103="","",IF(L103="E0","QM",INDEX(10_ASIL_Matrix!$D$4:$F$15,MATCH(J103&amp;"-"&amp;L103,10_ASIL_Matrix!$C$4:$C$15,0),MATCH(N103,10_ASIL_Matrix!$D$3:$F$3,0)))))</f>
        <v>A</v>
      </c>
      <c r="Q103" s="6" t="s">
        <v>448</v>
      </c>
    </row>
    <row r="104" customFormat="false" ht="46.25" hidden="false" customHeight="false" outlineLevel="0" collapsed="false">
      <c r="A104" s="5" t="s">
        <v>769</v>
      </c>
      <c r="B104" s="5" t="s">
        <v>101</v>
      </c>
      <c r="C104" s="5" t="s">
        <v>102</v>
      </c>
      <c r="D104" s="5" t="s">
        <v>140</v>
      </c>
      <c r="E104" s="5" t="s">
        <v>141</v>
      </c>
      <c r="F104" s="5" t="s">
        <v>189</v>
      </c>
      <c r="G104" s="5" t="s">
        <v>466</v>
      </c>
      <c r="H104" s="5" t="s">
        <v>230</v>
      </c>
      <c r="I104" s="5" t="s">
        <v>770</v>
      </c>
      <c r="J104" s="5" t="s">
        <v>250</v>
      </c>
      <c r="K104" s="5" t="s">
        <v>468</v>
      </c>
      <c r="L104" s="5" t="s">
        <v>205</v>
      </c>
      <c r="M104" s="5" t="s">
        <v>482</v>
      </c>
      <c r="N104" s="5" t="s">
        <v>290</v>
      </c>
      <c r="O104" s="5" t="s">
        <v>483</v>
      </c>
      <c r="P104" s="18" t="str">
        <f aca="false">IF(J104="S0","—",IF(K104="","",IF(L104="E0","QM",INDEX(10_ASIL_Matrix!$D$4:$F$15,MATCH(J104&amp;"-"&amp;L104,10_ASIL_Matrix!$C$4:$C$15,0),MATCH(N104,10_ASIL_Matrix!$D$3:$F$3,0)))))</f>
        <v>B</v>
      </c>
      <c r="Q104" s="5" t="s">
        <v>448</v>
      </c>
    </row>
    <row r="105" customFormat="false" ht="46.25" hidden="false" customHeight="false" outlineLevel="0" collapsed="false">
      <c r="A105" s="6" t="s">
        <v>771</v>
      </c>
      <c r="B105" s="6" t="s">
        <v>101</v>
      </c>
      <c r="C105" s="6" t="s">
        <v>102</v>
      </c>
      <c r="D105" s="6" t="s">
        <v>140</v>
      </c>
      <c r="E105" s="6" t="s">
        <v>141</v>
      </c>
      <c r="F105" s="6" t="s">
        <v>189</v>
      </c>
      <c r="G105" s="6" t="s">
        <v>466</v>
      </c>
      <c r="H105" s="6" t="s">
        <v>232</v>
      </c>
      <c r="I105" s="6" t="s">
        <v>772</v>
      </c>
      <c r="J105" s="6" t="s">
        <v>250</v>
      </c>
      <c r="K105" s="6" t="s">
        <v>468</v>
      </c>
      <c r="L105" s="6" t="s">
        <v>233</v>
      </c>
      <c r="M105" s="6" t="s">
        <v>486</v>
      </c>
      <c r="N105" s="6" t="s">
        <v>286</v>
      </c>
      <c r="O105" s="6" t="s">
        <v>470</v>
      </c>
      <c r="P105" s="6" t="str">
        <f aca="false">IF(J105="S0","—",IF(K105="","",IF(L105="E0","QM",INDEX(10_ASIL_Matrix!$D$4:$F$15,MATCH(J105&amp;"-"&amp;L105,10_ASIL_Matrix!$C$4:$C$15,0),MATCH(N105,10_ASIL_Matrix!$D$3:$F$3,0)))))</f>
        <v>QM</v>
      </c>
      <c r="Q105" s="6" t="s">
        <v>448</v>
      </c>
    </row>
    <row r="106" customFormat="false" ht="35.05" hidden="false" customHeight="false" outlineLevel="0" collapsed="false">
      <c r="A106" s="5" t="s">
        <v>773</v>
      </c>
      <c r="B106" s="5" t="s">
        <v>101</v>
      </c>
      <c r="C106" s="5" t="s">
        <v>102</v>
      </c>
      <c r="D106" s="5" t="s">
        <v>140</v>
      </c>
      <c r="E106" s="5" t="s">
        <v>141</v>
      </c>
      <c r="F106" s="5" t="s">
        <v>192</v>
      </c>
      <c r="G106" s="5" t="s">
        <v>488</v>
      </c>
      <c r="H106" s="5" t="s">
        <v>222</v>
      </c>
      <c r="I106" s="5" t="s">
        <v>774</v>
      </c>
      <c r="J106" s="5" t="s">
        <v>250</v>
      </c>
      <c r="K106" s="5" t="s">
        <v>490</v>
      </c>
      <c r="L106" s="5" t="s">
        <v>187</v>
      </c>
      <c r="M106" s="5" t="s">
        <v>491</v>
      </c>
      <c r="N106" s="5" t="s">
        <v>282</v>
      </c>
      <c r="O106" s="5" t="s">
        <v>447</v>
      </c>
      <c r="P106" s="18" t="str">
        <f aca="false">IF(J106="S0","—",IF(K106="","",IF(L106="E0","QM",INDEX(10_ASIL_Matrix!$D$4:$F$15,MATCH(J106&amp;"-"&amp;L106,10_ASIL_Matrix!$C$4:$C$15,0),MATCH(N106,10_ASIL_Matrix!$D$3:$F$3,0)))))</f>
        <v>B</v>
      </c>
      <c r="Q106" s="5" t="s">
        <v>448</v>
      </c>
    </row>
    <row r="107" customFormat="false" ht="35.05" hidden="false" customHeight="false" outlineLevel="0" collapsed="false">
      <c r="A107" s="6" t="s">
        <v>775</v>
      </c>
      <c r="B107" s="6" t="s">
        <v>101</v>
      </c>
      <c r="C107" s="6" t="s">
        <v>102</v>
      </c>
      <c r="D107" s="6" t="s">
        <v>140</v>
      </c>
      <c r="E107" s="6" t="s">
        <v>141</v>
      </c>
      <c r="F107" s="6" t="s">
        <v>192</v>
      </c>
      <c r="G107" s="6" t="s">
        <v>488</v>
      </c>
      <c r="H107" s="6" t="s">
        <v>224</v>
      </c>
      <c r="I107" s="6" t="s">
        <v>776</v>
      </c>
      <c r="J107" s="6" t="s">
        <v>250</v>
      </c>
      <c r="K107" s="6" t="s">
        <v>490</v>
      </c>
      <c r="L107" s="6" t="s">
        <v>190</v>
      </c>
      <c r="M107" s="6" t="s">
        <v>494</v>
      </c>
      <c r="N107" s="6" t="s">
        <v>282</v>
      </c>
      <c r="O107" s="6" t="s">
        <v>447</v>
      </c>
      <c r="P107" s="19" t="str">
        <f aca="false">IF(J107="S0","—",IF(K107="","",IF(L107="E0","QM",INDEX(10_ASIL_Matrix!$D$4:$F$15,MATCH(J107&amp;"-"&amp;L107,10_ASIL_Matrix!$C$4:$C$15,0),MATCH(N107,10_ASIL_Matrix!$D$3:$F$3,0)))))</f>
        <v>A</v>
      </c>
      <c r="Q107" s="6" t="s">
        <v>448</v>
      </c>
    </row>
    <row r="108" customFormat="false" ht="35.05" hidden="false" customHeight="false" outlineLevel="0" collapsed="false">
      <c r="A108" s="5" t="s">
        <v>777</v>
      </c>
      <c r="B108" s="5" t="s">
        <v>101</v>
      </c>
      <c r="C108" s="5" t="s">
        <v>102</v>
      </c>
      <c r="D108" s="5" t="s">
        <v>140</v>
      </c>
      <c r="E108" s="5" t="s">
        <v>141</v>
      </c>
      <c r="F108" s="5" t="s">
        <v>192</v>
      </c>
      <c r="G108" s="5" t="s">
        <v>488</v>
      </c>
      <c r="H108" s="5" t="s">
        <v>226</v>
      </c>
      <c r="I108" s="5" t="s">
        <v>778</v>
      </c>
      <c r="J108" s="5" t="s">
        <v>250</v>
      </c>
      <c r="K108" s="5" t="s">
        <v>490</v>
      </c>
      <c r="L108" s="5" t="s">
        <v>190</v>
      </c>
      <c r="M108" s="5" t="s">
        <v>497</v>
      </c>
      <c r="N108" s="5" t="s">
        <v>282</v>
      </c>
      <c r="O108" s="5" t="s">
        <v>447</v>
      </c>
      <c r="P108" s="19" t="str">
        <f aca="false">IF(J108="S0","—",IF(K108="","",IF(L108="E0","QM",INDEX(10_ASIL_Matrix!$D$4:$F$15,MATCH(J108&amp;"-"&amp;L108,10_ASIL_Matrix!$C$4:$C$15,0),MATCH(N108,10_ASIL_Matrix!$D$3:$F$3,0)))))</f>
        <v>A</v>
      </c>
      <c r="Q108" s="5" t="s">
        <v>448</v>
      </c>
    </row>
    <row r="109" customFormat="false" ht="35.05" hidden="false" customHeight="false" outlineLevel="0" collapsed="false">
      <c r="A109" s="6" t="s">
        <v>779</v>
      </c>
      <c r="B109" s="6" t="s">
        <v>101</v>
      </c>
      <c r="C109" s="6" t="s">
        <v>102</v>
      </c>
      <c r="D109" s="6" t="s">
        <v>140</v>
      </c>
      <c r="E109" s="6" t="s">
        <v>141</v>
      </c>
      <c r="F109" s="6" t="s">
        <v>192</v>
      </c>
      <c r="G109" s="6" t="s">
        <v>488</v>
      </c>
      <c r="H109" s="6" t="s">
        <v>228</v>
      </c>
      <c r="I109" s="6" t="s">
        <v>780</v>
      </c>
      <c r="J109" s="6" t="s">
        <v>250</v>
      </c>
      <c r="K109" s="6" t="s">
        <v>490</v>
      </c>
      <c r="L109" s="6" t="s">
        <v>205</v>
      </c>
      <c r="M109" s="6" t="s">
        <v>500</v>
      </c>
      <c r="N109" s="6" t="s">
        <v>282</v>
      </c>
      <c r="O109" s="6" t="s">
        <v>447</v>
      </c>
      <c r="P109" s="6" t="str">
        <f aca="false">IF(J109="S0","—",IF(K109="","",IF(L109="E0","QM",INDEX(10_ASIL_Matrix!$D$4:$F$15,MATCH(J109&amp;"-"&amp;L109,10_ASIL_Matrix!$C$4:$C$15,0),MATCH(N109,10_ASIL_Matrix!$D$3:$F$3,0)))))</f>
        <v>QM</v>
      </c>
      <c r="Q109" s="6" t="s">
        <v>448</v>
      </c>
    </row>
    <row r="110" customFormat="false" ht="35.05" hidden="false" customHeight="false" outlineLevel="0" collapsed="false">
      <c r="A110" s="5" t="s">
        <v>781</v>
      </c>
      <c r="B110" s="5" t="s">
        <v>101</v>
      </c>
      <c r="C110" s="5" t="s">
        <v>102</v>
      </c>
      <c r="D110" s="5" t="s">
        <v>140</v>
      </c>
      <c r="E110" s="5" t="s">
        <v>141</v>
      </c>
      <c r="F110" s="5" t="s">
        <v>192</v>
      </c>
      <c r="G110" s="5" t="s">
        <v>488</v>
      </c>
      <c r="H110" s="5" t="s">
        <v>230</v>
      </c>
      <c r="I110" s="5" t="s">
        <v>782</v>
      </c>
      <c r="J110" s="5" t="s">
        <v>250</v>
      </c>
      <c r="K110" s="5" t="s">
        <v>490</v>
      </c>
      <c r="L110" s="5" t="s">
        <v>205</v>
      </c>
      <c r="M110" s="5" t="s">
        <v>503</v>
      </c>
      <c r="N110" s="5" t="s">
        <v>286</v>
      </c>
      <c r="O110" s="5" t="s">
        <v>461</v>
      </c>
      <c r="P110" s="19" t="str">
        <f aca="false">IF(J110="S0","—",IF(K110="","",IF(L110="E0","QM",INDEX(10_ASIL_Matrix!$D$4:$F$15,MATCH(J110&amp;"-"&amp;L110,10_ASIL_Matrix!$C$4:$C$15,0),MATCH(N110,10_ASIL_Matrix!$D$3:$F$3,0)))))</f>
        <v>A</v>
      </c>
      <c r="Q110" s="5" t="s">
        <v>448</v>
      </c>
    </row>
    <row r="111" customFormat="false" ht="46.25" hidden="false" customHeight="false" outlineLevel="0" collapsed="false">
      <c r="A111" s="6" t="s">
        <v>783</v>
      </c>
      <c r="B111" s="6" t="s">
        <v>101</v>
      </c>
      <c r="C111" s="6" t="s">
        <v>102</v>
      </c>
      <c r="D111" s="6" t="s">
        <v>140</v>
      </c>
      <c r="E111" s="6" t="s">
        <v>141</v>
      </c>
      <c r="F111" s="6" t="s">
        <v>192</v>
      </c>
      <c r="G111" s="6" t="s">
        <v>488</v>
      </c>
      <c r="H111" s="6" t="s">
        <v>232</v>
      </c>
      <c r="I111" s="6" t="s">
        <v>784</v>
      </c>
      <c r="J111" s="6" t="s">
        <v>250</v>
      </c>
      <c r="K111" s="6" t="s">
        <v>490</v>
      </c>
      <c r="L111" s="6" t="s">
        <v>233</v>
      </c>
      <c r="M111" s="6" t="s">
        <v>506</v>
      </c>
      <c r="N111" s="6" t="s">
        <v>282</v>
      </c>
      <c r="O111" s="6" t="s">
        <v>447</v>
      </c>
      <c r="P111" s="6" t="str">
        <f aca="false">IF(J111="S0","—",IF(K111="","",IF(L111="E0","QM",INDEX(10_ASIL_Matrix!$D$4:$F$15,MATCH(J111&amp;"-"&amp;L111,10_ASIL_Matrix!$C$4:$C$15,0),MATCH(N111,10_ASIL_Matrix!$D$3:$F$3,0)))))</f>
        <v>QM</v>
      </c>
      <c r="Q111" s="6" t="s">
        <v>448</v>
      </c>
    </row>
    <row r="112" customFormat="false" ht="35.05" hidden="false" customHeight="false" outlineLevel="0" collapsed="false">
      <c r="A112" s="5" t="s">
        <v>785</v>
      </c>
      <c r="B112" s="5" t="s">
        <v>101</v>
      </c>
      <c r="C112" s="5" t="s">
        <v>102</v>
      </c>
      <c r="D112" s="5" t="s">
        <v>140</v>
      </c>
      <c r="E112" s="5" t="s">
        <v>141</v>
      </c>
      <c r="F112" s="5" t="s">
        <v>194</v>
      </c>
      <c r="G112" s="5" t="s">
        <v>508</v>
      </c>
      <c r="H112" s="5" t="s">
        <v>222</v>
      </c>
      <c r="I112" s="5" t="s">
        <v>786</v>
      </c>
      <c r="J112" s="5" t="s">
        <v>250</v>
      </c>
      <c r="K112" s="5" t="s">
        <v>510</v>
      </c>
      <c r="L112" s="5" t="s">
        <v>190</v>
      </c>
      <c r="M112" s="5" t="s">
        <v>511</v>
      </c>
      <c r="N112" s="5" t="s">
        <v>282</v>
      </c>
      <c r="O112" s="5" t="s">
        <v>447</v>
      </c>
      <c r="P112" s="19" t="str">
        <f aca="false">IF(J112="S0","—",IF(K112="","",IF(L112="E0","QM",INDEX(10_ASIL_Matrix!$D$4:$F$15,MATCH(J112&amp;"-"&amp;L112,10_ASIL_Matrix!$C$4:$C$15,0),MATCH(N112,10_ASIL_Matrix!$D$3:$F$3,0)))))</f>
        <v>A</v>
      </c>
      <c r="Q112" s="5" t="s">
        <v>448</v>
      </c>
    </row>
    <row r="113" customFormat="false" ht="35.05" hidden="false" customHeight="false" outlineLevel="0" collapsed="false">
      <c r="A113" s="6" t="s">
        <v>787</v>
      </c>
      <c r="B113" s="6" t="s">
        <v>101</v>
      </c>
      <c r="C113" s="6" t="s">
        <v>102</v>
      </c>
      <c r="D113" s="6" t="s">
        <v>140</v>
      </c>
      <c r="E113" s="6" t="s">
        <v>141</v>
      </c>
      <c r="F113" s="6" t="s">
        <v>194</v>
      </c>
      <c r="G113" s="6" t="s">
        <v>508</v>
      </c>
      <c r="H113" s="6" t="s">
        <v>224</v>
      </c>
      <c r="I113" s="6" t="s">
        <v>788</v>
      </c>
      <c r="J113" s="6" t="s">
        <v>250</v>
      </c>
      <c r="K113" s="6" t="s">
        <v>510</v>
      </c>
      <c r="L113" s="6" t="s">
        <v>190</v>
      </c>
      <c r="M113" s="6" t="s">
        <v>514</v>
      </c>
      <c r="N113" s="6" t="s">
        <v>282</v>
      </c>
      <c r="O113" s="6" t="s">
        <v>447</v>
      </c>
      <c r="P113" s="19" t="str">
        <f aca="false">IF(J113="S0","—",IF(K113="","",IF(L113="E0","QM",INDEX(10_ASIL_Matrix!$D$4:$F$15,MATCH(J113&amp;"-"&amp;L113,10_ASIL_Matrix!$C$4:$C$15,0),MATCH(N113,10_ASIL_Matrix!$D$3:$F$3,0)))))</f>
        <v>A</v>
      </c>
      <c r="Q113" s="6" t="s">
        <v>448</v>
      </c>
    </row>
    <row r="114" customFormat="false" ht="35.05" hidden="false" customHeight="false" outlineLevel="0" collapsed="false">
      <c r="A114" s="5" t="s">
        <v>789</v>
      </c>
      <c r="B114" s="5" t="s">
        <v>101</v>
      </c>
      <c r="C114" s="5" t="s">
        <v>102</v>
      </c>
      <c r="D114" s="5" t="s">
        <v>140</v>
      </c>
      <c r="E114" s="5" t="s">
        <v>141</v>
      </c>
      <c r="F114" s="5" t="s">
        <v>194</v>
      </c>
      <c r="G114" s="5" t="s">
        <v>508</v>
      </c>
      <c r="H114" s="5" t="s">
        <v>226</v>
      </c>
      <c r="I114" s="5" t="s">
        <v>790</v>
      </c>
      <c r="J114" s="5" t="s">
        <v>250</v>
      </c>
      <c r="K114" s="5" t="s">
        <v>510</v>
      </c>
      <c r="L114" s="5" t="s">
        <v>190</v>
      </c>
      <c r="M114" s="5" t="s">
        <v>517</v>
      </c>
      <c r="N114" s="5" t="s">
        <v>282</v>
      </c>
      <c r="O114" s="5" t="s">
        <v>447</v>
      </c>
      <c r="P114" s="19" t="str">
        <f aca="false">IF(J114="S0","—",IF(K114="","",IF(L114="E0","QM",INDEX(10_ASIL_Matrix!$D$4:$F$15,MATCH(J114&amp;"-"&amp;L114,10_ASIL_Matrix!$C$4:$C$15,0),MATCH(N114,10_ASIL_Matrix!$D$3:$F$3,0)))))</f>
        <v>A</v>
      </c>
      <c r="Q114" s="5" t="s">
        <v>448</v>
      </c>
    </row>
    <row r="115" customFormat="false" ht="35.05" hidden="false" customHeight="false" outlineLevel="0" collapsed="false">
      <c r="A115" s="6" t="s">
        <v>791</v>
      </c>
      <c r="B115" s="6" t="s">
        <v>101</v>
      </c>
      <c r="C115" s="6" t="s">
        <v>102</v>
      </c>
      <c r="D115" s="6" t="s">
        <v>140</v>
      </c>
      <c r="E115" s="6" t="s">
        <v>141</v>
      </c>
      <c r="F115" s="6" t="s">
        <v>194</v>
      </c>
      <c r="G115" s="6" t="s">
        <v>508</v>
      </c>
      <c r="H115" s="6" t="s">
        <v>228</v>
      </c>
      <c r="I115" s="6" t="s">
        <v>792</v>
      </c>
      <c r="J115" s="6" t="s">
        <v>250</v>
      </c>
      <c r="K115" s="6" t="s">
        <v>510</v>
      </c>
      <c r="L115" s="6" t="s">
        <v>205</v>
      </c>
      <c r="M115" s="6" t="s">
        <v>520</v>
      </c>
      <c r="N115" s="6" t="s">
        <v>282</v>
      </c>
      <c r="O115" s="6" t="s">
        <v>447</v>
      </c>
      <c r="P115" s="6" t="str">
        <f aca="false">IF(J115="S0","—",IF(K115="","",IF(L115="E0","QM",INDEX(10_ASIL_Matrix!$D$4:$F$15,MATCH(J115&amp;"-"&amp;L115,10_ASIL_Matrix!$C$4:$C$15,0),MATCH(N115,10_ASIL_Matrix!$D$3:$F$3,0)))))</f>
        <v>QM</v>
      </c>
      <c r="Q115" s="6" t="s">
        <v>448</v>
      </c>
    </row>
    <row r="116" customFormat="false" ht="35.05" hidden="false" customHeight="false" outlineLevel="0" collapsed="false">
      <c r="A116" s="5" t="s">
        <v>793</v>
      </c>
      <c r="B116" s="5" t="s">
        <v>101</v>
      </c>
      <c r="C116" s="5" t="s">
        <v>102</v>
      </c>
      <c r="D116" s="5" t="s">
        <v>140</v>
      </c>
      <c r="E116" s="5" t="s">
        <v>141</v>
      </c>
      <c r="F116" s="5" t="s">
        <v>194</v>
      </c>
      <c r="G116" s="5" t="s">
        <v>508</v>
      </c>
      <c r="H116" s="5" t="s">
        <v>230</v>
      </c>
      <c r="I116" s="5" t="s">
        <v>794</v>
      </c>
      <c r="J116" s="5" t="s">
        <v>250</v>
      </c>
      <c r="K116" s="5" t="s">
        <v>510</v>
      </c>
      <c r="L116" s="5" t="s">
        <v>205</v>
      </c>
      <c r="M116" s="5" t="s">
        <v>523</v>
      </c>
      <c r="N116" s="5" t="s">
        <v>286</v>
      </c>
      <c r="O116" s="5" t="s">
        <v>461</v>
      </c>
      <c r="P116" s="19" t="str">
        <f aca="false">IF(J116="S0","—",IF(K116="","",IF(L116="E0","QM",INDEX(10_ASIL_Matrix!$D$4:$F$15,MATCH(J116&amp;"-"&amp;L116,10_ASIL_Matrix!$C$4:$C$15,0),MATCH(N116,10_ASIL_Matrix!$D$3:$F$3,0)))))</f>
        <v>A</v>
      </c>
      <c r="Q116" s="5" t="s">
        <v>448</v>
      </c>
    </row>
    <row r="117" customFormat="false" ht="46.25" hidden="false" customHeight="false" outlineLevel="0" collapsed="false">
      <c r="A117" s="6" t="s">
        <v>795</v>
      </c>
      <c r="B117" s="6" t="s">
        <v>101</v>
      </c>
      <c r="C117" s="6" t="s">
        <v>102</v>
      </c>
      <c r="D117" s="6" t="s">
        <v>140</v>
      </c>
      <c r="E117" s="6" t="s">
        <v>141</v>
      </c>
      <c r="F117" s="6" t="s">
        <v>194</v>
      </c>
      <c r="G117" s="6" t="s">
        <v>508</v>
      </c>
      <c r="H117" s="6" t="s">
        <v>232</v>
      </c>
      <c r="I117" s="6" t="s">
        <v>796</v>
      </c>
      <c r="J117" s="6" t="s">
        <v>250</v>
      </c>
      <c r="K117" s="6" t="s">
        <v>510</v>
      </c>
      <c r="L117" s="6" t="s">
        <v>233</v>
      </c>
      <c r="M117" s="6" t="s">
        <v>526</v>
      </c>
      <c r="N117" s="6" t="s">
        <v>282</v>
      </c>
      <c r="O117" s="6" t="s">
        <v>447</v>
      </c>
      <c r="P117" s="6" t="str">
        <f aca="false">IF(J117="S0","—",IF(K117="","",IF(L117="E0","QM",INDEX(10_ASIL_Matrix!$D$4:$F$15,MATCH(J117&amp;"-"&amp;L117,10_ASIL_Matrix!$C$4:$C$15,0),MATCH(N117,10_ASIL_Matrix!$D$3:$F$3,0)))))</f>
        <v>QM</v>
      </c>
      <c r="Q117" s="6" t="s">
        <v>448</v>
      </c>
    </row>
    <row r="118" customFormat="false" ht="35.05" hidden="false" customHeight="false" outlineLevel="0" collapsed="false">
      <c r="A118" s="5" t="s">
        <v>797</v>
      </c>
      <c r="B118" s="5" t="s">
        <v>101</v>
      </c>
      <c r="C118" s="5" t="s">
        <v>102</v>
      </c>
      <c r="D118" s="5" t="s">
        <v>140</v>
      </c>
      <c r="E118" s="5" t="s">
        <v>141</v>
      </c>
      <c r="F118" s="5" t="s">
        <v>196</v>
      </c>
      <c r="G118" s="5" t="s">
        <v>528</v>
      </c>
      <c r="H118" s="5" t="s">
        <v>222</v>
      </c>
      <c r="I118" s="5" t="s">
        <v>798</v>
      </c>
      <c r="J118" s="5" t="s">
        <v>250</v>
      </c>
      <c r="K118" s="5" t="s">
        <v>530</v>
      </c>
      <c r="L118" s="5" t="s">
        <v>187</v>
      </c>
      <c r="M118" s="5" t="s">
        <v>531</v>
      </c>
      <c r="N118" s="5" t="s">
        <v>282</v>
      </c>
      <c r="O118" s="5" t="s">
        <v>447</v>
      </c>
      <c r="P118" s="18" t="str">
        <f aca="false">IF(J118="S0","—",IF(K118="","",IF(L118="E0","QM",INDEX(10_ASIL_Matrix!$D$4:$F$15,MATCH(J118&amp;"-"&amp;L118,10_ASIL_Matrix!$C$4:$C$15,0),MATCH(N118,10_ASIL_Matrix!$D$3:$F$3,0)))))</f>
        <v>B</v>
      </c>
      <c r="Q118" s="5" t="s">
        <v>448</v>
      </c>
    </row>
    <row r="119" customFormat="false" ht="35.05" hidden="false" customHeight="false" outlineLevel="0" collapsed="false">
      <c r="A119" s="6" t="s">
        <v>799</v>
      </c>
      <c r="B119" s="6" t="s">
        <v>101</v>
      </c>
      <c r="C119" s="6" t="s">
        <v>102</v>
      </c>
      <c r="D119" s="6" t="s">
        <v>140</v>
      </c>
      <c r="E119" s="6" t="s">
        <v>141</v>
      </c>
      <c r="F119" s="6" t="s">
        <v>196</v>
      </c>
      <c r="G119" s="6" t="s">
        <v>528</v>
      </c>
      <c r="H119" s="6" t="s">
        <v>224</v>
      </c>
      <c r="I119" s="6" t="s">
        <v>800</v>
      </c>
      <c r="J119" s="6" t="s">
        <v>250</v>
      </c>
      <c r="K119" s="6" t="s">
        <v>530</v>
      </c>
      <c r="L119" s="6" t="s">
        <v>190</v>
      </c>
      <c r="M119" s="6" t="s">
        <v>534</v>
      </c>
      <c r="N119" s="6" t="s">
        <v>282</v>
      </c>
      <c r="O119" s="6" t="s">
        <v>447</v>
      </c>
      <c r="P119" s="19" t="str">
        <f aca="false">IF(J119="S0","—",IF(K119="","",IF(L119="E0","QM",INDEX(10_ASIL_Matrix!$D$4:$F$15,MATCH(J119&amp;"-"&amp;L119,10_ASIL_Matrix!$C$4:$C$15,0),MATCH(N119,10_ASIL_Matrix!$D$3:$F$3,0)))))</f>
        <v>A</v>
      </c>
      <c r="Q119" s="6" t="s">
        <v>448</v>
      </c>
    </row>
    <row r="120" customFormat="false" ht="35.05" hidden="false" customHeight="false" outlineLevel="0" collapsed="false">
      <c r="A120" s="5" t="s">
        <v>801</v>
      </c>
      <c r="B120" s="5" t="s">
        <v>101</v>
      </c>
      <c r="C120" s="5" t="s">
        <v>102</v>
      </c>
      <c r="D120" s="5" t="s">
        <v>140</v>
      </c>
      <c r="E120" s="5" t="s">
        <v>141</v>
      </c>
      <c r="F120" s="5" t="s">
        <v>196</v>
      </c>
      <c r="G120" s="5" t="s">
        <v>528</v>
      </c>
      <c r="H120" s="5" t="s">
        <v>226</v>
      </c>
      <c r="I120" s="5" t="s">
        <v>802</v>
      </c>
      <c r="J120" s="5" t="s">
        <v>250</v>
      </c>
      <c r="K120" s="5" t="s">
        <v>530</v>
      </c>
      <c r="L120" s="5" t="s">
        <v>190</v>
      </c>
      <c r="M120" s="5" t="s">
        <v>537</v>
      </c>
      <c r="N120" s="5" t="s">
        <v>282</v>
      </c>
      <c r="O120" s="5" t="s">
        <v>447</v>
      </c>
      <c r="P120" s="19" t="str">
        <f aca="false">IF(J120="S0","—",IF(K120="","",IF(L120="E0","QM",INDEX(10_ASIL_Matrix!$D$4:$F$15,MATCH(J120&amp;"-"&amp;L120,10_ASIL_Matrix!$C$4:$C$15,0),MATCH(N120,10_ASIL_Matrix!$D$3:$F$3,0)))))</f>
        <v>A</v>
      </c>
      <c r="Q120" s="5" t="s">
        <v>448</v>
      </c>
    </row>
    <row r="121" customFormat="false" ht="35.05" hidden="false" customHeight="false" outlineLevel="0" collapsed="false">
      <c r="A121" s="6" t="s">
        <v>803</v>
      </c>
      <c r="B121" s="6" t="s">
        <v>101</v>
      </c>
      <c r="C121" s="6" t="s">
        <v>102</v>
      </c>
      <c r="D121" s="6" t="s">
        <v>140</v>
      </c>
      <c r="E121" s="6" t="s">
        <v>141</v>
      </c>
      <c r="F121" s="6" t="s">
        <v>196</v>
      </c>
      <c r="G121" s="6" t="s">
        <v>528</v>
      </c>
      <c r="H121" s="6" t="s">
        <v>228</v>
      </c>
      <c r="I121" s="6" t="s">
        <v>804</v>
      </c>
      <c r="J121" s="6" t="s">
        <v>250</v>
      </c>
      <c r="K121" s="6" t="s">
        <v>530</v>
      </c>
      <c r="L121" s="6" t="s">
        <v>205</v>
      </c>
      <c r="M121" s="6" t="s">
        <v>540</v>
      </c>
      <c r="N121" s="6" t="s">
        <v>282</v>
      </c>
      <c r="O121" s="6" t="s">
        <v>447</v>
      </c>
      <c r="P121" s="6" t="str">
        <f aca="false">IF(J121="S0","—",IF(K121="","",IF(L121="E0","QM",INDEX(10_ASIL_Matrix!$D$4:$F$15,MATCH(J121&amp;"-"&amp;L121,10_ASIL_Matrix!$C$4:$C$15,0),MATCH(N121,10_ASIL_Matrix!$D$3:$F$3,0)))))</f>
        <v>QM</v>
      </c>
      <c r="Q121" s="6" t="s">
        <v>448</v>
      </c>
    </row>
    <row r="122" customFormat="false" ht="35.05" hidden="false" customHeight="false" outlineLevel="0" collapsed="false">
      <c r="A122" s="5" t="s">
        <v>805</v>
      </c>
      <c r="B122" s="5" t="s">
        <v>101</v>
      </c>
      <c r="C122" s="5" t="s">
        <v>102</v>
      </c>
      <c r="D122" s="5" t="s">
        <v>140</v>
      </c>
      <c r="E122" s="5" t="s">
        <v>141</v>
      </c>
      <c r="F122" s="5" t="s">
        <v>196</v>
      </c>
      <c r="G122" s="5" t="s">
        <v>528</v>
      </c>
      <c r="H122" s="5" t="s">
        <v>230</v>
      </c>
      <c r="I122" s="5" t="s">
        <v>806</v>
      </c>
      <c r="J122" s="5" t="s">
        <v>250</v>
      </c>
      <c r="K122" s="5" t="s">
        <v>530</v>
      </c>
      <c r="L122" s="5" t="s">
        <v>205</v>
      </c>
      <c r="M122" s="5" t="s">
        <v>543</v>
      </c>
      <c r="N122" s="5" t="s">
        <v>286</v>
      </c>
      <c r="O122" s="5" t="s">
        <v>461</v>
      </c>
      <c r="P122" s="19" t="str">
        <f aca="false">IF(J122="S0","—",IF(K122="","",IF(L122="E0","QM",INDEX(10_ASIL_Matrix!$D$4:$F$15,MATCH(J122&amp;"-"&amp;L122,10_ASIL_Matrix!$C$4:$C$15,0),MATCH(N122,10_ASIL_Matrix!$D$3:$F$3,0)))))</f>
        <v>A</v>
      </c>
      <c r="Q122" s="5" t="s">
        <v>448</v>
      </c>
    </row>
    <row r="123" customFormat="false" ht="46.25" hidden="false" customHeight="false" outlineLevel="0" collapsed="false">
      <c r="A123" s="6" t="s">
        <v>807</v>
      </c>
      <c r="B123" s="6" t="s">
        <v>101</v>
      </c>
      <c r="C123" s="6" t="s">
        <v>102</v>
      </c>
      <c r="D123" s="6" t="s">
        <v>140</v>
      </c>
      <c r="E123" s="6" t="s">
        <v>141</v>
      </c>
      <c r="F123" s="6" t="s">
        <v>196</v>
      </c>
      <c r="G123" s="6" t="s">
        <v>528</v>
      </c>
      <c r="H123" s="6" t="s">
        <v>232</v>
      </c>
      <c r="I123" s="6" t="s">
        <v>808</v>
      </c>
      <c r="J123" s="6" t="s">
        <v>250</v>
      </c>
      <c r="K123" s="6" t="s">
        <v>530</v>
      </c>
      <c r="L123" s="6" t="s">
        <v>233</v>
      </c>
      <c r="M123" s="6" t="s">
        <v>546</v>
      </c>
      <c r="N123" s="6" t="s">
        <v>282</v>
      </c>
      <c r="O123" s="6" t="s">
        <v>447</v>
      </c>
      <c r="P123" s="6" t="str">
        <f aca="false">IF(J123="S0","—",IF(K123="","",IF(L123="E0","QM",INDEX(10_ASIL_Matrix!$D$4:$F$15,MATCH(J123&amp;"-"&amp;L123,10_ASIL_Matrix!$C$4:$C$15,0),MATCH(N123,10_ASIL_Matrix!$D$3:$F$3,0)))))</f>
        <v>QM</v>
      </c>
      <c r="Q123" s="6" t="s">
        <v>448</v>
      </c>
    </row>
    <row r="124" customFormat="false" ht="35.05" hidden="false" customHeight="false" outlineLevel="0" collapsed="false">
      <c r="A124" s="5" t="s">
        <v>809</v>
      </c>
      <c r="B124" s="5" t="s">
        <v>101</v>
      </c>
      <c r="C124" s="5" t="s">
        <v>102</v>
      </c>
      <c r="D124" s="5" t="s">
        <v>140</v>
      </c>
      <c r="E124" s="5" t="s">
        <v>141</v>
      </c>
      <c r="F124" s="5" t="s">
        <v>198</v>
      </c>
      <c r="G124" s="5" t="s">
        <v>548</v>
      </c>
      <c r="H124" s="5" t="s">
        <v>222</v>
      </c>
      <c r="I124" s="5" t="s">
        <v>810</v>
      </c>
      <c r="J124" s="5" t="s">
        <v>242</v>
      </c>
      <c r="K124" s="5" t="s">
        <v>550</v>
      </c>
      <c r="L124" s="5" t="s">
        <v>190</v>
      </c>
      <c r="M124" s="5" t="s">
        <v>551</v>
      </c>
      <c r="N124" s="5" t="s">
        <v>282</v>
      </c>
      <c r="O124" s="5" t="s">
        <v>552</v>
      </c>
      <c r="P124" s="5" t="str">
        <f aca="false">IF(J124="S0","—",IF(K124="","",IF(L124="E0","QM",INDEX(10_ASIL_Matrix!$D$4:$F$15,MATCH(J124&amp;"-"&amp;L124,10_ASIL_Matrix!$C$4:$C$15,0),MATCH(N124,10_ASIL_Matrix!$D$3:$F$3,0)))))</f>
        <v>QM</v>
      </c>
      <c r="Q124" s="5" t="s">
        <v>448</v>
      </c>
    </row>
    <row r="125" customFormat="false" ht="35.05" hidden="false" customHeight="false" outlineLevel="0" collapsed="false">
      <c r="A125" s="6" t="s">
        <v>811</v>
      </c>
      <c r="B125" s="6" t="s">
        <v>101</v>
      </c>
      <c r="C125" s="6" t="s">
        <v>102</v>
      </c>
      <c r="D125" s="6" t="s">
        <v>140</v>
      </c>
      <c r="E125" s="6" t="s">
        <v>141</v>
      </c>
      <c r="F125" s="6" t="s">
        <v>198</v>
      </c>
      <c r="G125" s="6" t="s">
        <v>548</v>
      </c>
      <c r="H125" s="6" t="s">
        <v>224</v>
      </c>
      <c r="I125" s="6" t="s">
        <v>812</v>
      </c>
      <c r="J125" s="6" t="s">
        <v>242</v>
      </c>
      <c r="K125" s="6" t="s">
        <v>550</v>
      </c>
      <c r="L125" s="6" t="s">
        <v>190</v>
      </c>
      <c r="M125" s="6" t="s">
        <v>555</v>
      </c>
      <c r="N125" s="6" t="s">
        <v>282</v>
      </c>
      <c r="O125" s="6" t="s">
        <v>552</v>
      </c>
      <c r="P125" s="6" t="str">
        <f aca="false">IF(J125="S0","—",IF(K125="","",IF(L125="E0","QM",INDEX(10_ASIL_Matrix!$D$4:$F$15,MATCH(J125&amp;"-"&amp;L125,10_ASIL_Matrix!$C$4:$C$15,0),MATCH(N125,10_ASIL_Matrix!$D$3:$F$3,0)))))</f>
        <v>QM</v>
      </c>
      <c r="Q125" s="6" t="s">
        <v>448</v>
      </c>
    </row>
    <row r="126" customFormat="false" ht="35.05" hidden="false" customHeight="false" outlineLevel="0" collapsed="false">
      <c r="A126" s="5" t="s">
        <v>813</v>
      </c>
      <c r="B126" s="5" t="s">
        <v>101</v>
      </c>
      <c r="C126" s="5" t="s">
        <v>102</v>
      </c>
      <c r="D126" s="5" t="s">
        <v>140</v>
      </c>
      <c r="E126" s="5" t="s">
        <v>141</v>
      </c>
      <c r="F126" s="5" t="s">
        <v>198</v>
      </c>
      <c r="G126" s="5" t="s">
        <v>548</v>
      </c>
      <c r="H126" s="5" t="s">
        <v>226</v>
      </c>
      <c r="I126" s="5" t="s">
        <v>814</v>
      </c>
      <c r="J126" s="5" t="s">
        <v>242</v>
      </c>
      <c r="K126" s="5" t="s">
        <v>550</v>
      </c>
      <c r="L126" s="5" t="s">
        <v>190</v>
      </c>
      <c r="M126" s="5" t="s">
        <v>558</v>
      </c>
      <c r="N126" s="5" t="s">
        <v>282</v>
      </c>
      <c r="O126" s="5" t="s">
        <v>552</v>
      </c>
      <c r="P126" s="5" t="str">
        <f aca="false">IF(J126="S0","—",IF(K126="","",IF(L126="E0","QM",INDEX(10_ASIL_Matrix!$D$4:$F$15,MATCH(J126&amp;"-"&amp;L126,10_ASIL_Matrix!$C$4:$C$15,0),MATCH(N126,10_ASIL_Matrix!$D$3:$F$3,0)))))</f>
        <v>QM</v>
      </c>
      <c r="Q126" s="5" t="s">
        <v>448</v>
      </c>
    </row>
    <row r="127" customFormat="false" ht="35.05" hidden="false" customHeight="false" outlineLevel="0" collapsed="false">
      <c r="A127" s="6" t="s">
        <v>815</v>
      </c>
      <c r="B127" s="6" t="s">
        <v>101</v>
      </c>
      <c r="C127" s="6" t="s">
        <v>102</v>
      </c>
      <c r="D127" s="6" t="s">
        <v>140</v>
      </c>
      <c r="E127" s="6" t="s">
        <v>141</v>
      </c>
      <c r="F127" s="6" t="s">
        <v>198</v>
      </c>
      <c r="G127" s="6" t="s">
        <v>548</v>
      </c>
      <c r="H127" s="6" t="s">
        <v>228</v>
      </c>
      <c r="I127" s="6" t="s">
        <v>816</v>
      </c>
      <c r="J127" s="6" t="s">
        <v>242</v>
      </c>
      <c r="K127" s="6" t="s">
        <v>550</v>
      </c>
      <c r="L127" s="6" t="s">
        <v>205</v>
      </c>
      <c r="M127" s="6" t="s">
        <v>561</v>
      </c>
      <c r="N127" s="6" t="s">
        <v>282</v>
      </c>
      <c r="O127" s="6" t="s">
        <v>552</v>
      </c>
      <c r="P127" s="6" t="str">
        <f aca="false">IF(J127="S0","—",IF(K127="","",IF(L127="E0","QM",INDEX(10_ASIL_Matrix!$D$4:$F$15,MATCH(J127&amp;"-"&amp;L127,10_ASIL_Matrix!$C$4:$C$15,0),MATCH(N127,10_ASIL_Matrix!$D$3:$F$3,0)))))</f>
        <v>QM</v>
      </c>
      <c r="Q127" s="6" t="s">
        <v>448</v>
      </c>
    </row>
    <row r="128" customFormat="false" ht="35.05" hidden="false" customHeight="false" outlineLevel="0" collapsed="false">
      <c r="A128" s="5" t="s">
        <v>817</v>
      </c>
      <c r="B128" s="5" t="s">
        <v>101</v>
      </c>
      <c r="C128" s="5" t="s">
        <v>102</v>
      </c>
      <c r="D128" s="5" t="s">
        <v>140</v>
      </c>
      <c r="E128" s="5" t="s">
        <v>141</v>
      </c>
      <c r="F128" s="5" t="s">
        <v>198</v>
      </c>
      <c r="G128" s="5" t="s">
        <v>548</v>
      </c>
      <c r="H128" s="5" t="s">
        <v>230</v>
      </c>
      <c r="I128" s="5" t="s">
        <v>818</v>
      </c>
      <c r="J128" s="5" t="s">
        <v>242</v>
      </c>
      <c r="K128" s="5" t="s">
        <v>550</v>
      </c>
      <c r="L128" s="5" t="s">
        <v>205</v>
      </c>
      <c r="M128" s="5" t="s">
        <v>564</v>
      </c>
      <c r="N128" s="5" t="s">
        <v>286</v>
      </c>
      <c r="O128" s="5" t="s">
        <v>565</v>
      </c>
      <c r="P128" s="5" t="str">
        <f aca="false">IF(J128="S0","—",IF(K128="","",IF(L128="E0","QM",INDEX(10_ASIL_Matrix!$D$4:$F$15,MATCH(J128&amp;"-"&amp;L128,10_ASIL_Matrix!$C$4:$C$15,0),MATCH(N128,10_ASIL_Matrix!$D$3:$F$3,0)))))</f>
        <v>QM</v>
      </c>
      <c r="Q128" s="5" t="s">
        <v>448</v>
      </c>
    </row>
    <row r="129" customFormat="false" ht="46.25" hidden="false" customHeight="false" outlineLevel="0" collapsed="false">
      <c r="A129" s="6" t="s">
        <v>819</v>
      </c>
      <c r="B129" s="6" t="s">
        <v>101</v>
      </c>
      <c r="C129" s="6" t="s">
        <v>102</v>
      </c>
      <c r="D129" s="6" t="s">
        <v>140</v>
      </c>
      <c r="E129" s="6" t="s">
        <v>141</v>
      </c>
      <c r="F129" s="6" t="s">
        <v>198</v>
      </c>
      <c r="G129" s="6" t="s">
        <v>548</v>
      </c>
      <c r="H129" s="6" t="s">
        <v>232</v>
      </c>
      <c r="I129" s="6" t="s">
        <v>820</v>
      </c>
      <c r="J129" s="6" t="s">
        <v>242</v>
      </c>
      <c r="K129" s="6" t="s">
        <v>550</v>
      </c>
      <c r="L129" s="6" t="s">
        <v>233</v>
      </c>
      <c r="M129" s="6" t="s">
        <v>568</v>
      </c>
      <c r="N129" s="6" t="s">
        <v>282</v>
      </c>
      <c r="O129" s="6" t="s">
        <v>552</v>
      </c>
      <c r="P129" s="6" t="str">
        <f aca="false">IF(J129="S0","—",IF(K129="","",IF(L129="E0","QM",INDEX(10_ASIL_Matrix!$D$4:$F$15,MATCH(J129&amp;"-"&amp;L129,10_ASIL_Matrix!$C$4:$C$15,0),MATCH(N129,10_ASIL_Matrix!$D$3:$F$3,0)))))</f>
        <v>QM</v>
      </c>
      <c r="Q129" s="6" t="s">
        <v>448</v>
      </c>
    </row>
    <row r="130" customFormat="false" ht="35.05" hidden="false" customHeight="false" outlineLevel="0" collapsed="false">
      <c r="A130" s="5" t="s">
        <v>821</v>
      </c>
      <c r="B130" s="5" t="s">
        <v>101</v>
      </c>
      <c r="C130" s="5" t="s">
        <v>102</v>
      </c>
      <c r="D130" s="5" t="s">
        <v>140</v>
      </c>
      <c r="E130" s="5" t="s">
        <v>141</v>
      </c>
      <c r="F130" s="5" t="s">
        <v>200</v>
      </c>
      <c r="G130" s="5" t="s">
        <v>570</v>
      </c>
      <c r="H130" s="5" t="s">
        <v>222</v>
      </c>
      <c r="I130" s="5" t="s">
        <v>822</v>
      </c>
      <c r="J130" s="5" t="s">
        <v>250</v>
      </c>
      <c r="K130" s="5" t="s">
        <v>572</v>
      </c>
      <c r="L130" s="5" t="s">
        <v>190</v>
      </c>
      <c r="M130" s="5" t="s">
        <v>573</v>
      </c>
      <c r="N130" s="5" t="s">
        <v>282</v>
      </c>
      <c r="O130" s="5" t="s">
        <v>447</v>
      </c>
      <c r="P130" s="19" t="str">
        <f aca="false">IF(J130="S0","—",IF(K130="","",IF(L130="E0","QM",INDEX(10_ASIL_Matrix!$D$4:$F$15,MATCH(J130&amp;"-"&amp;L130,10_ASIL_Matrix!$C$4:$C$15,0),MATCH(N130,10_ASIL_Matrix!$D$3:$F$3,0)))))</f>
        <v>A</v>
      </c>
      <c r="Q130" s="5" t="s">
        <v>448</v>
      </c>
    </row>
    <row r="131" customFormat="false" ht="35.05" hidden="false" customHeight="false" outlineLevel="0" collapsed="false">
      <c r="A131" s="6" t="s">
        <v>823</v>
      </c>
      <c r="B131" s="6" t="s">
        <v>101</v>
      </c>
      <c r="C131" s="6" t="s">
        <v>102</v>
      </c>
      <c r="D131" s="6" t="s">
        <v>140</v>
      </c>
      <c r="E131" s="6" t="s">
        <v>141</v>
      </c>
      <c r="F131" s="6" t="s">
        <v>200</v>
      </c>
      <c r="G131" s="6" t="s">
        <v>570</v>
      </c>
      <c r="H131" s="6" t="s">
        <v>224</v>
      </c>
      <c r="I131" s="6" t="s">
        <v>824</v>
      </c>
      <c r="J131" s="6" t="s">
        <v>250</v>
      </c>
      <c r="K131" s="6" t="s">
        <v>572</v>
      </c>
      <c r="L131" s="6" t="s">
        <v>190</v>
      </c>
      <c r="M131" s="6" t="s">
        <v>576</v>
      </c>
      <c r="N131" s="6" t="s">
        <v>282</v>
      </c>
      <c r="O131" s="6" t="s">
        <v>447</v>
      </c>
      <c r="P131" s="19" t="str">
        <f aca="false">IF(J131="S0","—",IF(K131="","",IF(L131="E0","QM",INDEX(10_ASIL_Matrix!$D$4:$F$15,MATCH(J131&amp;"-"&amp;L131,10_ASIL_Matrix!$C$4:$C$15,0),MATCH(N131,10_ASIL_Matrix!$D$3:$F$3,0)))))</f>
        <v>A</v>
      </c>
      <c r="Q131" s="6" t="s">
        <v>448</v>
      </c>
    </row>
    <row r="132" customFormat="false" ht="35.05" hidden="false" customHeight="false" outlineLevel="0" collapsed="false">
      <c r="A132" s="5" t="s">
        <v>825</v>
      </c>
      <c r="B132" s="5" t="s">
        <v>101</v>
      </c>
      <c r="C132" s="5" t="s">
        <v>102</v>
      </c>
      <c r="D132" s="5" t="s">
        <v>140</v>
      </c>
      <c r="E132" s="5" t="s">
        <v>141</v>
      </c>
      <c r="F132" s="5" t="s">
        <v>200</v>
      </c>
      <c r="G132" s="5" t="s">
        <v>570</v>
      </c>
      <c r="H132" s="5" t="s">
        <v>226</v>
      </c>
      <c r="I132" s="5" t="s">
        <v>826</v>
      </c>
      <c r="J132" s="5" t="s">
        <v>250</v>
      </c>
      <c r="K132" s="5" t="s">
        <v>572</v>
      </c>
      <c r="L132" s="5" t="s">
        <v>190</v>
      </c>
      <c r="M132" s="5" t="s">
        <v>579</v>
      </c>
      <c r="N132" s="5" t="s">
        <v>282</v>
      </c>
      <c r="O132" s="5" t="s">
        <v>447</v>
      </c>
      <c r="P132" s="19" t="str">
        <f aca="false">IF(J132="S0","—",IF(K132="","",IF(L132="E0","QM",INDEX(10_ASIL_Matrix!$D$4:$F$15,MATCH(J132&amp;"-"&amp;L132,10_ASIL_Matrix!$C$4:$C$15,0),MATCH(N132,10_ASIL_Matrix!$D$3:$F$3,0)))))</f>
        <v>A</v>
      </c>
      <c r="Q132" s="5" t="s">
        <v>448</v>
      </c>
    </row>
    <row r="133" customFormat="false" ht="35.05" hidden="false" customHeight="false" outlineLevel="0" collapsed="false">
      <c r="A133" s="6" t="s">
        <v>827</v>
      </c>
      <c r="B133" s="6" t="s">
        <v>101</v>
      </c>
      <c r="C133" s="6" t="s">
        <v>102</v>
      </c>
      <c r="D133" s="6" t="s">
        <v>140</v>
      </c>
      <c r="E133" s="6" t="s">
        <v>141</v>
      </c>
      <c r="F133" s="6" t="s">
        <v>200</v>
      </c>
      <c r="G133" s="6" t="s">
        <v>570</v>
      </c>
      <c r="H133" s="6" t="s">
        <v>228</v>
      </c>
      <c r="I133" s="6" t="s">
        <v>828</v>
      </c>
      <c r="J133" s="6" t="s">
        <v>250</v>
      </c>
      <c r="K133" s="6" t="s">
        <v>572</v>
      </c>
      <c r="L133" s="6" t="s">
        <v>205</v>
      </c>
      <c r="M133" s="6" t="s">
        <v>582</v>
      </c>
      <c r="N133" s="6" t="s">
        <v>282</v>
      </c>
      <c r="O133" s="6" t="s">
        <v>447</v>
      </c>
      <c r="P133" s="6" t="str">
        <f aca="false">IF(J133="S0","—",IF(K133="","",IF(L133="E0","QM",INDEX(10_ASIL_Matrix!$D$4:$F$15,MATCH(J133&amp;"-"&amp;L133,10_ASIL_Matrix!$C$4:$C$15,0),MATCH(N133,10_ASIL_Matrix!$D$3:$F$3,0)))))</f>
        <v>QM</v>
      </c>
      <c r="Q133" s="6" t="s">
        <v>448</v>
      </c>
    </row>
    <row r="134" customFormat="false" ht="35.05" hidden="false" customHeight="false" outlineLevel="0" collapsed="false">
      <c r="A134" s="5" t="s">
        <v>829</v>
      </c>
      <c r="B134" s="5" t="s">
        <v>101</v>
      </c>
      <c r="C134" s="5" t="s">
        <v>102</v>
      </c>
      <c r="D134" s="5" t="s">
        <v>140</v>
      </c>
      <c r="E134" s="5" t="s">
        <v>141</v>
      </c>
      <c r="F134" s="5" t="s">
        <v>200</v>
      </c>
      <c r="G134" s="5" t="s">
        <v>570</v>
      </c>
      <c r="H134" s="5" t="s">
        <v>230</v>
      </c>
      <c r="I134" s="5" t="s">
        <v>830</v>
      </c>
      <c r="J134" s="5" t="s">
        <v>250</v>
      </c>
      <c r="K134" s="5" t="s">
        <v>572</v>
      </c>
      <c r="L134" s="5" t="s">
        <v>205</v>
      </c>
      <c r="M134" s="5" t="s">
        <v>585</v>
      </c>
      <c r="N134" s="5" t="s">
        <v>286</v>
      </c>
      <c r="O134" s="5" t="s">
        <v>461</v>
      </c>
      <c r="P134" s="19" t="str">
        <f aca="false">IF(J134="S0","—",IF(K134="","",IF(L134="E0","QM",INDEX(10_ASIL_Matrix!$D$4:$F$15,MATCH(J134&amp;"-"&amp;L134,10_ASIL_Matrix!$C$4:$C$15,0),MATCH(N134,10_ASIL_Matrix!$D$3:$F$3,0)))))</f>
        <v>A</v>
      </c>
      <c r="Q134" s="5" t="s">
        <v>448</v>
      </c>
    </row>
    <row r="135" customFormat="false" ht="46.25" hidden="false" customHeight="false" outlineLevel="0" collapsed="false">
      <c r="A135" s="6" t="s">
        <v>831</v>
      </c>
      <c r="B135" s="6" t="s">
        <v>101</v>
      </c>
      <c r="C135" s="6" t="s">
        <v>102</v>
      </c>
      <c r="D135" s="6" t="s">
        <v>140</v>
      </c>
      <c r="E135" s="6" t="s">
        <v>141</v>
      </c>
      <c r="F135" s="6" t="s">
        <v>200</v>
      </c>
      <c r="G135" s="6" t="s">
        <v>570</v>
      </c>
      <c r="H135" s="6" t="s">
        <v>232</v>
      </c>
      <c r="I135" s="6" t="s">
        <v>832</v>
      </c>
      <c r="J135" s="6" t="s">
        <v>250</v>
      </c>
      <c r="K135" s="6" t="s">
        <v>572</v>
      </c>
      <c r="L135" s="6" t="s">
        <v>233</v>
      </c>
      <c r="M135" s="6" t="s">
        <v>588</v>
      </c>
      <c r="N135" s="6" t="s">
        <v>282</v>
      </c>
      <c r="O135" s="6" t="s">
        <v>447</v>
      </c>
      <c r="P135" s="6" t="str">
        <f aca="false">IF(J135="S0","—",IF(K135="","",IF(L135="E0","QM",INDEX(10_ASIL_Matrix!$D$4:$F$15,MATCH(J135&amp;"-"&amp;L135,10_ASIL_Matrix!$C$4:$C$15,0),MATCH(N135,10_ASIL_Matrix!$D$3:$F$3,0)))))</f>
        <v>QM</v>
      </c>
      <c r="Q135" s="6" t="s">
        <v>448</v>
      </c>
    </row>
    <row r="136" customFormat="false" ht="35.05" hidden="false" customHeight="false" outlineLevel="0" collapsed="false">
      <c r="A136" s="5" t="s">
        <v>833</v>
      </c>
      <c r="B136" s="5" t="s">
        <v>101</v>
      </c>
      <c r="C136" s="5" t="s">
        <v>102</v>
      </c>
      <c r="D136" s="5" t="s">
        <v>140</v>
      </c>
      <c r="E136" s="5" t="s">
        <v>141</v>
      </c>
      <c r="F136" s="5" t="s">
        <v>202</v>
      </c>
      <c r="G136" s="5" t="s">
        <v>590</v>
      </c>
      <c r="H136" s="5" t="s">
        <v>222</v>
      </c>
      <c r="I136" s="5" t="s">
        <v>834</v>
      </c>
      <c r="J136" s="5" t="s">
        <v>250</v>
      </c>
      <c r="K136" s="5" t="s">
        <v>572</v>
      </c>
      <c r="L136" s="5" t="s">
        <v>187</v>
      </c>
      <c r="M136" s="5" t="s">
        <v>592</v>
      </c>
      <c r="N136" s="5" t="s">
        <v>282</v>
      </c>
      <c r="O136" s="5" t="s">
        <v>447</v>
      </c>
      <c r="P136" s="18" t="str">
        <f aca="false">IF(J136="S0","—",IF(K136="","",IF(L136="E0","QM",INDEX(10_ASIL_Matrix!$D$4:$F$15,MATCH(J136&amp;"-"&amp;L136,10_ASIL_Matrix!$C$4:$C$15,0),MATCH(N136,10_ASIL_Matrix!$D$3:$F$3,0)))))</f>
        <v>B</v>
      </c>
      <c r="Q136" s="5" t="s">
        <v>448</v>
      </c>
    </row>
    <row r="137" customFormat="false" ht="35.05" hidden="false" customHeight="false" outlineLevel="0" collapsed="false">
      <c r="A137" s="6" t="s">
        <v>835</v>
      </c>
      <c r="B137" s="6" t="s">
        <v>101</v>
      </c>
      <c r="C137" s="6" t="s">
        <v>102</v>
      </c>
      <c r="D137" s="6" t="s">
        <v>140</v>
      </c>
      <c r="E137" s="6" t="s">
        <v>141</v>
      </c>
      <c r="F137" s="6" t="s">
        <v>202</v>
      </c>
      <c r="G137" s="6" t="s">
        <v>590</v>
      </c>
      <c r="H137" s="6" t="s">
        <v>224</v>
      </c>
      <c r="I137" s="6" t="s">
        <v>836</v>
      </c>
      <c r="J137" s="6" t="s">
        <v>250</v>
      </c>
      <c r="K137" s="6" t="s">
        <v>572</v>
      </c>
      <c r="L137" s="6" t="s">
        <v>190</v>
      </c>
      <c r="M137" s="6" t="s">
        <v>595</v>
      </c>
      <c r="N137" s="6" t="s">
        <v>282</v>
      </c>
      <c r="O137" s="6" t="s">
        <v>447</v>
      </c>
      <c r="P137" s="19" t="str">
        <f aca="false">IF(J137="S0","—",IF(K137="","",IF(L137="E0","QM",INDEX(10_ASIL_Matrix!$D$4:$F$15,MATCH(J137&amp;"-"&amp;L137,10_ASIL_Matrix!$C$4:$C$15,0),MATCH(N137,10_ASIL_Matrix!$D$3:$F$3,0)))))</f>
        <v>A</v>
      </c>
      <c r="Q137" s="6" t="s">
        <v>448</v>
      </c>
    </row>
    <row r="138" customFormat="false" ht="35.05" hidden="false" customHeight="false" outlineLevel="0" collapsed="false">
      <c r="A138" s="5" t="s">
        <v>837</v>
      </c>
      <c r="B138" s="5" t="s">
        <v>101</v>
      </c>
      <c r="C138" s="5" t="s">
        <v>102</v>
      </c>
      <c r="D138" s="5" t="s">
        <v>140</v>
      </c>
      <c r="E138" s="5" t="s">
        <v>141</v>
      </c>
      <c r="F138" s="5" t="s">
        <v>202</v>
      </c>
      <c r="G138" s="5" t="s">
        <v>590</v>
      </c>
      <c r="H138" s="5" t="s">
        <v>226</v>
      </c>
      <c r="I138" s="5" t="s">
        <v>838</v>
      </c>
      <c r="J138" s="5" t="s">
        <v>250</v>
      </c>
      <c r="K138" s="5" t="s">
        <v>572</v>
      </c>
      <c r="L138" s="5" t="s">
        <v>190</v>
      </c>
      <c r="M138" s="5" t="s">
        <v>598</v>
      </c>
      <c r="N138" s="5" t="s">
        <v>282</v>
      </c>
      <c r="O138" s="5" t="s">
        <v>447</v>
      </c>
      <c r="P138" s="19" t="str">
        <f aca="false">IF(J138="S0","—",IF(K138="","",IF(L138="E0","QM",INDEX(10_ASIL_Matrix!$D$4:$F$15,MATCH(J138&amp;"-"&amp;L138,10_ASIL_Matrix!$C$4:$C$15,0),MATCH(N138,10_ASIL_Matrix!$D$3:$F$3,0)))))</f>
        <v>A</v>
      </c>
      <c r="Q138" s="5" t="s">
        <v>448</v>
      </c>
    </row>
    <row r="139" customFormat="false" ht="35.05" hidden="false" customHeight="false" outlineLevel="0" collapsed="false">
      <c r="A139" s="6" t="s">
        <v>839</v>
      </c>
      <c r="B139" s="6" t="s">
        <v>101</v>
      </c>
      <c r="C139" s="6" t="s">
        <v>102</v>
      </c>
      <c r="D139" s="6" t="s">
        <v>140</v>
      </c>
      <c r="E139" s="6" t="s">
        <v>141</v>
      </c>
      <c r="F139" s="6" t="s">
        <v>202</v>
      </c>
      <c r="G139" s="6" t="s">
        <v>590</v>
      </c>
      <c r="H139" s="6" t="s">
        <v>228</v>
      </c>
      <c r="I139" s="6" t="s">
        <v>840</v>
      </c>
      <c r="J139" s="6" t="s">
        <v>250</v>
      </c>
      <c r="K139" s="6" t="s">
        <v>572</v>
      </c>
      <c r="L139" s="6" t="s">
        <v>205</v>
      </c>
      <c r="M139" s="6" t="s">
        <v>601</v>
      </c>
      <c r="N139" s="6" t="s">
        <v>282</v>
      </c>
      <c r="O139" s="6" t="s">
        <v>447</v>
      </c>
      <c r="P139" s="6" t="str">
        <f aca="false">IF(J139="S0","—",IF(K139="","",IF(L139="E0","QM",INDEX(10_ASIL_Matrix!$D$4:$F$15,MATCH(J139&amp;"-"&amp;L139,10_ASIL_Matrix!$C$4:$C$15,0),MATCH(N139,10_ASIL_Matrix!$D$3:$F$3,0)))))</f>
        <v>QM</v>
      </c>
      <c r="Q139" s="6" t="s">
        <v>448</v>
      </c>
    </row>
    <row r="140" customFormat="false" ht="35.05" hidden="false" customHeight="false" outlineLevel="0" collapsed="false">
      <c r="A140" s="5" t="s">
        <v>841</v>
      </c>
      <c r="B140" s="5" t="s">
        <v>101</v>
      </c>
      <c r="C140" s="5" t="s">
        <v>102</v>
      </c>
      <c r="D140" s="5" t="s">
        <v>140</v>
      </c>
      <c r="E140" s="5" t="s">
        <v>141</v>
      </c>
      <c r="F140" s="5" t="s">
        <v>202</v>
      </c>
      <c r="G140" s="5" t="s">
        <v>590</v>
      </c>
      <c r="H140" s="5" t="s">
        <v>230</v>
      </c>
      <c r="I140" s="5" t="s">
        <v>842</v>
      </c>
      <c r="J140" s="5" t="s">
        <v>250</v>
      </c>
      <c r="K140" s="5" t="s">
        <v>572</v>
      </c>
      <c r="L140" s="5" t="s">
        <v>205</v>
      </c>
      <c r="M140" s="5" t="s">
        <v>604</v>
      </c>
      <c r="N140" s="5" t="s">
        <v>286</v>
      </c>
      <c r="O140" s="5" t="s">
        <v>461</v>
      </c>
      <c r="P140" s="19" t="str">
        <f aca="false">IF(J140="S0","—",IF(K140="","",IF(L140="E0","QM",INDEX(10_ASIL_Matrix!$D$4:$F$15,MATCH(J140&amp;"-"&amp;L140,10_ASIL_Matrix!$C$4:$C$15,0),MATCH(N140,10_ASIL_Matrix!$D$3:$F$3,0)))))</f>
        <v>A</v>
      </c>
      <c r="Q140" s="5" t="s">
        <v>448</v>
      </c>
    </row>
    <row r="141" customFormat="false" ht="46.25" hidden="false" customHeight="false" outlineLevel="0" collapsed="false">
      <c r="A141" s="6" t="s">
        <v>843</v>
      </c>
      <c r="B141" s="6" t="s">
        <v>101</v>
      </c>
      <c r="C141" s="6" t="s">
        <v>102</v>
      </c>
      <c r="D141" s="6" t="s">
        <v>140</v>
      </c>
      <c r="E141" s="6" t="s">
        <v>141</v>
      </c>
      <c r="F141" s="6" t="s">
        <v>202</v>
      </c>
      <c r="G141" s="6" t="s">
        <v>590</v>
      </c>
      <c r="H141" s="6" t="s">
        <v>232</v>
      </c>
      <c r="I141" s="6" t="s">
        <v>844</v>
      </c>
      <c r="J141" s="6" t="s">
        <v>250</v>
      </c>
      <c r="K141" s="6" t="s">
        <v>572</v>
      </c>
      <c r="L141" s="6" t="s">
        <v>233</v>
      </c>
      <c r="M141" s="6" t="s">
        <v>607</v>
      </c>
      <c r="N141" s="6" t="s">
        <v>282</v>
      </c>
      <c r="O141" s="6" t="s">
        <v>447</v>
      </c>
      <c r="P141" s="6" t="str">
        <f aca="false">IF(J141="S0","—",IF(K141="","",IF(L141="E0","QM",INDEX(10_ASIL_Matrix!$D$4:$F$15,MATCH(J141&amp;"-"&amp;L141,10_ASIL_Matrix!$C$4:$C$15,0),MATCH(N141,10_ASIL_Matrix!$D$3:$F$3,0)))))</f>
        <v>QM</v>
      </c>
      <c r="Q141" s="6" t="s">
        <v>448</v>
      </c>
    </row>
    <row r="142" customFormat="false" ht="35.05" hidden="false" customHeight="false" outlineLevel="0" collapsed="false">
      <c r="A142" s="5" t="s">
        <v>845</v>
      </c>
      <c r="B142" s="5" t="s">
        <v>101</v>
      </c>
      <c r="C142" s="5" t="s">
        <v>102</v>
      </c>
      <c r="D142" s="5" t="s">
        <v>140</v>
      </c>
      <c r="E142" s="5" t="s">
        <v>141</v>
      </c>
      <c r="F142" s="5" t="s">
        <v>204</v>
      </c>
      <c r="G142" s="5" t="s">
        <v>609</v>
      </c>
      <c r="H142" s="5" t="s">
        <v>222</v>
      </c>
      <c r="I142" s="5" t="s">
        <v>846</v>
      </c>
      <c r="J142" s="5" t="s">
        <v>250</v>
      </c>
      <c r="K142" s="5" t="s">
        <v>611</v>
      </c>
      <c r="L142" s="5" t="s">
        <v>205</v>
      </c>
      <c r="M142" s="5" t="s">
        <v>612</v>
      </c>
      <c r="N142" s="5" t="s">
        <v>282</v>
      </c>
      <c r="O142" s="5" t="s">
        <v>613</v>
      </c>
      <c r="P142" s="5" t="str">
        <f aca="false">IF(J142="S0","—",IF(K142="","",IF(L142="E0","QM",INDEX(10_ASIL_Matrix!$D$4:$F$15,MATCH(J142&amp;"-"&amp;L142,10_ASIL_Matrix!$C$4:$C$15,0),MATCH(N142,10_ASIL_Matrix!$D$3:$F$3,0)))))</f>
        <v>QM</v>
      </c>
      <c r="Q142" s="5" t="s">
        <v>448</v>
      </c>
    </row>
    <row r="143" customFormat="false" ht="35.05" hidden="false" customHeight="false" outlineLevel="0" collapsed="false">
      <c r="A143" s="6" t="s">
        <v>847</v>
      </c>
      <c r="B143" s="6" t="s">
        <v>101</v>
      </c>
      <c r="C143" s="6" t="s">
        <v>102</v>
      </c>
      <c r="D143" s="6" t="s">
        <v>140</v>
      </c>
      <c r="E143" s="6" t="s">
        <v>141</v>
      </c>
      <c r="F143" s="6" t="s">
        <v>204</v>
      </c>
      <c r="G143" s="6" t="s">
        <v>609</v>
      </c>
      <c r="H143" s="6" t="s">
        <v>224</v>
      </c>
      <c r="I143" s="6" t="s">
        <v>848</v>
      </c>
      <c r="J143" s="6" t="s">
        <v>250</v>
      </c>
      <c r="K143" s="6" t="s">
        <v>611</v>
      </c>
      <c r="L143" s="6" t="s">
        <v>205</v>
      </c>
      <c r="M143" s="6" t="s">
        <v>616</v>
      </c>
      <c r="N143" s="6" t="s">
        <v>282</v>
      </c>
      <c r="O143" s="6" t="s">
        <v>613</v>
      </c>
      <c r="P143" s="6" t="str">
        <f aca="false">IF(J143="S0","—",IF(K143="","",IF(L143="E0","QM",INDEX(10_ASIL_Matrix!$D$4:$F$15,MATCH(J143&amp;"-"&amp;L143,10_ASIL_Matrix!$C$4:$C$15,0),MATCH(N143,10_ASIL_Matrix!$D$3:$F$3,0)))))</f>
        <v>QM</v>
      </c>
      <c r="Q143" s="6" t="s">
        <v>448</v>
      </c>
    </row>
    <row r="144" customFormat="false" ht="35.05" hidden="false" customHeight="false" outlineLevel="0" collapsed="false">
      <c r="A144" s="5" t="s">
        <v>849</v>
      </c>
      <c r="B144" s="5" t="s">
        <v>101</v>
      </c>
      <c r="C144" s="5" t="s">
        <v>102</v>
      </c>
      <c r="D144" s="5" t="s">
        <v>140</v>
      </c>
      <c r="E144" s="5" t="s">
        <v>141</v>
      </c>
      <c r="F144" s="5" t="s">
        <v>204</v>
      </c>
      <c r="G144" s="5" t="s">
        <v>609</v>
      </c>
      <c r="H144" s="5" t="s">
        <v>226</v>
      </c>
      <c r="I144" s="5" t="s">
        <v>850</v>
      </c>
      <c r="J144" s="5" t="s">
        <v>250</v>
      </c>
      <c r="K144" s="5" t="s">
        <v>611</v>
      </c>
      <c r="L144" s="5" t="s">
        <v>205</v>
      </c>
      <c r="M144" s="5" t="s">
        <v>619</v>
      </c>
      <c r="N144" s="5" t="s">
        <v>282</v>
      </c>
      <c r="O144" s="5" t="s">
        <v>613</v>
      </c>
      <c r="P144" s="5" t="str">
        <f aca="false">IF(J144="S0","—",IF(K144="","",IF(L144="E0","QM",INDEX(10_ASIL_Matrix!$D$4:$F$15,MATCH(J144&amp;"-"&amp;L144,10_ASIL_Matrix!$C$4:$C$15,0),MATCH(N144,10_ASIL_Matrix!$D$3:$F$3,0)))))</f>
        <v>QM</v>
      </c>
      <c r="Q144" s="5" t="s">
        <v>448</v>
      </c>
    </row>
    <row r="145" customFormat="false" ht="35.05" hidden="false" customHeight="false" outlineLevel="0" collapsed="false">
      <c r="A145" s="6" t="s">
        <v>851</v>
      </c>
      <c r="B145" s="6" t="s">
        <v>101</v>
      </c>
      <c r="C145" s="6" t="s">
        <v>102</v>
      </c>
      <c r="D145" s="6" t="s">
        <v>140</v>
      </c>
      <c r="E145" s="6" t="s">
        <v>141</v>
      </c>
      <c r="F145" s="6" t="s">
        <v>204</v>
      </c>
      <c r="G145" s="6" t="s">
        <v>609</v>
      </c>
      <c r="H145" s="6" t="s">
        <v>228</v>
      </c>
      <c r="I145" s="6" t="s">
        <v>852</v>
      </c>
      <c r="J145" s="6" t="s">
        <v>250</v>
      </c>
      <c r="K145" s="6" t="s">
        <v>611</v>
      </c>
      <c r="L145" s="6" t="s">
        <v>205</v>
      </c>
      <c r="M145" s="6" t="s">
        <v>622</v>
      </c>
      <c r="N145" s="6" t="s">
        <v>282</v>
      </c>
      <c r="O145" s="6" t="s">
        <v>613</v>
      </c>
      <c r="P145" s="6" t="str">
        <f aca="false">IF(J145="S0","—",IF(K145="","",IF(L145="E0","QM",INDEX(10_ASIL_Matrix!$D$4:$F$15,MATCH(J145&amp;"-"&amp;L145,10_ASIL_Matrix!$C$4:$C$15,0),MATCH(N145,10_ASIL_Matrix!$D$3:$F$3,0)))))</f>
        <v>QM</v>
      </c>
      <c r="Q145" s="6" t="s">
        <v>448</v>
      </c>
    </row>
    <row r="146" customFormat="false" ht="35.05" hidden="false" customHeight="false" outlineLevel="0" collapsed="false">
      <c r="A146" s="5" t="s">
        <v>853</v>
      </c>
      <c r="B146" s="5" t="s">
        <v>101</v>
      </c>
      <c r="C146" s="5" t="s">
        <v>102</v>
      </c>
      <c r="D146" s="5" t="s">
        <v>140</v>
      </c>
      <c r="E146" s="5" t="s">
        <v>141</v>
      </c>
      <c r="F146" s="5" t="s">
        <v>204</v>
      </c>
      <c r="G146" s="5" t="s">
        <v>609</v>
      </c>
      <c r="H146" s="5" t="s">
        <v>230</v>
      </c>
      <c r="I146" s="5" t="s">
        <v>854</v>
      </c>
      <c r="J146" s="5" t="s">
        <v>250</v>
      </c>
      <c r="K146" s="5" t="s">
        <v>611</v>
      </c>
      <c r="L146" s="5" t="s">
        <v>205</v>
      </c>
      <c r="M146" s="5" t="s">
        <v>625</v>
      </c>
      <c r="N146" s="5" t="s">
        <v>286</v>
      </c>
      <c r="O146" s="5" t="s">
        <v>626</v>
      </c>
      <c r="P146" s="19" t="str">
        <f aca="false">IF(J146="S0","—",IF(K146="","",IF(L146="E0","QM",INDEX(10_ASIL_Matrix!$D$4:$F$15,MATCH(J146&amp;"-"&amp;L146,10_ASIL_Matrix!$C$4:$C$15,0),MATCH(N146,10_ASIL_Matrix!$D$3:$F$3,0)))))</f>
        <v>A</v>
      </c>
      <c r="Q146" s="5" t="s">
        <v>448</v>
      </c>
    </row>
    <row r="147" customFormat="false" ht="46.25" hidden="false" customHeight="false" outlineLevel="0" collapsed="false">
      <c r="A147" s="6" t="s">
        <v>855</v>
      </c>
      <c r="B147" s="6" t="s">
        <v>101</v>
      </c>
      <c r="C147" s="6" t="s">
        <v>102</v>
      </c>
      <c r="D147" s="6" t="s">
        <v>140</v>
      </c>
      <c r="E147" s="6" t="s">
        <v>141</v>
      </c>
      <c r="F147" s="6" t="s">
        <v>204</v>
      </c>
      <c r="G147" s="6" t="s">
        <v>609</v>
      </c>
      <c r="H147" s="6" t="s">
        <v>232</v>
      </c>
      <c r="I147" s="6" t="s">
        <v>856</v>
      </c>
      <c r="J147" s="6" t="s">
        <v>250</v>
      </c>
      <c r="K147" s="6" t="s">
        <v>611</v>
      </c>
      <c r="L147" s="6" t="s">
        <v>233</v>
      </c>
      <c r="M147" s="6" t="s">
        <v>629</v>
      </c>
      <c r="N147" s="6" t="s">
        <v>282</v>
      </c>
      <c r="O147" s="6" t="s">
        <v>613</v>
      </c>
      <c r="P147" s="6" t="str">
        <f aca="false">IF(J147="S0","—",IF(K147="","",IF(L147="E0","QM",INDEX(10_ASIL_Matrix!$D$4:$F$15,MATCH(J147&amp;"-"&amp;L147,10_ASIL_Matrix!$C$4:$C$15,0),MATCH(N147,10_ASIL_Matrix!$D$3:$F$3,0)))))</f>
        <v>QM</v>
      </c>
      <c r="Q147" s="6" t="s">
        <v>448</v>
      </c>
    </row>
    <row r="148" customFormat="false" ht="35.05" hidden="false" customHeight="false" outlineLevel="0" collapsed="false">
      <c r="A148" s="5" t="s">
        <v>857</v>
      </c>
      <c r="B148" s="5" t="s">
        <v>101</v>
      </c>
      <c r="C148" s="5" t="s">
        <v>102</v>
      </c>
      <c r="D148" s="5" t="s">
        <v>140</v>
      </c>
      <c r="E148" s="5" t="s">
        <v>141</v>
      </c>
      <c r="F148" s="5" t="s">
        <v>207</v>
      </c>
      <c r="G148" s="5" t="s">
        <v>609</v>
      </c>
      <c r="H148" s="5" t="s">
        <v>222</v>
      </c>
      <c r="I148" s="5" t="s">
        <v>858</v>
      </c>
      <c r="J148" s="5" t="s">
        <v>238</v>
      </c>
      <c r="K148" s="5" t="s">
        <v>632</v>
      </c>
      <c r="L148" s="5" t="s">
        <v>190</v>
      </c>
      <c r="M148" s="5" t="s">
        <v>633</v>
      </c>
      <c r="N148" s="5" t="s">
        <v>278</v>
      </c>
      <c r="O148" s="5" t="s">
        <v>634</v>
      </c>
      <c r="P148" s="5" t="str">
        <f aca="false">IF(J148="S0","—",IF(K148="","",IF(L148="E0","QM",INDEX(10_ASIL_Matrix!$D$4:$F$15,MATCH(J148&amp;"-"&amp;L148,10_ASIL_Matrix!$C$4:$C$15,0),MATCH(N148,10_ASIL_Matrix!$D$3:$F$3,0)))))</f>
        <v>—</v>
      </c>
      <c r="Q148" s="5" t="s">
        <v>448</v>
      </c>
    </row>
    <row r="149" customFormat="false" ht="35.05" hidden="false" customHeight="false" outlineLevel="0" collapsed="false">
      <c r="A149" s="6" t="s">
        <v>859</v>
      </c>
      <c r="B149" s="6" t="s">
        <v>101</v>
      </c>
      <c r="C149" s="6" t="s">
        <v>102</v>
      </c>
      <c r="D149" s="6" t="s">
        <v>140</v>
      </c>
      <c r="E149" s="6" t="s">
        <v>141</v>
      </c>
      <c r="F149" s="6" t="s">
        <v>207</v>
      </c>
      <c r="G149" s="6" t="s">
        <v>609</v>
      </c>
      <c r="H149" s="6" t="s">
        <v>224</v>
      </c>
      <c r="I149" s="6" t="s">
        <v>860</v>
      </c>
      <c r="J149" s="6" t="s">
        <v>238</v>
      </c>
      <c r="K149" s="6" t="s">
        <v>632</v>
      </c>
      <c r="L149" s="6" t="s">
        <v>190</v>
      </c>
      <c r="M149" s="6" t="s">
        <v>637</v>
      </c>
      <c r="N149" s="6" t="s">
        <v>278</v>
      </c>
      <c r="O149" s="6" t="s">
        <v>634</v>
      </c>
      <c r="P149" s="6" t="str">
        <f aca="false">IF(J149="S0","—",IF(K149="","",IF(L149="E0","QM",INDEX(10_ASIL_Matrix!$D$4:$F$15,MATCH(J149&amp;"-"&amp;L149,10_ASIL_Matrix!$C$4:$C$15,0),MATCH(N149,10_ASIL_Matrix!$D$3:$F$3,0)))))</f>
        <v>—</v>
      </c>
      <c r="Q149" s="6" t="s">
        <v>448</v>
      </c>
    </row>
    <row r="150" customFormat="false" ht="35.05" hidden="false" customHeight="false" outlineLevel="0" collapsed="false">
      <c r="A150" s="5" t="s">
        <v>861</v>
      </c>
      <c r="B150" s="5" t="s">
        <v>101</v>
      </c>
      <c r="C150" s="5" t="s">
        <v>102</v>
      </c>
      <c r="D150" s="5" t="s">
        <v>140</v>
      </c>
      <c r="E150" s="5" t="s">
        <v>141</v>
      </c>
      <c r="F150" s="5" t="s">
        <v>207</v>
      </c>
      <c r="G150" s="5" t="s">
        <v>609</v>
      </c>
      <c r="H150" s="5" t="s">
        <v>226</v>
      </c>
      <c r="I150" s="5" t="s">
        <v>862</v>
      </c>
      <c r="J150" s="5" t="s">
        <v>238</v>
      </c>
      <c r="K150" s="5" t="s">
        <v>632</v>
      </c>
      <c r="L150" s="5" t="s">
        <v>190</v>
      </c>
      <c r="M150" s="5" t="s">
        <v>640</v>
      </c>
      <c r="N150" s="5" t="s">
        <v>278</v>
      </c>
      <c r="O150" s="5" t="s">
        <v>634</v>
      </c>
      <c r="P150" s="5" t="str">
        <f aca="false">IF(J150="S0","—",IF(K150="","",IF(L150="E0","QM",INDEX(10_ASIL_Matrix!$D$4:$F$15,MATCH(J150&amp;"-"&amp;L150,10_ASIL_Matrix!$C$4:$C$15,0),MATCH(N150,10_ASIL_Matrix!$D$3:$F$3,0)))))</f>
        <v>—</v>
      </c>
      <c r="Q150" s="5" t="s">
        <v>448</v>
      </c>
    </row>
    <row r="151" customFormat="false" ht="35.05" hidden="false" customHeight="false" outlineLevel="0" collapsed="false">
      <c r="A151" s="6" t="s">
        <v>863</v>
      </c>
      <c r="B151" s="6" t="s">
        <v>101</v>
      </c>
      <c r="C151" s="6" t="s">
        <v>102</v>
      </c>
      <c r="D151" s="6" t="s">
        <v>140</v>
      </c>
      <c r="E151" s="6" t="s">
        <v>141</v>
      </c>
      <c r="F151" s="6" t="s">
        <v>207</v>
      </c>
      <c r="G151" s="6" t="s">
        <v>609</v>
      </c>
      <c r="H151" s="6" t="s">
        <v>228</v>
      </c>
      <c r="I151" s="6" t="s">
        <v>864</v>
      </c>
      <c r="J151" s="6" t="s">
        <v>238</v>
      </c>
      <c r="K151" s="6" t="s">
        <v>632</v>
      </c>
      <c r="L151" s="6" t="s">
        <v>205</v>
      </c>
      <c r="M151" s="6" t="s">
        <v>643</v>
      </c>
      <c r="N151" s="6" t="s">
        <v>278</v>
      </c>
      <c r="O151" s="6" t="s">
        <v>634</v>
      </c>
      <c r="P151" s="6" t="str">
        <f aca="false">IF(J151="S0","—",IF(K151="","",IF(L151="E0","QM",INDEX(10_ASIL_Matrix!$D$4:$F$15,MATCH(J151&amp;"-"&amp;L151,10_ASIL_Matrix!$C$4:$C$15,0),MATCH(N151,10_ASIL_Matrix!$D$3:$F$3,0)))))</f>
        <v>—</v>
      </c>
      <c r="Q151" s="6" t="s">
        <v>448</v>
      </c>
    </row>
    <row r="152" customFormat="false" ht="35.05" hidden="false" customHeight="false" outlineLevel="0" collapsed="false">
      <c r="A152" s="5" t="s">
        <v>865</v>
      </c>
      <c r="B152" s="5" t="s">
        <v>101</v>
      </c>
      <c r="C152" s="5" t="s">
        <v>102</v>
      </c>
      <c r="D152" s="5" t="s">
        <v>140</v>
      </c>
      <c r="E152" s="5" t="s">
        <v>141</v>
      </c>
      <c r="F152" s="5" t="s">
        <v>207</v>
      </c>
      <c r="G152" s="5" t="s">
        <v>609</v>
      </c>
      <c r="H152" s="5" t="s">
        <v>230</v>
      </c>
      <c r="I152" s="5" t="s">
        <v>866</v>
      </c>
      <c r="J152" s="5" t="s">
        <v>238</v>
      </c>
      <c r="K152" s="5" t="s">
        <v>632</v>
      </c>
      <c r="L152" s="5" t="s">
        <v>205</v>
      </c>
      <c r="M152" s="5" t="s">
        <v>646</v>
      </c>
      <c r="N152" s="5" t="s">
        <v>278</v>
      </c>
      <c r="O152" s="5" t="s">
        <v>634</v>
      </c>
      <c r="P152" s="5" t="str">
        <f aca="false">IF(J152="S0","—",IF(K152="","",IF(L152="E0","QM",INDEX(10_ASIL_Matrix!$D$4:$F$15,MATCH(J152&amp;"-"&amp;L152,10_ASIL_Matrix!$C$4:$C$15,0),MATCH(N152,10_ASIL_Matrix!$D$3:$F$3,0)))))</f>
        <v>—</v>
      </c>
      <c r="Q152" s="5" t="s">
        <v>448</v>
      </c>
    </row>
    <row r="153" customFormat="false" ht="46.25" hidden="false" customHeight="false" outlineLevel="0" collapsed="false">
      <c r="A153" s="6" t="s">
        <v>867</v>
      </c>
      <c r="B153" s="6" t="s">
        <v>101</v>
      </c>
      <c r="C153" s="6" t="s">
        <v>102</v>
      </c>
      <c r="D153" s="6" t="s">
        <v>140</v>
      </c>
      <c r="E153" s="6" t="s">
        <v>141</v>
      </c>
      <c r="F153" s="6" t="s">
        <v>207</v>
      </c>
      <c r="G153" s="6" t="s">
        <v>609</v>
      </c>
      <c r="H153" s="6" t="s">
        <v>232</v>
      </c>
      <c r="I153" s="6" t="s">
        <v>868</v>
      </c>
      <c r="J153" s="6" t="s">
        <v>238</v>
      </c>
      <c r="K153" s="6" t="s">
        <v>632</v>
      </c>
      <c r="L153" s="6" t="s">
        <v>233</v>
      </c>
      <c r="M153" s="6" t="s">
        <v>649</v>
      </c>
      <c r="N153" s="6" t="s">
        <v>278</v>
      </c>
      <c r="O153" s="6" t="s">
        <v>634</v>
      </c>
      <c r="P153" s="6" t="str">
        <f aca="false">IF(J153="S0","—",IF(K153="","",IF(L153="E0","QM",INDEX(10_ASIL_Matrix!$D$4:$F$15,MATCH(J153&amp;"-"&amp;L153,10_ASIL_Matrix!$C$4:$C$15,0),MATCH(N153,10_ASIL_Matrix!$D$3:$F$3,0)))))</f>
        <v>—</v>
      </c>
      <c r="Q153" s="6" t="s">
        <v>448</v>
      </c>
    </row>
    <row r="154" customFormat="false" ht="35.05" hidden="false" customHeight="false" outlineLevel="0" collapsed="false">
      <c r="A154" s="5" t="s">
        <v>869</v>
      </c>
      <c r="B154" s="5" t="s">
        <v>101</v>
      </c>
      <c r="C154" s="5" t="s">
        <v>102</v>
      </c>
      <c r="D154" s="5" t="s">
        <v>140</v>
      </c>
      <c r="E154" s="5" t="s">
        <v>141</v>
      </c>
      <c r="F154" s="5" t="s">
        <v>209</v>
      </c>
      <c r="G154" s="5" t="s">
        <v>570</v>
      </c>
      <c r="H154" s="5" t="s">
        <v>222</v>
      </c>
      <c r="I154" s="5" t="s">
        <v>870</v>
      </c>
      <c r="J154" s="5" t="s">
        <v>250</v>
      </c>
      <c r="K154" s="5" t="s">
        <v>652</v>
      </c>
      <c r="L154" s="5" t="s">
        <v>190</v>
      </c>
      <c r="M154" s="5" t="s">
        <v>653</v>
      </c>
      <c r="N154" s="5" t="s">
        <v>286</v>
      </c>
      <c r="O154" s="5" t="s">
        <v>470</v>
      </c>
      <c r="P154" s="18" t="str">
        <f aca="false">IF(J154="S0","—",IF(K154="","",IF(L154="E0","QM",INDEX(10_ASIL_Matrix!$D$4:$F$15,MATCH(J154&amp;"-"&amp;L154,10_ASIL_Matrix!$C$4:$C$15,0),MATCH(N154,10_ASIL_Matrix!$D$3:$F$3,0)))))</f>
        <v>B</v>
      </c>
      <c r="Q154" s="5" t="s">
        <v>448</v>
      </c>
    </row>
    <row r="155" customFormat="false" ht="35.05" hidden="false" customHeight="false" outlineLevel="0" collapsed="false">
      <c r="A155" s="6" t="s">
        <v>871</v>
      </c>
      <c r="B155" s="6" t="s">
        <v>101</v>
      </c>
      <c r="C155" s="6" t="s">
        <v>102</v>
      </c>
      <c r="D155" s="6" t="s">
        <v>140</v>
      </c>
      <c r="E155" s="6" t="s">
        <v>141</v>
      </c>
      <c r="F155" s="6" t="s">
        <v>209</v>
      </c>
      <c r="G155" s="6" t="s">
        <v>570</v>
      </c>
      <c r="H155" s="6" t="s">
        <v>224</v>
      </c>
      <c r="I155" s="6" t="s">
        <v>872</v>
      </c>
      <c r="J155" s="6" t="s">
        <v>250</v>
      </c>
      <c r="K155" s="6" t="s">
        <v>652</v>
      </c>
      <c r="L155" s="6" t="s">
        <v>190</v>
      </c>
      <c r="M155" s="6" t="s">
        <v>656</v>
      </c>
      <c r="N155" s="6" t="s">
        <v>286</v>
      </c>
      <c r="O155" s="6" t="s">
        <v>470</v>
      </c>
      <c r="P155" s="18" t="str">
        <f aca="false">IF(J155="S0","—",IF(K155="","",IF(L155="E0","QM",INDEX(10_ASIL_Matrix!$D$4:$F$15,MATCH(J155&amp;"-"&amp;L155,10_ASIL_Matrix!$C$4:$C$15,0),MATCH(N155,10_ASIL_Matrix!$D$3:$F$3,0)))))</f>
        <v>B</v>
      </c>
      <c r="Q155" s="6" t="s">
        <v>448</v>
      </c>
    </row>
    <row r="156" customFormat="false" ht="35.05" hidden="false" customHeight="false" outlineLevel="0" collapsed="false">
      <c r="A156" s="5" t="s">
        <v>873</v>
      </c>
      <c r="B156" s="5" t="s">
        <v>101</v>
      </c>
      <c r="C156" s="5" t="s">
        <v>102</v>
      </c>
      <c r="D156" s="5" t="s">
        <v>140</v>
      </c>
      <c r="E156" s="5" t="s">
        <v>141</v>
      </c>
      <c r="F156" s="5" t="s">
        <v>209</v>
      </c>
      <c r="G156" s="5" t="s">
        <v>570</v>
      </c>
      <c r="H156" s="5" t="s">
        <v>226</v>
      </c>
      <c r="I156" s="5" t="s">
        <v>874</v>
      </c>
      <c r="J156" s="5" t="s">
        <v>250</v>
      </c>
      <c r="K156" s="5" t="s">
        <v>652</v>
      </c>
      <c r="L156" s="5" t="s">
        <v>190</v>
      </c>
      <c r="M156" s="5" t="s">
        <v>659</v>
      </c>
      <c r="N156" s="5" t="s">
        <v>286</v>
      </c>
      <c r="O156" s="5" t="s">
        <v>470</v>
      </c>
      <c r="P156" s="18" t="str">
        <f aca="false">IF(J156="S0","—",IF(K156="","",IF(L156="E0","QM",INDEX(10_ASIL_Matrix!$D$4:$F$15,MATCH(J156&amp;"-"&amp;L156,10_ASIL_Matrix!$C$4:$C$15,0),MATCH(N156,10_ASIL_Matrix!$D$3:$F$3,0)))))</f>
        <v>B</v>
      </c>
      <c r="Q156" s="5" t="s">
        <v>448</v>
      </c>
    </row>
    <row r="157" customFormat="false" ht="35.05" hidden="false" customHeight="false" outlineLevel="0" collapsed="false">
      <c r="A157" s="6" t="s">
        <v>875</v>
      </c>
      <c r="B157" s="6" t="s">
        <v>101</v>
      </c>
      <c r="C157" s="6" t="s">
        <v>102</v>
      </c>
      <c r="D157" s="6" t="s">
        <v>140</v>
      </c>
      <c r="E157" s="6" t="s">
        <v>141</v>
      </c>
      <c r="F157" s="6" t="s">
        <v>209</v>
      </c>
      <c r="G157" s="6" t="s">
        <v>570</v>
      </c>
      <c r="H157" s="6" t="s">
        <v>228</v>
      </c>
      <c r="I157" s="6" t="s">
        <v>876</v>
      </c>
      <c r="J157" s="6" t="s">
        <v>250</v>
      </c>
      <c r="K157" s="6" t="s">
        <v>652</v>
      </c>
      <c r="L157" s="6" t="s">
        <v>205</v>
      </c>
      <c r="M157" s="6" t="s">
        <v>662</v>
      </c>
      <c r="N157" s="6" t="s">
        <v>286</v>
      </c>
      <c r="O157" s="6" t="s">
        <v>470</v>
      </c>
      <c r="P157" s="19" t="str">
        <f aca="false">IF(J157="S0","—",IF(K157="","",IF(L157="E0","QM",INDEX(10_ASIL_Matrix!$D$4:$F$15,MATCH(J157&amp;"-"&amp;L157,10_ASIL_Matrix!$C$4:$C$15,0),MATCH(N157,10_ASIL_Matrix!$D$3:$F$3,0)))))</f>
        <v>A</v>
      </c>
      <c r="Q157" s="6" t="s">
        <v>448</v>
      </c>
    </row>
    <row r="158" customFormat="false" ht="46.25" hidden="false" customHeight="false" outlineLevel="0" collapsed="false">
      <c r="A158" s="5" t="s">
        <v>877</v>
      </c>
      <c r="B158" s="5" t="s">
        <v>101</v>
      </c>
      <c r="C158" s="5" t="s">
        <v>102</v>
      </c>
      <c r="D158" s="5" t="s">
        <v>140</v>
      </c>
      <c r="E158" s="5" t="s">
        <v>141</v>
      </c>
      <c r="F158" s="5" t="s">
        <v>209</v>
      </c>
      <c r="G158" s="5" t="s">
        <v>570</v>
      </c>
      <c r="H158" s="5" t="s">
        <v>230</v>
      </c>
      <c r="I158" s="5" t="s">
        <v>878</v>
      </c>
      <c r="J158" s="5" t="s">
        <v>250</v>
      </c>
      <c r="K158" s="5" t="s">
        <v>652</v>
      </c>
      <c r="L158" s="5" t="s">
        <v>205</v>
      </c>
      <c r="M158" s="5" t="s">
        <v>665</v>
      </c>
      <c r="N158" s="5" t="s">
        <v>290</v>
      </c>
      <c r="O158" s="5" t="s">
        <v>483</v>
      </c>
      <c r="P158" s="18" t="str">
        <f aca="false">IF(J158="S0","—",IF(K158="","",IF(L158="E0","QM",INDEX(10_ASIL_Matrix!$D$4:$F$15,MATCH(J158&amp;"-"&amp;L158,10_ASIL_Matrix!$C$4:$C$15,0),MATCH(N158,10_ASIL_Matrix!$D$3:$F$3,0)))))</f>
        <v>B</v>
      </c>
      <c r="Q158" s="5" t="s">
        <v>448</v>
      </c>
    </row>
    <row r="159" customFormat="false" ht="46.25" hidden="false" customHeight="false" outlineLevel="0" collapsed="false">
      <c r="A159" s="6" t="s">
        <v>879</v>
      </c>
      <c r="B159" s="6" t="s">
        <v>101</v>
      </c>
      <c r="C159" s="6" t="s">
        <v>102</v>
      </c>
      <c r="D159" s="6" t="s">
        <v>140</v>
      </c>
      <c r="E159" s="6" t="s">
        <v>141</v>
      </c>
      <c r="F159" s="6" t="s">
        <v>209</v>
      </c>
      <c r="G159" s="6" t="s">
        <v>570</v>
      </c>
      <c r="H159" s="6" t="s">
        <v>232</v>
      </c>
      <c r="I159" s="6" t="s">
        <v>880</v>
      </c>
      <c r="J159" s="6" t="s">
        <v>250</v>
      </c>
      <c r="K159" s="6" t="s">
        <v>652</v>
      </c>
      <c r="L159" s="6" t="s">
        <v>233</v>
      </c>
      <c r="M159" s="6" t="s">
        <v>668</v>
      </c>
      <c r="N159" s="6" t="s">
        <v>286</v>
      </c>
      <c r="O159" s="6" t="s">
        <v>470</v>
      </c>
      <c r="P159" s="6" t="str">
        <f aca="false">IF(J159="S0","—",IF(K159="","",IF(L159="E0","QM",INDEX(10_ASIL_Matrix!$D$4:$F$15,MATCH(J159&amp;"-"&amp;L159,10_ASIL_Matrix!$C$4:$C$15,0),MATCH(N159,10_ASIL_Matrix!$D$3:$F$3,0)))))</f>
        <v>QM</v>
      </c>
      <c r="Q159" s="6" t="s">
        <v>448</v>
      </c>
    </row>
    <row r="160" customFormat="false" ht="35.05" hidden="false" customHeight="false" outlineLevel="0" collapsed="false">
      <c r="A160" s="5" t="s">
        <v>881</v>
      </c>
      <c r="B160" s="5" t="s">
        <v>101</v>
      </c>
      <c r="C160" s="5" t="s">
        <v>102</v>
      </c>
      <c r="D160" s="5" t="s">
        <v>140</v>
      </c>
      <c r="E160" s="5" t="s">
        <v>141</v>
      </c>
      <c r="F160" s="5" t="s">
        <v>211</v>
      </c>
      <c r="G160" s="5" t="s">
        <v>609</v>
      </c>
      <c r="H160" s="5" t="s">
        <v>222</v>
      </c>
      <c r="I160" s="5" t="s">
        <v>882</v>
      </c>
      <c r="J160" s="5" t="s">
        <v>238</v>
      </c>
      <c r="K160" s="5" t="s">
        <v>883</v>
      </c>
      <c r="L160" s="5" t="s">
        <v>187</v>
      </c>
      <c r="M160" s="5" t="s">
        <v>672</v>
      </c>
      <c r="N160" s="5" t="s">
        <v>278</v>
      </c>
      <c r="O160" s="5" t="s">
        <v>634</v>
      </c>
      <c r="P160" s="5" t="str">
        <f aca="false">IF(J160="S0","—",IF(K160="","",IF(L160="E0","QM",INDEX(10_ASIL_Matrix!$D$4:$F$15,MATCH(J160&amp;"-"&amp;L160,10_ASIL_Matrix!$C$4:$C$15,0),MATCH(N160,10_ASIL_Matrix!$D$3:$F$3,0)))))</f>
        <v>—</v>
      </c>
      <c r="Q160" s="5" t="s">
        <v>448</v>
      </c>
    </row>
    <row r="161" customFormat="false" ht="35.05" hidden="false" customHeight="false" outlineLevel="0" collapsed="false">
      <c r="A161" s="6" t="s">
        <v>884</v>
      </c>
      <c r="B161" s="6" t="s">
        <v>101</v>
      </c>
      <c r="C161" s="6" t="s">
        <v>102</v>
      </c>
      <c r="D161" s="6" t="s">
        <v>140</v>
      </c>
      <c r="E161" s="6" t="s">
        <v>141</v>
      </c>
      <c r="F161" s="6" t="s">
        <v>211</v>
      </c>
      <c r="G161" s="6" t="s">
        <v>609</v>
      </c>
      <c r="H161" s="6" t="s">
        <v>224</v>
      </c>
      <c r="I161" s="6" t="s">
        <v>885</v>
      </c>
      <c r="J161" s="6" t="s">
        <v>238</v>
      </c>
      <c r="K161" s="6" t="s">
        <v>883</v>
      </c>
      <c r="L161" s="6" t="s">
        <v>190</v>
      </c>
      <c r="M161" s="6" t="s">
        <v>675</v>
      </c>
      <c r="N161" s="6" t="s">
        <v>278</v>
      </c>
      <c r="O161" s="6" t="s">
        <v>634</v>
      </c>
      <c r="P161" s="6" t="str">
        <f aca="false">IF(J161="S0","—",IF(K161="","",IF(L161="E0","QM",INDEX(10_ASIL_Matrix!$D$4:$F$15,MATCH(J161&amp;"-"&amp;L161,10_ASIL_Matrix!$C$4:$C$15,0),MATCH(N161,10_ASIL_Matrix!$D$3:$F$3,0)))))</f>
        <v>—</v>
      </c>
      <c r="Q161" s="6" t="s">
        <v>448</v>
      </c>
    </row>
    <row r="162" customFormat="false" ht="35.05" hidden="false" customHeight="false" outlineLevel="0" collapsed="false">
      <c r="A162" s="5" t="s">
        <v>886</v>
      </c>
      <c r="B162" s="5" t="s">
        <v>101</v>
      </c>
      <c r="C162" s="5" t="s">
        <v>102</v>
      </c>
      <c r="D162" s="5" t="s">
        <v>140</v>
      </c>
      <c r="E162" s="5" t="s">
        <v>141</v>
      </c>
      <c r="F162" s="5" t="s">
        <v>211</v>
      </c>
      <c r="G162" s="5" t="s">
        <v>609</v>
      </c>
      <c r="H162" s="5" t="s">
        <v>226</v>
      </c>
      <c r="I162" s="5" t="s">
        <v>887</v>
      </c>
      <c r="J162" s="5" t="s">
        <v>238</v>
      </c>
      <c r="K162" s="5" t="s">
        <v>883</v>
      </c>
      <c r="L162" s="5" t="s">
        <v>190</v>
      </c>
      <c r="M162" s="5" t="s">
        <v>678</v>
      </c>
      <c r="N162" s="5" t="s">
        <v>278</v>
      </c>
      <c r="O162" s="5" t="s">
        <v>634</v>
      </c>
      <c r="P162" s="5" t="str">
        <f aca="false">IF(J162="S0","—",IF(K162="","",IF(L162="E0","QM",INDEX(10_ASIL_Matrix!$D$4:$F$15,MATCH(J162&amp;"-"&amp;L162,10_ASIL_Matrix!$C$4:$C$15,0),MATCH(N162,10_ASIL_Matrix!$D$3:$F$3,0)))))</f>
        <v>—</v>
      </c>
      <c r="Q162" s="5" t="s">
        <v>448</v>
      </c>
    </row>
    <row r="163" customFormat="false" ht="35.05" hidden="false" customHeight="false" outlineLevel="0" collapsed="false">
      <c r="A163" s="6" t="s">
        <v>888</v>
      </c>
      <c r="B163" s="6" t="s">
        <v>101</v>
      </c>
      <c r="C163" s="6" t="s">
        <v>102</v>
      </c>
      <c r="D163" s="6" t="s">
        <v>140</v>
      </c>
      <c r="E163" s="6" t="s">
        <v>141</v>
      </c>
      <c r="F163" s="6" t="s">
        <v>211</v>
      </c>
      <c r="G163" s="6" t="s">
        <v>609</v>
      </c>
      <c r="H163" s="6" t="s">
        <v>228</v>
      </c>
      <c r="I163" s="6" t="s">
        <v>889</v>
      </c>
      <c r="J163" s="6" t="s">
        <v>238</v>
      </c>
      <c r="K163" s="6" t="s">
        <v>883</v>
      </c>
      <c r="L163" s="6" t="s">
        <v>205</v>
      </c>
      <c r="M163" s="6" t="s">
        <v>681</v>
      </c>
      <c r="N163" s="6" t="s">
        <v>278</v>
      </c>
      <c r="O163" s="6" t="s">
        <v>634</v>
      </c>
      <c r="P163" s="6" t="str">
        <f aca="false">IF(J163="S0","—",IF(K163="","",IF(L163="E0","QM",INDEX(10_ASIL_Matrix!$D$4:$F$15,MATCH(J163&amp;"-"&amp;L163,10_ASIL_Matrix!$C$4:$C$15,0),MATCH(N163,10_ASIL_Matrix!$D$3:$F$3,0)))))</f>
        <v>—</v>
      </c>
      <c r="Q163" s="6" t="s">
        <v>448</v>
      </c>
    </row>
    <row r="164" customFormat="false" ht="35.05" hidden="false" customHeight="false" outlineLevel="0" collapsed="false">
      <c r="A164" s="5" t="s">
        <v>890</v>
      </c>
      <c r="B164" s="5" t="s">
        <v>101</v>
      </c>
      <c r="C164" s="5" t="s">
        <v>102</v>
      </c>
      <c r="D164" s="5" t="s">
        <v>140</v>
      </c>
      <c r="E164" s="5" t="s">
        <v>141</v>
      </c>
      <c r="F164" s="5" t="s">
        <v>211</v>
      </c>
      <c r="G164" s="5" t="s">
        <v>609</v>
      </c>
      <c r="H164" s="5" t="s">
        <v>230</v>
      </c>
      <c r="I164" s="5" t="s">
        <v>891</v>
      </c>
      <c r="J164" s="5" t="s">
        <v>238</v>
      </c>
      <c r="K164" s="5" t="s">
        <v>883</v>
      </c>
      <c r="L164" s="5" t="s">
        <v>205</v>
      </c>
      <c r="M164" s="5" t="s">
        <v>684</v>
      </c>
      <c r="N164" s="5" t="s">
        <v>278</v>
      </c>
      <c r="O164" s="5" t="s">
        <v>634</v>
      </c>
      <c r="P164" s="5" t="str">
        <f aca="false">IF(J164="S0","—",IF(K164="","",IF(L164="E0","QM",INDEX(10_ASIL_Matrix!$D$4:$F$15,MATCH(J164&amp;"-"&amp;L164,10_ASIL_Matrix!$C$4:$C$15,0),MATCH(N164,10_ASIL_Matrix!$D$3:$F$3,0)))))</f>
        <v>—</v>
      </c>
      <c r="Q164" s="5" t="s">
        <v>448</v>
      </c>
    </row>
    <row r="165" customFormat="false" ht="46.25" hidden="false" customHeight="false" outlineLevel="0" collapsed="false">
      <c r="A165" s="6" t="s">
        <v>892</v>
      </c>
      <c r="B165" s="6" t="s">
        <v>101</v>
      </c>
      <c r="C165" s="6" t="s">
        <v>102</v>
      </c>
      <c r="D165" s="6" t="s">
        <v>140</v>
      </c>
      <c r="E165" s="6" t="s">
        <v>141</v>
      </c>
      <c r="F165" s="6" t="s">
        <v>211</v>
      </c>
      <c r="G165" s="6" t="s">
        <v>609</v>
      </c>
      <c r="H165" s="6" t="s">
        <v>232</v>
      </c>
      <c r="I165" s="6" t="s">
        <v>893</v>
      </c>
      <c r="J165" s="6" t="s">
        <v>238</v>
      </c>
      <c r="K165" s="6" t="s">
        <v>883</v>
      </c>
      <c r="L165" s="6" t="s">
        <v>233</v>
      </c>
      <c r="M165" s="6" t="s">
        <v>687</v>
      </c>
      <c r="N165" s="6" t="s">
        <v>278</v>
      </c>
      <c r="O165" s="6" t="s">
        <v>634</v>
      </c>
      <c r="P165" s="6" t="str">
        <f aca="false">IF(J165="S0","—",IF(K165="","",IF(L165="E0","QM",INDEX(10_ASIL_Matrix!$D$4:$F$15,MATCH(J165&amp;"-"&amp;L165,10_ASIL_Matrix!$C$4:$C$15,0),MATCH(N165,10_ASIL_Matrix!$D$3:$F$3,0)))))</f>
        <v>—</v>
      </c>
      <c r="Q165" s="6" t="s">
        <v>448</v>
      </c>
    </row>
    <row r="166" customFormat="false" ht="46.25" hidden="false" customHeight="false" outlineLevel="0" collapsed="false">
      <c r="A166" s="5" t="s">
        <v>894</v>
      </c>
      <c r="B166" s="5" t="s">
        <v>101</v>
      </c>
      <c r="C166" s="5" t="s">
        <v>102</v>
      </c>
      <c r="D166" s="5" t="s">
        <v>140</v>
      </c>
      <c r="E166" s="5" t="s">
        <v>141</v>
      </c>
      <c r="F166" s="5" t="s">
        <v>213</v>
      </c>
      <c r="G166" s="5" t="s">
        <v>689</v>
      </c>
      <c r="H166" s="5" t="s">
        <v>222</v>
      </c>
      <c r="I166" s="5" t="s">
        <v>895</v>
      </c>
      <c r="J166" s="5" t="s">
        <v>250</v>
      </c>
      <c r="K166" s="5" t="s">
        <v>691</v>
      </c>
      <c r="L166" s="5" t="s">
        <v>205</v>
      </c>
      <c r="M166" s="5" t="s">
        <v>692</v>
      </c>
      <c r="N166" s="5" t="s">
        <v>290</v>
      </c>
      <c r="O166" s="5" t="s">
        <v>693</v>
      </c>
      <c r="P166" s="18" t="str">
        <f aca="false">IF(J166="S0","—",IF(K166="","",IF(L166="E0","QM",INDEX(10_ASIL_Matrix!$D$4:$F$15,MATCH(J166&amp;"-"&amp;L166,10_ASIL_Matrix!$C$4:$C$15,0),MATCH(N166,10_ASIL_Matrix!$D$3:$F$3,0)))))</f>
        <v>B</v>
      </c>
      <c r="Q166" s="5" t="s">
        <v>448</v>
      </c>
    </row>
    <row r="167" customFormat="false" ht="46.25" hidden="false" customHeight="false" outlineLevel="0" collapsed="false">
      <c r="A167" s="6" t="s">
        <v>896</v>
      </c>
      <c r="B167" s="6" t="s">
        <v>101</v>
      </c>
      <c r="C167" s="6" t="s">
        <v>102</v>
      </c>
      <c r="D167" s="6" t="s">
        <v>140</v>
      </c>
      <c r="E167" s="6" t="s">
        <v>141</v>
      </c>
      <c r="F167" s="6" t="s">
        <v>213</v>
      </c>
      <c r="G167" s="6" t="s">
        <v>689</v>
      </c>
      <c r="H167" s="6" t="s">
        <v>224</v>
      </c>
      <c r="I167" s="6" t="s">
        <v>897</v>
      </c>
      <c r="J167" s="6" t="s">
        <v>250</v>
      </c>
      <c r="K167" s="6" t="s">
        <v>691</v>
      </c>
      <c r="L167" s="6" t="s">
        <v>205</v>
      </c>
      <c r="M167" s="6" t="s">
        <v>696</v>
      </c>
      <c r="N167" s="6" t="s">
        <v>290</v>
      </c>
      <c r="O167" s="6" t="s">
        <v>693</v>
      </c>
      <c r="P167" s="18" t="str">
        <f aca="false">IF(J167="S0","—",IF(K167="","",IF(L167="E0","QM",INDEX(10_ASIL_Matrix!$D$4:$F$15,MATCH(J167&amp;"-"&amp;L167,10_ASIL_Matrix!$C$4:$C$15,0),MATCH(N167,10_ASIL_Matrix!$D$3:$F$3,0)))))</f>
        <v>B</v>
      </c>
      <c r="Q167" s="6" t="s">
        <v>448</v>
      </c>
    </row>
    <row r="168" customFormat="false" ht="46.25" hidden="false" customHeight="false" outlineLevel="0" collapsed="false">
      <c r="A168" s="5" t="s">
        <v>898</v>
      </c>
      <c r="B168" s="5" t="s">
        <v>101</v>
      </c>
      <c r="C168" s="5" t="s">
        <v>102</v>
      </c>
      <c r="D168" s="5" t="s">
        <v>140</v>
      </c>
      <c r="E168" s="5" t="s">
        <v>141</v>
      </c>
      <c r="F168" s="5" t="s">
        <v>213</v>
      </c>
      <c r="G168" s="5" t="s">
        <v>689</v>
      </c>
      <c r="H168" s="5" t="s">
        <v>226</v>
      </c>
      <c r="I168" s="5" t="s">
        <v>899</v>
      </c>
      <c r="J168" s="5" t="s">
        <v>250</v>
      </c>
      <c r="K168" s="5" t="s">
        <v>691</v>
      </c>
      <c r="L168" s="5" t="s">
        <v>205</v>
      </c>
      <c r="M168" s="5" t="s">
        <v>699</v>
      </c>
      <c r="N168" s="5" t="s">
        <v>290</v>
      </c>
      <c r="O168" s="5" t="s">
        <v>693</v>
      </c>
      <c r="P168" s="18" t="str">
        <f aca="false">IF(J168="S0","—",IF(K168="","",IF(L168="E0","QM",INDEX(10_ASIL_Matrix!$D$4:$F$15,MATCH(J168&amp;"-"&amp;L168,10_ASIL_Matrix!$C$4:$C$15,0),MATCH(N168,10_ASIL_Matrix!$D$3:$F$3,0)))))</f>
        <v>B</v>
      </c>
      <c r="Q168" s="5" t="s">
        <v>448</v>
      </c>
    </row>
    <row r="169" customFormat="false" ht="46.25" hidden="false" customHeight="false" outlineLevel="0" collapsed="false">
      <c r="A169" s="6" t="s">
        <v>900</v>
      </c>
      <c r="B169" s="6" t="s">
        <v>101</v>
      </c>
      <c r="C169" s="6" t="s">
        <v>102</v>
      </c>
      <c r="D169" s="6" t="s">
        <v>140</v>
      </c>
      <c r="E169" s="6" t="s">
        <v>141</v>
      </c>
      <c r="F169" s="6" t="s">
        <v>213</v>
      </c>
      <c r="G169" s="6" t="s">
        <v>689</v>
      </c>
      <c r="H169" s="6" t="s">
        <v>228</v>
      </c>
      <c r="I169" s="6" t="s">
        <v>901</v>
      </c>
      <c r="J169" s="6" t="s">
        <v>250</v>
      </c>
      <c r="K169" s="6" t="s">
        <v>691</v>
      </c>
      <c r="L169" s="6" t="s">
        <v>205</v>
      </c>
      <c r="M169" s="6" t="s">
        <v>702</v>
      </c>
      <c r="N169" s="6" t="s">
        <v>290</v>
      </c>
      <c r="O169" s="6" t="s">
        <v>693</v>
      </c>
      <c r="P169" s="18" t="str">
        <f aca="false">IF(J169="S0","—",IF(K169="","",IF(L169="E0","QM",INDEX(10_ASIL_Matrix!$D$4:$F$15,MATCH(J169&amp;"-"&amp;L169,10_ASIL_Matrix!$C$4:$C$15,0),MATCH(N169,10_ASIL_Matrix!$D$3:$F$3,0)))))</f>
        <v>B</v>
      </c>
      <c r="Q169" s="6" t="s">
        <v>448</v>
      </c>
    </row>
    <row r="170" customFormat="false" ht="46.25" hidden="false" customHeight="false" outlineLevel="0" collapsed="false">
      <c r="A170" s="5" t="s">
        <v>902</v>
      </c>
      <c r="B170" s="5" t="s">
        <v>101</v>
      </c>
      <c r="C170" s="5" t="s">
        <v>102</v>
      </c>
      <c r="D170" s="5" t="s">
        <v>140</v>
      </c>
      <c r="E170" s="5" t="s">
        <v>141</v>
      </c>
      <c r="F170" s="5" t="s">
        <v>213</v>
      </c>
      <c r="G170" s="5" t="s">
        <v>689</v>
      </c>
      <c r="H170" s="5" t="s">
        <v>230</v>
      </c>
      <c r="I170" s="5" t="s">
        <v>903</v>
      </c>
      <c r="J170" s="5" t="s">
        <v>250</v>
      </c>
      <c r="K170" s="5" t="s">
        <v>691</v>
      </c>
      <c r="L170" s="5" t="s">
        <v>205</v>
      </c>
      <c r="M170" s="5" t="s">
        <v>705</v>
      </c>
      <c r="N170" s="5" t="s">
        <v>290</v>
      </c>
      <c r="O170" s="5" t="s">
        <v>706</v>
      </c>
      <c r="P170" s="18" t="str">
        <f aca="false">IF(J170="S0","—",IF(K170="","",IF(L170="E0","QM",INDEX(10_ASIL_Matrix!$D$4:$F$15,MATCH(J170&amp;"-"&amp;L170,10_ASIL_Matrix!$C$4:$C$15,0),MATCH(N170,10_ASIL_Matrix!$D$3:$F$3,0)))))</f>
        <v>B</v>
      </c>
      <c r="Q170" s="5" t="s">
        <v>448</v>
      </c>
    </row>
    <row r="171" customFormat="false" ht="46.25" hidden="false" customHeight="false" outlineLevel="0" collapsed="false">
      <c r="A171" s="6" t="s">
        <v>904</v>
      </c>
      <c r="B171" s="6" t="s">
        <v>101</v>
      </c>
      <c r="C171" s="6" t="s">
        <v>102</v>
      </c>
      <c r="D171" s="6" t="s">
        <v>140</v>
      </c>
      <c r="E171" s="6" t="s">
        <v>141</v>
      </c>
      <c r="F171" s="6" t="s">
        <v>213</v>
      </c>
      <c r="G171" s="6" t="s">
        <v>689</v>
      </c>
      <c r="H171" s="6" t="s">
        <v>232</v>
      </c>
      <c r="I171" s="6" t="s">
        <v>905</v>
      </c>
      <c r="J171" s="6" t="s">
        <v>250</v>
      </c>
      <c r="K171" s="6" t="s">
        <v>691</v>
      </c>
      <c r="L171" s="6" t="s">
        <v>233</v>
      </c>
      <c r="M171" s="6" t="s">
        <v>709</v>
      </c>
      <c r="N171" s="6" t="s">
        <v>290</v>
      </c>
      <c r="O171" s="6" t="s">
        <v>693</v>
      </c>
      <c r="P171" s="19" t="str">
        <f aca="false">IF(J171="S0","—",IF(K171="","",IF(L171="E0","QM",INDEX(10_ASIL_Matrix!$D$4:$F$15,MATCH(J171&amp;"-"&amp;L171,10_ASIL_Matrix!$C$4:$C$15,0),MATCH(N171,10_ASIL_Matrix!$D$3:$F$3,0)))))</f>
        <v>A</v>
      </c>
      <c r="Q171" s="6" t="s">
        <v>448</v>
      </c>
    </row>
    <row r="172" customFormat="false" ht="35.05" hidden="false" customHeight="false" outlineLevel="0" collapsed="false">
      <c r="A172" s="5" t="s">
        <v>906</v>
      </c>
      <c r="B172" s="5" t="s">
        <v>101</v>
      </c>
      <c r="C172" s="5" t="s">
        <v>102</v>
      </c>
      <c r="D172" s="5" t="s">
        <v>140</v>
      </c>
      <c r="E172" s="5" t="s">
        <v>141</v>
      </c>
      <c r="F172" s="5" t="s">
        <v>215</v>
      </c>
      <c r="G172" s="5" t="s">
        <v>711</v>
      </c>
      <c r="H172" s="5" t="s">
        <v>222</v>
      </c>
      <c r="I172" s="5" t="s">
        <v>907</v>
      </c>
      <c r="J172" s="5" t="s">
        <v>250</v>
      </c>
      <c r="K172" s="5" t="s">
        <v>713</v>
      </c>
      <c r="L172" s="5" t="s">
        <v>190</v>
      </c>
      <c r="M172" s="5" t="s">
        <v>714</v>
      </c>
      <c r="N172" s="5" t="s">
        <v>282</v>
      </c>
      <c r="O172" s="5" t="s">
        <v>447</v>
      </c>
      <c r="P172" s="19" t="str">
        <f aca="false">IF(J172="S0","—",IF(K172="","",IF(L172="E0","QM",INDEX(10_ASIL_Matrix!$D$4:$F$15,MATCH(J172&amp;"-"&amp;L172,10_ASIL_Matrix!$C$4:$C$15,0),MATCH(N172,10_ASIL_Matrix!$D$3:$F$3,0)))))</f>
        <v>A</v>
      </c>
      <c r="Q172" s="5" t="s">
        <v>448</v>
      </c>
    </row>
    <row r="173" customFormat="false" ht="35.05" hidden="false" customHeight="false" outlineLevel="0" collapsed="false">
      <c r="A173" s="6" t="s">
        <v>908</v>
      </c>
      <c r="B173" s="6" t="s">
        <v>101</v>
      </c>
      <c r="C173" s="6" t="s">
        <v>102</v>
      </c>
      <c r="D173" s="6" t="s">
        <v>140</v>
      </c>
      <c r="E173" s="6" t="s">
        <v>141</v>
      </c>
      <c r="F173" s="6" t="s">
        <v>215</v>
      </c>
      <c r="G173" s="6" t="s">
        <v>711</v>
      </c>
      <c r="H173" s="6" t="s">
        <v>224</v>
      </c>
      <c r="I173" s="6" t="s">
        <v>909</v>
      </c>
      <c r="J173" s="6" t="s">
        <v>250</v>
      </c>
      <c r="K173" s="6" t="s">
        <v>713</v>
      </c>
      <c r="L173" s="6" t="s">
        <v>190</v>
      </c>
      <c r="M173" s="6" t="s">
        <v>717</v>
      </c>
      <c r="N173" s="6" t="s">
        <v>282</v>
      </c>
      <c r="O173" s="6" t="s">
        <v>447</v>
      </c>
      <c r="P173" s="19" t="str">
        <f aca="false">IF(J173="S0","—",IF(K173="","",IF(L173="E0","QM",INDEX(10_ASIL_Matrix!$D$4:$F$15,MATCH(J173&amp;"-"&amp;L173,10_ASIL_Matrix!$C$4:$C$15,0),MATCH(N173,10_ASIL_Matrix!$D$3:$F$3,0)))))</f>
        <v>A</v>
      </c>
      <c r="Q173" s="6" t="s">
        <v>448</v>
      </c>
    </row>
    <row r="174" customFormat="false" ht="35.05" hidden="false" customHeight="false" outlineLevel="0" collapsed="false">
      <c r="A174" s="5" t="s">
        <v>910</v>
      </c>
      <c r="B174" s="5" t="s">
        <v>101</v>
      </c>
      <c r="C174" s="5" t="s">
        <v>102</v>
      </c>
      <c r="D174" s="5" t="s">
        <v>140</v>
      </c>
      <c r="E174" s="5" t="s">
        <v>141</v>
      </c>
      <c r="F174" s="5" t="s">
        <v>215</v>
      </c>
      <c r="G174" s="5" t="s">
        <v>711</v>
      </c>
      <c r="H174" s="5" t="s">
        <v>226</v>
      </c>
      <c r="I174" s="5" t="s">
        <v>911</v>
      </c>
      <c r="J174" s="5" t="s">
        <v>250</v>
      </c>
      <c r="K174" s="5" t="s">
        <v>713</v>
      </c>
      <c r="L174" s="5" t="s">
        <v>190</v>
      </c>
      <c r="M174" s="5" t="s">
        <v>720</v>
      </c>
      <c r="N174" s="5" t="s">
        <v>282</v>
      </c>
      <c r="O174" s="5" t="s">
        <v>447</v>
      </c>
      <c r="P174" s="19" t="str">
        <f aca="false">IF(J174="S0","—",IF(K174="","",IF(L174="E0","QM",INDEX(10_ASIL_Matrix!$D$4:$F$15,MATCH(J174&amp;"-"&amp;L174,10_ASIL_Matrix!$C$4:$C$15,0),MATCH(N174,10_ASIL_Matrix!$D$3:$F$3,0)))))</f>
        <v>A</v>
      </c>
      <c r="Q174" s="5" t="s">
        <v>448</v>
      </c>
    </row>
    <row r="175" customFormat="false" ht="35.05" hidden="false" customHeight="false" outlineLevel="0" collapsed="false">
      <c r="A175" s="6" t="s">
        <v>912</v>
      </c>
      <c r="B175" s="6" t="s">
        <v>101</v>
      </c>
      <c r="C175" s="6" t="s">
        <v>102</v>
      </c>
      <c r="D175" s="6" t="s">
        <v>140</v>
      </c>
      <c r="E175" s="6" t="s">
        <v>141</v>
      </c>
      <c r="F175" s="6" t="s">
        <v>215</v>
      </c>
      <c r="G175" s="6" t="s">
        <v>711</v>
      </c>
      <c r="H175" s="6" t="s">
        <v>228</v>
      </c>
      <c r="I175" s="6" t="s">
        <v>913</v>
      </c>
      <c r="J175" s="6" t="s">
        <v>250</v>
      </c>
      <c r="K175" s="6" t="s">
        <v>713</v>
      </c>
      <c r="L175" s="6" t="s">
        <v>205</v>
      </c>
      <c r="M175" s="6" t="s">
        <v>723</v>
      </c>
      <c r="N175" s="6" t="s">
        <v>282</v>
      </c>
      <c r="O175" s="6" t="s">
        <v>447</v>
      </c>
      <c r="P175" s="6" t="str">
        <f aca="false">IF(J175="S0","—",IF(K175="","",IF(L175="E0","QM",INDEX(10_ASIL_Matrix!$D$4:$F$15,MATCH(J175&amp;"-"&amp;L175,10_ASIL_Matrix!$C$4:$C$15,0),MATCH(N175,10_ASIL_Matrix!$D$3:$F$3,0)))))</f>
        <v>QM</v>
      </c>
      <c r="Q175" s="6" t="s">
        <v>448</v>
      </c>
    </row>
    <row r="176" customFormat="false" ht="35.05" hidden="false" customHeight="false" outlineLevel="0" collapsed="false">
      <c r="A176" s="5" t="s">
        <v>914</v>
      </c>
      <c r="B176" s="5" t="s">
        <v>101</v>
      </c>
      <c r="C176" s="5" t="s">
        <v>102</v>
      </c>
      <c r="D176" s="5" t="s">
        <v>140</v>
      </c>
      <c r="E176" s="5" t="s">
        <v>141</v>
      </c>
      <c r="F176" s="5" t="s">
        <v>215</v>
      </c>
      <c r="G176" s="5" t="s">
        <v>711</v>
      </c>
      <c r="H176" s="5" t="s">
        <v>230</v>
      </c>
      <c r="I176" s="5" t="s">
        <v>915</v>
      </c>
      <c r="J176" s="5" t="s">
        <v>250</v>
      </c>
      <c r="K176" s="5" t="s">
        <v>713</v>
      </c>
      <c r="L176" s="5" t="s">
        <v>205</v>
      </c>
      <c r="M176" s="5" t="s">
        <v>726</v>
      </c>
      <c r="N176" s="5" t="s">
        <v>286</v>
      </c>
      <c r="O176" s="5" t="s">
        <v>461</v>
      </c>
      <c r="P176" s="19" t="str">
        <f aca="false">IF(J176="S0","—",IF(K176="","",IF(L176="E0","QM",INDEX(10_ASIL_Matrix!$D$4:$F$15,MATCH(J176&amp;"-"&amp;L176,10_ASIL_Matrix!$C$4:$C$15,0),MATCH(N176,10_ASIL_Matrix!$D$3:$F$3,0)))))</f>
        <v>A</v>
      </c>
      <c r="Q176" s="5" t="s">
        <v>448</v>
      </c>
    </row>
    <row r="177" customFormat="false" ht="46.25" hidden="false" customHeight="false" outlineLevel="0" collapsed="false">
      <c r="A177" s="6" t="s">
        <v>916</v>
      </c>
      <c r="B177" s="6" t="s">
        <v>101</v>
      </c>
      <c r="C177" s="6" t="s">
        <v>102</v>
      </c>
      <c r="D177" s="6" t="s">
        <v>140</v>
      </c>
      <c r="E177" s="6" t="s">
        <v>141</v>
      </c>
      <c r="F177" s="6" t="s">
        <v>215</v>
      </c>
      <c r="G177" s="6" t="s">
        <v>711</v>
      </c>
      <c r="H177" s="6" t="s">
        <v>232</v>
      </c>
      <c r="I177" s="6" t="s">
        <v>917</v>
      </c>
      <c r="J177" s="6" t="s">
        <v>250</v>
      </c>
      <c r="K177" s="6" t="s">
        <v>713</v>
      </c>
      <c r="L177" s="6" t="s">
        <v>233</v>
      </c>
      <c r="M177" s="6" t="s">
        <v>729</v>
      </c>
      <c r="N177" s="6" t="s">
        <v>282</v>
      </c>
      <c r="O177" s="6" t="s">
        <v>447</v>
      </c>
      <c r="P177" s="6" t="str">
        <f aca="false">IF(J177="S0","—",IF(K177="","",IF(L177="E0","QM",INDEX(10_ASIL_Matrix!$D$4:$F$15,MATCH(J177&amp;"-"&amp;L177,10_ASIL_Matrix!$C$4:$C$15,0),MATCH(N177,10_ASIL_Matrix!$D$3:$F$3,0)))))</f>
        <v>QM</v>
      </c>
      <c r="Q177" s="6" t="s">
        <v>448</v>
      </c>
    </row>
    <row r="178" customFormat="false" ht="35.05" hidden="false" customHeight="false" outlineLevel="0" collapsed="false">
      <c r="A178" s="5" t="s">
        <v>918</v>
      </c>
      <c r="B178" s="5" t="s">
        <v>101</v>
      </c>
      <c r="C178" s="5" t="s">
        <v>102</v>
      </c>
      <c r="D178" s="5" t="s">
        <v>140</v>
      </c>
      <c r="E178" s="5" t="s">
        <v>141</v>
      </c>
      <c r="F178" s="5" t="s">
        <v>217</v>
      </c>
      <c r="G178" s="5" t="s">
        <v>488</v>
      </c>
      <c r="H178" s="5" t="s">
        <v>222</v>
      </c>
      <c r="I178" s="5" t="s">
        <v>919</v>
      </c>
      <c r="J178" s="5" t="s">
        <v>250</v>
      </c>
      <c r="K178" s="5" t="s">
        <v>732</v>
      </c>
      <c r="L178" s="5" t="s">
        <v>190</v>
      </c>
      <c r="M178" s="5" t="s">
        <v>733</v>
      </c>
      <c r="N178" s="5" t="s">
        <v>286</v>
      </c>
      <c r="O178" s="5" t="s">
        <v>470</v>
      </c>
      <c r="P178" s="18" t="str">
        <f aca="false">IF(J178="S0","—",IF(K178="","",IF(L178="E0","QM",INDEX(10_ASIL_Matrix!$D$4:$F$15,MATCH(J178&amp;"-"&amp;L178,10_ASIL_Matrix!$C$4:$C$15,0),MATCH(N178,10_ASIL_Matrix!$D$3:$F$3,0)))))</f>
        <v>B</v>
      </c>
      <c r="Q178" s="5" t="s">
        <v>448</v>
      </c>
    </row>
    <row r="179" customFormat="false" ht="35.05" hidden="false" customHeight="false" outlineLevel="0" collapsed="false">
      <c r="A179" s="6" t="s">
        <v>920</v>
      </c>
      <c r="B179" s="6" t="s">
        <v>101</v>
      </c>
      <c r="C179" s="6" t="s">
        <v>102</v>
      </c>
      <c r="D179" s="6" t="s">
        <v>140</v>
      </c>
      <c r="E179" s="6" t="s">
        <v>141</v>
      </c>
      <c r="F179" s="6" t="s">
        <v>217</v>
      </c>
      <c r="G179" s="6" t="s">
        <v>488</v>
      </c>
      <c r="H179" s="6" t="s">
        <v>224</v>
      </c>
      <c r="I179" s="6" t="s">
        <v>921</v>
      </c>
      <c r="J179" s="6" t="s">
        <v>250</v>
      </c>
      <c r="K179" s="6" t="s">
        <v>732</v>
      </c>
      <c r="L179" s="6" t="s">
        <v>190</v>
      </c>
      <c r="M179" s="6" t="s">
        <v>736</v>
      </c>
      <c r="N179" s="6" t="s">
        <v>286</v>
      </c>
      <c r="O179" s="6" t="s">
        <v>470</v>
      </c>
      <c r="P179" s="18" t="str">
        <f aca="false">IF(J179="S0","—",IF(K179="","",IF(L179="E0","QM",INDEX(10_ASIL_Matrix!$D$4:$F$15,MATCH(J179&amp;"-"&amp;L179,10_ASIL_Matrix!$C$4:$C$15,0),MATCH(N179,10_ASIL_Matrix!$D$3:$F$3,0)))))</f>
        <v>B</v>
      </c>
      <c r="Q179" s="6" t="s">
        <v>448</v>
      </c>
    </row>
    <row r="180" customFormat="false" ht="35.05" hidden="false" customHeight="false" outlineLevel="0" collapsed="false">
      <c r="A180" s="5" t="s">
        <v>922</v>
      </c>
      <c r="B180" s="5" t="s">
        <v>101</v>
      </c>
      <c r="C180" s="5" t="s">
        <v>102</v>
      </c>
      <c r="D180" s="5" t="s">
        <v>140</v>
      </c>
      <c r="E180" s="5" t="s">
        <v>141</v>
      </c>
      <c r="F180" s="5" t="s">
        <v>217</v>
      </c>
      <c r="G180" s="5" t="s">
        <v>488</v>
      </c>
      <c r="H180" s="5" t="s">
        <v>226</v>
      </c>
      <c r="I180" s="5" t="s">
        <v>923</v>
      </c>
      <c r="J180" s="5" t="s">
        <v>250</v>
      </c>
      <c r="K180" s="5" t="s">
        <v>732</v>
      </c>
      <c r="L180" s="5" t="s">
        <v>190</v>
      </c>
      <c r="M180" s="5" t="s">
        <v>739</v>
      </c>
      <c r="N180" s="5" t="s">
        <v>286</v>
      </c>
      <c r="O180" s="5" t="s">
        <v>470</v>
      </c>
      <c r="P180" s="18" t="str">
        <f aca="false">IF(J180="S0","—",IF(K180="","",IF(L180="E0","QM",INDEX(10_ASIL_Matrix!$D$4:$F$15,MATCH(J180&amp;"-"&amp;L180,10_ASIL_Matrix!$C$4:$C$15,0),MATCH(N180,10_ASIL_Matrix!$D$3:$F$3,0)))))</f>
        <v>B</v>
      </c>
      <c r="Q180" s="5" t="s">
        <v>448</v>
      </c>
    </row>
    <row r="181" customFormat="false" ht="35.05" hidden="false" customHeight="false" outlineLevel="0" collapsed="false">
      <c r="A181" s="6" t="s">
        <v>924</v>
      </c>
      <c r="B181" s="6" t="s">
        <v>101</v>
      </c>
      <c r="C181" s="6" t="s">
        <v>102</v>
      </c>
      <c r="D181" s="6" t="s">
        <v>140</v>
      </c>
      <c r="E181" s="6" t="s">
        <v>141</v>
      </c>
      <c r="F181" s="6" t="s">
        <v>217</v>
      </c>
      <c r="G181" s="6" t="s">
        <v>488</v>
      </c>
      <c r="H181" s="6" t="s">
        <v>228</v>
      </c>
      <c r="I181" s="6" t="s">
        <v>925</v>
      </c>
      <c r="J181" s="6" t="s">
        <v>250</v>
      </c>
      <c r="K181" s="6" t="s">
        <v>732</v>
      </c>
      <c r="L181" s="6" t="s">
        <v>205</v>
      </c>
      <c r="M181" s="6" t="s">
        <v>742</v>
      </c>
      <c r="N181" s="6" t="s">
        <v>286</v>
      </c>
      <c r="O181" s="6" t="s">
        <v>470</v>
      </c>
      <c r="P181" s="19" t="str">
        <f aca="false">IF(J181="S0","—",IF(K181="","",IF(L181="E0","QM",INDEX(10_ASIL_Matrix!$D$4:$F$15,MATCH(J181&amp;"-"&amp;L181,10_ASIL_Matrix!$C$4:$C$15,0),MATCH(N181,10_ASIL_Matrix!$D$3:$F$3,0)))))</f>
        <v>A</v>
      </c>
      <c r="Q181" s="6" t="s">
        <v>448</v>
      </c>
    </row>
    <row r="182" customFormat="false" ht="46.25" hidden="false" customHeight="false" outlineLevel="0" collapsed="false">
      <c r="A182" s="5" t="s">
        <v>926</v>
      </c>
      <c r="B182" s="5" t="s">
        <v>101</v>
      </c>
      <c r="C182" s="5" t="s">
        <v>102</v>
      </c>
      <c r="D182" s="5" t="s">
        <v>140</v>
      </c>
      <c r="E182" s="5" t="s">
        <v>141</v>
      </c>
      <c r="F182" s="5" t="s">
        <v>217</v>
      </c>
      <c r="G182" s="5" t="s">
        <v>488</v>
      </c>
      <c r="H182" s="5" t="s">
        <v>230</v>
      </c>
      <c r="I182" s="5" t="s">
        <v>927</v>
      </c>
      <c r="J182" s="5" t="s">
        <v>250</v>
      </c>
      <c r="K182" s="5" t="s">
        <v>732</v>
      </c>
      <c r="L182" s="5" t="s">
        <v>205</v>
      </c>
      <c r="M182" s="5" t="s">
        <v>745</v>
      </c>
      <c r="N182" s="5" t="s">
        <v>290</v>
      </c>
      <c r="O182" s="5" t="s">
        <v>483</v>
      </c>
      <c r="P182" s="18" t="str">
        <f aca="false">IF(J182="S0","—",IF(K182="","",IF(L182="E0","QM",INDEX(10_ASIL_Matrix!$D$4:$F$15,MATCH(J182&amp;"-"&amp;L182,10_ASIL_Matrix!$C$4:$C$15,0),MATCH(N182,10_ASIL_Matrix!$D$3:$F$3,0)))))</f>
        <v>B</v>
      </c>
      <c r="Q182" s="5" t="s">
        <v>448</v>
      </c>
    </row>
    <row r="183" customFormat="false" ht="46.25" hidden="false" customHeight="false" outlineLevel="0" collapsed="false">
      <c r="A183" s="6" t="s">
        <v>928</v>
      </c>
      <c r="B183" s="6" t="s">
        <v>101</v>
      </c>
      <c r="C183" s="6" t="s">
        <v>102</v>
      </c>
      <c r="D183" s="6" t="s">
        <v>140</v>
      </c>
      <c r="E183" s="6" t="s">
        <v>141</v>
      </c>
      <c r="F183" s="6" t="s">
        <v>217</v>
      </c>
      <c r="G183" s="6" t="s">
        <v>488</v>
      </c>
      <c r="H183" s="6" t="s">
        <v>232</v>
      </c>
      <c r="I183" s="6" t="s">
        <v>929</v>
      </c>
      <c r="J183" s="6" t="s">
        <v>250</v>
      </c>
      <c r="K183" s="6" t="s">
        <v>732</v>
      </c>
      <c r="L183" s="6" t="s">
        <v>233</v>
      </c>
      <c r="M183" s="6" t="s">
        <v>748</v>
      </c>
      <c r="N183" s="6" t="s">
        <v>286</v>
      </c>
      <c r="O183" s="6" t="s">
        <v>470</v>
      </c>
      <c r="P183" s="6" t="str">
        <f aca="false">IF(J183="S0","—",IF(K183="","",IF(L183="E0","QM",INDEX(10_ASIL_Matrix!$D$4:$F$15,MATCH(J183&amp;"-"&amp;L183,10_ASIL_Matrix!$C$4:$C$15,0),MATCH(N183,10_ASIL_Matrix!$D$3:$F$3,0)))))</f>
        <v>QM</v>
      </c>
      <c r="Q183" s="6" t="s">
        <v>448</v>
      </c>
    </row>
    <row r="184" customFormat="false" ht="46.25" hidden="false" customHeight="false" outlineLevel="0" collapsed="false">
      <c r="A184" s="5" t="s">
        <v>930</v>
      </c>
      <c r="B184" s="5" t="s">
        <v>101</v>
      </c>
      <c r="C184" s="5" t="s">
        <v>102</v>
      </c>
      <c r="D184" s="5" t="s">
        <v>143</v>
      </c>
      <c r="E184" s="5" t="s">
        <v>144</v>
      </c>
      <c r="F184" s="5" t="s">
        <v>186</v>
      </c>
      <c r="G184" s="5" t="s">
        <v>443</v>
      </c>
      <c r="H184" s="5" t="s">
        <v>222</v>
      </c>
      <c r="I184" s="5" t="s">
        <v>931</v>
      </c>
      <c r="J184" s="5" t="s">
        <v>250</v>
      </c>
      <c r="K184" s="5" t="s">
        <v>932</v>
      </c>
      <c r="L184" s="5" t="s">
        <v>187</v>
      </c>
      <c r="M184" s="5" t="s">
        <v>446</v>
      </c>
      <c r="N184" s="5" t="s">
        <v>286</v>
      </c>
      <c r="O184" s="5" t="s">
        <v>933</v>
      </c>
      <c r="P184" s="20" t="str">
        <f aca="false">IF(J184="S0","—",IF(K184="","",IF(L184="E0","QM",INDEX(10_ASIL_Matrix!$D$4:$F$15,MATCH(J184&amp;"-"&amp;L184,10_ASIL_Matrix!$C$4:$C$15,0),MATCH(N184,10_ASIL_Matrix!$D$3:$F$3,0)))))</f>
        <v>C</v>
      </c>
      <c r="Q184" s="5" t="s">
        <v>448</v>
      </c>
    </row>
    <row r="185" customFormat="false" ht="46.25" hidden="false" customHeight="false" outlineLevel="0" collapsed="false">
      <c r="A185" s="6" t="s">
        <v>934</v>
      </c>
      <c r="B185" s="6" t="s">
        <v>101</v>
      </c>
      <c r="C185" s="6" t="s">
        <v>102</v>
      </c>
      <c r="D185" s="6" t="s">
        <v>143</v>
      </c>
      <c r="E185" s="6" t="s">
        <v>144</v>
      </c>
      <c r="F185" s="6" t="s">
        <v>186</v>
      </c>
      <c r="G185" s="6" t="s">
        <v>443</v>
      </c>
      <c r="H185" s="6" t="s">
        <v>224</v>
      </c>
      <c r="I185" s="6" t="s">
        <v>935</v>
      </c>
      <c r="J185" s="6" t="s">
        <v>250</v>
      </c>
      <c r="K185" s="6" t="s">
        <v>932</v>
      </c>
      <c r="L185" s="6" t="s">
        <v>190</v>
      </c>
      <c r="M185" s="6" t="s">
        <v>451</v>
      </c>
      <c r="N185" s="6" t="s">
        <v>286</v>
      </c>
      <c r="O185" s="6" t="s">
        <v>933</v>
      </c>
      <c r="P185" s="18" t="str">
        <f aca="false">IF(J185="S0","—",IF(K185="","",IF(L185="E0","QM",INDEX(10_ASIL_Matrix!$D$4:$F$15,MATCH(J185&amp;"-"&amp;L185,10_ASIL_Matrix!$C$4:$C$15,0),MATCH(N185,10_ASIL_Matrix!$D$3:$F$3,0)))))</f>
        <v>B</v>
      </c>
      <c r="Q185" s="6" t="s">
        <v>448</v>
      </c>
    </row>
    <row r="186" customFormat="false" ht="46.25" hidden="false" customHeight="false" outlineLevel="0" collapsed="false">
      <c r="A186" s="5" t="s">
        <v>936</v>
      </c>
      <c r="B186" s="5" t="s">
        <v>101</v>
      </c>
      <c r="C186" s="5" t="s">
        <v>102</v>
      </c>
      <c r="D186" s="5" t="s">
        <v>143</v>
      </c>
      <c r="E186" s="5" t="s">
        <v>144</v>
      </c>
      <c r="F186" s="5" t="s">
        <v>186</v>
      </c>
      <c r="G186" s="5" t="s">
        <v>443</v>
      </c>
      <c r="H186" s="5" t="s">
        <v>226</v>
      </c>
      <c r="I186" s="5" t="s">
        <v>937</v>
      </c>
      <c r="J186" s="5" t="s">
        <v>250</v>
      </c>
      <c r="K186" s="5" t="s">
        <v>932</v>
      </c>
      <c r="L186" s="5" t="s">
        <v>190</v>
      </c>
      <c r="M186" s="5" t="s">
        <v>454</v>
      </c>
      <c r="N186" s="5" t="s">
        <v>286</v>
      </c>
      <c r="O186" s="5" t="s">
        <v>933</v>
      </c>
      <c r="P186" s="18" t="str">
        <f aca="false">IF(J186="S0","—",IF(K186="","",IF(L186="E0","QM",INDEX(10_ASIL_Matrix!$D$4:$F$15,MATCH(J186&amp;"-"&amp;L186,10_ASIL_Matrix!$C$4:$C$15,0),MATCH(N186,10_ASIL_Matrix!$D$3:$F$3,0)))))</f>
        <v>B</v>
      </c>
      <c r="Q186" s="5" t="s">
        <v>448</v>
      </c>
    </row>
    <row r="187" customFormat="false" ht="46.25" hidden="false" customHeight="false" outlineLevel="0" collapsed="false">
      <c r="A187" s="6" t="s">
        <v>938</v>
      </c>
      <c r="B187" s="6" t="s">
        <v>101</v>
      </c>
      <c r="C187" s="6" t="s">
        <v>102</v>
      </c>
      <c r="D187" s="6" t="s">
        <v>143</v>
      </c>
      <c r="E187" s="6" t="s">
        <v>144</v>
      </c>
      <c r="F187" s="6" t="s">
        <v>186</v>
      </c>
      <c r="G187" s="6" t="s">
        <v>443</v>
      </c>
      <c r="H187" s="6" t="s">
        <v>228</v>
      </c>
      <c r="I187" s="6" t="s">
        <v>939</v>
      </c>
      <c r="J187" s="6" t="s">
        <v>250</v>
      </c>
      <c r="K187" s="6" t="s">
        <v>932</v>
      </c>
      <c r="L187" s="6" t="s">
        <v>205</v>
      </c>
      <c r="M187" s="6" t="s">
        <v>457</v>
      </c>
      <c r="N187" s="6" t="s">
        <v>286</v>
      </c>
      <c r="O187" s="6" t="s">
        <v>933</v>
      </c>
      <c r="P187" s="19" t="str">
        <f aca="false">IF(J187="S0","—",IF(K187="","",IF(L187="E0","QM",INDEX(10_ASIL_Matrix!$D$4:$F$15,MATCH(J187&amp;"-"&amp;L187,10_ASIL_Matrix!$C$4:$C$15,0),MATCH(N187,10_ASIL_Matrix!$D$3:$F$3,0)))))</f>
        <v>A</v>
      </c>
      <c r="Q187" s="6" t="s">
        <v>448</v>
      </c>
    </row>
    <row r="188" customFormat="false" ht="57.45" hidden="false" customHeight="false" outlineLevel="0" collapsed="false">
      <c r="A188" s="5" t="s">
        <v>940</v>
      </c>
      <c r="B188" s="5" t="s">
        <v>101</v>
      </c>
      <c r="C188" s="5" t="s">
        <v>102</v>
      </c>
      <c r="D188" s="5" t="s">
        <v>143</v>
      </c>
      <c r="E188" s="5" t="s">
        <v>144</v>
      </c>
      <c r="F188" s="5" t="s">
        <v>186</v>
      </c>
      <c r="G188" s="5" t="s">
        <v>443</v>
      </c>
      <c r="H188" s="5" t="s">
        <v>230</v>
      </c>
      <c r="I188" s="5" t="s">
        <v>941</v>
      </c>
      <c r="J188" s="5" t="s">
        <v>250</v>
      </c>
      <c r="K188" s="5" t="s">
        <v>932</v>
      </c>
      <c r="L188" s="5" t="s">
        <v>205</v>
      </c>
      <c r="M188" s="5" t="s">
        <v>460</v>
      </c>
      <c r="N188" s="5" t="s">
        <v>290</v>
      </c>
      <c r="O188" s="5" t="s">
        <v>942</v>
      </c>
      <c r="P188" s="18" t="str">
        <f aca="false">IF(J188="S0","—",IF(K188="","",IF(L188="E0","QM",INDEX(10_ASIL_Matrix!$D$4:$F$15,MATCH(J188&amp;"-"&amp;L188,10_ASIL_Matrix!$C$4:$C$15,0),MATCH(N188,10_ASIL_Matrix!$D$3:$F$3,0)))))</f>
        <v>B</v>
      </c>
      <c r="Q188" s="5" t="s">
        <v>448</v>
      </c>
    </row>
    <row r="189" customFormat="false" ht="46.25" hidden="false" customHeight="false" outlineLevel="0" collapsed="false">
      <c r="A189" s="6" t="s">
        <v>943</v>
      </c>
      <c r="B189" s="6" t="s">
        <v>101</v>
      </c>
      <c r="C189" s="6" t="s">
        <v>102</v>
      </c>
      <c r="D189" s="6" t="s">
        <v>143</v>
      </c>
      <c r="E189" s="6" t="s">
        <v>144</v>
      </c>
      <c r="F189" s="6" t="s">
        <v>186</v>
      </c>
      <c r="G189" s="6" t="s">
        <v>443</v>
      </c>
      <c r="H189" s="6" t="s">
        <v>232</v>
      </c>
      <c r="I189" s="6" t="s">
        <v>944</v>
      </c>
      <c r="J189" s="6" t="s">
        <v>250</v>
      </c>
      <c r="K189" s="6" t="s">
        <v>932</v>
      </c>
      <c r="L189" s="6" t="s">
        <v>233</v>
      </c>
      <c r="M189" s="6" t="s">
        <v>464</v>
      </c>
      <c r="N189" s="6" t="s">
        <v>286</v>
      </c>
      <c r="O189" s="6" t="s">
        <v>933</v>
      </c>
      <c r="P189" s="6" t="str">
        <f aca="false">IF(J189="S0","—",IF(K189="","",IF(L189="E0","QM",INDEX(10_ASIL_Matrix!$D$4:$F$15,MATCH(J189&amp;"-"&amp;L189,10_ASIL_Matrix!$C$4:$C$15,0),MATCH(N189,10_ASIL_Matrix!$D$3:$F$3,0)))))</f>
        <v>QM</v>
      </c>
      <c r="Q189" s="6" t="s">
        <v>448</v>
      </c>
    </row>
    <row r="190" customFormat="false" ht="46.25" hidden="false" customHeight="false" outlineLevel="0" collapsed="false">
      <c r="A190" s="5" t="s">
        <v>945</v>
      </c>
      <c r="B190" s="5" t="s">
        <v>101</v>
      </c>
      <c r="C190" s="5" t="s">
        <v>102</v>
      </c>
      <c r="D190" s="5" t="s">
        <v>143</v>
      </c>
      <c r="E190" s="5" t="s">
        <v>144</v>
      </c>
      <c r="F190" s="5" t="s">
        <v>189</v>
      </c>
      <c r="G190" s="5" t="s">
        <v>466</v>
      </c>
      <c r="H190" s="5" t="s">
        <v>222</v>
      </c>
      <c r="I190" s="5" t="s">
        <v>946</v>
      </c>
      <c r="J190" s="5" t="s">
        <v>250</v>
      </c>
      <c r="K190" s="5" t="s">
        <v>947</v>
      </c>
      <c r="L190" s="5" t="s">
        <v>190</v>
      </c>
      <c r="M190" s="5" t="s">
        <v>469</v>
      </c>
      <c r="N190" s="5" t="s">
        <v>286</v>
      </c>
      <c r="O190" s="5" t="s">
        <v>933</v>
      </c>
      <c r="P190" s="18" t="str">
        <f aca="false">IF(J190="S0","—",IF(K190="","",IF(L190="E0","QM",INDEX(10_ASIL_Matrix!$D$4:$F$15,MATCH(J190&amp;"-"&amp;L190,10_ASIL_Matrix!$C$4:$C$15,0),MATCH(N190,10_ASIL_Matrix!$D$3:$F$3,0)))))</f>
        <v>B</v>
      </c>
      <c r="Q190" s="5" t="s">
        <v>448</v>
      </c>
    </row>
    <row r="191" customFormat="false" ht="46.25" hidden="false" customHeight="false" outlineLevel="0" collapsed="false">
      <c r="A191" s="6" t="s">
        <v>948</v>
      </c>
      <c r="B191" s="6" t="s">
        <v>101</v>
      </c>
      <c r="C191" s="6" t="s">
        <v>102</v>
      </c>
      <c r="D191" s="6" t="s">
        <v>143</v>
      </c>
      <c r="E191" s="6" t="s">
        <v>144</v>
      </c>
      <c r="F191" s="6" t="s">
        <v>189</v>
      </c>
      <c r="G191" s="6" t="s">
        <v>466</v>
      </c>
      <c r="H191" s="6" t="s">
        <v>224</v>
      </c>
      <c r="I191" s="6" t="s">
        <v>949</v>
      </c>
      <c r="J191" s="6" t="s">
        <v>250</v>
      </c>
      <c r="K191" s="6" t="s">
        <v>947</v>
      </c>
      <c r="L191" s="6" t="s">
        <v>190</v>
      </c>
      <c r="M191" s="6" t="s">
        <v>473</v>
      </c>
      <c r="N191" s="6" t="s">
        <v>286</v>
      </c>
      <c r="O191" s="6" t="s">
        <v>933</v>
      </c>
      <c r="P191" s="18" t="str">
        <f aca="false">IF(J191="S0","—",IF(K191="","",IF(L191="E0","QM",INDEX(10_ASIL_Matrix!$D$4:$F$15,MATCH(J191&amp;"-"&amp;L191,10_ASIL_Matrix!$C$4:$C$15,0),MATCH(N191,10_ASIL_Matrix!$D$3:$F$3,0)))))</f>
        <v>B</v>
      </c>
      <c r="Q191" s="6" t="s">
        <v>448</v>
      </c>
    </row>
    <row r="192" customFormat="false" ht="46.25" hidden="false" customHeight="false" outlineLevel="0" collapsed="false">
      <c r="A192" s="5" t="s">
        <v>950</v>
      </c>
      <c r="B192" s="5" t="s">
        <v>101</v>
      </c>
      <c r="C192" s="5" t="s">
        <v>102</v>
      </c>
      <c r="D192" s="5" t="s">
        <v>143</v>
      </c>
      <c r="E192" s="5" t="s">
        <v>144</v>
      </c>
      <c r="F192" s="5" t="s">
        <v>189</v>
      </c>
      <c r="G192" s="5" t="s">
        <v>466</v>
      </c>
      <c r="H192" s="5" t="s">
        <v>226</v>
      </c>
      <c r="I192" s="5" t="s">
        <v>951</v>
      </c>
      <c r="J192" s="5" t="s">
        <v>250</v>
      </c>
      <c r="K192" s="5" t="s">
        <v>947</v>
      </c>
      <c r="L192" s="5" t="s">
        <v>190</v>
      </c>
      <c r="M192" s="5" t="s">
        <v>476</v>
      </c>
      <c r="N192" s="5" t="s">
        <v>286</v>
      </c>
      <c r="O192" s="5" t="s">
        <v>933</v>
      </c>
      <c r="P192" s="18" t="str">
        <f aca="false">IF(J192="S0","—",IF(K192="","",IF(L192="E0","QM",INDEX(10_ASIL_Matrix!$D$4:$F$15,MATCH(J192&amp;"-"&amp;L192,10_ASIL_Matrix!$C$4:$C$15,0),MATCH(N192,10_ASIL_Matrix!$D$3:$F$3,0)))))</f>
        <v>B</v>
      </c>
      <c r="Q192" s="5" t="s">
        <v>448</v>
      </c>
    </row>
    <row r="193" customFormat="false" ht="46.25" hidden="false" customHeight="false" outlineLevel="0" collapsed="false">
      <c r="A193" s="6" t="s">
        <v>952</v>
      </c>
      <c r="B193" s="6" t="s">
        <v>101</v>
      </c>
      <c r="C193" s="6" t="s">
        <v>102</v>
      </c>
      <c r="D193" s="6" t="s">
        <v>143</v>
      </c>
      <c r="E193" s="6" t="s">
        <v>144</v>
      </c>
      <c r="F193" s="6" t="s">
        <v>189</v>
      </c>
      <c r="G193" s="6" t="s">
        <v>466</v>
      </c>
      <c r="H193" s="6" t="s">
        <v>228</v>
      </c>
      <c r="I193" s="6" t="s">
        <v>953</v>
      </c>
      <c r="J193" s="6" t="s">
        <v>250</v>
      </c>
      <c r="K193" s="6" t="s">
        <v>947</v>
      </c>
      <c r="L193" s="6" t="s">
        <v>205</v>
      </c>
      <c r="M193" s="6" t="s">
        <v>479</v>
      </c>
      <c r="N193" s="6" t="s">
        <v>286</v>
      </c>
      <c r="O193" s="6" t="s">
        <v>933</v>
      </c>
      <c r="P193" s="19" t="str">
        <f aca="false">IF(J193="S0","—",IF(K193="","",IF(L193="E0","QM",INDEX(10_ASIL_Matrix!$D$4:$F$15,MATCH(J193&amp;"-"&amp;L193,10_ASIL_Matrix!$C$4:$C$15,0),MATCH(N193,10_ASIL_Matrix!$D$3:$F$3,0)))))</f>
        <v>A</v>
      </c>
      <c r="Q193" s="6" t="s">
        <v>448</v>
      </c>
    </row>
    <row r="194" customFormat="false" ht="57.45" hidden="false" customHeight="false" outlineLevel="0" collapsed="false">
      <c r="A194" s="5" t="s">
        <v>954</v>
      </c>
      <c r="B194" s="5" t="s">
        <v>101</v>
      </c>
      <c r="C194" s="5" t="s">
        <v>102</v>
      </c>
      <c r="D194" s="5" t="s">
        <v>143</v>
      </c>
      <c r="E194" s="5" t="s">
        <v>144</v>
      </c>
      <c r="F194" s="5" t="s">
        <v>189</v>
      </c>
      <c r="G194" s="5" t="s">
        <v>466</v>
      </c>
      <c r="H194" s="5" t="s">
        <v>230</v>
      </c>
      <c r="I194" s="5" t="s">
        <v>955</v>
      </c>
      <c r="J194" s="5" t="s">
        <v>250</v>
      </c>
      <c r="K194" s="5" t="s">
        <v>947</v>
      </c>
      <c r="L194" s="5" t="s">
        <v>205</v>
      </c>
      <c r="M194" s="5" t="s">
        <v>482</v>
      </c>
      <c r="N194" s="5" t="s">
        <v>290</v>
      </c>
      <c r="O194" s="5" t="s">
        <v>942</v>
      </c>
      <c r="P194" s="18" t="str">
        <f aca="false">IF(J194="S0","—",IF(K194="","",IF(L194="E0","QM",INDEX(10_ASIL_Matrix!$D$4:$F$15,MATCH(J194&amp;"-"&amp;L194,10_ASIL_Matrix!$C$4:$C$15,0),MATCH(N194,10_ASIL_Matrix!$D$3:$F$3,0)))))</f>
        <v>B</v>
      </c>
      <c r="Q194" s="5" t="s">
        <v>448</v>
      </c>
    </row>
    <row r="195" customFormat="false" ht="46.25" hidden="false" customHeight="false" outlineLevel="0" collapsed="false">
      <c r="A195" s="6" t="s">
        <v>956</v>
      </c>
      <c r="B195" s="6" t="s">
        <v>101</v>
      </c>
      <c r="C195" s="6" t="s">
        <v>102</v>
      </c>
      <c r="D195" s="6" t="s">
        <v>143</v>
      </c>
      <c r="E195" s="6" t="s">
        <v>144</v>
      </c>
      <c r="F195" s="6" t="s">
        <v>189</v>
      </c>
      <c r="G195" s="6" t="s">
        <v>466</v>
      </c>
      <c r="H195" s="6" t="s">
        <v>232</v>
      </c>
      <c r="I195" s="6" t="s">
        <v>957</v>
      </c>
      <c r="J195" s="6" t="s">
        <v>250</v>
      </c>
      <c r="K195" s="6" t="s">
        <v>947</v>
      </c>
      <c r="L195" s="6" t="s">
        <v>233</v>
      </c>
      <c r="M195" s="6" t="s">
        <v>486</v>
      </c>
      <c r="N195" s="6" t="s">
        <v>286</v>
      </c>
      <c r="O195" s="6" t="s">
        <v>933</v>
      </c>
      <c r="P195" s="6" t="str">
        <f aca="false">IF(J195="S0","—",IF(K195="","",IF(L195="E0","QM",INDEX(10_ASIL_Matrix!$D$4:$F$15,MATCH(J195&amp;"-"&amp;L195,10_ASIL_Matrix!$C$4:$C$15,0),MATCH(N195,10_ASIL_Matrix!$D$3:$F$3,0)))))</f>
        <v>QM</v>
      </c>
      <c r="Q195" s="6" t="s">
        <v>448</v>
      </c>
    </row>
    <row r="196" customFormat="false" ht="46.25" hidden="false" customHeight="false" outlineLevel="0" collapsed="false">
      <c r="A196" s="5" t="s">
        <v>958</v>
      </c>
      <c r="B196" s="5" t="s">
        <v>101</v>
      </c>
      <c r="C196" s="5" t="s">
        <v>102</v>
      </c>
      <c r="D196" s="5" t="s">
        <v>143</v>
      </c>
      <c r="E196" s="5" t="s">
        <v>144</v>
      </c>
      <c r="F196" s="5" t="s">
        <v>192</v>
      </c>
      <c r="G196" s="5" t="s">
        <v>488</v>
      </c>
      <c r="H196" s="5" t="s">
        <v>222</v>
      </c>
      <c r="I196" s="5" t="s">
        <v>959</v>
      </c>
      <c r="J196" s="5" t="s">
        <v>250</v>
      </c>
      <c r="K196" s="5" t="s">
        <v>960</v>
      </c>
      <c r="L196" s="5" t="s">
        <v>187</v>
      </c>
      <c r="M196" s="5" t="s">
        <v>491</v>
      </c>
      <c r="N196" s="5" t="s">
        <v>286</v>
      </c>
      <c r="O196" s="5" t="s">
        <v>933</v>
      </c>
      <c r="P196" s="20" t="str">
        <f aca="false">IF(J196="S0","—",IF(K196="","",IF(L196="E0","QM",INDEX(10_ASIL_Matrix!$D$4:$F$15,MATCH(J196&amp;"-"&amp;L196,10_ASIL_Matrix!$C$4:$C$15,0),MATCH(N196,10_ASIL_Matrix!$D$3:$F$3,0)))))</f>
        <v>C</v>
      </c>
      <c r="Q196" s="5" t="s">
        <v>448</v>
      </c>
    </row>
    <row r="197" customFormat="false" ht="46.25" hidden="false" customHeight="false" outlineLevel="0" collapsed="false">
      <c r="A197" s="6" t="s">
        <v>961</v>
      </c>
      <c r="B197" s="6" t="s">
        <v>101</v>
      </c>
      <c r="C197" s="6" t="s">
        <v>102</v>
      </c>
      <c r="D197" s="6" t="s">
        <v>143</v>
      </c>
      <c r="E197" s="6" t="s">
        <v>144</v>
      </c>
      <c r="F197" s="6" t="s">
        <v>192</v>
      </c>
      <c r="G197" s="6" t="s">
        <v>488</v>
      </c>
      <c r="H197" s="6" t="s">
        <v>224</v>
      </c>
      <c r="I197" s="6" t="s">
        <v>962</v>
      </c>
      <c r="J197" s="6" t="s">
        <v>250</v>
      </c>
      <c r="K197" s="6" t="s">
        <v>960</v>
      </c>
      <c r="L197" s="6" t="s">
        <v>190</v>
      </c>
      <c r="M197" s="6" t="s">
        <v>494</v>
      </c>
      <c r="N197" s="6" t="s">
        <v>286</v>
      </c>
      <c r="O197" s="6" t="s">
        <v>933</v>
      </c>
      <c r="P197" s="18" t="str">
        <f aca="false">IF(J197="S0","—",IF(K197="","",IF(L197="E0","QM",INDEX(10_ASIL_Matrix!$D$4:$F$15,MATCH(J197&amp;"-"&amp;L197,10_ASIL_Matrix!$C$4:$C$15,0),MATCH(N197,10_ASIL_Matrix!$D$3:$F$3,0)))))</f>
        <v>B</v>
      </c>
      <c r="Q197" s="6" t="s">
        <v>448</v>
      </c>
    </row>
    <row r="198" customFormat="false" ht="46.25" hidden="false" customHeight="false" outlineLevel="0" collapsed="false">
      <c r="A198" s="5" t="s">
        <v>963</v>
      </c>
      <c r="B198" s="5" t="s">
        <v>101</v>
      </c>
      <c r="C198" s="5" t="s">
        <v>102</v>
      </c>
      <c r="D198" s="5" t="s">
        <v>143</v>
      </c>
      <c r="E198" s="5" t="s">
        <v>144</v>
      </c>
      <c r="F198" s="5" t="s">
        <v>192</v>
      </c>
      <c r="G198" s="5" t="s">
        <v>488</v>
      </c>
      <c r="H198" s="5" t="s">
        <v>226</v>
      </c>
      <c r="I198" s="5" t="s">
        <v>964</v>
      </c>
      <c r="J198" s="5" t="s">
        <v>250</v>
      </c>
      <c r="K198" s="5" t="s">
        <v>960</v>
      </c>
      <c r="L198" s="5" t="s">
        <v>190</v>
      </c>
      <c r="M198" s="5" t="s">
        <v>497</v>
      </c>
      <c r="N198" s="5" t="s">
        <v>286</v>
      </c>
      <c r="O198" s="5" t="s">
        <v>933</v>
      </c>
      <c r="P198" s="18" t="str">
        <f aca="false">IF(J198="S0","—",IF(K198="","",IF(L198="E0","QM",INDEX(10_ASIL_Matrix!$D$4:$F$15,MATCH(J198&amp;"-"&amp;L198,10_ASIL_Matrix!$C$4:$C$15,0),MATCH(N198,10_ASIL_Matrix!$D$3:$F$3,0)))))</f>
        <v>B</v>
      </c>
      <c r="Q198" s="5" t="s">
        <v>448</v>
      </c>
    </row>
    <row r="199" customFormat="false" ht="46.25" hidden="false" customHeight="false" outlineLevel="0" collapsed="false">
      <c r="A199" s="6" t="s">
        <v>965</v>
      </c>
      <c r="B199" s="6" t="s">
        <v>101</v>
      </c>
      <c r="C199" s="6" t="s">
        <v>102</v>
      </c>
      <c r="D199" s="6" t="s">
        <v>143</v>
      </c>
      <c r="E199" s="6" t="s">
        <v>144</v>
      </c>
      <c r="F199" s="6" t="s">
        <v>192</v>
      </c>
      <c r="G199" s="6" t="s">
        <v>488</v>
      </c>
      <c r="H199" s="6" t="s">
        <v>228</v>
      </c>
      <c r="I199" s="6" t="s">
        <v>966</v>
      </c>
      <c r="J199" s="6" t="s">
        <v>250</v>
      </c>
      <c r="K199" s="6" t="s">
        <v>960</v>
      </c>
      <c r="L199" s="6" t="s">
        <v>205</v>
      </c>
      <c r="M199" s="6" t="s">
        <v>500</v>
      </c>
      <c r="N199" s="6" t="s">
        <v>286</v>
      </c>
      <c r="O199" s="6" t="s">
        <v>933</v>
      </c>
      <c r="P199" s="19" t="str">
        <f aca="false">IF(J199="S0","—",IF(K199="","",IF(L199="E0","QM",INDEX(10_ASIL_Matrix!$D$4:$F$15,MATCH(J199&amp;"-"&amp;L199,10_ASIL_Matrix!$C$4:$C$15,0),MATCH(N199,10_ASIL_Matrix!$D$3:$F$3,0)))))</f>
        <v>A</v>
      </c>
      <c r="Q199" s="6" t="s">
        <v>448</v>
      </c>
    </row>
    <row r="200" customFormat="false" ht="57.45" hidden="false" customHeight="false" outlineLevel="0" collapsed="false">
      <c r="A200" s="5" t="s">
        <v>967</v>
      </c>
      <c r="B200" s="5" t="s">
        <v>101</v>
      </c>
      <c r="C200" s="5" t="s">
        <v>102</v>
      </c>
      <c r="D200" s="5" t="s">
        <v>143</v>
      </c>
      <c r="E200" s="5" t="s">
        <v>144</v>
      </c>
      <c r="F200" s="5" t="s">
        <v>192</v>
      </c>
      <c r="G200" s="5" t="s">
        <v>488</v>
      </c>
      <c r="H200" s="5" t="s">
        <v>230</v>
      </c>
      <c r="I200" s="5" t="s">
        <v>968</v>
      </c>
      <c r="J200" s="5" t="s">
        <v>250</v>
      </c>
      <c r="K200" s="5" t="s">
        <v>960</v>
      </c>
      <c r="L200" s="5" t="s">
        <v>205</v>
      </c>
      <c r="M200" s="5" t="s">
        <v>503</v>
      </c>
      <c r="N200" s="5" t="s">
        <v>290</v>
      </c>
      <c r="O200" s="5" t="s">
        <v>942</v>
      </c>
      <c r="P200" s="18" t="str">
        <f aca="false">IF(J200="S0","—",IF(K200="","",IF(L200="E0","QM",INDEX(10_ASIL_Matrix!$D$4:$F$15,MATCH(J200&amp;"-"&amp;L200,10_ASIL_Matrix!$C$4:$C$15,0),MATCH(N200,10_ASIL_Matrix!$D$3:$F$3,0)))))</f>
        <v>B</v>
      </c>
      <c r="Q200" s="5" t="s">
        <v>448</v>
      </c>
    </row>
    <row r="201" customFormat="false" ht="46.25" hidden="false" customHeight="false" outlineLevel="0" collapsed="false">
      <c r="A201" s="6" t="s">
        <v>969</v>
      </c>
      <c r="B201" s="6" t="s">
        <v>101</v>
      </c>
      <c r="C201" s="6" t="s">
        <v>102</v>
      </c>
      <c r="D201" s="6" t="s">
        <v>143</v>
      </c>
      <c r="E201" s="6" t="s">
        <v>144</v>
      </c>
      <c r="F201" s="6" t="s">
        <v>192</v>
      </c>
      <c r="G201" s="6" t="s">
        <v>488</v>
      </c>
      <c r="H201" s="6" t="s">
        <v>232</v>
      </c>
      <c r="I201" s="6" t="s">
        <v>970</v>
      </c>
      <c r="J201" s="6" t="s">
        <v>250</v>
      </c>
      <c r="K201" s="6" t="s">
        <v>960</v>
      </c>
      <c r="L201" s="6" t="s">
        <v>233</v>
      </c>
      <c r="M201" s="6" t="s">
        <v>506</v>
      </c>
      <c r="N201" s="6" t="s">
        <v>286</v>
      </c>
      <c r="O201" s="6" t="s">
        <v>933</v>
      </c>
      <c r="P201" s="6" t="str">
        <f aca="false">IF(J201="S0","—",IF(K201="","",IF(L201="E0","QM",INDEX(10_ASIL_Matrix!$D$4:$F$15,MATCH(J201&amp;"-"&amp;L201,10_ASIL_Matrix!$C$4:$C$15,0),MATCH(N201,10_ASIL_Matrix!$D$3:$F$3,0)))))</f>
        <v>QM</v>
      </c>
      <c r="Q201" s="6" t="s">
        <v>448</v>
      </c>
    </row>
    <row r="202" customFormat="false" ht="46.25" hidden="false" customHeight="false" outlineLevel="0" collapsed="false">
      <c r="A202" s="5" t="s">
        <v>971</v>
      </c>
      <c r="B202" s="5" t="s">
        <v>101</v>
      </c>
      <c r="C202" s="5" t="s">
        <v>102</v>
      </c>
      <c r="D202" s="5" t="s">
        <v>143</v>
      </c>
      <c r="E202" s="5" t="s">
        <v>144</v>
      </c>
      <c r="F202" s="5" t="s">
        <v>194</v>
      </c>
      <c r="G202" s="5" t="s">
        <v>508</v>
      </c>
      <c r="H202" s="5" t="s">
        <v>222</v>
      </c>
      <c r="I202" s="5" t="s">
        <v>972</v>
      </c>
      <c r="J202" s="5" t="s">
        <v>250</v>
      </c>
      <c r="K202" s="5" t="s">
        <v>973</v>
      </c>
      <c r="L202" s="5" t="s">
        <v>190</v>
      </c>
      <c r="M202" s="5" t="s">
        <v>511</v>
      </c>
      <c r="N202" s="5" t="s">
        <v>286</v>
      </c>
      <c r="O202" s="5" t="s">
        <v>933</v>
      </c>
      <c r="P202" s="18" t="str">
        <f aca="false">IF(J202="S0","—",IF(K202="","",IF(L202="E0","QM",INDEX(10_ASIL_Matrix!$D$4:$F$15,MATCH(J202&amp;"-"&amp;L202,10_ASIL_Matrix!$C$4:$C$15,0),MATCH(N202,10_ASIL_Matrix!$D$3:$F$3,0)))))</f>
        <v>B</v>
      </c>
      <c r="Q202" s="5" t="s">
        <v>448</v>
      </c>
    </row>
    <row r="203" customFormat="false" ht="46.25" hidden="false" customHeight="false" outlineLevel="0" collapsed="false">
      <c r="A203" s="6" t="s">
        <v>974</v>
      </c>
      <c r="B203" s="6" t="s">
        <v>101</v>
      </c>
      <c r="C203" s="6" t="s">
        <v>102</v>
      </c>
      <c r="D203" s="6" t="s">
        <v>143</v>
      </c>
      <c r="E203" s="6" t="s">
        <v>144</v>
      </c>
      <c r="F203" s="6" t="s">
        <v>194</v>
      </c>
      <c r="G203" s="6" t="s">
        <v>508</v>
      </c>
      <c r="H203" s="6" t="s">
        <v>224</v>
      </c>
      <c r="I203" s="6" t="s">
        <v>975</v>
      </c>
      <c r="J203" s="6" t="s">
        <v>250</v>
      </c>
      <c r="K203" s="6" t="s">
        <v>973</v>
      </c>
      <c r="L203" s="6" t="s">
        <v>190</v>
      </c>
      <c r="M203" s="6" t="s">
        <v>514</v>
      </c>
      <c r="N203" s="6" t="s">
        <v>286</v>
      </c>
      <c r="O203" s="6" t="s">
        <v>933</v>
      </c>
      <c r="P203" s="18" t="str">
        <f aca="false">IF(J203="S0","—",IF(K203="","",IF(L203="E0","QM",INDEX(10_ASIL_Matrix!$D$4:$F$15,MATCH(J203&amp;"-"&amp;L203,10_ASIL_Matrix!$C$4:$C$15,0),MATCH(N203,10_ASIL_Matrix!$D$3:$F$3,0)))))</f>
        <v>B</v>
      </c>
      <c r="Q203" s="6" t="s">
        <v>448</v>
      </c>
    </row>
    <row r="204" customFormat="false" ht="46.25" hidden="false" customHeight="false" outlineLevel="0" collapsed="false">
      <c r="A204" s="5" t="s">
        <v>976</v>
      </c>
      <c r="B204" s="5" t="s">
        <v>101</v>
      </c>
      <c r="C204" s="5" t="s">
        <v>102</v>
      </c>
      <c r="D204" s="5" t="s">
        <v>143</v>
      </c>
      <c r="E204" s="5" t="s">
        <v>144</v>
      </c>
      <c r="F204" s="5" t="s">
        <v>194</v>
      </c>
      <c r="G204" s="5" t="s">
        <v>508</v>
      </c>
      <c r="H204" s="5" t="s">
        <v>226</v>
      </c>
      <c r="I204" s="5" t="s">
        <v>977</v>
      </c>
      <c r="J204" s="5" t="s">
        <v>250</v>
      </c>
      <c r="K204" s="5" t="s">
        <v>973</v>
      </c>
      <c r="L204" s="5" t="s">
        <v>190</v>
      </c>
      <c r="M204" s="5" t="s">
        <v>517</v>
      </c>
      <c r="N204" s="5" t="s">
        <v>286</v>
      </c>
      <c r="O204" s="5" t="s">
        <v>933</v>
      </c>
      <c r="P204" s="18" t="str">
        <f aca="false">IF(J204="S0","—",IF(K204="","",IF(L204="E0","QM",INDEX(10_ASIL_Matrix!$D$4:$F$15,MATCH(J204&amp;"-"&amp;L204,10_ASIL_Matrix!$C$4:$C$15,0),MATCH(N204,10_ASIL_Matrix!$D$3:$F$3,0)))))</f>
        <v>B</v>
      </c>
      <c r="Q204" s="5" t="s">
        <v>448</v>
      </c>
    </row>
    <row r="205" customFormat="false" ht="46.25" hidden="false" customHeight="false" outlineLevel="0" collapsed="false">
      <c r="A205" s="6" t="s">
        <v>978</v>
      </c>
      <c r="B205" s="6" t="s">
        <v>101</v>
      </c>
      <c r="C205" s="6" t="s">
        <v>102</v>
      </c>
      <c r="D205" s="6" t="s">
        <v>143</v>
      </c>
      <c r="E205" s="6" t="s">
        <v>144</v>
      </c>
      <c r="F205" s="6" t="s">
        <v>194</v>
      </c>
      <c r="G205" s="6" t="s">
        <v>508</v>
      </c>
      <c r="H205" s="6" t="s">
        <v>228</v>
      </c>
      <c r="I205" s="6" t="s">
        <v>979</v>
      </c>
      <c r="J205" s="6" t="s">
        <v>250</v>
      </c>
      <c r="K205" s="6" t="s">
        <v>973</v>
      </c>
      <c r="L205" s="6" t="s">
        <v>205</v>
      </c>
      <c r="M205" s="6" t="s">
        <v>520</v>
      </c>
      <c r="N205" s="6" t="s">
        <v>286</v>
      </c>
      <c r="O205" s="6" t="s">
        <v>933</v>
      </c>
      <c r="P205" s="19" t="str">
        <f aca="false">IF(J205="S0","—",IF(K205="","",IF(L205="E0","QM",INDEX(10_ASIL_Matrix!$D$4:$F$15,MATCH(J205&amp;"-"&amp;L205,10_ASIL_Matrix!$C$4:$C$15,0),MATCH(N205,10_ASIL_Matrix!$D$3:$F$3,0)))))</f>
        <v>A</v>
      </c>
      <c r="Q205" s="6" t="s">
        <v>448</v>
      </c>
    </row>
    <row r="206" customFormat="false" ht="57.45" hidden="false" customHeight="false" outlineLevel="0" collapsed="false">
      <c r="A206" s="5" t="s">
        <v>980</v>
      </c>
      <c r="B206" s="5" t="s">
        <v>101</v>
      </c>
      <c r="C206" s="5" t="s">
        <v>102</v>
      </c>
      <c r="D206" s="5" t="s">
        <v>143</v>
      </c>
      <c r="E206" s="5" t="s">
        <v>144</v>
      </c>
      <c r="F206" s="5" t="s">
        <v>194</v>
      </c>
      <c r="G206" s="5" t="s">
        <v>508</v>
      </c>
      <c r="H206" s="5" t="s">
        <v>230</v>
      </c>
      <c r="I206" s="5" t="s">
        <v>981</v>
      </c>
      <c r="J206" s="5" t="s">
        <v>250</v>
      </c>
      <c r="K206" s="5" t="s">
        <v>973</v>
      </c>
      <c r="L206" s="5" t="s">
        <v>205</v>
      </c>
      <c r="M206" s="5" t="s">
        <v>523</v>
      </c>
      <c r="N206" s="5" t="s">
        <v>290</v>
      </c>
      <c r="O206" s="5" t="s">
        <v>942</v>
      </c>
      <c r="P206" s="18" t="str">
        <f aca="false">IF(J206="S0","—",IF(K206="","",IF(L206="E0","QM",INDEX(10_ASIL_Matrix!$D$4:$F$15,MATCH(J206&amp;"-"&amp;L206,10_ASIL_Matrix!$C$4:$C$15,0),MATCH(N206,10_ASIL_Matrix!$D$3:$F$3,0)))))</f>
        <v>B</v>
      </c>
      <c r="Q206" s="5" t="s">
        <v>448</v>
      </c>
    </row>
    <row r="207" customFormat="false" ht="46.25" hidden="false" customHeight="false" outlineLevel="0" collapsed="false">
      <c r="A207" s="6" t="s">
        <v>982</v>
      </c>
      <c r="B207" s="6" t="s">
        <v>101</v>
      </c>
      <c r="C207" s="6" t="s">
        <v>102</v>
      </c>
      <c r="D207" s="6" t="s">
        <v>143</v>
      </c>
      <c r="E207" s="6" t="s">
        <v>144</v>
      </c>
      <c r="F207" s="6" t="s">
        <v>194</v>
      </c>
      <c r="G207" s="6" t="s">
        <v>508</v>
      </c>
      <c r="H207" s="6" t="s">
        <v>232</v>
      </c>
      <c r="I207" s="6" t="s">
        <v>983</v>
      </c>
      <c r="J207" s="6" t="s">
        <v>250</v>
      </c>
      <c r="K207" s="6" t="s">
        <v>973</v>
      </c>
      <c r="L207" s="6" t="s">
        <v>233</v>
      </c>
      <c r="M207" s="6" t="s">
        <v>526</v>
      </c>
      <c r="N207" s="6" t="s">
        <v>286</v>
      </c>
      <c r="O207" s="6" t="s">
        <v>933</v>
      </c>
      <c r="P207" s="6" t="str">
        <f aca="false">IF(J207="S0","—",IF(K207="","",IF(L207="E0","QM",INDEX(10_ASIL_Matrix!$D$4:$F$15,MATCH(J207&amp;"-"&amp;L207,10_ASIL_Matrix!$C$4:$C$15,0),MATCH(N207,10_ASIL_Matrix!$D$3:$F$3,0)))))</f>
        <v>QM</v>
      </c>
      <c r="Q207" s="6" t="s">
        <v>448</v>
      </c>
    </row>
    <row r="208" customFormat="false" ht="46.25" hidden="false" customHeight="false" outlineLevel="0" collapsed="false">
      <c r="A208" s="5" t="s">
        <v>984</v>
      </c>
      <c r="B208" s="5" t="s">
        <v>101</v>
      </c>
      <c r="C208" s="5" t="s">
        <v>102</v>
      </c>
      <c r="D208" s="5" t="s">
        <v>143</v>
      </c>
      <c r="E208" s="5" t="s">
        <v>144</v>
      </c>
      <c r="F208" s="5" t="s">
        <v>196</v>
      </c>
      <c r="G208" s="5" t="s">
        <v>528</v>
      </c>
      <c r="H208" s="5" t="s">
        <v>222</v>
      </c>
      <c r="I208" s="5" t="s">
        <v>985</v>
      </c>
      <c r="J208" s="5" t="s">
        <v>250</v>
      </c>
      <c r="K208" s="5" t="s">
        <v>986</v>
      </c>
      <c r="L208" s="5" t="s">
        <v>187</v>
      </c>
      <c r="M208" s="5" t="s">
        <v>531</v>
      </c>
      <c r="N208" s="5" t="s">
        <v>286</v>
      </c>
      <c r="O208" s="5" t="s">
        <v>933</v>
      </c>
      <c r="P208" s="20" t="str">
        <f aca="false">IF(J208="S0","—",IF(K208="","",IF(L208="E0","QM",INDEX(10_ASIL_Matrix!$D$4:$F$15,MATCH(J208&amp;"-"&amp;L208,10_ASIL_Matrix!$C$4:$C$15,0),MATCH(N208,10_ASIL_Matrix!$D$3:$F$3,0)))))</f>
        <v>C</v>
      </c>
      <c r="Q208" s="5" t="s">
        <v>448</v>
      </c>
    </row>
    <row r="209" customFormat="false" ht="46.25" hidden="false" customHeight="false" outlineLevel="0" collapsed="false">
      <c r="A209" s="6" t="s">
        <v>987</v>
      </c>
      <c r="B209" s="6" t="s">
        <v>101</v>
      </c>
      <c r="C209" s="6" t="s">
        <v>102</v>
      </c>
      <c r="D209" s="6" t="s">
        <v>143</v>
      </c>
      <c r="E209" s="6" t="s">
        <v>144</v>
      </c>
      <c r="F209" s="6" t="s">
        <v>196</v>
      </c>
      <c r="G209" s="6" t="s">
        <v>528</v>
      </c>
      <c r="H209" s="6" t="s">
        <v>224</v>
      </c>
      <c r="I209" s="6" t="s">
        <v>988</v>
      </c>
      <c r="J209" s="6" t="s">
        <v>250</v>
      </c>
      <c r="K209" s="6" t="s">
        <v>986</v>
      </c>
      <c r="L209" s="6" t="s">
        <v>190</v>
      </c>
      <c r="M209" s="6" t="s">
        <v>534</v>
      </c>
      <c r="N209" s="6" t="s">
        <v>286</v>
      </c>
      <c r="O209" s="6" t="s">
        <v>933</v>
      </c>
      <c r="P209" s="18" t="str">
        <f aca="false">IF(J209="S0","—",IF(K209="","",IF(L209="E0","QM",INDEX(10_ASIL_Matrix!$D$4:$F$15,MATCH(J209&amp;"-"&amp;L209,10_ASIL_Matrix!$C$4:$C$15,0),MATCH(N209,10_ASIL_Matrix!$D$3:$F$3,0)))))</f>
        <v>B</v>
      </c>
      <c r="Q209" s="6" t="s">
        <v>448</v>
      </c>
    </row>
    <row r="210" customFormat="false" ht="46.25" hidden="false" customHeight="false" outlineLevel="0" collapsed="false">
      <c r="A210" s="5" t="s">
        <v>989</v>
      </c>
      <c r="B210" s="5" t="s">
        <v>101</v>
      </c>
      <c r="C210" s="5" t="s">
        <v>102</v>
      </c>
      <c r="D210" s="5" t="s">
        <v>143</v>
      </c>
      <c r="E210" s="5" t="s">
        <v>144</v>
      </c>
      <c r="F210" s="5" t="s">
        <v>196</v>
      </c>
      <c r="G210" s="5" t="s">
        <v>528</v>
      </c>
      <c r="H210" s="5" t="s">
        <v>226</v>
      </c>
      <c r="I210" s="5" t="s">
        <v>990</v>
      </c>
      <c r="J210" s="5" t="s">
        <v>250</v>
      </c>
      <c r="K210" s="5" t="s">
        <v>986</v>
      </c>
      <c r="L210" s="5" t="s">
        <v>190</v>
      </c>
      <c r="M210" s="5" t="s">
        <v>537</v>
      </c>
      <c r="N210" s="5" t="s">
        <v>286</v>
      </c>
      <c r="O210" s="5" t="s">
        <v>933</v>
      </c>
      <c r="P210" s="18" t="str">
        <f aca="false">IF(J210="S0","—",IF(K210="","",IF(L210="E0","QM",INDEX(10_ASIL_Matrix!$D$4:$F$15,MATCH(J210&amp;"-"&amp;L210,10_ASIL_Matrix!$C$4:$C$15,0),MATCH(N210,10_ASIL_Matrix!$D$3:$F$3,0)))))</f>
        <v>B</v>
      </c>
      <c r="Q210" s="5" t="s">
        <v>448</v>
      </c>
    </row>
    <row r="211" customFormat="false" ht="46.25" hidden="false" customHeight="false" outlineLevel="0" collapsed="false">
      <c r="A211" s="6" t="s">
        <v>991</v>
      </c>
      <c r="B211" s="6" t="s">
        <v>101</v>
      </c>
      <c r="C211" s="6" t="s">
        <v>102</v>
      </c>
      <c r="D211" s="6" t="s">
        <v>143</v>
      </c>
      <c r="E211" s="6" t="s">
        <v>144</v>
      </c>
      <c r="F211" s="6" t="s">
        <v>196</v>
      </c>
      <c r="G211" s="6" t="s">
        <v>528</v>
      </c>
      <c r="H211" s="6" t="s">
        <v>228</v>
      </c>
      <c r="I211" s="6" t="s">
        <v>992</v>
      </c>
      <c r="J211" s="6" t="s">
        <v>250</v>
      </c>
      <c r="K211" s="6" t="s">
        <v>986</v>
      </c>
      <c r="L211" s="6" t="s">
        <v>205</v>
      </c>
      <c r="M211" s="6" t="s">
        <v>540</v>
      </c>
      <c r="N211" s="6" t="s">
        <v>286</v>
      </c>
      <c r="O211" s="6" t="s">
        <v>933</v>
      </c>
      <c r="P211" s="19" t="str">
        <f aca="false">IF(J211="S0","—",IF(K211="","",IF(L211="E0","QM",INDEX(10_ASIL_Matrix!$D$4:$F$15,MATCH(J211&amp;"-"&amp;L211,10_ASIL_Matrix!$C$4:$C$15,0),MATCH(N211,10_ASIL_Matrix!$D$3:$F$3,0)))))</f>
        <v>A</v>
      </c>
      <c r="Q211" s="6" t="s">
        <v>448</v>
      </c>
    </row>
    <row r="212" customFormat="false" ht="57.45" hidden="false" customHeight="false" outlineLevel="0" collapsed="false">
      <c r="A212" s="5" t="s">
        <v>993</v>
      </c>
      <c r="B212" s="5" t="s">
        <v>101</v>
      </c>
      <c r="C212" s="5" t="s">
        <v>102</v>
      </c>
      <c r="D212" s="5" t="s">
        <v>143</v>
      </c>
      <c r="E212" s="5" t="s">
        <v>144</v>
      </c>
      <c r="F212" s="5" t="s">
        <v>196</v>
      </c>
      <c r="G212" s="5" t="s">
        <v>528</v>
      </c>
      <c r="H212" s="5" t="s">
        <v>230</v>
      </c>
      <c r="I212" s="5" t="s">
        <v>994</v>
      </c>
      <c r="J212" s="5" t="s">
        <v>250</v>
      </c>
      <c r="K212" s="5" t="s">
        <v>986</v>
      </c>
      <c r="L212" s="5" t="s">
        <v>205</v>
      </c>
      <c r="M212" s="5" t="s">
        <v>543</v>
      </c>
      <c r="N212" s="5" t="s">
        <v>290</v>
      </c>
      <c r="O212" s="5" t="s">
        <v>942</v>
      </c>
      <c r="P212" s="18" t="str">
        <f aca="false">IF(J212="S0","—",IF(K212="","",IF(L212="E0","QM",INDEX(10_ASIL_Matrix!$D$4:$F$15,MATCH(J212&amp;"-"&amp;L212,10_ASIL_Matrix!$C$4:$C$15,0),MATCH(N212,10_ASIL_Matrix!$D$3:$F$3,0)))))</f>
        <v>B</v>
      </c>
      <c r="Q212" s="5" t="s">
        <v>448</v>
      </c>
    </row>
    <row r="213" customFormat="false" ht="46.25" hidden="false" customHeight="false" outlineLevel="0" collapsed="false">
      <c r="A213" s="6" t="s">
        <v>995</v>
      </c>
      <c r="B213" s="6" t="s">
        <v>101</v>
      </c>
      <c r="C213" s="6" t="s">
        <v>102</v>
      </c>
      <c r="D213" s="6" t="s">
        <v>143</v>
      </c>
      <c r="E213" s="6" t="s">
        <v>144</v>
      </c>
      <c r="F213" s="6" t="s">
        <v>196</v>
      </c>
      <c r="G213" s="6" t="s">
        <v>528</v>
      </c>
      <c r="H213" s="6" t="s">
        <v>232</v>
      </c>
      <c r="I213" s="6" t="s">
        <v>996</v>
      </c>
      <c r="J213" s="6" t="s">
        <v>250</v>
      </c>
      <c r="K213" s="6" t="s">
        <v>986</v>
      </c>
      <c r="L213" s="6" t="s">
        <v>233</v>
      </c>
      <c r="M213" s="6" t="s">
        <v>546</v>
      </c>
      <c r="N213" s="6" t="s">
        <v>286</v>
      </c>
      <c r="O213" s="6" t="s">
        <v>933</v>
      </c>
      <c r="P213" s="6" t="str">
        <f aca="false">IF(J213="S0","—",IF(K213="","",IF(L213="E0","QM",INDEX(10_ASIL_Matrix!$D$4:$F$15,MATCH(J213&amp;"-"&amp;L213,10_ASIL_Matrix!$C$4:$C$15,0),MATCH(N213,10_ASIL_Matrix!$D$3:$F$3,0)))))</f>
        <v>QM</v>
      </c>
      <c r="Q213" s="6" t="s">
        <v>448</v>
      </c>
    </row>
    <row r="214" customFormat="false" ht="35.05" hidden="false" customHeight="false" outlineLevel="0" collapsed="false">
      <c r="A214" s="5" t="s">
        <v>997</v>
      </c>
      <c r="B214" s="5" t="s">
        <v>101</v>
      </c>
      <c r="C214" s="5" t="s">
        <v>102</v>
      </c>
      <c r="D214" s="5" t="s">
        <v>143</v>
      </c>
      <c r="E214" s="5" t="s">
        <v>144</v>
      </c>
      <c r="F214" s="5" t="s">
        <v>198</v>
      </c>
      <c r="G214" s="5" t="s">
        <v>548</v>
      </c>
      <c r="H214" s="5" t="s">
        <v>222</v>
      </c>
      <c r="I214" s="5" t="s">
        <v>998</v>
      </c>
      <c r="J214" s="5" t="s">
        <v>242</v>
      </c>
      <c r="K214" s="5" t="s">
        <v>999</v>
      </c>
      <c r="L214" s="5" t="s">
        <v>190</v>
      </c>
      <c r="M214" s="5" t="s">
        <v>551</v>
      </c>
      <c r="N214" s="5" t="s">
        <v>282</v>
      </c>
      <c r="O214" s="5" t="s">
        <v>1000</v>
      </c>
      <c r="P214" s="5" t="str">
        <f aca="false">IF(J214="S0","—",IF(K214="","",IF(L214="E0","QM",INDEX(10_ASIL_Matrix!$D$4:$F$15,MATCH(J214&amp;"-"&amp;L214,10_ASIL_Matrix!$C$4:$C$15,0),MATCH(N214,10_ASIL_Matrix!$D$3:$F$3,0)))))</f>
        <v>QM</v>
      </c>
      <c r="Q214" s="5" t="s">
        <v>448</v>
      </c>
    </row>
    <row r="215" customFormat="false" ht="35.05" hidden="false" customHeight="false" outlineLevel="0" collapsed="false">
      <c r="A215" s="6" t="s">
        <v>1001</v>
      </c>
      <c r="B215" s="6" t="s">
        <v>101</v>
      </c>
      <c r="C215" s="6" t="s">
        <v>102</v>
      </c>
      <c r="D215" s="6" t="s">
        <v>143</v>
      </c>
      <c r="E215" s="6" t="s">
        <v>144</v>
      </c>
      <c r="F215" s="6" t="s">
        <v>198</v>
      </c>
      <c r="G215" s="6" t="s">
        <v>548</v>
      </c>
      <c r="H215" s="6" t="s">
        <v>224</v>
      </c>
      <c r="I215" s="6" t="s">
        <v>1002</v>
      </c>
      <c r="J215" s="6" t="s">
        <v>242</v>
      </c>
      <c r="K215" s="6" t="s">
        <v>999</v>
      </c>
      <c r="L215" s="6" t="s">
        <v>190</v>
      </c>
      <c r="M215" s="6" t="s">
        <v>555</v>
      </c>
      <c r="N215" s="6" t="s">
        <v>282</v>
      </c>
      <c r="O215" s="6" t="s">
        <v>1000</v>
      </c>
      <c r="P215" s="6" t="str">
        <f aca="false">IF(J215="S0","—",IF(K215="","",IF(L215="E0","QM",INDEX(10_ASIL_Matrix!$D$4:$F$15,MATCH(J215&amp;"-"&amp;L215,10_ASIL_Matrix!$C$4:$C$15,0),MATCH(N215,10_ASIL_Matrix!$D$3:$F$3,0)))))</f>
        <v>QM</v>
      </c>
      <c r="Q215" s="6" t="s">
        <v>448</v>
      </c>
    </row>
    <row r="216" customFormat="false" ht="35.05" hidden="false" customHeight="false" outlineLevel="0" collapsed="false">
      <c r="A216" s="5" t="s">
        <v>1003</v>
      </c>
      <c r="B216" s="5" t="s">
        <v>101</v>
      </c>
      <c r="C216" s="5" t="s">
        <v>102</v>
      </c>
      <c r="D216" s="5" t="s">
        <v>143</v>
      </c>
      <c r="E216" s="5" t="s">
        <v>144</v>
      </c>
      <c r="F216" s="5" t="s">
        <v>198</v>
      </c>
      <c r="G216" s="5" t="s">
        <v>548</v>
      </c>
      <c r="H216" s="5" t="s">
        <v>226</v>
      </c>
      <c r="I216" s="5" t="s">
        <v>1004</v>
      </c>
      <c r="J216" s="5" t="s">
        <v>242</v>
      </c>
      <c r="K216" s="5" t="s">
        <v>999</v>
      </c>
      <c r="L216" s="5" t="s">
        <v>190</v>
      </c>
      <c r="M216" s="5" t="s">
        <v>558</v>
      </c>
      <c r="N216" s="5" t="s">
        <v>282</v>
      </c>
      <c r="O216" s="5" t="s">
        <v>1000</v>
      </c>
      <c r="P216" s="5" t="str">
        <f aca="false">IF(J216="S0","—",IF(K216="","",IF(L216="E0","QM",INDEX(10_ASIL_Matrix!$D$4:$F$15,MATCH(J216&amp;"-"&amp;L216,10_ASIL_Matrix!$C$4:$C$15,0),MATCH(N216,10_ASIL_Matrix!$D$3:$F$3,0)))))</f>
        <v>QM</v>
      </c>
      <c r="Q216" s="5" t="s">
        <v>448</v>
      </c>
    </row>
    <row r="217" customFormat="false" ht="46.25" hidden="false" customHeight="false" outlineLevel="0" collapsed="false">
      <c r="A217" s="6" t="s">
        <v>1005</v>
      </c>
      <c r="B217" s="6" t="s">
        <v>101</v>
      </c>
      <c r="C217" s="6" t="s">
        <v>102</v>
      </c>
      <c r="D217" s="6" t="s">
        <v>143</v>
      </c>
      <c r="E217" s="6" t="s">
        <v>144</v>
      </c>
      <c r="F217" s="6" t="s">
        <v>198</v>
      </c>
      <c r="G217" s="6" t="s">
        <v>548</v>
      </c>
      <c r="H217" s="6" t="s">
        <v>228</v>
      </c>
      <c r="I217" s="6" t="s">
        <v>1006</v>
      </c>
      <c r="J217" s="6" t="s">
        <v>242</v>
      </c>
      <c r="K217" s="6" t="s">
        <v>999</v>
      </c>
      <c r="L217" s="6" t="s">
        <v>205</v>
      </c>
      <c r="M217" s="6" t="s">
        <v>561</v>
      </c>
      <c r="N217" s="6" t="s">
        <v>282</v>
      </c>
      <c r="O217" s="6" t="s">
        <v>1000</v>
      </c>
      <c r="P217" s="6" t="str">
        <f aca="false">IF(J217="S0","—",IF(K217="","",IF(L217="E0","QM",INDEX(10_ASIL_Matrix!$D$4:$F$15,MATCH(J217&amp;"-"&amp;L217,10_ASIL_Matrix!$C$4:$C$15,0),MATCH(N217,10_ASIL_Matrix!$D$3:$F$3,0)))))</f>
        <v>QM</v>
      </c>
      <c r="Q217" s="6" t="s">
        <v>448</v>
      </c>
    </row>
    <row r="218" customFormat="false" ht="35.05" hidden="false" customHeight="false" outlineLevel="0" collapsed="false">
      <c r="A218" s="5" t="s">
        <v>1007</v>
      </c>
      <c r="B218" s="5" t="s">
        <v>101</v>
      </c>
      <c r="C218" s="5" t="s">
        <v>102</v>
      </c>
      <c r="D218" s="5" t="s">
        <v>143</v>
      </c>
      <c r="E218" s="5" t="s">
        <v>144</v>
      </c>
      <c r="F218" s="5" t="s">
        <v>198</v>
      </c>
      <c r="G218" s="5" t="s">
        <v>548</v>
      </c>
      <c r="H218" s="5" t="s">
        <v>230</v>
      </c>
      <c r="I218" s="5" t="s">
        <v>1008</v>
      </c>
      <c r="J218" s="5" t="s">
        <v>242</v>
      </c>
      <c r="K218" s="5" t="s">
        <v>999</v>
      </c>
      <c r="L218" s="5" t="s">
        <v>205</v>
      </c>
      <c r="M218" s="5" t="s">
        <v>564</v>
      </c>
      <c r="N218" s="5" t="s">
        <v>286</v>
      </c>
      <c r="O218" s="5" t="s">
        <v>1009</v>
      </c>
      <c r="P218" s="5" t="str">
        <f aca="false">IF(J218="S0","—",IF(K218="","",IF(L218="E0","QM",INDEX(10_ASIL_Matrix!$D$4:$F$15,MATCH(J218&amp;"-"&amp;L218,10_ASIL_Matrix!$C$4:$C$15,0),MATCH(N218,10_ASIL_Matrix!$D$3:$F$3,0)))))</f>
        <v>QM</v>
      </c>
      <c r="Q218" s="5" t="s">
        <v>448</v>
      </c>
    </row>
    <row r="219" customFormat="false" ht="46.25" hidden="false" customHeight="false" outlineLevel="0" collapsed="false">
      <c r="A219" s="6" t="s">
        <v>1010</v>
      </c>
      <c r="B219" s="6" t="s">
        <v>101</v>
      </c>
      <c r="C219" s="6" t="s">
        <v>102</v>
      </c>
      <c r="D219" s="6" t="s">
        <v>143</v>
      </c>
      <c r="E219" s="6" t="s">
        <v>144</v>
      </c>
      <c r="F219" s="6" t="s">
        <v>198</v>
      </c>
      <c r="G219" s="6" t="s">
        <v>548</v>
      </c>
      <c r="H219" s="6" t="s">
        <v>232</v>
      </c>
      <c r="I219" s="6" t="s">
        <v>1011</v>
      </c>
      <c r="J219" s="6" t="s">
        <v>242</v>
      </c>
      <c r="K219" s="6" t="s">
        <v>999</v>
      </c>
      <c r="L219" s="6" t="s">
        <v>233</v>
      </c>
      <c r="M219" s="6" t="s">
        <v>568</v>
      </c>
      <c r="N219" s="6" t="s">
        <v>282</v>
      </c>
      <c r="O219" s="6" t="s">
        <v>1000</v>
      </c>
      <c r="P219" s="6" t="str">
        <f aca="false">IF(J219="S0","—",IF(K219="","",IF(L219="E0","QM",INDEX(10_ASIL_Matrix!$D$4:$F$15,MATCH(J219&amp;"-"&amp;L219,10_ASIL_Matrix!$C$4:$C$15,0),MATCH(N219,10_ASIL_Matrix!$D$3:$F$3,0)))))</f>
        <v>QM</v>
      </c>
      <c r="Q219" s="6" t="s">
        <v>448</v>
      </c>
    </row>
    <row r="220" customFormat="false" ht="46.25" hidden="false" customHeight="false" outlineLevel="0" collapsed="false">
      <c r="A220" s="5" t="s">
        <v>1012</v>
      </c>
      <c r="B220" s="5" t="s">
        <v>101</v>
      </c>
      <c r="C220" s="5" t="s">
        <v>102</v>
      </c>
      <c r="D220" s="5" t="s">
        <v>143</v>
      </c>
      <c r="E220" s="5" t="s">
        <v>144</v>
      </c>
      <c r="F220" s="5" t="s">
        <v>200</v>
      </c>
      <c r="G220" s="5" t="s">
        <v>570</v>
      </c>
      <c r="H220" s="5" t="s">
        <v>222</v>
      </c>
      <c r="I220" s="5" t="s">
        <v>1013</v>
      </c>
      <c r="J220" s="5" t="s">
        <v>250</v>
      </c>
      <c r="K220" s="5" t="s">
        <v>1014</v>
      </c>
      <c r="L220" s="5" t="s">
        <v>190</v>
      </c>
      <c r="M220" s="5" t="s">
        <v>573</v>
      </c>
      <c r="N220" s="5" t="s">
        <v>286</v>
      </c>
      <c r="O220" s="5" t="s">
        <v>933</v>
      </c>
      <c r="P220" s="18" t="str">
        <f aca="false">IF(J220="S0","—",IF(K220="","",IF(L220="E0","QM",INDEX(10_ASIL_Matrix!$D$4:$F$15,MATCH(J220&amp;"-"&amp;L220,10_ASIL_Matrix!$C$4:$C$15,0),MATCH(N220,10_ASIL_Matrix!$D$3:$F$3,0)))))</f>
        <v>B</v>
      </c>
      <c r="Q220" s="5" t="s">
        <v>448</v>
      </c>
    </row>
    <row r="221" customFormat="false" ht="46.25" hidden="false" customHeight="false" outlineLevel="0" collapsed="false">
      <c r="A221" s="6" t="s">
        <v>1015</v>
      </c>
      <c r="B221" s="6" t="s">
        <v>101</v>
      </c>
      <c r="C221" s="6" t="s">
        <v>102</v>
      </c>
      <c r="D221" s="6" t="s">
        <v>143</v>
      </c>
      <c r="E221" s="6" t="s">
        <v>144</v>
      </c>
      <c r="F221" s="6" t="s">
        <v>200</v>
      </c>
      <c r="G221" s="6" t="s">
        <v>570</v>
      </c>
      <c r="H221" s="6" t="s">
        <v>224</v>
      </c>
      <c r="I221" s="6" t="s">
        <v>1016</v>
      </c>
      <c r="J221" s="6" t="s">
        <v>250</v>
      </c>
      <c r="K221" s="6" t="s">
        <v>1014</v>
      </c>
      <c r="L221" s="6" t="s">
        <v>190</v>
      </c>
      <c r="M221" s="6" t="s">
        <v>576</v>
      </c>
      <c r="N221" s="6" t="s">
        <v>286</v>
      </c>
      <c r="O221" s="6" t="s">
        <v>933</v>
      </c>
      <c r="P221" s="18" t="str">
        <f aca="false">IF(J221="S0","—",IF(K221="","",IF(L221="E0","QM",INDEX(10_ASIL_Matrix!$D$4:$F$15,MATCH(J221&amp;"-"&amp;L221,10_ASIL_Matrix!$C$4:$C$15,0),MATCH(N221,10_ASIL_Matrix!$D$3:$F$3,0)))))</f>
        <v>B</v>
      </c>
      <c r="Q221" s="6" t="s">
        <v>448</v>
      </c>
    </row>
    <row r="222" customFormat="false" ht="46.25" hidden="false" customHeight="false" outlineLevel="0" collapsed="false">
      <c r="A222" s="5" t="s">
        <v>1017</v>
      </c>
      <c r="B222" s="5" t="s">
        <v>101</v>
      </c>
      <c r="C222" s="5" t="s">
        <v>102</v>
      </c>
      <c r="D222" s="5" t="s">
        <v>143</v>
      </c>
      <c r="E222" s="5" t="s">
        <v>144</v>
      </c>
      <c r="F222" s="5" t="s">
        <v>200</v>
      </c>
      <c r="G222" s="5" t="s">
        <v>570</v>
      </c>
      <c r="H222" s="5" t="s">
        <v>226</v>
      </c>
      <c r="I222" s="5" t="s">
        <v>1018</v>
      </c>
      <c r="J222" s="5" t="s">
        <v>250</v>
      </c>
      <c r="K222" s="5" t="s">
        <v>1014</v>
      </c>
      <c r="L222" s="5" t="s">
        <v>190</v>
      </c>
      <c r="M222" s="5" t="s">
        <v>579</v>
      </c>
      <c r="N222" s="5" t="s">
        <v>286</v>
      </c>
      <c r="O222" s="5" t="s">
        <v>933</v>
      </c>
      <c r="P222" s="18" t="str">
        <f aca="false">IF(J222="S0","—",IF(K222="","",IF(L222="E0","QM",INDEX(10_ASIL_Matrix!$D$4:$F$15,MATCH(J222&amp;"-"&amp;L222,10_ASIL_Matrix!$C$4:$C$15,0),MATCH(N222,10_ASIL_Matrix!$D$3:$F$3,0)))))</f>
        <v>B</v>
      </c>
      <c r="Q222" s="5" t="s">
        <v>448</v>
      </c>
    </row>
    <row r="223" customFormat="false" ht="46.25" hidden="false" customHeight="false" outlineLevel="0" collapsed="false">
      <c r="A223" s="6" t="s">
        <v>1019</v>
      </c>
      <c r="B223" s="6" t="s">
        <v>101</v>
      </c>
      <c r="C223" s="6" t="s">
        <v>102</v>
      </c>
      <c r="D223" s="6" t="s">
        <v>143</v>
      </c>
      <c r="E223" s="6" t="s">
        <v>144</v>
      </c>
      <c r="F223" s="6" t="s">
        <v>200</v>
      </c>
      <c r="G223" s="6" t="s">
        <v>570</v>
      </c>
      <c r="H223" s="6" t="s">
        <v>228</v>
      </c>
      <c r="I223" s="6" t="s">
        <v>1020</v>
      </c>
      <c r="J223" s="6" t="s">
        <v>250</v>
      </c>
      <c r="K223" s="6" t="s">
        <v>1014</v>
      </c>
      <c r="L223" s="6" t="s">
        <v>205</v>
      </c>
      <c r="M223" s="6" t="s">
        <v>582</v>
      </c>
      <c r="N223" s="6" t="s">
        <v>286</v>
      </c>
      <c r="O223" s="6" t="s">
        <v>933</v>
      </c>
      <c r="P223" s="19" t="str">
        <f aca="false">IF(J223="S0","—",IF(K223="","",IF(L223="E0","QM",INDEX(10_ASIL_Matrix!$D$4:$F$15,MATCH(J223&amp;"-"&amp;L223,10_ASIL_Matrix!$C$4:$C$15,0),MATCH(N223,10_ASIL_Matrix!$D$3:$F$3,0)))))</f>
        <v>A</v>
      </c>
      <c r="Q223" s="6" t="s">
        <v>448</v>
      </c>
    </row>
    <row r="224" customFormat="false" ht="57.45" hidden="false" customHeight="false" outlineLevel="0" collapsed="false">
      <c r="A224" s="5" t="s">
        <v>1021</v>
      </c>
      <c r="B224" s="5" t="s">
        <v>101</v>
      </c>
      <c r="C224" s="5" t="s">
        <v>102</v>
      </c>
      <c r="D224" s="5" t="s">
        <v>143</v>
      </c>
      <c r="E224" s="5" t="s">
        <v>144</v>
      </c>
      <c r="F224" s="5" t="s">
        <v>200</v>
      </c>
      <c r="G224" s="5" t="s">
        <v>570</v>
      </c>
      <c r="H224" s="5" t="s">
        <v>230</v>
      </c>
      <c r="I224" s="5" t="s">
        <v>1022</v>
      </c>
      <c r="J224" s="5" t="s">
        <v>250</v>
      </c>
      <c r="K224" s="5" t="s">
        <v>1014</v>
      </c>
      <c r="L224" s="5" t="s">
        <v>205</v>
      </c>
      <c r="M224" s="5" t="s">
        <v>585</v>
      </c>
      <c r="N224" s="5" t="s">
        <v>290</v>
      </c>
      <c r="O224" s="5" t="s">
        <v>942</v>
      </c>
      <c r="P224" s="18" t="str">
        <f aca="false">IF(J224="S0","—",IF(K224="","",IF(L224="E0","QM",INDEX(10_ASIL_Matrix!$D$4:$F$15,MATCH(J224&amp;"-"&amp;L224,10_ASIL_Matrix!$C$4:$C$15,0),MATCH(N224,10_ASIL_Matrix!$D$3:$F$3,0)))))</f>
        <v>B</v>
      </c>
      <c r="Q224" s="5" t="s">
        <v>448</v>
      </c>
    </row>
    <row r="225" customFormat="false" ht="46.25" hidden="false" customHeight="false" outlineLevel="0" collapsed="false">
      <c r="A225" s="6" t="s">
        <v>1023</v>
      </c>
      <c r="B225" s="6" t="s">
        <v>101</v>
      </c>
      <c r="C225" s="6" t="s">
        <v>102</v>
      </c>
      <c r="D225" s="6" t="s">
        <v>143</v>
      </c>
      <c r="E225" s="6" t="s">
        <v>144</v>
      </c>
      <c r="F225" s="6" t="s">
        <v>200</v>
      </c>
      <c r="G225" s="6" t="s">
        <v>570</v>
      </c>
      <c r="H225" s="6" t="s">
        <v>232</v>
      </c>
      <c r="I225" s="6" t="s">
        <v>1024</v>
      </c>
      <c r="J225" s="6" t="s">
        <v>250</v>
      </c>
      <c r="K225" s="6" t="s">
        <v>1014</v>
      </c>
      <c r="L225" s="6" t="s">
        <v>233</v>
      </c>
      <c r="M225" s="6" t="s">
        <v>588</v>
      </c>
      <c r="N225" s="6" t="s">
        <v>286</v>
      </c>
      <c r="O225" s="6" t="s">
        <v>933</v>
      </c>
      <c r="P225" s="6" t="str">
        <f aca="false">IF(J225="S0","—",IF(K225="","",IF(L225="E0","QM",INDEX(10_ASIL_Matrix!$D$4:$F$15,MATCH(J225&amp;"-"&amp;L225,10_ASIL_Matrix!$C$4:$C$15,0),MATCH(N225,10_ASIL_Matrix!$D$3:$F$3,0)))))</f>
        <v>QM</v>
      </c>
      <c r="Q225" s="6" t="s">
        <v>448</v>
      </c>
    </row>
    <row r="226" customFormat="false" ht="46.25" hidden="false" customHeight="false" outlineLevel="0" collapsed="false">
      <c r="A226" s="5" t="s">
        <v>1025</v>
      </c>
      <c r="B226" s="5" t="s">
        <v>101</v>
      </c>
      <c r="C226" s="5" t="s">
        <v>102</v>
      </c>
      <c r="D226" s="5" t="s">
        <v>143</v>
      </c>
      <c r="E226" s="5" t="s">
        <v>144</v>
      </c>
      <c r="F226" s="5" t="s">
        <v>202</v>
      </c>
      <c r="G226" s="5" t="s">
        <v>590</v>
      </c>
      <c r="H226" s="5" t="s">
        <v>222</v>
      </c>
      <c r="I226" s="5" t="s">
        <v>1026</v>
      </c>
      <c r="J226" s="5" t="s">
        <v>250</v>
      </c>
      <c r="K226" s="5" t="s">
        <v>1027</v>
      </c>
      <c r="L226" s="5" t="s">
        <v>187</v>
      </c>
      <c r="M226" s="5" t="s">
        <v>592</v>
      </c>
      <c r="N226" s="5" t="s">
        <v>286</v>
      </c>
      <c r="O226" s="5" t="s">
        <v>933</v>
      </c>
      <c r="P226" s="20" t="str">
        <f aca="false">IF(J226="S0","—",IF(K226="","",IF(L226="E0","QM",INDEX(10_ASIL_Matrix!$D$4:$F$15,MATCH(J226&amp;"-"&amp;L226,10_ASIL_Matrix!$C$4:$C$15,0),MATCH(N226,10_ASIL_Matrix!$D$3:$F$3,0)))))</f>
        <v>C</v>
      </c>
      <c r="Q226" s="5" t="s">
        <v>448</v>
      </c>
    </row>
    <row r="227" customFormat="false" ht="46.25" hidden="false" customHeight="false" outlineLevel="0" collapsed="false">
      <c r="A227" s="6" t="s">
        <v>1028</v>
      </c>
      <c r="B227" s="6" t="s">
        <v>101</v>
      </c>
      <c r="C227" s="6" t="s">
        <v>102</v>
      </c>
      <c r="D227" s="6" t="s">
        <v>143</v>
      </c>
      <c r="E227" s="6" t="s">
        <v>144</v>
      </c>
      <c r="F227" s="6" t="s">
        <v>202</v>
      </c>
      <c r="G227" s="6" t="s">
        <v>590</v>
      </c>
      <c r="H227" s="6" t="s">
        <v>224</v>
      </c>
      <c r="I227" s="6" t="s">
        <v>1029</v>
      </c>
      <c r="J227" s="6" t="s">
        <v>250</v>
      </c>
      <c r="K227" s="6" t="s">
        <v>1027</v>
      </c>
      <c r="L227" s="6" t="s">
        <v>190</v>
      </c>
      <c r="M227" s="6" t="s">
        <v>595</v>
      </c>
      <c r="N227" s="6" t="s">
        <v>286</v>
      </c>
      <c r="O227" s="6" t="s">
        <v>933</v>
      </c>
      <c r="P227" s="18" t="str">
        <f aca="false">IF(J227="S0","—",IF(K227="","",IF(L227="E0","QM",INDEX(10_ASIL_Matrix!$D$4:$F$15,MATCH(J227&amp;"-"&amp;L227,10_ASIL_Matrix!$C$4:$C$15,0),MATCH(N227,10_ASIL_Matrix!$D$3:$F$3,0)))))</f>
        <v>B</v>
      </c>
      <c r="Q227" s="6" t="s">
        <v>448</v>
      </c>
    </row>
    <row r="228" customFormat="false" ht="46.25" hidden="false" customHeight="false" outlineLevel="0" collapsed="false">
      <c r="A228" s="5" t="s">
        <v>1030</v>
      </c>
      <c r="B228" s="5" t="s">
        <v>101</v>
      </c>
      <c r="C228" s="5" t="s">
        <v>102</v>
      </c>
      <c r="D228" s="5" t="s">
        <v>143</v>
      </c>
      <c r="E228" s="5" t="s">
        <v>144</v>
      </c>
      <c r="F228" s="5" t="s">
        <v>202</v>
      </c>
      <c r="G228" s="5" t="s">
        <v>590</v>
      </c>
      <c r="H228" s="5" t="s">
        <v>226</v>
      </c>
      <c r="I228" s="5" t="s">
        <v>1031</v>
      </c>
      <c r="J228" s="5" t="s">
        <v>250</v>
      </c>
      <c r="K228" s="5" t="s">
        <v>1027</v>
      </c>
      <c r="L228" s="5" t="s">
        <v>190</v>
      </c>
      <c r="M228" s="5" t="s">
        <v>598</v>
      </c>
      <c r="N228" s="5" t="s">
        <v>286</v>
      </c>
      <c r="O228" s="5" t="s">
        <v>933</v>
      </c>
      <c r="P228" s="18" t="str">
        <f aca="false">IF(J228="S0","—",IF(K228="","",IF(L228="E0","QM",INDEX(10_ASIL_Matrix!$D$4:$F$15,MATCH(J228&amp;"-"&amp;L228,10_ASIL_Matrix!$C$4:$C$15,0),MATCH(N228,10_ASIL_Matrix!$D$3:$F$3,0)))))</f>
        <v>B</v>
      </c>
      <c r="Q228" s="5" t="s">
        <v>448</v>
      </c>
    </row>
    <row r="229" customFormat="false" ht="46.25" hidden="false" customHeight="false" outlineLevel="0" collapsed="false">
      <c r="A229" s="6" t="s">
        <v>1032</v>
      </c>
      <c r="B229" s="6" t="s">
        <v>101</v>
      </c>
      <c r="C229" s="6" t="s">
        <v>102</v>
      </c>
      <c r="D229" s="6" t="s">
        <v>143</v>
      </c>
      <c r="E229" s="6" t="s">
        <v>144</v>
      </c>
      <c r="F229" s="6" t="s">
        <v>202</v>
      </c>
      <c r="G229" s="6" t="s">
        <v>590</v>
      </c>
      <c r="H229" s="6" t="s">
        <v>228</v>
      </c>
      <c r="I229" s="6" t="s">
        <v>1033</v>
      </c>
      <c r="J229" s="6" t="s">
        <v>250</v>
      </c>
      <c r="K229" s="6" t="s">
        <v>1027</v>
      </c>
      <c r="L229" s="6" t="s">
        <v>205</v>
      </c>
      <c r="M229" s="6" t="s">
        <v>601</v>
      </c>
      <c r="N229" s="6" t="s">
        <v>286</v>
      </c>
      <c r="O229" s="6" t="s">
        <v>933</v>
      </c>
      <c r="P229" s="19" t="str">
        <f aca="false">IF(J229="S0","—",IF(K229="","",IF(L229="E0","QM",INDEX(10_ASIL_Matrix!$D$4:$F$15,MATCH(J229&amp;"-"&amp;L229,10_ASIL_Matrix!$C$4:$C$15,0),MATCH(N229,10_ASIL_Matrix!$D$3:$F$3,0)))))</f>
        <v>A</v>
      </c>
      <c r="Q229" s="6" t="s">
        <v>448</v>
      </c>
    </row>
    <row r="230" customFormat="false" ht="57.45" hidden="false" customHeight="false" outlineLevel="0" collapsed="false">
      <c r="A230" s="5" t="s">
        <v>1034</v>
      </c>
      <c r="B230" s="5" t="s">
        <v>101</v>
      </c>
      <c r="C230" s="5" t="s">
        <v>102</v>
      </c>
      <c r="D230" s="5" t="s">
        <v>143</v>
      </c>
      <c r="E230" s="5" t="s">
        <v>144</v>
      </c>
      <c r="F230" s="5" t="s">
        <v>202</v>
      </c>
      <c r="G230" s="5" t="s">
        <v>590</v>
      </c>
      <c r="H230" s="5" t="s">
        <v>230</v>
      </c>
      <c r="I230" s="5" t="s">
        <v>1035</v>
      </c>
      <c r="J230" s="5" t="s">
        <v>250</v>
      </c>
      <c r="K230" s="5" t="s">
        <v>1027</v>
      </c>
      <c r="L230" s="5" t="s">
        <v>205</v>
      </c>
      <c r="M230" s="5" t="s">
        <v>604</v>
      </c>
      <c r="N230" s="5" t="s">
        <v>290</v>
      </c>
      <c r="O230" s="5" t="s">
        <v>942</v>
      </c>
      <c r="P230" s="18" t="str">
        <f aca="false">IF(J230="S0","—",IF(K230="","",IF(L230="E0","QM",INDEX(10_ASIL_Matrix!$D$4:$F$15,MATCH(J230&amp;"-"&amp;L230,10_ASIL_Matrix!$C$4:$C$15,0),MATCH(N230,10_ASIL_Matrix!$D$3:$F$3,0)))))</f>
        <v>B</v>
      </c>
      <c r="Q230" s="5" t="s">
        <v>448</v>
      </c>
    </row>
    <row r="231" customFormat="false" ht="46.25" hidden="false" customHeight="false" outlineLevel="0" collapsed="false">
      <c r="A231" s="6" t="s">
        <v>1036</v>
      </c>
      <c r="B231" s="6" t="s">
        <v>101</v>
      </c>
      <c r="C231" s="6" t="s">
        <v>102</v>
      </c>
      <c r="D231" s="6" t="s">
        <v>143</v>
      </c>
      <c r="E231" s="6" t="s">
        <v>144</v>
      </c>
      <c r="F231" s="6" t="s">
        <v>202</v>
      </c>
      <c r="G231" s="6" t="s">
        <v>590</v>
      </c>
      <c r="H231" s="6" t="s">
        <v>232</v>
      </c>
      <c r="I231" s="6" t="s">
        <v>1037</v>
      </c>
      <c r="J231" s="6" t="s">
        <v>250</v>
      </c>
      <c r="K231" s="6" t="s">
        <v>1027</v>
      </c>
      <c r="L231" s="6" t="s">
        <v>233</v>
      </c>
      <c r="M231" s="6" t="s">
        <v>607</v>
      </c>
      <c r="N231" s="6" t="s">
        <v>286</v>
      </c>
      <c r="O231" s="6" t="s">
        <v>933</v>
      </c>
      <c r="P231" s="6" t="str">
        <f aca="false">IF(J231="S0","—",IF(K231="","",IF(L231="E0","QM",INDEX(10_ASIL_Matrix!$D$4:$F$15,MATCH(J231&amp;"-"&amp;L231,10_ASIL_Matrix!$C$4:$C$15,0),MATCH(N231,10_ASIL_Matrix!$D$3:$F$3,0)))))</f>
        <v>QM</v>
      </c>
      <c r="Q231" s="6" t="s">
        <v>448</v>
      </c>
    </row>
    <row r="232" customFormat="false" ht="46.25" hidden="false" customHeight="false" outlineLevel="0" collapsed="false">
      <c r="A232" s="5" t="s">
        <v>1038</v>
      </c>
      <c r="B232" s="5" t="s">
        <v>101</v>
      </c>
      <c r="C232" s="5" t="s">
        <v>102</v>
      </c>
      <c r="D232" s="5" t="s">
        <v>143</v>
      </c>
      <c r="E232" s="5" t="s">
        <v>144</v>
      </c>
      <c r="F232" s="5" t="s">
        <v>204</v>
      </c>
      <c r="G232" s="5" t="s">
        <v>609</v>
      </c>
      <c r="H232" s="5" t="s">
        <v>222</v>
      </c>
      <c r="I232" s="5" t="s">
        <v>1039</v>
      </c>
      <c r="J232" s="5" t="s">
        <v>250</v>
      </c>
      <c r="K232" s="5" t="s">
        <v>1040</v>
      </c>
      <c r="L232" s="5" t="s">
        <v>205</v>
      </c>
      <c r="M232" s="5" t="s">
        <v>612</v>
      </c>
      <c r="N232" s="5" t="s">
        <v>286</v>
      </c>
      <c r="O232" s="5" t="s">
        <v>933</v>
      </c>
      <c r="P232" s="19" t="str">
        <f aca="false">IF(J232="S0","—",IF(K232="","",IF(L232="E0","QM",INDEX(10_ASIL_Matrix!$D$4:$F$15,MATCH(J232&amp;"-"&amp;L232,10_ASIL_Matrix!$C$4:$C$15,0),MATCH(N232,10_ASIL_Matrix!$D$3:$F$3,0)))))</f>
        <v>A</v>
      </c>
      <c r="Q232" s="5" t="s">
        <v>448</v>
      </c>
    </row>
    <row r="233" customFormat="false" ht="46.25" hidden="false" customHeight="false" outlineLevel="0" collapsed="false">
      <c r="A233" s="6" t="s">
        <v>1041</v>
      </c>
      <c r="B233" s="6" t="s">
        <v>101</v>
      </c>
      <c r="C233" s="6" t="s">
        <v>102</v>
      </c>
      <c r="D233" s="6" t="s">
        <v>143</v>
      </c>
      <c r="E233" s="6" t="s">
        <v>144</v>
      </c>
      <c r="F233" s="6" t="s">
        <v>204</v>
      </c>
      <c r="G233" s="6" t="s">
        <v>609</v>
      </c>
      <c r="H233" s="6" t="s">
        <v>224</v>
      </c>
      <c r="I233" s="6" t="s">
        <v>1042</v>
      </c>
      <c r="J233" s="6" t="s">
        <v>250</v>
      </c>
      <c r="K233" s="6" t="s">
        <v>1040</v>
      </c>
      <c r="L233" s="6" t="s">
        <v>205</v>
      </c>
      <c r="M233" s="6" t="s">
        <v>616</v>
      </c>
      <c r="N233" s="6" t="s">
        <v>286</v>
      </c>
      <c r="O233" s="6" t="s">
        <v>933</v>
      </c>
      <c r="P233" s="19" t="str">
        <f aca="false">IF(J233="S0","—",IF(K233="","",IF(L233="E0","QM",INDEX(10_ASIL_Matrix!$D$4:$F$15,MATCH(J233&amp;"-"&amp;L233,10_ASIL_Matrix!$C$4:$C$15,0),MATCH(N233,10_ASIL_Matrix!$D$3:$F$3,0)))))</f>
        <v>A</v>
      </c>
      <c r="Q233" s="6" t="s">
        <v>448</v>
      </c>
    </row>
    <row r="234" customFormat="false" ht="46.25" hidden="false" customHeight="false" outlineLevel="0" collapsed="false">
      <c r="A234" s="5" t="s">
        <v>1043</v>
      </c>
      <c r="B234" s="5" t="s">
        <v>101</v>
      </c>
      <c r="C234" s="5" t="s">
        <v>102</v>
      </c>
      <c r="D234" s="5" t="s">
        <v>143</v>
      </c>
      <c r="E234" s="5" t="s">
        <v>144</v>
      </c>
      <c r="F234" s="5" t="s">
        <v>204</v>
      </c>
      <c r="G234" s="5" t="s">
        <v>609</v>
      </c>
      <c r="H234" s="5" t="s">
        <v>226</v>
      </c>
      <c r="I234" s="5" t="s">
        <v>1044</v>
      </c>
      <c r="J234" s="5" t="s">
        <v>250</v>
      </c>
      <c r="K234" s="5" t="s">
        <v>1040</v>
      </c>
      <c r="L234" s="5" t="s">
        <v>205</v>
      </c>
      <c r="M234" s="5" t="s">
        <v>619</v>
      </c>
      <c r="N234" s="5" t="s">
        <v>286</v>
      </c>
      <c r="O234" s="5" t="s">
        <v>933</v>
      </c>
      <c r="P234" s="19" t="str">
        <f aca="false">IF(J234="S0","—",IF(K234="","",IF(L234="E0","QM",INDEX(10_ASIL_Matrix!$D$4:$F$15,MATCH(J234&amp;"-"&amp;L234,10_ASIL_Matrix!$C$4:$C$15,0),MATCH(N234,10_ASIL_Matrix!$D$3:$F$3,0)))))</f>
        <v>A</v>
      </c>
      <c r="Q234" s="5" t="s">
        <v>448</v>
      </c>
    </row>
    <row r="235" customFormat="false" ht="46.25" hidden="false" customHeight="false" outlineLevel="0" collapsed="false">
      <c r="A235" s="6" t="s">
        <v>1045</v>
      </c>
      <c r="B235" s="6" t="s">
        <v>101</v>
      </c>
      <c r="C235" s="6" t="s">
        <v>102</v>
      </c>
      <c r="D235" s="6" t="s">
        <v>143</v>
      </c>
      <c r="E235" s="6" t="s">
        <v>144</v>
      </c>
      <c r="F235" s="6" t="s">
        <v>204</v>
      </c>
      <c r="G235" s="6" t="s">
        <v>609</v>
      </c>
      <c r="H235" s="6" t="s">
        <v>228</v>
      </c>
      <c r="I235" s="6" t="s">
        <v>1046</v>
      </c>
      <c r="J235" s="6" t="s">
        <v>250</v>
      </c>
      <c r="K235" s="6" t="s">
        <v>1040</v>
      </c>
      <c r="L235" s="6" t="s">
        <v>205</v>
      </c>
      <c r="M235" s="6" t="s">
        <v>622</v>
      </c>
      <c r="N235" s="6" t="s">
        <v>286</v>
      </c>
      <c r="O235" s="6" t="s">
        <v>933</v>
      </c>
      <c r="P235" s="19" t="str">
        <f aca="false">IF(J235="S0","—",IF(K235="","",IF(L235="E0","QM",INDEX(10_ASIL_Matrix!$D$4:$F$15,MATCH(J235&amp;"-"&amp;L235,10_ASIL_Matrix!$C$4:$C$15,0),MATCH(N235,10_ASIL_Matrix!$D$3:$F$3,0)))))</f>
        <v>A</v>
      </c>
      <c r="Q235" s="6" t="s">
        <v>448</v>
      </c>
    </row>
    <row r="236" customFormat="false" ht="57.45" hidden="false" customHeight="false" outlineLevel="0" collapsed="false">
      <c r="A236" s="5" t="s">
        <v>1047</v>
      </c>
      <c r="B236" s="5" t="s">
        <v>101</v>
      </c>
      <c r="C236" s="5" t="s">
        <v>102</v>
      </c>
      <c r="D236" s="5" t="s">
        <v>143</v>
      </c>
      <c r="E236" s="5" t="s">
        <v>144</v>
      </c>
      <c r="F236" s="5" t="s">
        <v>204</v>
      </c>
      <c r="G236" s="5" t="s">
        <v>609</v>
      </c>
      <c r="H236" s="5" t="s">
        <v>230</v>
      </c>
      <c r="I236" s="5" t="s">
        <v>1048</v>
      </c>
      <c r="J236" s="5" t="s">
        <v>250</v>
      </c>
      <c r="K236" s="5" t="s">
        <v>1040</v>
      </c>
      <c r="L236" s="5" t="s">
        <v>205</v>
      </c>
      <c r="M236" s="5" t="s">
        <v>625</v>
      </c>
      <c r="N236" s="5" t="s">
        <v>290</v>
      </c>
      <c r="O236" s="5" t="s">
        <v>942</v>
      </c>
      <c r="P236" s="18" t="str">
        <f aca="false">IF(J236="S0","—",IF(K236="","",IF(L236="E0","QM",INDEX(10_ASIL_Matrix!$D$4:$F$15,MATCH(J236&amp;"-"&amp;L236,10_ASIL_Matrix!$C$4:$C$15,0),MATCH(N236,10_ASIL_Matrix!$D$3:$F$3,0)))))</f>
        <v>B</v>
      </c>
      <c r="Q236" s="5" t="s">
        <v>448</v>
      </c>
    </row>
    <row r="237" customFormat="false" ht="46.25" hidden="false" customHeight="false" outlineLevel="0" collapsed="false">
      <c r="A237" s="6" t="s">
        <v>1049</v>
      </c>
      <c r="B237" s="6" t="s">
        <v>101</v>
      </c>
      <c r="C237" s="6" t="s">
        <v>102</v>
      </c>
      <c r="D237" s="6" t="s">
        <v>143</v>
      </c>
      <c r="E237" s="6" t="s">
        <v>144</v>
      </c>
      <c r="F237" s="6" t="s">
        <v>204</v>
      </c>
      <c r="G237" s="6" t="s">
        <v>609</v>
      </c>
      <c r="H237" s="6" t="s">
        <v>232</v>
      </c>
      <c r="I237" s="6" t="s">
        <v>1050</v>
      </c>
      <c r="J237" s="6" t="s">
        <v>250</v>
      </c>
      <c r="K237" s="6" t="s">
        <v>1040</v>
      </c>
      <c r="L237" s="6" t="s">
        <v>233</v>
      </c>
      <c r="M237" s="6" t="s">
        <v>629</v>
      </c>
      <c r="N237" s="6" t="s">
        <v>286</v>
      </c>
      <c r="O237" s="6" t="s">
        <v>933</v>
      </c>
      <c r="P237" s="6" t="str">
        <f aca="false">IF(J237="S0","—",IF(K237="","",IF(L237="E0","QM",INDEX(10_ASIL_Matrix!$D$4:$F$15,MATCH(J237&amp;"-"&amp;L237,10_ASIL_Matrix!$C$4:$C$15,0),MATCH(N237,10_ASIL_Matrix!$D$3:$F$3,0)))))</f>
        <v>QM</v>
      </c>
      <c r="Q237" s="6" t="s">
        <v>448</v>
      </c>
    </row>
    <row r="238" customFormat="false" ht="46.25" hidden="false" customHeight="false" outlineLevel="0" collapsed="false">
      <c r="A238" s="5" t="s">
        <v>1051</v>
      </c>
      <c r="B238" s="5" t="s">
        <v>101</v>
      </c>
      <c r="C238" s="5" t="s">
        <v>102</v>
      </c>
      <c r="D238" s="5" t="s">
        <v>143</v>
      </c>
      <c r="E238" s="5" t="s">
        <v>144</v>
      </c>
      <c r="F238" s="5" t="s">
        <v>207</v>
      </c>
      <c r="G238" s="5" t="s">
        <v>609</v>
      </c>
      <c r="H238" s="5" t="s">
        <v>222</v>
      </c>
      <c r="I238" s="5" t="s">
        <v>1052</v>
      </c>
      <c r="J238" s="5" t="s">
        <v>250</v>
      </c>
      <c r="K238" s="5" t="s">
        <v>1053</v>
      </c>
      <c r="L238" s="5" t="s">
        <v>190</v>
      </c>
      <c r="M238" s="5" t="s">
        <v>633</v>
      </c>
      <c r="N238" s="5" t="s">
        <v>286</v>
      </c>
      <c r="O238" s="5" t="s">
        <v>933</v>
      </c>
      <c r="P238" s="18" t="str">
        <f aca="false">IF(J238="S0","—",IF(K238="","",IF(L238="E0","QM",INDEX(10_ASIL_Matrix!$D$4:$F$15,MATCH(J238&amp;"-"&amp;L238,10_ASIL_Matrix!$C$4:$C$15,0),MATCH(N238,10_ASIL_Matrix!$D$3:$F$3,0)))))</f>
        <v>B</v>
      </c>
      <c r="Q238" s="5" t="s">
        <v>448</v>
      </c>
    </row>
    <row r="239" customFormat="false" ht="46.25" hidden="false" customHeight="false" outlineLevel="0" collapsed="false">
      <c r="A239" s="6" t="s">
        <v>1054</v>
      </c>
      <c r="B239" s="6" t="s">
        <v>101</v>
      </c>
      <c r="C239" s="6" t="s">
        <v>102</v>
      </c>
      <c r="D239" s="6" t="s">
        <v>143</v>
      </c>
      <c r="E239" s="6" t="s">
        <v>144</v>
      </c>
      <c r="F239" s="6" t="s">
        <v>207</v>
      </c>
      <c r="G239" s="6" t="s">
        <v>609</v>
      </c>
      <c r="H239" s="6" t="s">
        <v>224</v>
      </c>
      <c r="I239" s="6" t="s">
        <v>1055</v>
      </c>
      <c r="J239" s="6" t="s">
        <v>250</v>
      </c>
      <c r="K239" s="6" t="s">
        <v>1053</v>
      </c>
      <c r="L239" s="6" t="s">
        <v>190</v>
      </c>
      <c r="M239" s="6" t="s">
        <v>637</v>
      </c>
      <c r="N239" s="6" t="s">
        <v>286</v>
      </c>
      <c r="O239" s="6" t="s">
        <v>933</v>
      </c>
      <c r="P239" s="18" t="str">
        <f aca="false">IF(J239="S0","—",IF(K239="","",IF(L239="E0","QM",INDEX(10_ASIL_Matrix!$D$4:$F$15,MATCH(J239&amp;"-"&amp;L239,10_ASIL_Matrix!$C$4:$C$15,0),MATCH(N239,10_ASIL_Matrix!$D$3:$F$3,0)))))</f>
        <v>B</v>
      </c>
      <c r="Q239" s="6" t="s">
        <v>448</v>
      </c>
    </row>
    <row r="240" customFormat="false" ht="46.25" hidden="false" customHeight="false" outlineLevel="0" collapsed="false">
      <c r="A240" s="5" t="s">
        <v>1056</v>
      </c>
      <c r="B240" s="5" t="s">
        <v>101</v>
      </c>
      <c r="C240" s="5" t="s">
        <v>102</v>
      </c>
      <c r="D240" s="5" t="s">
        <v>143</v>
      </c>
      <c r="E240" s="5" t="s">
        <v>144</v>
      </c>
      <c r="F240" s="5" t="s">
        <v>207</v>
      </c>
      <c r="G240" s="5" t="s">
        <v>609</v>
      </c>
      <c r="H240" s="5" t="s">
        <v>226</v>
      </c>
      <c r="I240" s="5" t="s">
        <v>1057</v>
      </c>
      <c r="J240" s="5" t="s">
        <v>250</v>
      </c>
      <c r="K240" s="5" t="s">
        <v>1053</v>
      </c>
      <c r="L240" s="5" t="s">
        <v>190</v>
      </c>
      <c r="M240" s="5" t="s">
        <v>640</v>
      </c>
      <c r="N240" s="5" t="s">
        <v>286</v>
      </c>
      <c r="O240" s="5" t="s">
        <v>933</v>
      </c>
      <c r="P240" s="18" t="str">
        <f aca="false">IF(J240="S0","—",IF(K240="","",IF(L240="E0","QM",INDEX(10_ASIL_Matrix!$D$4:$F$15,MATCH(J240&amp;"-"&amp;L240,10_ASIL_Matrix!$C$4:$C$15,0),MATCH(N240,10_ASIL_Matrix!$D$3:$F$3,0)))))</f>
        <v>B</v>
      </c>
      <c r="Q240" s="5" t="s">
        <v>448</v>
      </c>
    </row>
    <row r="241" customFormat="false" ht="46.25" hidden="false" customHeight="false" outlineLevel="0" collapsed="false">
      <c r="A241" s="6" t="s">
        <v>1058</v>
      </c>
      <c r="B241" s="6" t="s">
        <v>101</v>
      </c>
      <c r="C241" s="6" t="s">
        <v>102</v>
      </c>
      <c r="D241" s="6" t="s">
        <v>143</v>
      </c>
      <c r="E241" s="6" t="s">
        <v>144</v>
      </c>
      <c r="F241" s="6" t="s">
        <v>207</v>
      </c>
      <c r="G241" s="6" t="s">
        <v>609</v>
      </c>
      <c r="H241" s="6" t="s">
        <v>228</v>
      </c>
      <c r="I241" s="6" t="s">
        <v>1059</v>
      </c>
      <c r="J241" s="6" t="s">
        <v>250</v>
      </c>
      <c r="K241" s="6" t="s">
        <v>1053</v>
      </c>
      <c r="L241" s="6" t="s">
        <v>205</v>
      </c>
      <c r="M241" s="6" t="s">
        <v>643</v>
      </c>
      <c r="N241" s="6" t="s">
        <v>286</v>
      </c>
      <c r="O241" s="6" t="s">
        <v>933</v>
      </c>
      <c r="P241" s="19" t="str">
        <f aca="false">IF(J241="S0","—",IF(K241="","",IF(L241="E0","QM",INDEX(10_ASIL_Matrix!$D$4:$F$15,MATCH(J241&amp;"-"&amp;L241,10_ASIL_Matrix!$C$4:$C$15,0),MATCH(N241,10_ASIL_Matrix!$D$3:$F$3,0)))))</f>
        <v>A</v>
      </c>
      <c r="Q241" s="6" t="s">
        <v>448</v>
      </c>
    </row>
    <row r="242" customFormat="false" ht="57.45" hidden="false" customHeight="false" outlineLevel="0" collapsed="false">
      <c r="A242" s="5" t="s">
        <v>1060</v>
      </c>
      <c r="B242" s="5" t="s">
        <v>101</v>
      </c>
      <c r="C242" s="5" t="s">
        <v>102</v>
      </c>
      <c r="D242" s="5" t="s">
        <v>143</v>
      </c>
      <c r="E242" s="5" t="s">
        <v>144</v>
      </c>
      <c r="F242" s="5" t="s">
        <v>207</v>
      </c>
      <c r="G242" s="5" t="s">
        <v>609</v>
      </c>
      <c r="H242" s="5" t="s">
        <v>230</v>
      </c>
      <c r="I242" s="5" t="s">
        <v>1061</v>
      </c>
      <c r="J242" s="5" t="s">
        <v>250</v>
      </c>
      <c r="K242" s="5" t="s">
        <v>1053</v>
      </c>
      <c r="L242" s="5" t="s">
        <v>205</v>
      </c>
      <c r="M242" s="5" t="s">
        <v>646</v>
      </c>
      <c r="N242" s="5" t="s">
        <v>290</v>
      </c>
      <c r="O242" s="5" t="s">
        <v>942</v>
      </c>
      <c r="P242" s="18" t="str">
        <f aca="false">IF(J242="S0","—",IF(K242="","",IF(L242="E0","QM",INDEX(10_ASIL_Matrix!$D$4:$F$15,MATCH(J242&amp;"-"&amp;L242,10_ASIL_Matrix!$C$4:$C$15,0),MATCH(N242,10_ASIL_Matrix!$D$3:$F$3,0)))))</f>
        <v>B</v>
      </c>
      <c r="Q242" s="5" t="s">
        <v>448</v>
      </c>
    </row>
    <row r="243" customFormat="false" ht="46.25" hidden="false" customHeight="false" outlineLevel="0" collapsed="false">
      <c r="A243" s="6" t="s">
        <v>1062</v>
      </c>
      <c r="B243" s="6" t="s">
        <v>101</v>
      </c>
      <c r="C243" s="6" t="s">
        <v>102</v>
      </c>
      <c r="D243" s="6" t="s">
        <v>143</v>
      </c>
      <c r="E243" s="6" t="s">
        <v>144</v>
      </c>
      <c r="F243" s="6" t="s">
        <v>207</v>
      </c>
      <c r="G243" s="6" t="s">
        <v>609</v>
      </c>
      <c r="H243" s="6" t="s">
        <v>232</v>
      </c>
      <c r="I243" s="6" t="s">
        <v>1063</v>
      </c>
      <c r="J243" s="6" t="s">
        <v>250</v>
      </c>
      <c r="K243" s="6" t="s">
        <v>1053</v>
      </c>
      <c r="L243" s="6" t="s">
        <v>233</v>
      </c>
      <c r="M243" s="6" t="s">
        <v>649</v>
      </c>
      <c r="N243" s="6" t="s">
        <v>286</v>
      </c>
      <c r="O243" s="6" t="s">
        <v>933</v>
      </c>
      <c r="P243" s="6" t="str">
        <f aca="false">IF(J243="S0","—",IF(K243="","",IF(L243="E0","QM",INDEX(10_ASIL_Matrix!$D$4:$F$15,MATCH(J243&amp;"-"&amp;L243,10_ASIL_Matrix!$C$4:$C$15,0),MATCH(N243,10_ASIL_Matrix!$D$3:$F$3,0)))))</f>
        <v>QM</v>
      </c>
      <c r="Q243" s="6" t="s">
        <v>448</v>
      </c>
    </row>
    <row r="244" customFormat="false" ht="46.25" hidden="false" customHeight="false" outlineLevel="0" collapsed="false">
      <c r="A244" s="5" t="s">
        <v>1064</v>
      </c>
      <c r="B244" s="5" t="s">
        <v>101</v>
      </c>
      <c r="C244" s="5" t="s">
        <v>102</v>
      </c>
      <c r="D244" s="5" t="s">
        <v>143</v>
      </c>
      <c r="E244" s="5" t="s">
        <v>144</v>
      </c>
      <c r="F244" s="5" t="s">
        <v>209</v>
      </c>
      <c r="G244" s="5" t="s">
        <v>570</v>
      </c>
      <c r="H244" s="5" t="s">
        <v>222</v>
      </c>
      <c r="I244" s="5" t="s">
        <v>1065</v>
      </c>
      <c r="J244" s="5" t="s">
        <v>250</v>
      </c>
      <c r="K244" s="5" t="s">
        <v>1066</v>
      </c>
      <c r="L244" s="5" t="s">
        <v>190</v>
      </c>
      <c r="M244" s="5" t="s">
        <v>653</v>
      </c>
      <c r="N244" s="5" t="s">
        <v>286</v>
      </c>
      <c r="O244" s="5" t="s">
        <v>933</v>
      </c>
      <c r="P244" s="18" t="str">
        <f aca="false">IF(J244="S0","—",IF(K244="","",IF(L244="E0","QM",INDEX(10_ASIL_Matrix!$D$4:$F$15,MATCH(J244&amp;"-"&amp;L244,10_ASIL_Matrix!$C$4:$C$15,0),MATCH(N244,10_ASIL_Matrix!$D$3:$F$3,0)))))</f>
        <v>B</v>
      </c>
      <c r="Q244" s="5" t="s">
        <v>448</v>
      </c>
    </row>
    <row r="245" customFormat="false" ht="46.25" hidden="false" customHeight="false" outlineLevel="0" collapsed="false">
      <c r="A245" s="6" t="s">
        <v>1067</v>
      </c>
      <c r="B245" s="6" t="s">
        <v>101</v>
      </c>
      <c r="C245" s="6" t="s">
        <v>102</v>
      </c>
      <c r="D245" s="6" t="s">
        <v>143</v>
      </c>
      <c r="E245" s="6" t="s">
        <v>144</v>
      </c>
      <c r="F245" s="6" t="s">
        <v>209</v>
      </c>
      <c r="G245" s="6" t="s">
        <v>570</v>
      </c>
      <c r="H245" s="6" t="s">
        <v>224</v>
      </c>
      <c r="I245" s="6" t="s">
        <v>1068</v>
      </c>
      <c r="J245" s="6" t="s">
        <v>250</v>
      </c>
      <c r="K245" s="6" t="s">
        <v>1066</v>
      </c>
      <c r="L245" s="6" t="s">
        <v>190</v>
      </c>
      <c r="M245" s="6" t="s">
        <v>656</v>
      </c>
      <c r="N245" s="6" t="s">
        <v>286</v>
      </c>
      <c r="O245" s="6" t="s">
        <v>933</v>
      </c>
      <c r="P245" s="18" t="str">
        <f aca="false">IF(J245="S0","—",IF(K245="","",IF(L245="E0","QM",INDEX(10_ASIL_Matrix!$D$4:$F$15,MATCH(J245&amp;"-"&amp;L245,10_ASIL_Matrix!$C$4:$C$15,0),MATCH(N245,10_ASIL_Matrix!$D$3:$F$3,0)))))</f>
        <v>B</v>
      </c>
      <c r="Q245" s="6" t="s">
        <v>448</v>
      </c>
    </row>
    <row r="246" customFormat="false" ht="46.25" hidden="false" customHeight="false" outlineLevel="0" collapsed="false">
      <c r="A246" s="5" t="s">
        <v>1069</v>
      </c>
      <c r="B246" s="5" t="s">
        <v>101</v>
      </c>
      <c r="C246" s="5" t="s">
        <v>102</v>
      </c>
      <c r="D246" s="5" t="s">
        <v>143</v>
      </c>
      <c r="E246" s="5" t="s">
        <v>144</v>
      </c>
      <c r="F246" s="5" t="s">
        <v>209</v>
      </c>
      <c r="G246" s="5" t="s">
        <v>570</v>
      </c>
      <c r="H246" s="5" t="s">
        <v>226</v>
      </c>
      <c r="I246" s="5" t="s">
        <v>1070</v>
      </c>
      <c r="J246" s="5" t="s">
        <v>250</v>
      </c>
      <c r="K246" s="5" t="s">
        <v>1066</v>
      </c>
      <c r="L246" s="5" t="s">
        <v>190</v>
      </c>
      <c r="M246" s="5" t="s">
        <v>659</v>
      </c>
      <c r="N246" s="5" t="s">
        <v>286</v>
      </c>
      <c r="O246" s="5" t="s">
        <v>933</v>
      </c>
      <c r="P246" s="18" t="str">
        <f aca="false">IF(J246="S0","—",IF(K246="","",IF(L246="E0","QM",INDEX(10_ASIL_Matrix!$D$4:$F$15,MATCH(J246&amp;"-"&amp;L246,10_ASIL_Matrix!$C$4:$C$15,0),MATCH(N246,10_ASIL_Matrix!$D$3:$F$3,0)))))</f>
        <v>B</v>
      </c>
      <c r="Q246" s="5" t="s">
        <v>448</v>
      </c>
    </row>
    <row r="247" customFormat="false" ht="46.25" hidden="false" customHeight="false" outlineLevel="0" collapsed="false">
      <c r="A247" s="6" t="s">
        <v>1071</v>
      </c>
      <c r="B247" s="6" t="s">
        <v>101</v>
      </c>
      <c r="C247" s="6" t="s">
        <v>102</v>
      </c>
      <c r="D247" s="6" t="s">
        <v>143</v>
      </c>
      <c r="E247" s="6" t="s">
        <v>144</v>
      </c>
      <c r="F247" s="6" t="s">
        <v>209</v>
      </c>
      <c r="G247" s="6" t="s">
        <v>570</v>
      </c>
      <c r="H247" s="6" t="s">
        <v>228</v>
      </c>
      <c r="I247" s="6" t="s">
        <v>1072</v>
      </c>
      <c r="J247" s="6" t="s">
        <v>250</v>
      </c>
      <c r="K247" s="6" t="s">
        <v>1066</v>
      </c>
      <c r="L247" s="6" t="s">
        <v>205</v>
      </c>
      <c r="M247" s="6" t="s">
        <v>662</v>
      </c>
      <c r="N247" s="6" t="s">
        <v>286</v>
      </c>
      <c r="O247" s="6" t="s">
        <v>933</v>
      </c>
      <c r="P247" s="19" t="str">
        <f aca="false">IF(J247="S0","—",IF(K247="","",IF(L247="E0","QM",INDEX(10_ASIL_Matrix!$D$4:$F$15,MATCH(J247&amp;"-"&amp;L247,10_ASIL_Matrix!$C$4:$C$15,0),MATCH(N247,10_ASIL_Matrix!$D$3:$F$3,0)))))</f>
        <v>A</v>
      </c>
      <c r="Q247" s="6" t="s">
        <v>448</v>
      </c>
    </row>
    <row r="248" customFormat="false" ht="57.45" hidden="false" customHeight="false" outlineLevel="0" collapsed="false">
      <c r="A248" s="5" t="s">
        <v>1073</v>
      </c>
      <c r="B248" s="5" t="s">
        <v>101</v>
      </c>
      <c r="C248" s="5" t="s">
        <v>102</v>
      </c>
      <c r="D248" s="5" t="s">
        <v>143</v>
      </c>
      <c r="E248" s="5" t="s">
        <v>144</v>
      </c>
      <c r="F248" s="5" t="s">
        <v>209</v>
      </c>
      <c r="G248" s="5" t="s">
        <v>570</v>
      </c>
      <c r="H248" s="5" t="s">
        <v>230</v>
      </c>
      <c r="I248" s="5" t="s">
        <v>1074</v>
      </c>
      <c r="J248" s="5" t="s">
        <v>250</v>
      </c>
      <c r="K248" s="5" t="s">
        <v>1066</v>
      </c>
      <c r="L248" s="5" t="s">
        <v>205</v>
      </c>
      <c r="M248" s="5" t="s">
        <v>665</v>
      </c>
      <c r="N248" s="5" t="s">
        <v>290</v>
      </c>
      <c r="O248" s="5" t="s">
        <v>942</v>
      </c>
      <c r="P248" s="18" t="str">
        <f aca="false">IF(J248="S0","—",IF(K248="","",IF(L248="E0","QM",INDEX(10_ASIL_Matrix!$D$4:$F$15,MATCH(J248&amp;"-"&amp;L248,10_ASIL_Matrix!$C$4:$C$15,0),MATCH(N248,10_ASIL_Matrix!$D$3:$F$3,0)))))</f>
        <v>B</v>
      </c>
      <c r="Q248" s="5" t="s">
        <v>448</v>
      </c>
    </row>
    <row r="249" customFormat="false" ht="46.25" hidden="false" customHeight="false" outlineLevel="0" collapsed="false">
      <c r="A249" s="6" t="s">
        <v>1075</v>
      </c>
      <c r="B249" s="6" t="s">
        <v>101</v>
      </c>
      <c r="C249" s="6" t="s">
        <v>102</v>
      </c>
      <c r="D249" s="6" t="s">
        <v>143</v>
      </c>
      <c r="E249" s="6" t="s">
        <v>144</v>
      </c>
      <c r="F249" s="6" t="s">
        <v>209</v>
      </c>
      <c r="G249" s="6" t="s">
        <v>570</v>
      </c>
      <c r="H249" s="6" t="s">
        <v>232</v>
      </c>
      <c r="I249" s="6" t="s">
        <v>1076</v>
      </c>
      <c r="J249" s="6" t="s">
        <v>250</v>
      </c>
      <c r="K249" s="6" t="s">
        <v>1066</v>
      </c>
      <c r="L249" s="6" t="s">
        <v>233</v>
      </c>
      <c r="M249" s="6" t="s">
        <v>668</v>
      </c>
      <c r="N249" s="6" t="s">
        <v>286</v>
      </c>
      <c r="O249" s="6" t="s">
        <v>933</v>
      </c>
      <c r="P249" s="6" t="str">
        <f aca="false">IF(J249="S0","—",IF(K249="","",IF(L249="E0","QM",INDEX(10_ASIL_Matrix!$D$4:$F$15,MATCH(J249&amp;"-"&amp;L249,10_ASIL_Matrix!$C$4:$C$15,0),MATCH(N249,10_ASIL_Matrix!$D$3:$F$3,0)))))</f>
        <v>QM</v>
      </c>
      <c r="Q249" s="6" t="s">
        <v>448</v>
      </c>
    </row>
    <row r="250" customFormat="false" ht="35.05" hidden="false" customHeight="false" outlineLevel="0" collapsed="false">
      <c r="A250" s="5" t="s">
        <v>1077</v>
      </c>
      <c r="B250" s="5" t="s">
        <v>101</v>
      </c>
      <c r="C250" s="5" t="s">
        <v>102</v>
      </c>
      <c r="D250" s="5" t="s">
        <v>143</v>
      </c>
      <c r="E250" s="5" t="s">
        <v>144</v>
      </c>
      <c r="F250" s="5" t="s">
        <v>211</v>
      </c>
      <c r="G250" s="5" t="s">
        <v>609</v>
      </c>
      <c r="H250" s="5" t="s">
        <v>222</v>
      </c>
      <c r="I250" s="5" t="s">
        <v>1078</v>
      </c>
      <c r="J250" s="5" t="s">
        <v>250</v>
      </c>
      <c r="K250" s="5" t="s">
        <v>1079</v>
      </c>
      <c r="L250" s="5" t="s">
        <v>187</v>
      </c>
      <c r="M250" s="5" t="s">
        <v>672</v>
      </c>
      <c r="N250" s="5" t="s">
        <v>286</v>
      </c>
      <c r="O250" s="5" t="s">
        <v>1080</v>
      </c>
      <c r="P250" s="20" t="str">
        <f aca="false">IF(J250="S0","—",IF(K250="","",IF(L250="E0","QM",INDEX(10_ASIL_Matrix!$D$4:$F$15,MATCH(J250&amp;"-"&amp;L250,10_ASIL_Matrix!$C$4:$C$15,0),MATCH(N250,10_ASIL_Matrix!$D$3:$F$3,0)))))</f>
        <v>C</v>
      </c>
      <c r="Q250" s="5" t="s">
        <v>448</v>
      </c>
    </row>
    <row r="251" customFormat="false" ht="35.05" hidden="false" customHeight="false" outlineLevel="0" collapsed="false">
      <c r="A251" s="6" t="s">
        <v>1081</v>
      </c>
      <c r="B251" s="6" t="s">
        <v>101</v>
      </c>
      <c r="C251" s="6" t="s">
        <v>102</v>
      </c>
      <c r="D251" s="6" t="s">
        <v>143</v>
      </c>
      <c r="E251" s="6" t="s">
        <v>144</v>
      </c>
      <c r="F251" s="6" t="s">
        <v>211</v>
      </c>
      <c r="G251" s="6" t="s">
        <v>609</v>
      </c>
      <c r="H251" s="6" t="s">
        <v>224</v>
      </c>
      <c r="I251" s="6" t="s">
        <v>1082</v>
      </c>
      <c r="J251" s="6" t="s">
        <v>250</v>
      </c>
      <c r="K251" s="6" t="s">
        <v>1079</v>
      </c>
      <c r="L251" s="6" t="s">
        <v>190</v>
      </c>
      <c r="M251" s="6" t="s">
        <v>675</v>
      </c>
      <c r="N251" s="6" t="s">
        <v>286</v>
      </c>
      <c r="O251" s="6" t="s">
        <v>1080</v>
      </c>
      <c r="P251" s="18" t="str">
        <f aca="false">IF(J251="S0","—",IF(K251="","",IF(L251="E0","QM",INDEX(10_ASIL_Matrix!$D$4:$F$15,MATCH(J251&amp;"-"&amp;L251,10_ASIL_Matrix!$C$4:$C$15,0),MATCH(N251,10_ASIL_Matrix!$D$3:$F$3,0)))))</f>
        <v>B</v>
      </c>
      <c r="Q251" s="6" t="s">
        <v>448</v>
      </c>
    </row>
    <row r="252" customFormat="false" ht="35.05" hidden="false" customHeight="false" outlineLevel="0" collapsed="false">
      <c r="A252" s="5" t="s">
        <v>1083</v>
      </c>
      <c r="B252" s="5" t="s">
        <v>101</v>
      </c>
      <c r="C252" s="5" t="s">
        <v>102</v>
      </c>
      <c r="D252" s="5" t="s">
        <v>143</v>
      </c>
      <c r="E252" s="5" t="s">
        <v>144</v>
      </c>
      <c r="F252" s="5" t="s">
        <v>211</v>
      </c>
      <c r="G252" s="5" t="s">
        <v>609</v>
      </c>
      <c r="H252" s="5" t="s">
        <v>226</v>
      </c>
      <c r="I252" s="5" t="s">
        <v>1084</v>
      </c>
      <c r="J252" s="5" t="s">
        <v>250</v>
      </c>
      <c r="K252" s="5" t="s">
        <v>1079</v>
      </c>
      <c r="L252" s="5" t="s">
        <v>190</v>
      </c>
      <c r="M252" s="5" t="s">
        <v>678</v>
      </c>
      <c r="N252" s="5" t="s">
        <v>286</v>
      </c>
      <c r="O252" s="5" t="s">
        <v>1080</v>
      </c>
      <c r="P252" s="18" t="str">
        <f aca="false">IF(J252="S0","—",IF(K252="","",IF(L252="E0","QM",INDEX(10_ASIL_Matrix!$D$4:$F$15,MATCH(J252&amp;"-"&amp;L252,10_ASIL_Matrix!$C$4:$C$15,0),MATCH(N252,10_ASIL_Matrix!$D$3:$F$3,0)))))</f>
        <v>B</v>
      </c>
      <c r="Q252" s="5" t="s">
        <v>448</v>
      </c>
    </row>
    <row r="253" customFormat="false" ht="35.05" hidden="false" customHeight="false" outlineLevel="0" collapsed="false">
      <c r="A253" s="6" t="s">
        <v>1085</v>
      </c>
      <c r="B253" s="6" t="s">
        <v>101</v>
      </c>
      <c r="C253" s="6" t="s">
        <v>102</v>
      </c>
      <c r="D253" s="6" t="s">
        <v>143</v>
      </c>
      <c r="E253" s="6" t="s">
        <v>144</v>
      </c>
      <c r="F253" s="6" t="s">
        <v>211</v>
      </c>
      <c r="G253" s="6" t="s">
        <v>609</v>
      </c>
      <c r="H253" s="6" t="s">
        <v>228</v>
      </c>
      <c r="I253" s="6" t="s">
        <v>1086</v>
      </c>
      <c r="J253" s="6" t="s">
        <v>250</v>
      </c>
      <c r="K253" s="6" t="s">
        <v>1079</v>
      </c>
      <c r="L253" s="6" t="s">
        <v>205</v>
      </c>
      <c r="M253" s="6" t="s">
        <v>681</v>
      </c>
      <c r="N253" s="6" t="s">
        <v>286</v>
      </c>
      <c r="O253" s="6" t="s">
        <v>1080</v>
      </c>
      <c r="P253" s="19" t="str">
        <f aca="false">IF(J253="S0","—",IF(K253="","",IF(L253="E0","QM",INDEX(10_ASIL_Matrix!$D$4:$F$15,MATCH(J253&amp;"-"&amp;L253,10_ASIL_Matrix!$C$4:$C$15,0),MATCH(N253,10_ASIL_Matrix!$D$3:$F$3,0)))))</f>
        <v>A</v>
      </c>
      <c r="Q253" s="6" t="s">
        <v>448</v>
      </c>
    </row>
    <row r="254" customFormat="false" ht="35.05" hidden="false" customHeight="false" outlineLevel="0" collapsed="false">
      <c r="A254" s="5" t="s">
        <v>1087</v>
      </c>
      <c r="B254" s="5" t="s">
        <v>101</v>
      </c>
      <c r="C254" s="5" t="s">
        <v>102</v>
      </c>
      <c r="D254" s="5" t="s">
        <v>143</v>
      </c>
      <c r="E254" s="5" t="s">
        <v>144</v>
      </c>
      <c r="F254" s="5" t="s">
        <v>211</v>
      </c>
      <c r="G254" s="5" t="s">
        <v>609</v>
      </c>
      <c r="H254" s="5" t="s">
        <v>230</v>
      </c>
      <c r="I254" s="5" t="s">
        <v>1088</v>
      </c>
      <c r="J254" s="5" t="s">
        <v>250</v>
      </c>
      <c r="K254" s="5" t="s">
        <v>1079</v>
      </c>
      <c r="L254" s="5" t="s">
        <v>205</v>
      </c>
      <c r="M254" s="5" t="s">
        <v>684</v>
      </c>
      <c r="N254" s="5" t="s">
        <v>290</v>
      </c>
      <c r="O254" s="5" t="s">
        <v>1089</v>
      </c>
      <c r="P254" s="18" t="str">
        <f aca="false">IF(J254="S0","—",IF(K254="","",IF(L254="E0","QM",INDEX(10_ASIL_Matrix!$D$4:$F$15,MATCH(J254&amp;"-"&amp;L254,10_ASIL_Matrix!$C$4:$C$15,0),MATCH(N254,10_ASIL_Matrix!$D$3:$F$3,0)))))</f>
        <v>B</v>
      </c>
      <c r="Q254" s="5" t="s">
        <v>448</v>
      </c>
    </row>
    <row r="255" customFormat="false" ht="46.25" hidden="false" customHeight="false" outlineLevel="0" collapsed="false">
      <c r="A255" s="6" t="s">
        <v>1090</v>
      </c>
      <c r="B255" s="6" t="s">
        <v>101</v>
      </c>
      <c r="C255" s="6" t="s">
        <v>102</v>
      </c>
      <c r="D255" s="6" t="s">
        <v>143</v>
      </c>
      <c r="E255" s="6" t="s">
        <v>144</v>
      </c>
      <c r="F255" s="6" t="s">
        <v>211</v>
      </c>
      <c r="G255" s="6" t="s">
        <v>609</v>
      </c>
      <c r="H255" s="6" t="s">
        <v>232</v>
      </c>
      <c r="I255" s="6" t="s">
        <v>1091</v>
      </c>
      <c r="J255" s="6" t="s">
        <v>250</v>
      </c>
      <c r="K255" s="6" t="s">
        <v>1079</v>
      </c>
      <c r="L255" s="6" t="s">
        <v>233</v>
      </c>
      <c r="M255" s="6" t="s">
        <v>687</v>
      </c>
      <c r="N255" s="6" t="s">
        <v>286</v>
      </c>
      <c r="O255" s="6" t="s">
        <v>1080</v>
      </c>
      <c r="P255" s="6" t="str">
        <f aca="false">IF(J255="S0","—",IF(K255="","",IF(L255="E0","QM",INDEX(10_ASIL_Matrix!$D$4:$F$15,MATCH(J255&amp;"-"&amp;L255,10_ASIL_Matrix!$C$4:$C$15,0),MATCH(N255,10_ASIL_Matrix!$D$3:$F$3,0)))))</f>
        <v>QM</v>
      </c>
      <c r="Q255" s="6" t="s">
        <v>448</v>
      </c>
    </row>
    <row r="256" customFormat="false" ht="46.25" hidden="false" customHeight="false" outlineLevel="0" collapsed="false">
      <c r="A256" s="5" t="s">
        <v>1092</v>
      </c>
      <c r="B256" s="5" t="s">
        <v>101</v>
      </c>
      <c r="C256" s="5" t="s">
        <v>102</v>
      </c>
      <c r="D256" s="5" t="s">
        <v>143</v>
      </c>
      <c r="E256" s="5" t="s">
        <v>144</v>
      </c>
      <c r="F256" s="5" t="s">
        <v>213</v>
      </c>
      <c r="G256" s="5" t="s">
        <v>689</v>
      </c>
      <c r="H256" s="5" t="s">
        <v>222</v>
      </c>
      <c r="I256" s="5" t="s">
        <v>1093</v>
      </c>
      <c r="J256" s="5" t="s">
        <v>250</v>
      </c>
      <c r="K256" s="5" t="s">
        <v>1094</v>
      </c>
      <c r="L256" s="5" t="s">
        <v>205</v>
      </c>
      <c r="M256" s="5" t="s">
        <v>692</v>
      </c>
      <c r="N256" s="5" t="s">
        <v>286</v>
      </c>
      <c r="O256" s="5" t="s">
        <v>933</v>
      </c>
      <c r="P256" s="19" t="str">
        <f aca="false">IF(J256="S0","—",IF(K256="","",IF(L256="E0","QM",INDEX(10_ASIL_Matrix!$D$4:$F$15,MATCH(J256&amp;"-"&amp;L256,10_ASIL_Matrix!$C$4:$C$15,0),MATCH(N256,10_ASIL_Matrix!$D$3:$F$3,0)))))</f>
        <v>A</v>
      </c>
      <c r="Q256" s="5" t="s">
        <v>448</v>
      </c>
    </row>
    <row r="257" customFormat="false" ht="46.25" hidden="false" customHeight="false" outlineLevel="0" collapsed="false">
      <c r="A257" s="6" t="s">
        <v>1095</v>
      </c>
      <c r="B257" s="6" t="s">
        <v>101</v>
      </c>
      <c r="C257" s="6" t="s">
        <v>102</v>
      </c>
      <c r="D257" s="6" t="s">
        <v>143</v>
      </c>
      <c r="E257" s="6" t="s">
        <v>144</v>
      </c>
      <c r="F257" s="6" t="s">
        <v>213</v>
      </c>
      <c r="G257" s="6" t="s">
        <v>689</v>
      </c>
      <c r="H257" s="6" t="s">
        <v>224</v>
      </c>
      <c r="I257" s="6" t="s">
        <v>1096</v>
      </c>
      <c r="J257" s="6" t="s">
        <v>250</v>
      </c>
      <c r="K257" s="6" t="s">
        <v>1094</v>
      </c>
      <c r="L257" s="6" t="s">
        <v>205</v>
      </c>
      <c r="M257" s="6" t="s">
        <v>696</v>
      </c>
      <c r="N257" s="6" t="s">
        <v>286</v>
      </c>
      <c r="O257" s="6" t="s">
        <v>933</v>
      </c>
      <c r="P257" s="19" t="str">
        <f aca="false">IF(J257="S0","—",IF(K257="","",IF(L257="E0","QM",INDEX(10_ASIL_Matrix!$D$4:$F$15,MATCH(J257&amp;"-"&amp;L257,10_ASIL_Matrix!$C$4:$C$15,0),MATCH(N257,10_ASIL_Matrix!$D$3:$F$3,0)))))</f>
        <v>A</v>
      </c>
      <c r="Q257" s="6" t="s">
        <v>448</v>
      </c>
    </row>
    <row r="258" customFormat="false" ht="46.25" hidden="false" customHeight="false" outlineLevel="0" collapsed="false">
      <c r="A258" s="5" t="s">
        <v>1097</v>
      </c>
      <c r="B258" s="5" t="s">
        <v>101</v>
      </c>
      <c r="C258" s="5" t="s">
        <v>102</v>
      </c>
      <c r="D258" s="5" t="s">
        <v>143</v>
      </c>
      <c r="E258" s="5" t="s">
        <v>144</v>
      </c>
      <c r="F258" s="5" t="s">
        <v>213</v>
      </c>
      <c r="G258" s="5" t="s">
        <v>689</v>
      </c>
      <c r="H258" s="5" t="s">
        <v>226</v>
      </c>
      <c r="I258" s="5" t="s">
        <v>1098</v>
      </c>
      <c r="J258" s="5" t="s">
        <v>250</v>
      </c>
      <c r="K258" s="5" t="s">
        <v>1094</v>
      </c>
      <c r="L258" s="5" t="s">
        <v>205</v>
      </c>
      <c r="M258" s="5" t="s">
        <v>699</v>
      </c>
      <c r="N258" s="5" t="s">
        <v>286</v>
      </c>
      <c r="O258" s="5" t="s">
        <v>933</v>
      </c>
      <c r="P258" s="19" t="str">
        <f aca="false">IF(J258="S0","—",IF(K258="","",IF(L258="E0","QM",INDEX(10_ASIL_Matrix!$D$4:$F$15,MATCH(J258&amp;"-"&amp;L258,10_ASIL_Matrix!$C$4:$C$15,0),MATCH(N258,10_ASIL_Matrix!$D$3:$F$3,0)))))</f>
        <v>A</v>
      </c>
      <c r="Q258" s="5" t="s">
        <v>448</v>
      </c>
    </row>
    <row r="259" customFormat="false" ht="46.25" hidden="false" customHeight="false" outlineLevel="0" collapsed="false">
      <c r="A259" s="6" t="s">
        <v>1099</v>
      </c>
      <c r="B259" s="6" t="s">
        <v>101</v>
      </c>
      <c r="C259" s="6" t="s">
        <v>102</v>
      </c>
      <c r="D259" s="6" t="s">
        <v>143</v>
      </c>
      <c r="E259" s="6" t="s">
        <v>144</v>
      </c>
      <c r="F259" s="6" t="s">
        <v>213</v>
      </c>
      <c r="G259" s="6" t="s">
        <v>689</v>
      </c>
      <c r="H259" s="6" t="s">
        <v>228</v>
      </c>
      <c r="I259" s="6" t="s">
        <v>1100</v>
      </c>
      <c r="J259" s="6" t="s">
        <v>250</v>
      </c>
      <c r="K259" s="6" t="s">
        <v>1094</v>
      </c>
      <c r="L259" s="6" t="s">
        <v>205</v>
      </c>
      <c r="M259" s="6" t="s">
        <v>702</v>
      </c>
      <c r="N259" s="6" t="s">
        <v>286</v>
      </c>
      <c r="O259" s="6" t="s">
        <v>933</v>
      </c>
      <c r="P259" s="19" t="str">
        <f aca="false">IF(J259="S0","—",IF(K259="","",IF(L259="E0","QM",INDEX(10_ASIL_Matrix!$D$4:$F$15,MATCH(J259&amp;"-"&amp;L259,10_ASIL_Matrix!$C$4:$C$15,0),MATCH(N259,10_ASIL_Matrix!$D$3:$F$3,0)))))</f>
        <v>A</v>
      </c>
      <c r="Q259" s="6" t="s">
        <v>448</v>
      </c>
    </row>
    <row r="260" customFormat="false" ht="57.45" hidden="false" customHeight="false" outlineLevel="0" collapsed="false">
      <c r="A260" s="5" t="s">
        <v>1101</v>
      </c>
      <c r="B260" s="5" t="s">
        <v>101</v>
      </c>
      <c r="C260" s="5" t="s">
        <v>102</v>
      </c>
      <c r="D260" s="5" t="s">
        <v>143</v>
      </c>
      <c r="E260" s="5" t="s">
        <v>144</v>
      </c>
      <c r="F260" s="5" t="s">
        <v>213</v>
      </c>
      <c r="G260" s="5" t="s">
        <v>689</v>
      </c>
      <c r="H260" s="5" t="s">
        <v>230</v>
      </c>
      <c r="I260" s="5" t="s">
        <v>1102</v>
      </c>
      <c r="J260" s="5" t="s">
        <v>250</v>
      </c>
      <c r="K260" s="5" t="s">
        <v>1094</v>
      </c>
      <c r="L260" s="5" t="s">
        <v>205</v>
      </c>
      <c r="M260" s="5" t="s">
        <v>705</v>
      </c>
      <c r="N260" s="5" t="s">
        <v>290</v>
      </c>
      <c r="O260" s="5" t="s">
        <v>942</v>
      </c>
      <c r="P260" s="18" t="str">
        <f aca="false">IF(J260="S0","—",IF(K260="","",IF(L260="E0","QM",INDEX(10_ASIL_Matrix!$D$4:$F$15,MATCH(J260&amp;"-"&amp;L260,10_ASIL_Matrix!$C$4:$C$15,0),MATCH(N260,10_ASIL_Matrix!$D$3:$F$3,0)))))</f>
        <v>B</v>
      </c>
      <c r="Q260" s="5" t="s">
        <v>448</v>
      </c>
    </row>
    <row r="261" customFormat="false" ht="46.25" hidden="false" customHeight="false" outlineLevel="0" collapsed="false">
      <c r="A261" s="6" t="s">
        <v>1103</v>
      </c>
      <c r="B261" s="6" t="s">
        <v>101</v>
      </c>
      <c r="C261" s="6" t="s">
        <v>102</v>
      </c>
      <c r="D261" s="6" t="s">
        <v>143</v>
      </c>
      <c r="E261" s="6" t="s">
        <v>144</v>
      </c>
      <c r="F261" s="6" t="s">
        <v>213</v>
      </c>
      <c r="G261" s="6" t="s">
        <v>689</v>
      </c>
      <c r="H261" s="6" t="s">
        <v>232</v>
      </c>
      <c r="I261" s="6" t="s">
        <v>1104</v>
      </c>
      <c r="J261" s="6" t="s">
        <v>250</v>
      </c>
      <c r="K261" s="6" t="s">
        <v>1094</v>
      </c>
      <c r="L261" s="6" t="s">
        <v>233</v>
      </c>
      <c r="M261" s="6" t="s">
        <v>709</v>
      </c>
      <c r="N261" s="6" t="s">
        <v>286</v>
      </c>
      <c r="O261" s="6" t="s">
        <v>933</v>
      </c>
      <c r="P261" s="6" t="str">
        <f aca="false">IF(J261="S0","—",IF(K261="","",IF(L261="E0","QM",INDEX(10_ASIL_Matrix!$D$4:$F$15,MATCH(J261&amp;"-"&amp;L261,10_ASIL_Matrix!$C$4:$C$15,0),MATCH(N261,10_ASIL_Matrix!$D$3:$F$3,0)))))</f>
        <v>QM</v>
      </c>
      <c r="Q261" s="6" t="s">
        <v>448</v>
      </c>
    </row>
    <row r="262" customFormat="false" ht="46.25" hidden="false" customHeight="false" outlineLevel="0" collapsed="false">
      <c r="A262" s="5" t="s">
        <v>1105</v>
      </c>
      <c r="B262" s="5" t="s">
        <v>101</v>
      </c>
      <c r="C262" s="5" t="s">
        <v>102</v>
      </c>
      <c r="D262" s="5" t="s">
        <v>143</v>
      </c>
      <c r="E262" s="5" t="s">
        <v>144</v>
      </c>
      <c r="F262" s="5" t="s">
        <v>215</v>
      </c>
      <c r="G262" s="5" t="s">
        <v>711</v>
      </c>
      <c r="H262" s="5" t="s">
        <v>222</v>
      </c>
      <c r="I262" s="5" t="s">
        <v>1106</v>
      </c>
      <c r="J262" s="5" t="s">
        <v>250</v>
      </c>
      <c r="K262" s="5" t="s">
        <v>1107</v>
      </c>
      <c r="L262" s="5" t="s">
        <v>190</v>
      </c>
      <c r="M262" s="5" t="s">
        <v>714</v>
      </c>
      <c r="N262" s="5" t="s">
        <v>286</v>
      </c>
      <c r="O262" s="5" t="s">
        <v>933</v>
      </c>
      <c r="P262" s="18" t="str">
        <f aca="false">IF(J262="S0","—",IF(K262="","",IF(L262="E0","QM",INDEX(10_ASIL_Matrix!$D$4:$F$15,MATCH(J262&amp;"-"&amp;L262,10_ASIL_Matrix!$C$4:$C$15,0),MATCH(N262,10_ASIL_Matrix!$D$3:$F$3,0)))))</f>
        <v>B</v>
      </c>
      <c r="Q262" s="5" t="s">
        <v>448</v>
      </c>
    </row>
    <row r="263" customFormat="false" ht="46.25" hidden="false" customHeight="false" outlineLevel="0" collapsed="false">
      <c r="A263" s="6" t="s">
        <v>1108</v>
      </c>
      <c r="B263" s="6" t="s">
        <v>101</v>
      </c>
      <c r="C263" s="6" t="s">
        <v>102</v>
      </c>
      <c r="D263" s="6" t="s">
        <v>143</v>
      </c>
      <c r="E263" s="6" t="s">
        <v>144</v>
      </c>
      <c r="F263" s="6" t="s">
        <v>215</v>
      </c>
      <c r="G263" s="6" t="s">
        <v>711</v>
      </c>
      <c r="H263" s="6" t="s">
        <v>224</v>
      </c>
      <c r="I263" s="6" t="s">
        <v>1109</v>
      </c>
      <c r="J263" s="6" t="s">
        <v>250</v>
      </c>
      <c r="K263" s="6" t="s">
        <v>1107</v>
      </c>
      <c r="L263" s="6" t="s">
        <v>190</v>
      </c>
      <c r="M263" s="6" t="s">
        <v>717</v>
      </c>
      <c r="N263" s="6" t="s">
        <v>286</v>
      </c>
      <c r="O263" s="6" t="s">
        <v>933</v>
      </c>
      <c r="P263" s="18" t="str">
        <f aca="false">IF(J263="S0","—",IF(K263="","",IF(L263="E0","QM",INDEX(10_ASIL_Matrix!$D$4:$F$15,MATCH(J263&amp;"-"&amp;L263,10_ASIL_Matrix!$C$4:$C$15,0),MATCH(N263,10_ASIL_Matrix!$D$3:$F$3,0)))))</f>
        <v>B</v>
      </c>
      <c r="Q263" s="6" t="s">
        <v>448</v>
      </c>
    </row>
    <row r="264" customFormat="false" ht="46.25" hidden="false" customHeight="false" outlineLevel="0" collapsed="false">
      <c r="A264" s="5" t="s">
        <v>1110</v>
      </c>
      <c r="B264" s="5" t="s">
        <v>101</v>
      </c>
      <c r="C264" s="5" t="s">
        <v>102</v>
      </c>
      <c r="D264" s="5" t="s">
        <v>143</v>
      </c>
      <c r="E264" s="5" t="s">
        <v>144</v>
      </c>
      <c r="F264" s="5" t="s">
        <v>215</v>
      </c>
      <c r="G264" s="5" t="s">
        <v>711</v>
      </c>
      <c r="H264" s="5" t="s">
        <v>226</v>
      </c>
      <c r="I264" s="5" t="s">
        <v>1111</v>
      </c>
      <c r="J264" s="5" t="s">
        <v>250</v>
      </c>
      <c r="K264" s="5" t="s">
        <v>1107</v>
      </c>
      <c r="L264" s="5" t="s">
        <v>190</v>
      </c>
      <c r="M264" s="5" t="s">
        <v>720</v>
      </c>
      <c r="N264" s="5" t="s">
        <v>286</v>
      </c>
      <c r="O264" s="5" t="s">
        <v>933</v>
      </c>
      <c r="P264" s="18" t="str">
        <f aca="false">IF(J264="S0","—",IF(K264="","",IF(L264="E0","QM",INDEX(10_ASIL_Matrix!$D$4:$F$15,MATCH(J264&amp;"-"&amp;L264,10_ASIL_Matrix!$C$4:$C$15,0),MATCH(N264,10_ASIL_Matrix!$D$3:$F$3,0)))))</f>
        <v>B</v>
      </c>
      <c r="Q264" s="5" t="s">
        <v>448</v>
      </c>
    </row>
    <row r="265" customFormat="false" ht="46.25" hidden="false" customHeight="false" outlineLevel="0" collapsed="false">
      <c r="A265" s="6" t="s">
        <v>1112</v>
      </c>
      <c r="B265" s="6" t="s">
        <v>101</v>
      </c>
      <c r="C265" s="6" t="s">
        <v>102</v>
      </c>
      <c r="D265" s="6" t="s">
        <v>143</v>
      </c>
      <c r="E265" s="6" t="s">
        <v>144</v>
      </c>
      <c r="F265" s="6" t="s">
        <v>215</v>
      </c>
      <c r="G265" s="6" t="s">
        <v>711</v>
      </c>
      <c r="H265" s="6" t="s">
        <v>228</v>
      </c>
      <c r="I265" s="6" t="s">
        <v>1113</v>
      </c>
      <c r="J265" s="6" t="s">
        <v>250</v>
      </c>
      <c r="K265" s="6" t="s">
        <v>1107</v>
      </c>
      <c r="L265" s="6" t="s">
        <v>205</v>
      </c>
      <c r="M265" s="6" t="s">
        <v>723</v>
      </c>
      <c r="N265" s="6" t="s">
        <v>286</v>
      </c>
      <c r="O265" s="6" t="s">
        <v>933</v>
      </c>
      <c r="P265" s="19" t="str">
        <f aca="false">IF(J265="S0","—",IF(K265="","",IF(L265="E0","QM",INDEX(10_ASIL_Matrix!$D$4:$F$15,MATCH(J265&amp;"-"&amp;L265,10_ASIL_Matrix!$C$4:$C$15,0),MATCH(N265,10_ASIL_Matrix!$D$3:$F$3,0)))))</f>
        <v>A</v>
      </c>
      <c r="Q265" s="6" t="s">
        <v>448</v>
      </c>
    </row>
    <row r="266" customFormat="false" ht="57.45" hidden="false" customHeight="false" outlineLevel="0" collapsed="false">
      <c r="A266" s="5" t="s">
        <v>1114</v>
      </c>
      <c r="B266" s="5" t="s">
        <v>101</v>
      </c>
      <c r="C266" s="5" t="s">
        <v>102</v>
      </c>
      <c r="D266" s="5" t="s">
        <v>143</v>
      </c>
      <c r="E266" s="5" t="s">
        <v>144</v>
      </c>
      <c r="F266" s="5" t="s">
        <v>215</v>
      </c>
      <c r="G266" s="5" t="s">
        <v>711</v>
      </c>
      <c r="H266" s="5" t="s">
        <v>230</v>
      </c>
      <c r="I266" s="5" t="s">
        <v>1115</v>
      </c>
      <c r="J266" s="5" t="s">
        <v>250</v>
      </c>
      <c r="K266" s="5" t="s">
        <v>1107</v>
      </c>
      <c r="L266" s="5" t="s">
        <v>205</v>
      </c>
      <c r="M266" s="5" t="s">
        <v>726</v>
      </c>
      <c r="N266" s="5" t="s">
        <v>290</v>
      </c>
      <c r="O266" s="5" t="s">
        <v>942</v>
      </c>
      <c r="P266" s="18" t="str">
        <f aca="false">IF(J266="S0","—",IF(K266="","",IF(L266="E0","QM",INDEX(10_ASIL_Matrix!$D$4:$F$15,MATCH(J266&amp;"-"&amp;L266,10_ASIL_Matrix!$C$4:$C$15,0),MATCH(N266,10_ASIL_Matrix!$D$3:$F$3,0)))))</f>
        <v>B</v>
      </c>
      <c r="Q266" s="5" t="s">
        <v>448</v>
      </c>
    </row>
    <row r="267" customFormat="false" ht="46.25" hidden="false" customHeight="false" outlineLevel="0" collapsed="false">
      <c r="A267" s="6" t="s">
        <v>1116</v>
      </c>
      <c r="B267" s="6" t="s">
        <v>101</v>
      </c>
      <c r="C267" s="6" t="s">
        <v>102</v>
      </c>
      <c r="D267" s="6" t="s">
        <v>143</v>
      </c>
      <c r="E267" s="6" t="s">
        <v>144</v>
      </c>
      <c r="F267" s="6" t="s">
        <v>215</v>
      </c>
      <c r="G267" s="6" t="s">
        <v>711</v>
      </c>
      <c r="H267" s="6" t="s">
        <v>232</v>
      </c>
      <c r="I267" s="6" t="s">
        <v>1117</v>
      </c>
      <c r="J267" s="6" t="s">
        <v>250</v>
      </c>
      <c r="K267" s="6" t="s">
        <v>1107</v>
      </c>
      <c r="L267" s="6" t="s">
        <v>233</v>
      </c>
      <c r="M267" s="6" t="s">
        <v>729</v>
      </c>
      <c r="N267" s="6" t="s">
        <v>286</v>
      </c>
      <c r="O267" s="6" t="s">
        <v>933</v>
      </c>
      <c r="P267" s="6" t="str">
        <f aca="false">IF(J267="S0","—",IF(K267="","",IF(L267="E0","QM",INDEX(10_ASIL_Matrix!$D$4:$F$15,MATCH(J267&amp;"-"&amp;L267,10_ASIL_Matrix!$C$4:$C$15,0),MATCH(N267,10_ASIL_Matrix!$D$3:$F$3,0)))))</f>
        <v>QM</v>
      </c>
      <c r="Q267" s="6" t="s">
        <v>448</v>
      </c>
    </row>
    <row r="268" customFormat="false" ht="46.25" hidden="false" customHeight="false" outlineLevel="0" collapsed="false">
      <c r="A268" s="5" t="s">
        <v>1118</v>
      </c>
      <c r="B268" s="5" t="s">
        <v>101</v>
      </c>
      <c r="C268" s="5" t="s">
        <v>102</v>
      </c>
      <c r="D268" s="5" t="s">
        <v>143</v>
      </c>
      <c r="E268" s="5" t="s">
        <v>144</v>
      </c>
      <c r="F268" s="5" t="s">
        <v>217</v>
      </c>
      <c r="G268" s="5" t="s">
        <v>488</v>
      </c>
      <c r="H268" s="5" t="s">
        <v>222</v>
      </c>
      <c r="I268" s="5" t="s">
        <v>1119</v>
      </c>
      <c r="J268" s="5" t="s">
        <v>250</v>
      </c>
      <c r="K268" s="5" t="s">
        <v>1120</v>
      </c>
      <c r="L268" s="5" t="s">
        <v>190</v>
      </c>
      <c r="M268" s="5" t="s">
        <v>733</v>
      </c>
      <c r="N268" s="5" t="s">
        <v>286</v>
      </c>
      <c r="O268" s="5" t="s">
        <v>933</v>
      </c>
      <c r="P268" s="18" t="str">
        <f aca="false">IF(J268="S0","—",IF(K268="","",IF(L268="E0","QM",INDEX(10_ASIL_Matrix!$D$4:$F$15,MATCH(J268&amp;"-"&amp;L268,10_ASIL_Matrix!$C$4:$C$15,0),MATCH(N268,10_ASIL_Matrix!$D$3:$F$3,0)))))</f>
        <v>B</v>
      </c>
      <c r="Q268" s="5" t="s">
        <v>448</v>
      </c>
    </row>
    <row r="269" customFormat="false" ht="46.25" hidden="false" customHeight="false" outlineLevel="0" collapsed="false">
      <c r="A269" s="6" t="s">
        <v>1121</v>
      </c>
      <c r="B269" s="6" t="s">
        <v>101</v>
      </c>
      <c r="C269" s="6" t="s">
        <v>102</v>
      </c>
      <c r="D269" s="6" t="s">
        <v>143</v>
      </c>
      <c r="E269" s="6" t="s">
        <v>144</v>
      </c>
      <c r="F269" s="6" t="s">
        <v>217</v>
      </c>
      <c r="G269" s="6" t="s">
        <v>488</v>
      </c>
      <c r="H269" s="6" t="s">
        <v>224</v>
      </c>
      <c r="I269" s="6" t="s">
        <v>1122</v>
      </c>
      <c r="J269" s="6" t="s">
        <v>250</v>
      </c>
      <c r="K269" s="6" t="s">
        <v>1120</v>
      </c>
      <c r="L269" s="6" t="s">
        <v>190</v>
      </c>
      <c r="M269" s="6" t="s">
        <v>736</v>
      </c>
      <c r="N269" s="6" t="s">
        <v>286</v>
      </c>
      <c r="O269" s="6" t="s">
        <v>933</v>
      </c>
      <c r="P269" s="18" t="str">
        <f aca="false">IF(J269="S0","—",IF(K269="","",IF(L269="E0","QM",INDEX(10_ASIL_Matrix!$D$4:$F$15,MATCH(J269&amp;"-"&amp;L269,10_ASIL_Matrix!$C$4:$C$15,0),MATCH(N269,10_ASIL_Matrix!$D$3:$F$3,0)))))</f>
        <v>B</v>
      </c>
      <c r="Q269" s="6" t="s">
        <v>448</v>
      </c>
    </row>
    <row r="270" customFormat="false" ht="46.25" hidden="false" customHeight="false" outlineLevel="0" collapsed="false">
      <c r="A270" s="5" t="s">
        <v>1123</v>
      </c>
      <c r="B270" s="5" t="s">
        <v>101</v>
      </c>
      <c r="C270" s="5" t="s">
        <v>102</v>
      </c>
      <c r="D270" s="5" t="s">
        <v>143</v>
      </c>
      <c r="E270" s="5" t="s">
        <v>144</v>
      </c>
      <c r="F270" s="5" t="s">
        <v>217</v>
      </c>
      <c r="G270" s="5" t="s">
        <v>488</v>
      </c>
      <c r="H270" s="5" t="s">
        <v>226</v>
      </c>
      <c r="I270" s="5" t="s">
        <v>1124</v>
      </c>
      <c r="J270" s="5" t="s">
        <v>250</v>
      </c>
      <c r="K270" s="5" t="s">
        <v>1120</v>
      </c>
      <c r="L270" s="5" t="s">
        <v>190</v>
      </c>
      <c r="M270" s="5" t="s">
        <v>739</v>
      </c>
      <c r="N270" s="5" t="s">
        <v>286</v>
      </c>
      <c r="O270" s="5" t="s">
        <v>933</v>
      </c>
      <c r="P270" s="18" t="str">
        <f aca="false">IF(J270="S0","—",IF(K270="","",IF(L270="E0","QM",INDEX(10_ASIL_Matrix!$D$4:$F$15,MATCH(J270&amp;"-"&amp;L270,10_ASIL_Matrix!$C$4:$C$15,0),MATCH(N270,10_ASIL_Matrix!$D$3:$F$3,0)))))</f>
        <v>B</v>
      </c>
      <c r="Q270" s="5" t="s">
        <v>448</v>
      </c>
    </row>
    <row r="271" customFormat="false" ht="46.25" hidden="false" customHeight="false" outlineLevel="0" collapsed="false">
      <c r="A271" s="6" t="s">
        <v>1125</v>
      </c>
      <c r="B271" s="6" t="s">
        <v>101</v>
      </c>
      <c r="C271" s="6" t="s">
        <v>102</v>
      </c>
      <c r="D271" s="6" t="s">
        <v>143</v>
      </c>
      <c r="E271" s="6" t="s">
        <v>144</v>
      </c>
      <c r="F271" s="6" t="s">
        <v>217</v>
      </c>
      <c r="G271" s="6" t="s">
        <v>488</v>
      </c>
      <c r="H271" s="6" t="s">
        <v>228</v>
      </c>
      <c r="I271" s="6" t="s">
        <v>1126</v>
      </c>
      <c r="J271" s="6" t="s">
        <v>250</v>
      </c>
      <c r="K271" s="6" t="s">
        <v>1120</v>
      </c>
      <c r="L271" s="6" t="s">
        <v>205</v>
      </c>
      <c r="M271" s="6" t="s">
        <v>742</v>
      </c>
      <c r="N271" s="6" t="s">
        <v>286</v>
      </c>
      <c r="O271" s="6" t="s">
        <v>933</v>
      </c>
      <c r="P271" s="19" t="str">
        <f aca="false">IF(J271="S0","—",IF(K271="","",IF(L271="E0","QM",INDEX(10_ASIL_Matrix!$D$4:$F$15,MATCH(J271&amp;"-"&amp;L271,10_ASIL_Matrix!$C$4:$C$15,0),MATCH(N271,10_ASIL_Matrix!$D$3:$F$3,0)))))</f>
        <v>A</v>
      </c>
      <c r="Q271" s="6" t="s">
        <v>448</v>
      </c>
    </row>
    <row r="272" customFormat="false" ht="57.45" hidden="false" customHeight="false" outlineLevel="0" collapsed="false">
      <c r="A272" s="5" t="s">
        <v>1127</v>
      </c>
      <c r="B272" s="5" t="s">
        <v>101</v>
      </c>
      <c r="C272" s="5" t="s">
        <v>102</v>
      </c>
      <c r="D272" s="5" t="s">
        <v>143</v>
      </c>
      <c r="E272" s="5" t="s">
        <v>144</v>
      </c>
      <c r="F272" s="5" t="s">
        <v>217</v>
      </c>
      <c r="G272" s="5" t="s">
        <v>488</v>
      </c>
      <c r="H272" s="5" t="s">
        <v>230</v>
      </c>
      <c r="I272" s="5" t="s">
        <v>1128</v>
      </c>
      <c r="J272" s="5" t="s">
        <v>250</v>
      </c>
      <c r="K272" s="5" t="s">
        <v>1120</v>
      </c>
      <c r="L272" s="5" t="s">
        <v>205</v>
      </c>
      <c r="M272" s="5" t="s">
        <v>745</v>
      </c>
      <c r="N272" s="5" t="s">
        <v>290</v>
      </c>
      <c r="O272" s="5" t="s">
        <v>942</v>
      </c>
      <c r="P272" s="18" t="str">
        <f aca="false">IF(J272="S0","—",IF(K272="","",IF(L272="E0","QM",INDEX(10_ASIL_Matrix!$D$4:$F$15,MATCH(J272&amp;"-"&amp;L272,10_ASIL_Matrix!$C$4:$C$15,0),MATCH(N272,10_ASIL_Matrix!$D$3:$F$3,0)))))</f>
        <v>B</v>
      </c>
      <c r="Q272" s="5" t="s">
        <v>448</v>
      </c>
    </row>
    <row r="273" customFormat="false" ht="46.25" hidden="false" customHeight="false" outlineLevel="0" collapsed="false">
      <c r="A273" s="6" t="s">
        <v>1129</v>
      </c>
      <c r="B273" s="6" t="s">
        <v>101</v>
      </c>
      <c r="C273" s="6" t="s">
        <v>102</v>
      </c>
      <c r="D273" s="6" t="s">
        <v>143</v>
      </c>
      <c r="E273" s="6" t="s">
        <v>144</v>
      </c>
      <c r="F273" s="6" t="s">
        <v>217</v>
      </c>
      <c r="G273" s="6" t="s">
        <v>488</v>
      </c>
      <c r="H273" s="6" t="s">
        <v>232</v>
      </c>
      <c r="I273" s="6" t="s">
        <v>1130</v>
      </c>
      <c r="J273" s="6" t="s">
        <v>250</v>
      </c>
      <c r="K273" s="6" t="s">
        <v>1120</v>
      </c>
      <c r="L273" s="6" t="s">
        <v>233</v>
      </c>
      <c r="M273" s="6" t="s">
        <v>748</v>
      </c>
      <c r="N273" s="6" t="s">
        <v>286</v>
      </c>
      <c r="O273" s="6" t="s">
        <v>933</v>
      </c>
      <c r="P273" s="6" t="str">
        <f aca="false">IF(J273="S0","—",IF(K273="","",IF(L273="E0","QM",INDEX(10_ASIL_Matrix!$D$4:$F$15,MATCH(J273&amp;"-"&amp;L273,10_ASIL_Matrix!$C$4:$C$15,0),MATCH(N273,10_ASIL_Matrix!$D$3:$F$3,0)))))</f>
        <v>QM</v>
      </c>
      <c r="Q273" s="6" t="s">
        <v>448</v>
      </c>
    </row>
    <row r="274" customFormat="false" ht="46.25" hidden="false" customHeight="false" outlineLevel="0" collapsed="false">
      <c r="A274" s="5" t="s">
        <v>1131</v>
      </c>
      <c r="B274" s="5" t="s">
        <v>101</v>
      </c>
      <c r="C274" s="5" t="s">
        <v>102</v>
      </c>
      <c r="D274" s="5" t="s">
        <v>146</v>
      </c>
      <c r="E274" s="5" t="s">
        <v>147</v>
      </c>
      <c r="F274" s="5" t="s">
        <v>186</v>
      </c>
      <c r="G274" s="5" t="s">
        <v>443</v>
      </c>
      <c r="H274" s="5" t="s">
        <v>222</v>
      </c>
      <c r="I274" s="5" t="s">
        <v>1132</v>
      </c>
      <c r="J274" s="5" t="s">
        <v>250</v>
      </c>
      <c r="K274" s="5" t="s">
        <v>445</v>
      </c>
      <c r="L274" s="5" t="s">
        <v>187</v>
      </c>
      <c r="M274" s="5" t="s">
        <v>446</v>
      </c>
      <c r="N274" s="5" t="s">
        <v>282</v>
      </c>
      <c r="O274" s="5" t="s">
        <v>1133</v>
      </c>
      <c r="P274" s="18" t="str">
        <f aca="false">IF(J274="S0","—",IF(K274="","",IF(L274="E0","QM",INDEX(10_ASIL_Matrix!$D$4:$F$15,MATCH(J274&amp;"-"&amp;L274,10_ASIL_Matrix!$C$4:$C$15,0),MATCH(N274,10_ASIL_Matrix!$D$3:$F$3,0)))))</f>
        <v>B</v>
      </c>
      <c r="Q274" s="5" t="s">
        <v>448</v>
      </c>
    </row>
    <row r="275" customFormat="false" ht="46.25" hidden="false" customHeight="false" outlineLevel="0" collapsed="false">
      <c r="A275" s="6" t="s">
        <v>1134</v>
      </c>
      <c r="B275" s="6" t="s">
        <v>101</v>
      </c>
      <c r="C275" s="6" t="s">
        <v>102</v>
      </c>
      <c r="D275" s="6" t="s">
        <v>146</v>
      </c>
      <c r="E275" s="6" t="s">
        <v>147</v>
      </c>
      <c r="F275" s="6" t="s">
        <v>186</v>
      </c>
      <c r="G275" s="6" t="s">
        <v>443</v>
      </c>
      <c r="H275" s="6" t="s">
        <v>224</v>
      </c>
      <c r="I275" s="6" t="s">
        <v>1135</v>
      </c>
      <c r="J275" s="6" t="s">
        <v>250</v>
      </c>
      <c r="K275" s="6" t="s">
        <v>445</v>
      </c>
      <c r="L275" s="6" t="s">
        <v>190</v>
      </c>
      <c r="M275" s="6" t="s">
        <v>451</v>
      </c>
      <c r="N275" s="6" t="s">
        <v>282</v>
      </c>
      <c r="O275" s="6" t="s">
        <v>1133</v>
      </c>
      <c r="P275" s="19" t="str">
        <f aca="false">IF(J275="S0","—",IF(K275="","",IF(L275="E0","QM",INDEX(10_ASIL_Matrix!$D$4:$F$15,MATCH(J275&amp;"-"&amp;L275,10_ASIL_Matrix!$C$4:$C$15,0),MATCH(N275,10_ASIL_Matrix!$D$3:$F$3,0)))))</f>
        <v>A</v>
      </c>
      <c r="Q275" s="6" t="s">
        <v>448</v>
      </c>
    </row>
    <row r="276" customFormat="false" ht="46.25" hidden="false" customHeight="false" outlineLevel="0" collapsed="false">
      <c r="A276" s="5" t="s">
        <v>1136</v>
      </c>
      <c r="B276" s="5" t="s">
        <v>101</v>
      </c>
      <c r="C276" s="5" t="s">
        <v>102</v>
      </c>
      <c r="D276" s="5" t="s">
        <v>146</v>
      </c>
      <c r="E276" s="5" t="s">
        <v>147</v>
      </c>
      <c r="F276" s="5" t="s">
        <v>186</v>
      </c>
      <c r="G276" s="5" t="s">
        <v>443</v>
      </c>
      <c r="H276" s="5" t="s">
        <v>226</v>
      </c>
      <c r="I276" s="5" t="s">
        <v>1137</v>
      </c>
      <c r="J276" s="5" t="s">
        <v>250</v>
      </c>
      <c r="K276" s="5" t="s">
        <v>445</v>
      </c>
      <c r="L276" s="5" t="s">
        <v>190</v>
      </c>
      <c r="M276" s="5" t="s">
        <v>454</v>
      </c>
      <c r="N276" s="5" t="s">
        <v>282</v>
      </c>
      <c r="O276" s="5" t="s">
        <v>1133</v>
      </c>
      <c r="P276" s="19" t="str">
        <f aca="false">IF(J276="S0","—",IF(K276="","",IF(L276="E0","QM",INDEX(10_ASIL_Matrix!$D$4:$F$15,MATCH(J276&amp;"-"&amp;L276,10_ASIL_Matrix!$C$4:$C$15,0),MATCH(N276,10_ASIL_Matrix!$D$3:$F$3,0)))))</f>
        <v>A</v>
      </c>
      <c r="Q276" s="5" t="s">
        <v>448</v>
      </c>
    </row>
    <row r="277" customFormat="false" ht="46.25" hidden="false" customHeight="false" outlineLevel="0" collapsed="false">
      <c r="A277" s="6" t="s">
        <v>1138</v>
      </c>
      <c r="B277" s="6" t="s">
        <v>101</v>
      </c>
      <c r="C277" s="6" t="s">
        <v>102</v>
      </c>
      <c r="D277" s="6" t="s">
        <v>146</v>
      </c>
      <c r="E277" s="6" t="s">
        <v>147</v>
      </c>
      <c r="F277" s="6" t="s">
        <v>186</v>
      </c>
      <c r="G277" s="6" t="s">
        <v>443</v>
      </c>
      <c r="H277" s="6" t="s">
        <v>228</v>
      </c>
      <c r="I277" s="6" t="s">
        <v>1139</v>
      </c>
      <c r="J277" s="6" t="s">
        <v>250</v>
      </c>
      <c r="K277" s="6" t="s">
        <v>445</v>
      </c>
      <c r="L277" s="6" t="s">
        <v>205</v>
      </c>
      <c r="M277" s="6" t="s">
        <v>457</v>
      </c>
      <c r="N277" s="6" t="s">
        <v>282</v>
      </c>
      <c r="O277" s="6" t="s">
        <v>1133</v>
      </c>
      <c r="P277" s="6" t="str">
        <f aca="false">IF(J277="S0","—",IF(K277="","",IF(L277="E0","QM",INDEX(10_ASIL_Matrix!$D$4:$F$15,MATCH(J277&amp;"-"&amp;L277,10_ASIL_Matrix!$C$4:$C$15,0),MATCH(N277,10_ASIL_Matrix!$D$3:$F$3,0)))))</f>
        <v>QM</v>
      </c>
      <c r="Q277" s="6" t="s">
        <v>448</v>
      </c>
    </row>
    <row r="278" customFormat="false" ht="57.45" hidden="false" customHeight="false" outlineLevel="0" collapsed="false">
      <c r="A278" s="5" t="s">
        <v>1140</v>
      </c>
      <c r="B278" s="5" t="s">
        <v>101</v>
      </c>
      <c r="C278" s="5" t="s">
        <v>102</v>
      </c>
      <c r="D278" s="5" t="s">
        <v>146</v>
      </c>
      <c r="E278" s="5" t="s">
        <v>147</v>
      </c>
      <c r="F278" s="5" t="s">
        <v>186</v>
      </c>
      <c r="G278" s="5" t="s">
        <v>443</v>
      </c>
      <c r="H278" s="5" t="s">
        <v>230</v>
      </c>
      <c r="I278" s="5" t="s">
        <v>1141</v>
      </c>
      <c r="J278" s="5" t="s">
        <v>250</v>
      </c>
      <c r="K278" s="5" t="s">
        <v>445</v>
      </c>
      <c r="L278" s="5" t="s">
        <v>205</v>
      </c>
      <c r="M278" s="5" t="s">
        <v>460</v>
      </c>
      <c r="N278" s="5" t="s">
        <v>286</v>
      </c>
      <c r="O278" s="5" t="s">
        <v>1142</v>
      </c>
      <c r="P278" s="19" t="str">
        <f aca="false">IF(J278="S0","—",IF(K278="","",IF(L278="E0","QM",INDEX(10_ASIL_Matrix!$D$4:$F$15,MATCH(J278&amp;"-"&amp;L278,10_ASIL_Matrix!$C$4:$C$15,0),MATCH(N278,10_ASIL_Matrix!$D$3:$F$3,0)))))</f>
        <v>A</v>
      </c>
      <c r="Q278" s="5" t="s">
        <v>448</v>
      </c>
    </row>
    <row r="279" customFormat="false" ht="46.25" hidden="false" customHeight="false" outlineLevel="0" collapsed="false">
      <c r="A279" s="6" t="s">
        <v>1143</v>
      </c>
      <c r="B279" s="6" t="s">
        <v>101</v>
      </c>
      <c r="C279" s="6" t="s">
        <v>102</v>
      </c>
      <c r="D279" s="6" t="s">
        <v>146</v>
      </c>
      <c r="E279" s="6" t="s">
        <v>147</v>
      </c>
      <c r="F279" s="6" t="s">
        <v>186</v>
      </c>
      <c r="G279" s="6" t="s">
        <v>443</v>
      </c>
      <c r="H279" s="6" t="s">
        <v>232</v>
      </c>
      <c r="I279" s="6" t="s">
        <v>1144</v>
      </c>
      <c r="J279" s="6" t="s">
        <v>250</v>
      </c>
      <c r="K279" s="6" t="s">
        <v>445</v>
      </c>
      <c r="L279" s="6" t="s">
        <v>233</v>
      </c>
      <c r="M279" s="6" t="s">
        <v>464</v>
      </c>
      <c r="N279" s="6" t="s">
        <v>282</v>
      </c>
      <c r="O279" s="6" t="s">
        <v>1133</v>
      </c>
      <c r="P279" s="6" t="str">
        <f aca="false">IF(J279="S0","—",IF(K279="","",IF(L279="E0","QM",INDEX(10_ASIL_Matrix!$D$4:$F$15,MATCH(J279&amp;"-"&amp;L279,10_ASIL_Matrix!$C$4:$C$15,0),MATCH(N279,10_ASIL_Matrix!$D$3:$F$3,0)))))</f>
        <v>QM</v>
      </c>
      <c r="Q279" s="6" t="s">
        <v>448</v>
      </c>
    </row>
    <row r="280" customFormat="false" ht="46.25" hidden="false" customHeight="false" outlineLevel="0" collapsed="false">
      <c r="A280" s="5" t="s">
        <v>1145</v>
      </c>
      <c r="B280" s="5" t="s">
        <v>101</v>
      </c>
      <c r="C280" s="5" t="s">
        <v>102</v>
      </c>
      <c r="D280" s="5" t="s">
        <v>146</v>
      </c>
      <c r="E280" s="5" t="s">
        <v>147</v>
      </c>
      <c r="F280" s="5" t="s">
        <v>189</v>
      </c>
      <c r="G280" s="5" t="s">
        <v>466</v>
      </c>
      <c r="H280" s="5" t="s">
        <v>222</v>
      </c>
      <c r="I280" s="5" t="s">
        <v>1146</v>
      </c>
      <c r="J280" s="5" t="s">
        <v>250</v>
      </c>
      <c r="K280" s="5" t="s">
        <v>468</v>
      </c>
      <c r="L280" s="5" t="s">
        <v>190</v>
      </c>
      <c r="M280" s="5" t="s">
        <v>469</v>
      </c>
      <c r="N280" s="5" t="s">
        <v>286</v>
      </c>
      <c r="O280" s="5" t="s">
        <v>1147</v>
      </c>
      <c r="P280" s="18" t="str">
        <f aca="false">IF(J280="S0","—",IF(K280="","",IF(L280="E0","QM",INDEX(10_ASIL_Matrix!$D$4:$F$15,MATCH(J280&amp;"-"&amp;L280,10_ASIL_Matrix!$C$4:$C$15,0),MATCH(N280,10_ASIL_Matrix!$D$3:$F$3,0)))))</f>
        <v>B</v>
      </c>
      <c r="Q280" s="5" t="s">
        <v>448</v>
      </c>
    </row>
    <row r="281" customFormat="false" ht="46.25" hidden="false" customHeight="false" outlineLevel="0" collapsed="false">
      <c r="A281" s="6" t="s">
        <v>1148</v>
      </c>
      <c r="B281" s="6" t="s">
        <v>101</v>
      </c>
      <c r="C281" s="6" t="s">
        <v>102</v>
      </c>
      <c r="D281" s="6" t="s">
        <v>146</v>
      </c>
      <c r="E281" s="6" t="s">
        <v>147</v>
      </c>
      <c r="F281" s="6" t="s">
        <v>189</v>
      </c>
      <c r="G281" s="6" t="s">
        <v>466</v>
      </c>
      <c r="H281" s="6" t="s">
        <v>224</v>
      </c>
      <c r="I281" s="6" t="s">
        <v>1149</v>
      </c>
      <c r="J281" s="6" t="s">
        <v>250</v>
      </c>
      <c r="K281" s="6" t="s">
        <v>468</v>
      </c>
      <c r="L281" s="6" t="s">
        <v>190</v>
      </c>
      <c r="M281" s="6" t="s">
        <v>473</v>
      </c>
      <c r="N281" s="6" t="s">
        <v>286</v>
      </c>
      <c r="O281" s="6" t="s">
        <v>1147</v>
      </c>
      <c r="P281" s="18" t="str">
        <f aca="false">IF(J281="S0","—",IF(K281="","",IF(L281="E0","QM",INDEX(10_ASIL_Matrix!$D$4:$F$15,MATCH(J281&amp;"-"&amp;L281,10_ASIL_Matrix!$C$4:$C$15,0),MATCH(N281,10_ASIL_Matrix!$D$3:$F$3,0)))))</f>
        <v>B</v>
      </c>
      <c r="Q281" s="6" t="s">
        <v>448</v>
      </c>
    </row>
    <row r="282" customFormat="false" ht="46.25" hidden="false" customHeight="false" outlineLevel="0" collapsed="false">
      <c r="A282" s="5" t="s">
        <v>1150</v>
      </c>
      <c r="B282" s="5" t="s">
        <v>101</v>
      </c>
      <c r="C282" s="5" t="s">
        <v>102</v>
      </c>
      <c r="D282" s="5" t="s">
        <v>146</v>
      </c>
      <c r="E282" s="5" t="s">
        <v>147</v>
      </c>
      <c r="F282" s="5" t="s">
        <v>189</v>
      </c>
      <c r="G282" s="5" t="s">
        <v>466</v>
      </c>
      <c r="H282" s="5" t="s">
        <v>226</v>
      </c>
      <c r="I282" s="5" t="s">
        <v>1151</v>
      </c>
      <c r="J282" s="5" t="s">
        <v>250</v>
      </c>
      <c r="K282" s="5" t="s">
        <v>468</v>
      </c>
      <c r="L282" s="5" t="s">
        <v>190</v>
      </c>
      <c r="M282" s="5" t="s">
        <v>476</v>
      </c>
      <c r="N282" s="5" t="s">
        <v>286</v>
      </c>
      <c r="O282" s="5" t="s">
        <v>1147</v>
      </c>
      <c r="P282" s="18" t="str">
        <f aca="false">IF(J282="S0","—",IF(K282="","",IF(L282="E0","QM",INDEX(10_ASIL_Matrix!$D$4:$F$15,MATCH(J282&amp;"-"&amp;L282,10_ASIL_Matrix!$C$4:$C$15,0),MATCH(N282,10_ASIL_Matrix!$D$3:$F$3,0)))))</f>
        <v>B</v>
      </c>
      <c r="Q282" s="5" t="s">
        <v>448</v>
      </c>
    </row>
    <row r="283" customFormat="false" ht="46.25" hidden="false" customHeight="false" outlineLevel="0" collapsed="false">
      <c r="A283" s="6" t="s">
        <v>1152</v>
      </c>
      <c r="B283" s="6" t="s">
        <v>101</v>
      </c>
      <c r="C283" s="6" t="s">
        <v>102</v>
      </c>
      <c r="D283" s="6" t="s">
        <v>146</v>
      </c>
      <c r="E283" s="6" t="s">
        <v>147</v>
      </c>
      <c r="F283" s="6" t="s">
        <v>189</v>
      </c>
      <c r="G283" s="6" t="s">
        <v>466</v>
      </c>
      <c r="H283" s="6" t="s">
        <v>228</v>
      </c>
      <c r="I283" s="6" t="s">
        <v>1153</v>
      </c>
      <c r="J283" s="6" t="s">
        <v>250</v>
      </c>
      <c r="K283" s="6" t="s">
        <v>468</v>
      </c>
      <c r="L283" s="6" t="s">
        <v>205</v>
      </c>
      <c r="M283" s="6" t="s">
        <v>479</v>
      </c>
      <c r="N283" s="6" t="s">
        <v>286</v>
      </c>
      <c r="O283" s="6" t="s">
        <v>1147</v>
      </c>
      <c r="P283" s="19" t="str">
        <f aca="false">IF(J283="S0","—",IF(K283="","",IF(L283="E0","QM",INDEX(10_ASIL_Matrix!$D$4:$F$15,MATCH(J283&amp;"-"&amp;L283,10_ASIL_Matrix!$C$4:$C$15,0),MATCH(N283,10_ASIL_Matrix!$D$3:$F$3,0)))))</f>
        <v>A</v>
      </c>
      <c r="Q283" s="6" t="s">
        <v>448</v>
      </c>
    </row>
    <row r="284" customFormat="false" ht="68.65" hidden="false" customHeight="false" outlineLevel="0" collapsed="false">
      <c r="A284" s="5" t="s">
        <v>1154</v>
      </c>
      <c r="B284" s="5" t="s">
        <v>101</v>
      </c>
      <c r="C284" s="5" t="s">
        <v>102</v>
      </c>
      <c r="D284" s="5" t="s">
        <v>146</v>
      </c>
      <c r="E284" s="5" t="s">
        <v>147</v>
      </c>
      <c r="F284" s="5" t="s">
        <v>189</v>
      </c>
      <c r="G284" s="5" t="s">
        <v>466</v>
      </c>
      <c r="H284" s="5" t="s">
        <v>230</v>
      </c>
      <c r="I284" s="5" t="s">
        <v>1155</v>
      </c>
      <c r="J284" s="5" t="s">
        <v>250</v>
      </c>
      <c r="K284" s="5" t="s">
        <v>468</v>
      </c>
      <c r="L284" s="5" t="s">
        <v>205</v>
      </c>
      <c r="M284" s="5" t="s">
        <v>482</v>
      </c>
      <c r="N284" s="5" t="s">
        <v>290</v>
      </c>
      <c r="O284" s="5" t="s">
        <v>1156</v>
      </c>
      <c r="P284" s="18" t="str">
        <f aca="false">IF(J284="S0","—",IF(K284="","",IF(L284="E0","QM",INDEX(10_ASIL_Matrix!$D$4:$F$15,MATCH(J284&amp;"-"&amp;L284,10_ASIL_Matrix!$C$4:$C$15,0),MATCH(N284,10_ASIL_Matrix!$D$3:$F$3,0)))))</f>
        <v>B</v>
      </c>
      <c r="Q284" s="5" t="s">
        <v>448</v>
      </c>
    </row>
    <row r="285" customFormat="false" ht="46.25" hidden="false" customHeight="false" outlineLevel="0" collapsed="false">
      <c r="A285" s="6" t="s">
        <v>1157</v>
      </c>
      <c r="B285" s="6" t="s">
        <v>101</v>
      </c>
      <c r="C285" s="6" t="s">
        <v>102</v>
      </c>
      <c r="D285" s="6" t="s">
        <v>146</v>
      </c>
      <c r="E285" s="6" t="s">
        <v>147</v>
      </c>
      <c r="F285" s="6" t="s">
        <v>189</v>
      </c>
      <c r="G285" s="6" t="s">
        <v>466</v>
      </c>
      <c r="H285" s="6" t="s">
        <v>232</v>
      </c>
      <c r="I285" s="6" t="s">
        <v>1158</v>
      </c>
      <c r="J285" s="6" t="s">
        <v>250</v>
      </c>
      <c r="K285" s="6" t="s">
        <v>468</v>
      </c>
      <c r="L285" s="6" t="s">
        <v>233</v>
      </c>
      <c r="M285" s="6" t="s">
        <v>486</v>
      </c>
      <c r="N285" s="6" t="s">
        <v>286</v>
      </c>
      <c r="O285" s="6" t="s">
        <v>1147</v>
      </c>
      <c r="P285" s="6" t="str">
        <f aca="false">IF(J285="S0","—",IF(K285="","",IF(L285="E0","QM",INDEX(10_ASIL_Matrix!$D$4:$F$15,MATCH(J285&amp;"-"&amp;L285,10_ASIL_Matrix!$C$4:$C$15,0),MATCH(N285,10_ASIL_Matrix!$D$3:$F$3,0)))))</f>
        <v>QM</v>
      </c>
      <c r="Q285" s="6" t="s">
        <v>448</v>
      </c>
    </row>
    <row r="286" customFormat="false" ht="46.25" hidden="false" customHeight="false" outlineLevel="0" collapsed="false">
      <c r="A286" s="5" t="s">
        <v>1159</v>
      </c>
      <c r="B286" s="5" t="s">
        <v>101</v>
      </c>
      <c r="C286" s="5" t="s">
        <v>102</v>
      </c>
      <c r="D286" s="5" t="s">
        <v>146</v>
      </c>
      <c r="E286" s="5" t="s">
        <v>147</v>
      </c>
      <c r="F286" s="5" t="s">
        <v>192</v>
      </c>
      <c r="G286" s="5" t="s">
        <v>488</v>
      </c>
      <c r="H286" s="5" t="s">
        <v>222</v>
      </c>
      <c r="I286" s="5" t="s">
        <v>1160</v>
      </c>
      <c r="J286" s="5" t="s">
        <v>250</v>
      </c>
      <c r="K286" s="5" t="s">
        <v>490</v>
      </c>
      <c r="L286" s="5" t="s">
        <v>187</v>
      </c>
      <c r="M286" s="5" t="s">
        <v>491</v>
      </c>
      <c r="N286" s="5" t="s">
        <v>282</v>
      </c>
      <c r="O286" s="5" t="s">
        <v>1133</v>
      </c>
      <c r="P286" s="18" t="str">
        <f aca="false">IF(J286="S0","—",IF(K286="","",IF(L286="E0","QM",INDEX(10_ASIL_Matrix!$D$4:$F$15,MATCH(J286&amp;"-"&amp;L286,10_ASIL_Matrix!$C$4:$C$15,0),MATCH(N286,10_ASIL_Matrix!$D$3:$F$3,0)))))</f>
        <v>B</v>
      </c>
      <c r="Q286" s="5" t="s">
        <v>448</v>
      </c>
    </row>
    <row r="287" customFormat="false" ht="46.25" hidden="false" customHeight="false" outlineLevel="0" collapsed="false">
      <c r="A287" s="6" t="s">
        <v>1161</v>
      </c>
      <c r="B287" s="6" t="s">
        <v>101</v>
      </c>
      <c r="C287" s="6" t="s">
        <v>102</v>
      </c>
      <c r="D287" s="6" t="s">
        <v>146</v>
      </c>
      <c r="E287" s="6" t="s">
        <v>147</v>
      </c>
      <c r="F287" s="6" t="s">
        <v>192</v>
      </c>
      <c r="G287" s="6" t="s">
        <v>488</v>
      </c>
      <c r="H287" s="6" t="s">
        <v>224</v>
      </c>
      <c r="I287" s="6" t="s">
        <v>1162</v>
      </c>
      <c r="J287" s="6" t="s">
        <v>250</v>
      </c>
      <c r="K287" s="6" t="s">
        <v>490</v>
      </c>
      <c r="L287" s="6" t="s">
        <v>190</v>
      </c>
      <c r="M287" s="6" t="s">
        <v>494</v>
      </c>
      <c r="N287" s="6" t="s">
        <v>282</v>
      </c>
      <c r="O287" s="6" t="s">
        <v>1133</v>
      </c>
      <c r="P287" s="19" t="str">
        <f aca="false">IF(J287="S0","—",IF(K287="","",IF(L287="E0","QM",INDEX(10_ASIL_Matrix!$D$4:$F$15,MATCH(J287&amp;"-"&amp;L287,10_ASIL_Matrix!$C$4:$C$15,0),MATCH(N287,10_ASIL_Matrix!$D$3:$F$3,0)))))</f>
        <v>A</v>
      </c>
      <c r="Q287" s="6" t="s">
        <v>448</v>
      </c>
    </row>
    <row r="288" customFormat="false" ht="46.25" hidden="false" customHeight="false" outlineLevel="0" collapsed="false">
      <c r="A288" s="5" t="s">
        <v>1163</v>
      </c>
      <c r="B288" s="5" t="s">
        <v>101</v>
      </c>
      <c r="C288" s="5" t="s">
        <v>102</v>
      </c>
      <c r="D288" s="5" t="s">
        <v>146</v>
      </c>
      <c r="E288" s="5" t="s">
        <v>147</v>
      </c>
      <c r="F288" s="5" t="s">
        <v>192</v>
      </c>
      <c r="G288" s="5" t="s">
        <v>488</v>
      </c>
      <c r="H288" s="5" t="s">
        <v>226</v>
      </c>
      <c r="I288" s="5" t="s">
        <v>1164</v>
      </c>
      <c r="J288" s="5" t="s">
        <v>250</v>
      </c>
      <c r="K288" s="5" t="s">
        <v>490</v>
      </c>
      <c r="L288" s="5" t="s">
        <v>190</v>
      </c>
      <c r="M288" s="5" t="s">
        <v>497</v>
      </c>
      <c r="N288" s="5" t="s">
        <v>282</v>
      </c>
      <c r="O288" s="5" t="s">
        <v>1133</v>
      </c>
      <c r="P288" s="19" t="str">
        <f aca="false">IF(J288="S0","—",IF(K288="","",IF(L288="E0","QM",INDEX(10_ASIL_Matrix!$D$4:$F$15,MATCH(J288&amp;"-"&amp;L288,10_ASIL_Matrix!$C$4:$C$15,0),MATCH(N288,10_ASIL_Matrix!$D$3:$F$3,0)))))</f>
        <v>A</v>
      </c>
      <c r="Q288" s="5" t="s">
        <v>448</v>
      </c>
    </row>
    <row r="289" customFormat="false" ht="46.25" hidden="false" customHeight="false" outlineLevel="0" collapsed="false">
      <c r="A289" s="6" t="s">
        <v>1165</v>
      </c>
      <c r="B289" s="6" t="s">
        <v>101</v>
      </c>
      <c r="C289" s="6" t="s">
        <v>102</v>
      </c>
      <c r="D289" s="6" t="s">
        <v>146</v>
      </c>
      <c r="E289" s="6" t="s">
        <v>147</v>
      </c>
      <c r="F289" s="6" t="s">
        <v>192</v>
      </c>
      <c r="G289" s="6" t="s">
        <v>488</v>
      </c>
      <c r="H289" s="6" t="s">
        <v>228</v>
      </c>
      <c r="I289" s="6" t="s">
        <v>1166</v>
      </c>
      <c r="J289" s="6" t="s">
        <v>250</v>
      </c>
      <c r="K289" s="6" t="s">
        <v>490</v>
      </c>
      <c r="L289" s="6" t="s">
        <v>205</v>
      </c>
      <c r="M289" s="6" t="s">
        <v>500</v>
      </c>
      <c r="N289" s="6" t="s">
        <v>282</v>
      </c>
      <c r="O289" s="6" t="s">
        <v>1133</v>
      </c>
      <c r="P289" s="6" t="str">
        <f aca="false">IF(J289="S0","—",IF(K289="","",IF(L289="E0","QM",INDEX(10_ASIL_Matrix!$D$4:$F$15,MATCH(J289&amp;"-"&amp;L289,10_ASIL_Matrix!$C$4:$C$15,0),MATCH(N289,10_ASIL_Matrix!$D$3:$F$3,0)))))</f>
        <v>QM</v>
      </c>
      <c r="Q289" s="6" t="s">
        <v>448</v>
      </c>
    </row>
    <row r="290" customFormat="false" ht="57.45" hidden="false" customHeight="false" outlineLevel="0" collapsed="false">
      <c r="A290" s="5" t="s">
        <v>1167</v>
      </c>
      <c r="B290" s="5" t="s">
        <v>101</v>
      </c>
      <c r="C290" s="5" t="s">
        <v>102</v>
      </c>
      <c r="D290" s="5" t="s">
        <v>146</v>
      </c>
      <c r="E290" s="5" t="s">
        <v>147</v>
      </c>
      <c r="F290" s="5" t="s">
        <v>192</v>
      </c>
      <c r="G290" s="5" t="s">
        <v>488</v>
      </c>
      <c r="H290" s="5" t="s">
        <v>230</v>
      </c>
      <c r="I290" s="5" t="s">
        <v>1168</v>
      </c>
      <c r="J290" s="5" t="s">
        <v>250</v>
      </c>
      <c r="K290" s="5" t="s">
        <v>490</v>
      </c>
      <c r="L290" s="5" t="s">
        <v>205</v>
      </c>
      <c r="M290" s="5" t="s">
        <v>503</v>
      </c>
      <c r="N290" s="5" t="s">
        <v>286</v>
      </c>
      <c r="O290" s="5" t="s">
        <v>1142</v>
      </c>
      <c r="P290" s="19" t="str">
        <f aca="false">IF(J290="S0","—",IF(K290="","",IF(L290="E0","QM",INDEX(10_ASIL_Matrix!$D$4:$F$15,MATCH(J290&amp;"-"&amp;L290,10_ASIL_Matrix!$C$4:$C$15,0),MATCH(N290,10_ASIL_Matrix!$D$3:$F$3,0)))))</f>
        <v>A</v>
      </c>
      <c r="Q290" s="5" t="s">
        <v>448</v>
      </c>
    </row>
    <row r="291" customFormat="false" ht="46.25" hidden="false" customHeight="false" outlineLevel="0" collapsed="false">
      <c r="A291" s="6" t="s">
        <v>1169</v>
      </c>
      <c r="B291" s="6" t="s">
        <v>101</v>
      </c>
      <c r="C291" s="6" t="s">
        <v>102</v>
      </c>
      <c r="D291" s="6" t="s">
        <v>146</v>
      </c>
      <c r="E291" s="6" t="s">
        <v>147</v>
      </c>
      <c r="F291" s="6" t="s">
        <v>192</v>
      </c>
      <c r="G291" s="6" t="s">
        <v>488</v>
      </c>
      <c r="H291" s="6" t="s">
        <v>232</v>
      </c>
      <c r="I291" s="6" t="s">
        <v>1170</v>
      </c>
      <c r="J291" s="6" t="s">
        <v>250</v>
      </c>
      <c r="K291" s="6" t="s">
        <v>490</v>
      </c>
      <c r="L291" s="6" t="s">
        <v>233</v>
      </c>
      <c r="M291" s="6" t="s">
        <v>506</v>
      </c>
      <c r="N291" s="6" t="s">
        <v>282</v>
      </c>
      <c r="O291" s="6" t="s">
        <v>1133</v>
      </c>
      <c r="P291" s="6" t="str">
        <f aca="false">IF(J291="S0","—",IF(K291="","",IF(L291="E0","QM",INDEX(10_ASIL_Matrix!$D$4:$F$15,MATCH(J291&amp;"-"&amp;L291,10_ASIL_Matrix!$C$4:$C$15,0),MATCH(N291,10_ASIL_Matrix!$D$3:$F$3,0)))))</f>
        <v>QM</v>
      </c>
      <c r="Q291" s="6" t="s">
        <v>448</v>
      </c>
    </row>
    <row r="292" customFormat="false" ht="46.25" hidden="false" customHeight="false" outlineLevel="0" collapsed="false">
      <c r="A292" s="5" t="s">
        <v>1171</v>
      </c>
      <c r="B292" s="5" t="s">
        <v>101</v>
      </c>
      <c r="C292" s="5" t="s">
        <v>102</v>
      </c>
      <c r="D292" s="5" t="s">
        <v>146</v>
      </c>
      <c r="E292" s="5" t="s">
        <v>147</v>
      </c>
      <c r="F292" s="5" t="s">
        <v>194</v>
      </c>
      <c r="G292" s="5" t="s">
        <v>508</v>
      </c>
      <c r="H292" s="5" t="s">
        <v>222</v>
      </c>
      <c r="I292" s="5" t="s">
        <v>1172</v>
      </c>
      <c r="J292" s="5" t="s">
        <v>250</v>
      </c>
      <c r="K292" s="5" t="s">
        <v>510</v>
      </c>
      <c r="L292" s="5" t="s">
        <v>190</v>
      </c>
      <c r="M292" s="5" t="s">
        <v>511</v>
      </c>
      <c r="N292" s="5" t="s">
        <v>282</v>
      </c>
      <c r="O292" s="5" t="s">
        <v>1133</v>
      </c>
      <c r="P292" s="19" t="str">
        <f aca="false">IF(J292="S0","—",IF(K292="","",IF(L292="E0","QM",INDEX(10_ASIL_Matrix!$D$4:$F$15,MATCH(J292&amp;"-"&amp;L292,10_ASIL_Matrix!$C$4:$C$15,0),MATCH(N292,10_ASIL_Matrix!$D$3:$F$3,0)))))</f>
        <v>A</v>
      </c>
      <c r="Q292" s="5" t="s">
        <v>448</v>
      </c>
    </row>
    <row r="293" customFormat="false" ht="46.25" hidden="false" customHeight="false" outlineLevel="0" collapsed="false">
      <c r="A293" s="6" t="s">
        <v>1173</v>
      </c>
      <c r="B293" s="6" t="s">
        <v>101</v>
      </c>
      <c r="C293" s="6" t="s">
        <v>102</v>
      </c>
      <c r="D293" s="6" t="s">
        <v>146</v>
      </c>
      <c r="E293" s="6" t="s">
        <v>147</v>
      </c>
      <c r="F293" s="6" t="s">
        <v>194</v>
      </c>
      <c r="G293" s="6" t="s">
        <v>508</v>
      </c>
      <c r="H293" s="6" t="s">
        <v>224</v>
      </c>
      <c r="I293" s="6" t="s">
        <v>1174</v>
      </c>
      <c r="J293" s="6" t="s">
        <v>250</v>
      </c>
      <c r="K293" s="6" t="s">
        <v>510</v>
      </c>
      <c r="L293" s="6" t="s">
        <v>190</v>
      </c>
      <c r="M293" s="6" t="s">
        <v>514</v>
      </c>
      <c r="N293" s="6" t="s">
        <v>282</v>
      </c>
      <c r="O293" s="6" t="s">
        <v>1133</v>
      </c>
      <c r="P293" s="19" t="str">
        <f aca="false">IF(J293="S0","—",IF(K293="","",IF(L293="E0","QM",INDEX(10_ASIL_Matrix!$D$4:$F$15,MATCH(J293&amp;"-"&amp;L293,10_ASIL_Matrix!$C$4:$C$15,0),MATCH(N293,10_ASIL_Matrix!$D$3:$F$3,0)))))</f>
        <v>A</v>
      </c>
      <c r="Q293" s="6" t="s">
        <v>448</v>
      </c>
    </row>
    <row r="294" customFormat="false" ht="46.25" hidden="false" customHeight="false" outlineLevel="0" collapsed="false">
      <c r="A294" s="5" t="s">
        <v>1175</v>
      </c>
      <c r="B294" s="5" t="s">
        <v>101</v>
      </c>
      <c r="C294" s="5" t="s">
        <v>102</v>
      </c>
      <c r="D294" s="5" t="s">
        <v>146</v>
      </c>
      <c r="E294" s="5" t="s">
        <v>147</v>
      </c>
      <c r="F294" s="5" t="s">
        <v>194</v>
      </c>
      <c r="G294" s="5" t="s">
        <v>508</v>
      </c>
      <c r="H294" s="5" t="s">
        <v>226</v>
      </c>
      <c r="I294" s="5" t="s">
        <v>1176</v>
      </c>
      <c r="J294" s="5" t="s">
        <v>250</v>
      </c>
      <c r="K294" s="5" t="s">
        <v>510</v>
      </c>
      <c r="L294" s="5" t="s">
        <v>190</v>
      </c>
      <c r="M294" s="5" t="s">
        <v>517</v>
      </c>
      <c r="N294" s="5" t="s">
        <v>282</v>
      </c>
      <c r="O294" s="5" t="s">
        <v>1133</v>
      </c>
      <c r="P294" s="19" t="str">
        <f aca="false">IF(J294="S0","—",IF(K294="","",IF(L294="E0","QM",INDEX(10_ASIL_Matrix!$D$4:$F$15,MATCH(J294&amp;"-"&amp;L294,10_ASIL_Matrix!$C$4:$C$15,0),MATCH(N294,10_ASIL_Matrix!$D$3:$F$3,0)))))</f>
        <v>A</v>
      </c>
      <c r="Q294" s="5" t="s">
        <v>448</v>
      </c>
    </row>
    <row r="295" customFormat="false" ht="46.25" hidden="false" customHeight="false" outlineLevel="0" collapsed="false">
      <c r="A295" s="6" t="s">
        <v>1177</v>
      </c>
      <c r="B295" s="6" t="s">
        <v>101</v>
      </c>
      <c r="C295" s="6" t="s">
        <v>102</v>
      </c>
      <c r="D295" s="6" t="s">
        <v>146</v>
      </c>
      <c r="E295" s="6" t="s">
        <v>147</v>
      </c>
      <c r="F295" s="6" t="s">
        <v>194</v>
      </c>
      <c r="G295" s="6" t="s">
        <v>508</v>
      </c>
      <c r="H295" s="6" t="s">
        <v>228</v>
      </c>
      <c r="I295" s="6" t="s">
        <v>1178</v>
      </c>
      <c r="J295" s="6" t="s">
        <v>250</v>
      </c>
      <c r="K295" s="6" t="s">
        <v>510</v>
      </c>
      <c r="L295" s="6" t="s">
        <v>205</v>
      </c>
      <c r="M295" s="6" t="s">
        <v>520</v>
      </c>
      <c r="N295" s="6" t="s">
        <v>282</v>
      </c>
      <c r="O295" s="6" t="s">
        <v>1133</v>
      </c>
      <c r="P295" s="6" t="str">
        <f aca="false">IF(J295="S0","—",IF(K295="","",IF(L295="E0","QM",INDEX(10_ASIL_Matrix!$D$4:$F$15,MATCH(J295&amp;"-"&amp;L295,10_ASIL_Matrix!$C$4:$C$15,0),MATCH(N295,10_ASIL_Matrix!$D$3:$F$3,0)))))</f>
        <v>QM</v>
      </c>
      <c r="Q295" s="6" t="s">
        <v>448</v>
      </c>
    </row>
    <row r="296" customFormat="false" ht="57.45" hidden="false" customHeight="false" outlineLevel="0" collapsed="false">
      <c r="A296" s="5" t="s">
        <v>1179</v>
      </c>
      <c r="B296" s="5" t="s">
        <v>101</v>
      </c>
      <c r="C296" s="5" t="s">
        <v>102</v>
      </c>
      <c r="D296" s="5" t="s">
        <v>146</v>
      </c>
      <c r="E296" s="5" t="s">
        <v>147</v>
      </c>
      <c r="F296" s="5" t="s">
        <v>194</v>
      </c>
      <c r="G296" s="5" t="s">
        <v>508</v>
      </c>
      <c r="H296" s="5" t="s">
        <v>230</v>
      </c>
      <c r="I296" s="5" t="s">
        <v>1180</v>
      </c>
      <c r="J296" s="5" t="s">
        <v>250</v>
      </c>
      <c r="K296" s="5" t="s">
        <v>510</v>
      </c>
      <c r="L296" s="5" t="s">
        <v>205</v>
      </c>
      <c r="M296" s="5" t="s">
        <v>523</v>
      </c>
      <c r="N296" s="5" t="s">
        <v>286</v>
      </c>
      <c r="O296" s="5" t="s">
        <v>1142</v>
      </c>
      <c r="P296" s="19" t="str">
        <f aca="false">IF(J296="S0","—",IF(K296="","",IF(L296="E0","QM",INDEX(10_ASIL_Matrix!$D$4:$F$15,MATCH(J296&amp;"-"&amp;L296,10_ASIL_Matrix!$C$4:$C$15,0),MATCH(N296,10_ASIL_Matrix!$D$3:$F$3,0)))))</f>
        <v>A</v>
      </c>
      <c r="Q296" s="5" t="s">
        <v>448</v>
      </c>
    </row>
    <row r="297" customFormat="false" ht="46.25" hidden="false" customHeight="false" outlineLevel="0" collapsed="false">
      <c r="A297" s="6" t="s">
        <v>1181</v>
      </c>
      <c r="B297" s="6" t="s">
        <v>101</v>
      </c>
      <c r="C297" s="6" t="s">
        <v>102</v>
      </c>
      <c r="D297" s="6" t="s">
        <v>146</v>
      </c>
      <c r="E297" s="6" t="s">
        <v>147</v>
      </c>
      <c r="F297" s="6" t="s">
        <v>194</v>
      </c>
      <c r="G297" s="6" t="s">
        <v>508</v>
      </c>
      <c r="H297" s="6" t="s">
        <v>232</v>
      </c>
      <c r="I297" s="6" t="s">
        <v>1182</v>
      </c>
      <c r="J297" s="6" t="s">
        <v>250</v>
      </c>
      <c r="K297" s="6" t="s">
        <v>510</v>
      </c>
      <c r="L297" s="6" t="s">
        <v>233</v>
      </c>
      <c r="M297" s="6" t="s">
        <v>526</v>
      </c>
      <c r="N297" s="6" t="s">
        <v>282</v>
      </c>
      <c r="O297" s="6" t="s">
        <v>1133</v>
      </c>
      <c r="P297" s="6" t="str">
        <f aca="false">IF(J297="S0","—",IF(K297="","",IF(L297="E0","QM",INDEX(10_ASIL_Matrix!$D$4:$F$15,MATCH(J297&amp;"-"&amp;L297,10_ASIL_Matrix!$C$4:$C$15,0),MATCH(N297,10_ASIL_Matrix!$D$3:$F$3,0)))))</f>
        <v>QM</v>
      </c>
      <c r="Q297" s="6" t="s">
        <v>448</v>
      </c>
    </row>
    <row r="298" customFormat="false" ht="46.25" hidden="false" customHeight="false" outlineLevel="0" collapsed="false">
      <c r="A298" s="5" t="s">
        <v>1183</v>
      </c>
      <c r="B298" s="5" t="s">
        <v>101</v>
      </c>
      <c r="C298" s="5" t="s">
        <v>102</v>
      </c>
      <c r="D298" s="5" t="s">
        <v>146</v>
      </c>
      <c r="E298" s="5" t="s">
        <v>147</v>
      </c>
      <c r="F298" s="5" t="s">
        <v>196</v>
      </c>
      <c r="G298" s="5" t="s">
        <v>528</v>
      </c>
      <c r="H298" s="5" t="s">
        <v>222</v>
      </c>
      <c r="I298" s="5" t="s">
        <v>1184</v>
      </c>
      <c r="J298" s="5" t="s">
        <v>250</v>
      </c>
      <c r="K298" s="5" t="s">
        <v>530</v>
      </c>
      <c r="L298" s="5" t="s">
        <v>187</v>
      </c>
      <c r="M298" s="5" t="s">
        <v>531</v>
      </c>
      <c r="N298" s="5" t="s">
        <v>282</v>
      </c>
      <c r="O298" s="5" t="s">
        <v>1133</v>
      </c>
      <c r="P298" s="18" t="str">
        <f aca="false">IF(J298="S0","—",IF(K298="","",IF(L298="E0","QM",INDEX(10_ASIL_Matrix!$D$4:$F$15,MATCH(J298&amp;"-"&amp;L298,10_ASIL_Matrix!$C$4:$C$15,0),MATCH(N298,10_ASIL_Matrix!$D$3:$F$3,0)))))</f>
        <v>B</v>
      </c>
      <c r="Q298" s="5" t="s">
        <v>448</v>
      </c>
    </row>
    <row r="299" customFormat="false" ht="46.25" hidden="false" customHeight="false" outlineLevel="0" collapsed="false">
      <c r="A299" s="6" t="s">
        <v>1185</v>
      </c>
      <c r="B299" s="6" t="s">
        <v>101</v>
      </c>
      <c r="C299" s="6" t="s">
        <v>102</v>
      </c>
      <c r="D299" s="6" t="s">
        <v>146</v>
      </c>
      <c r="E299" s="6" t="s">
        <v>147</v>
      </c>
      <c r="F299" s="6" t="s">
        <v>196</v>
      </c>
      <c r="G299" s="6" t="s">
        <v>528</v>
      </c>
      <c r="H299" s="6" t="s">
        <v>224</v>
      </c>
      <c r="I299" s="6" t="s">
        <v>1186</v>
      </c>
      <c r="J299" s="6" t="s">
        <v>250</v>
      </c>
      <c r="K299" s="6" t="s">
        <v>530</v>
      </c>
      <c r="L299" s="6" t="s">
        <v>190</v>
      </c>
      <c r="M299" s="6" t="s">
        <v>534</v>
      </c>
      <c r="N299" s="6" t="s">
        <v>282</v>
      </c>
      <c r="O299" s="6" t="s">
        <v>1133</v>
      </c>
      <c r="P299" s="19" t="str">
        <f aca="false">IF(J299="S0","—",IF(K299="","",IF(L299="E0","QM",INDEX(10_ASIL_Matrix!$D$4:$F$15,MATCH(J299&amp;"-"&amp;L299,10_ASIL_Matrix!$C$4:$C$15,0),MATCH(N299,10_ASIL_Matrix!$D$3:$F$3,0)))))</f>
        <v>A</v>
      </c>
      <c r="Q299" s="6" t="s">
        <v>448</v>
      </c>
    </row>
    <row r="300" customFormat="false" ht="46.25" hidden="false" customHeight="false" outlineLevel="0" collapsed="false">
      <c r="A300" s="5" t="s">
        <v>1187</v>
      </c>
      <c r="B300" s="5" t="s">
        <v>101</v>
      </c>
      <c r="C300" s="5" t="s">
        <v>102</v>
      </c>
      <c r="D300" s="5" t="s">
        <v>146</v>
      </c>
      <c r="E300" s="5" t="s">
        <v>147</v>
      </c>
      <c r="F300" s="5" t="s">
        <v>196</v>
      </c>
      <c r="G300" s="5" t="s">
        <v>528</v>
      </c>
      <c r="H300" s="5" t="s">
        <v>226</v>
      </c>
      <c r="I300" s="5" t="s">
        <v>1188</v>
      </c>
      <c r="J300" s="5" t="s">
        <v>250</v>
      </c>
      <c r="K300" s="5" t="s">
        <v>530</v>
      </c>
      <c r="L300" s="5" t="s">
        <v>190</v>
      </c>
      <c r="M300" s="5" t="s">
        <v>537</v>
      </c>
      <c r="N300" s="5" t="s">
        <v>282</v>
      </c>
      <c r="O300" s="5" t="s">
        <v>1133</v>
      </c>
      <c r="P300" s="19" t="str">
        <f aca="false">IF(J300="S0","—",IF(K300="","",IF(L300="E0","QM",INDEX(10_ASIL_Matrix!$D$4:$F$15,MATCH(J300&amp;"-"&amp;L300,10_ASIL_Matrix!$C$4:$C$15,0),MATCH(N300,10_ASIL_Matrix!$D$3:$F$3,0)))))</f>
        <v>A</v>
      </c>
      <c r="Q300" s="5" t="s">
        <v>448</v>
      </c>
    </row>
    <row r="301" customFormat="false" ht="46.25" hidden="false" customHeight="false" outlineLevel="0" collapsed="false">
      <c r="A301" s="6" t="s">
        <v>1189</v>
      </c>
      <c r="B301" s="6" t="s">
        <v>101</v>
      </c>
      <c r="C301" s="6" t="s">
        <v>102</v>
      </c>
      <c r="D301" s="6" t="s">
        <v>146</v>
      </c>
      <c r="E301" s="6" t="s">
        <v>147</v>
      </c>
      <c r="F301" s="6" t="s">
        <v>196</v>
      </c>
      <c r="G301" s="6" t="s">
        <v>528</v>
      </c>
      <c r="H301" s="6" t="s">
        <v>228</v>
      </c>
      <c r="I301" s="6" t="s">
        <v>1190</v>
      </c>
      <c r="J301" s="6" t="s">
        <v>250</v>
      </c>
      <c r="K301" s="6" t="s">
        <v>530</v>
      </c>
      <c r="L301" s="6" t="s">
        <v>205</v>
      </c>
      <c r="M301" s="6" t="s">
        <v>540</v>
      </c>
      <c r="N301" s="6" t="s">
        <v>282</v>
      </c>
      <c r="O301" s="6" t="s">
        <v>1133</v>
      </c>
      <c r="P301" s="6" t="str">
        <f aca="false">IF(J301="S0","—",IF(K301="","",IF(L301="E0","QM",INDEX(10_ASIL_Matrix!$D$4:$F$15,MATCH(J301&amp;"-"&amp;L301,10_ASIL_Matrix!$C$4:$C$15,0),MATCH(N301,10_ASIL_Matrix!$D$3:$F$3,0)))))</f>
        <v>QM</v>
      </c>
      <c r="Q301" s="6" t="s">
        <v>448</v>
      </c>
    </row>
    <row r="302" customFormat="false" ht="57.45" hidden="false" customHeight="false" outlineLevel="0" collapsed="false">
      <c r="A302" s="5" t="s">
        <v>1191</v>
      </c>
      <c r="B302" s="5" t="s">
        <v>101</v>
      </c>
      <c r="C302" s="5" t="s">
        <v>102</v>
      </c>
      <c r="D302" s="5" t="s">
        <v>146</v>
      </c>
      <c r="E302" s="5" t="s">
        <v>147</v>
      </c>
      <c r="F302" s="5" t="s">
        <v>196</v>
      </c>
      <c r="G302" s="5" t="s">
        <v>528</v>
      </c>
      <c r="H302" s="5" t="s">
        <v>230</v>
      </c>
      <c r="I302" s="5" t="s">
        <v>1192</v>
      </c>
      <c r="J302" s="5" t="s">
        <v>250</v>
      </c>
      <c r="K302" s="5" t="s">
        <v>530</v>
      </c>
      <c r="L302" s="5" t="s">
        <v>205</v>
      </c>
      <c r="M302" s="5" t="s">
        <v>543</v>
      </c>
      <c r="N302" s="5" t="s">
        <v>286</v>
      </c>
      <c r="O302" s="5" t="s">
        <v>1142</v>
      </c>
      <c r="P302" s="19" t="str">
        <f aca="false">IF(J302="S0","—",IF(K302="","",IF(L302="E0","QM",INDEX(10_ASIL_Matrix!$D$4:$F$15,MATCH(J302&amp;"-"&amp;L302,10_ASIL_Matrix!$C$4:$C$15,0),MATCH(N302,10_ASIL_Matrix!$D$3:$F$3,0)))))</f>
        <v>A</v>
      </c>
      <c r="Q302" s="5" t="s">
        <v>448</v>
      </c>
    </row>
    <row r="303" customFormat="false" ht="46.25" hidden="false" customHeight="false" outlineLevel="0" collapsed="false">
      <c r="A303" s="6" t="s">
        <v>1193</v>
      </c>
      <c r="B303" s="6" t="s">
        <v>101</v>
      </c>
      <c r="C303" s="6" t="s">
        <v>102</v>
      </c>
      <c r="D303" s="6" t="s">
        <v>146</v>
      </c>
      <c r="E303" s="6" t="s">
        <v>147</v>
      </c>
      <c r="F303" s="6" t="s">
        <v>196</v>
      </c>
      <c r="G303" s="6" t="s">
        <v>528</v>
      </c>
      <c r="H303" s="6" t="s">
        <v>232</v>
      </c>
      <c r="I303" s="6" t="s">
        <v>1194</v>
      </c>
      <c r="J303" s="6" t="s">
        <v>250</v>
      </c>
      <c r="K303" s="6" t="s">
        <v>530</v>
      </c>
      <c r="L303" s="6" t="s">
        <v>233</v>
      </c>
      <c r="M303" s="6" t="s">
        <v>546</v>
      </c>
      <c r="N303" s="6" t="s">
        <v>282</v>
      </c>
      <c r="O303" s="6" t="s">
        <v>1133</v>
      </c>
      <c r="P303" s="6" t="str">
        <f aca="false">IF(J303="S0","—",IF(K303="","",IF(L303="E0","QM",INDEX(10_ASIL_Matrix!$D$4:$F$15,MATCH(J303&amp;"-"&amp;L303,10_ASIL_Matrix!$C$4:$C$15,0),MATCH(N303,10_ASIL_Matrix!$D$3:$F$3,0)))))</f>
        <v>QM</v>
      </c>
      <c r="Q303" s="6" t="s">
        <v>448</v>
      </c>
    </row>
    <row r="304" customFormat="false" ht="35.05" hidden="false" customHeight="false" outlineLevel="0" collapsed="false">
      <c r="A304" s="5" t="s">
        <v>1195</v>
      </c>
      <c r="B304" s="5" t="s">
        <v>101</v>
      </c>
      <c r="C304" s="5" t="s">
        <v>102</v>
      </c>
      <c r="D304" s="5" t="s">
        <v>146</v>
      </c>
      <c r="E304" s="5" t="s">
        <v>147</v>
      </c>
      <c r="F304" s="5" t="s">
        <v>198</v>
      </c>
      <c r="G304" s="5" t="s">
        <v>548</v>
      </c>
      <c r="H304" s="5" t="s">
        <v>222</v>
      </c>
      <c r="I304" s="5" t="s">
        <v>1196</v>
      </c>
      <c r="J304" s="5" t="s">
        <v>242</v>
      </c>
      <c r="K304" s="5" t="s">
        <v>550</v>
      </c>
      <c r="L304" s="5" t="s">
        <v>190</v>
      </c>
      <c r="M304" s="5" t="s">
        <v>551</v>
      </c>
      <c r="N304" s="5" t="s">
        <v>282</v>
      </c>
      <c r="O304" s="5" t="s">
        <v>1197</v>
      </c>
      <c r="P304" s="5" t="str">
        <f aca="false">IF(J304="S0","—",IF(K304="","",IF(L304="E0","QM",INDEX(10_ASIL_Matrix!$D$4:$F$15,MATCH(J304&amp;"-"&amp;L304,10_ASIL_Matrix!$C$4:$C$15,0),MATCH(N304,10_ASIL_Matrix!$D$3:$F$3,0)))))</f>
        <v>QM</v>
      </c>
      <c r="Q304" s="5" t="s">
        <v>448</v>
      </c>
    </row>
    <row r="305" customFormat="false" ht="35.05" hidden="false" customHeight="false" outlineLevel="0" collapsed="false">
      <c r="A305" s="6" t="s">
        <v>1198</v>
      </c>
      <c r="B305" s="6" t="s">
        <v>101</v>
      </c>
      <c r="C305" s="6" t="s">
        <v>102</v>
      </c>
      <c r="D305" s="6" t="s">
        <v>146</v>
      </c>
      <c r="E305" s="6" t="s">
        <v>147</v>
      </c>
      <c r="F305" s="6" t="s">
        <v>198</v>
      </c>
      <c r="G305" s="6" t="s">
        <v>548</v>
      </c>
      <c r="H305" s="6" t="s">
        <v>224</v>
      </c>
      <c r="I305" s="6" t="s">
        <v>1199</v>
      </c>
      <c r="J305" s="6" t="s">
        <v>242</v>
      </c>
      <c r="K305" s="6" t="s">
        <v>550</v>
      </c>
      <c r="L305" s="6" t="s">
        <v>190</v>
      </c>
      <c r="M305" s="6" t="s">
        <v>555</v>
      </c>
      <c r="N305" s="6" t="s">
        <v>282</v>
      </c>
      <c r="O305" s="6" t="s">
        <v>1197</v>
      </c>
      <c r="P305" s="6" t="str">
        <f aca="false">IF(J305="S0","—",IF(K305="","",IF(L305="E0","QM",INDEX(10_ASIL_Matrix!$D$4:$F$15,MATCH(J305&amp;"-"&amp;L305,10_ASIL_Matrix!$C$4:$C$15,0),MATCH(N305,10_ASIL_Matrix!$D$3:$F$3,0)))))</f>
        <v>QM</v>
      </c>
      <c r="Q305" s="6" t="s">
        <v>448</v>
      </c>
    </row>
    <row r="306" customFormat="false" ht="35.05" hidden="false" customHeight="false" outlineLevel="0" collapsed="false">
      <c r="A306" s="5" t="s">
        <v>1200</v>
      </c>
      <c r="B306" s="5" t="s">
        <v>101</v>
      </c>
      <c r="C306" s="5" t="s">
        <v>102</v>
      </c>
      <c r="D306" s="5" t="s">
        <v>146</v>
      </c>
      <c r="E306" s="5" t="s">
        <v>147</v>
      </c>
      <c r="F306" s="5" t="s">
        <v>198</v>
      </c>
      <c r="G306" s="5" t="s">
        <v>548</v>
      </c>
      <c r="H306" s="5" t="s">
        <v>226</v>
      </c>
      <c r="I306" s="5" t="s">
        <v>1201</v>
      </c>
      <c r="J306" s="5" t="s">
        <v>242</v>
      </c>
      <c r="K306" s="5" t="s">
        <v>550</v>
      </c>
      <c r="L306" s="5" t="s">
        <v>190</v>
      </c>
      <c r="M306" s="5" t="s">
        <v>558</v>
      </c>
      <c r="N306" s="5" t="s">
        <v>282</v>
      </c>
      <c r="O306" s="5" t="s">
        <v>1197</v>
      </c>
      <c r="P306" s="5" t="str">
        <f aca="false">IF(J306="S0","—",IF(K306="","",IF(L306="E0","QM",INDEX(10_ASIL_Matrix!$D$4:$F$15,MATCH(J306&amp;"-"&amp;L306,10_ASIL_Matrix!$C$4:$C$15,0),MATCH(N306,10_ASIL_Matrix!$D$3:$F$3,0)))))</f>
        <v>QM</v>
      </c>
      <c r="Q306" s="5" t="s">
        <v>448</v>
      </c>
    </row>
    <row r="307" customFormat="false" ht="35.05" hidden="false" customHeight="false" outlineLevel="0" collapsed="false">
      <c r="A307" s="6" t="s">
        <v>1202</v>
      </c>
      <c r="B307" s="6" t="s">
        <v>101</v>
      </c>
      <c r="C307" s="6" t="s">
        <v>102</v>
      </c>
      <c r="D307" s="6" t="s">
        <v>146</v>
      </c>
      <c r="E307" s="6" t="s">
        <v>147</v>
      </c>
      <c r="F307" s="6" t="s">
        <v>198</v>
      </c>
      <c r="G307" s="6" t="s">
        <v>548</v>
      </c>
      <c r="H307" s="6" t="s">
        <v>228</v>
      </c>
      <c r="I307" s="6" t="s">
        <v>1203</v>
      </c>
      <c r="J307" s="6" t="s">
        <v>242</v>
      </c>
      <c r="K307" s="6" t="s">
        <v>550</v>
      </c>
      <c r="L307" s="6" t="s">
        <v>205</v>
      </c>
      <c r="M307" s="6" t="s">
        <v>561</v>
      </c>
      <c r="N307" s="6" t="s">
        <v>282</v>
      </c>
      <c r="O307" s="6" t="s">
        <v>1197</v>
      </c>
      <c r="P307" s="6" t="str">
        <f aca="false">IF(J307="S0","—",IF(K307="","",IF(L307="E0","QM",INDEX(10_ASIL_Matrix!$D$4:$F$15,MATCH(J307&amp;"-"&amp;L307,10_ASIL_Matrix!$C$4:$C$15,0),MATCH(N307,10_ASIL_Matrix!$D$3:$F$3,0)))))</f>
        <v>QM</v>
      </c>
      <c r="Q307" s="6" t="s">
        <v>448</v>
      </c>
    </row>
    <row r="308" customFormat="false" ht="35.05" hidden="false" customHeight="false" outlineLevel="0" collapsed="false">
      <c r="A308" s="5" t="s">
        <v>1204</v>
      </c>
      <c r="B308" s="5" t="s">
        <v>101</v>
      </c>
      <c r="C308" s="5" t="s">
        <v>102</v>
      </c>
      <c r="D308" s="5" t="s">
        <v>146</v>
      </c>
      <c r="E308" s="5" t="s">
        <v>147</v>
      </c>
      <c r="F308" s="5" t="s">
        <v>198</v>
      </c>
      <c r="G308" s="5" t="s">
        <v>548</v>
      </c>
      <c r="H308" s="5" t="s">
        <v>230</v>
      </c>
      <c r="I308" s="5" t="s">
        <v>1205</v>
      </c>
      <c r="J308" s="5" t="s">
        <v>242</v>
      </c>
      <c r="K308" s="5" t="s">
        <v>550</v>
      </c>
      <c r="L308" s="5" t="s">
        <v>205</v>
      </c>
      <c r="M308" s="5" t="s">
        <v>564</v>
      </c>
      <c r="N308" s="5" t="s">
        <v>286</v>
      </c>
      <c r="O308" s="5" t="s">
        <v>1206</v>
      </c>
      <c r="P308" s="5" t="str">
        <f aca="false">IF(J308="S0","—",IF(K308="","",IF(L308="E0","QM",INDEX(10_ASIL_Matrix!$D$4:$F$15,MATCH(J308&amp;"-"&amp;L308,10_ASIL_Matrix!$C$4:$C$15,0),MATCH(N308,10_ASIL_Matrix!$D$3:$F$3,0)))))</f>
        <v>QM</v>
      </c>
      <c r="Q308" s="5" t="s">
        <v>448</v>
      </c>
    </row>
    <row r="309" customFormat="false" ht="46.25" hidden="false" customHeight="false" outlineLevel="0" collapsed="false">
      <c r="A309" s="6" t="s">
        <v>1207</v>
      </c>
      <c r="B309" s="6" t="s">
        <v>101</v>
      </c>
      <c r="C309" s="6" t="s">
        <v>102</v>
      </c>
      <c r="D309" s="6" t="s">
        <v>146</v>
      </c>
      <c r="E309" s="6" t="s">
        <v>147</v>
      </c>
      <c r="F309" s="6" t="s">
        <v>198</v>
      </c>
      <c r="G309" s="6" t="s">
        <v>548</v>
      </c>
      <c r="H309" s="6" t="s">
        <v>232</v>
      </c>
      <c r="I309" s="6" t="s">
        <v>1208</v>
      </c>
      <c r="J309" s="6" t="s">
        <v>242</v>
      </c>
      <c r="K309" s="6" t="s">
        <v>550</v>
      </c>
      <c r="L309" s="6" t="s">
        <v>233</v>
      </c>
      <c r="M309" s="6" t="s">
        <v>568</v>
      </c>
      <c r="N309" s="6" t="s">
        <v>282</v>
      </c>
      <c r="O309" s="6" t="s">
        <v>1197</v>
      </c>
      <c r="P309" s="6" t="str">
        <f aca="false">IF(J309="S0","—",IF(K309="","",IF(L309="E0","QM",INDEX(10_ASIL_Matrix!$D$4:$F$15,MATCH(J309&amp;"-"&amp;L309,10_ASIL_Matrix!$C$4:$C$15,0),MATCH(N309,10_ASIL_Matrix!$D$3:$F$3,0)))))</f>
        <v>QM</v>
      </c>
      <c r="Q309" s="6" t="s">
        <v>448</v>
      </c>
    </row>
    <row r="310" customFormat="false" ht="46.25" hidden="false" customHeight="false" outlineLevel="0" collapsed="false">
      <c r="A310" s="5" t="s">
        <v>1209</v>
      </c>
      <c r="B310" s="5" t="s">
        <v>101</v>
      </c>
      <c r="C310" s="5" t="s">
        <v>102</v>
      </c>
      <c r="D310" s="5" t="s">
        <v>146</v>
      </c>
      <c r="E310" s="5" t="s">
        <v>147</v>
      </c>
      <c r="F310" s="5" t="s">
        <v>200</v>
      </c>
      <c r="G310" s="5" t="s">
        <v>570</v>
      </c>
      <c r="H310" s="5" t="s">
        <v>222</v>
      </c>
      <c r="I310" s="5" t="s">
        <v>1210</v>
      </c>
      <c r="J310" s="5" t="s">
        <v>250</v>
      </c>
      <c r="K310" s="5" t="s">
        <v>572</v>
      </c>
      <c r="L310" s="5" t="s">
        <v>190</v>
      </c>
      <c r="M310" s="5" t="s">
        <v>573</v>
      </c>
      <c r="N310" s="5" t="s">
        <v>282</v>
      </c>
      <c r="O310" s="5" t="s">
        <v>1133</v>
      </c>
      <c r="P310" s="19" t="str">
        <f aca="false">IF(J310="S0","—",IF(K310="","",IF(L310="E0","QM",INDEX(10_ASIL_Matrix!$D$4:$F$15,MATCH(J310&amp;"-"&amp;L310,10_ASIL_Matrix!$C$4:$C$15,0),MATCH(N310,10_ASIL_Matrix!$D$3:$F$3,0)))))</f>
        <v>A</v>
      </c>
      <c r="Q310" s="5" t="s">
        <v>448</v>
      </c>
    </row>
    <row r="311" customFormat="false" ht="46.25" hidden="false" customHeight="false" outlineLevel="0" collapsed="false">
      <c r="A311" s="6" t="s">
        <v>1211</v>
      </c>
      <c r="B311" s="6" t="s">
        <v>101</v>
      </c>
      <c r="C311" s="6" t="s">
        <v>102</v>
      </c>
      <c r="D311" s="6" t="s">
        <v>146</v>
      </c>
      <c r="E311" s="6" t="s">
        <v>147</v>
      </c>
      <c r="F311" s="6" t="s">
        <v>200</v>
      </c>
      <c r="G311" s="6" t="s">
        <v>570</v>
      </c>
      <c r="H311" s="6" t="s">
        <v>224</v>
      </c>
      <c r="I311" s="6" t="s">
        <v>1212</v>
      </c>
      <c r="J311" s="6" t="s">
        <v>250</v>
      </c>
      <c r="K311" s="6" t="s">
        <v>572</v>
      </c>
      <c r="L311" s="6" t="s">
        <v>190</v>
      </c>
      <c r="M311" s="6" t="s">
        <v>576</v>
      </c>
      <c r="N311" s="6" t="s">
        <v>282</v>
      </c>
      <c r="O311" s="6" t="s">
        <v>1133</v>
      </c>
      <c r="P311" s="19" t="str">
        <f aca="false">IF(J311="S0","—",IF(K311="","",IF(L311="E0","QM",INDEX(10_ASIL_Matrix!$D$4:$F$15,MATCH(J311&amp;"-"&amp;L311,10_ASIL_Matrix!$C$4:$C$15,0),MATCH(N311,10_ASIL_Matrix!$D$3:$F$3,0)))))</f>
        <v>A</v>
      </c>
      <c r="Q311" s="6" t="s">
        <v>448</v>
      </c>
    </row>
    <row r="312" customFormat="false" ht="46.25" hidden="false" customHeight="false" outlineLevel="0" collapsed="false">
      <c r="A312" s="5" t="s">
        <v>1213</v>
      </c>
      <c r="B312" s="5" t="s">
        <v>101</v>
      </c>
      <c r="C312" s="5" t="s">
        <v>102</v>
      </c>
      <c r="D312" s="5" t="s">
        <v>146</v>
      </c>
      <c r="E312" s="5" t="s">
        <v>147</v>
      </c>
      <c r="F312" s="5" t="s">
        <v>200</v>
      </c>
      <c r="G312" s="5" t="s">
        <v>570</v>
      </c>
      <c r="H312" s="5" t="s">
        <v>226</v>
      </c>
      <c r="I312" s="5" t="s">
        <v>1214</v>
      </c>
      <c r="J312" s="5" t="s">
        <v>250</v>
      </c>
      <c r="K312" s="5" t="s">
        <v>572</v>
      </c>
      <c r="L312" s="5" t="s">
        <v>190</v>
      </c>
      <c r="M312" s="5" t="s">
        <v>579</v>
      </c>
      <c r="N312" s="5" t="s">
        <v>282</v>
      </c>
      <c r="O312" s="5" t="s">
        <v>1133</v>
      </c>
      <c r="P312" s="19" t="str">
        <f aca="false">IF(J312="S0","—",IF(K312="","",IF(L312="E0","QM",INDEX(10_ASIL_Matrix!$D$4:$F$15,MATCH(J312&amp;"-"&amp;L312,10_ASIL_Matrix!$C$4:$C$15,0),MATCH(N312,10_ASIL_Matrix!$D$3:$F$3,0)))))</f>
        <v>A</v>
      </c>
      <c r="Q312" s="5" t="s">
        <v>448</v>
      </c>
    </row>
    <row r="313" customFormat="false" ht="46.25" hidden="false" customHeight="false" outlineLevel="0" collapsed="false">
      <c r="A313" s="6" t="s">
        <v>1215</v>
      </c>
      <c r="B313" s="6" t="s">
        <v>101</v>
      </c>
      <c r="C313" s="6" t="s">
        <v>102</v>
      </c>
      <c r="D313" s="6" t="s">
        <v>146</v>
      </c>
      <c r="E313" s="6" t="s">
        <v>147</v>
      </c>
      <c r="F313" s="6" t="s">
        <v>200</v>
      </c>
      <c r="G313" s="6" t="s">
        <v>570</v>
      </c>
      <c r="H313" s="6" t="s">
        <v>228</v>
      </c>
      <c r="I313" s="6" t="s">
        <v>1216</v>
      </c>
      <c r="J313" s="6" t="s">
        <v>250</v>
      </c>
      <c r="K313" s="6" t="s">
        <v>572</v>
      </c>
      <c r="L313" s="6" t="s">
        <v>205</v>
      </c>
      <c r="M313" s="6" t="s">
        <v>582</v>
      </c>
      <c r="N313" s="6" t="s">
        <v>282</v>
      </c>
      <c r="O313" s="6" t="s">
        <v>1133</v>
      </c>
      <c r="P313" s="6" t="str">
        <f aca="false">IF(J313="S0","—",IF(K313="","",IF(L313="E0","QM",INDEX(10_ASIL_Matrix!$D$4:$F$15,MATCH(J313&amp;"-"&amp;L313,10_ASIL_Matrix!$C$4:$C$15,0),MATCH(N313,10_ASIL_Matrix!$D$3:$F$3,0)))))</f>
        <v>QM</v>
      </c>
      <c r="Q313" s="6" t="s">
        <v>448</v>
      </c>
    </row>
    <row r="314" customFormat="false" ht="57.45" hidden="false" customHeight="false" outlineLevel="0" collapsed="false">
      <c r="A314" s="5" t="s">
        <v>1217</v>
      </c>
      <c r="B314" s="5" t="s">
        <v>101</v>
      </c>
      <c r="C314" s="5" t="s">
        <v>102</v>
      </c>
      <c r="D314" s="5" t="s">
        <v>146</v>
      </c>
      <c r="E314" s="5" t="s">
        <v>147</v>
      </c>
      <c r="F314" s="5" t="s">
        <v>200</v>
      </c>
      <c r="G314" s="5" t="s">
        <v>570</v>
      </c>
      <c r="H314" s="5" t="s">
        <v>230</v>
      </c>
      <c r="I314" s="5" t="s">
        <v>1218</v>
      </c>
      <c r="J314" s="5" t="s">
        <v>250</v>
      </c>
      <c r="K314" s="5" t="s">
        <v>572</v>
      </c>
      <c r="L314" s="5" t="s">
        <v>205</v>
      </c>
      <c r="M314" s="5" t="s">
        <v>585</v>
      </c>
      <c r="N314" s="5" t="s">
        <v>286</v>
      </c>
      <c r="O314" s="5" t="s">
        <v>1142</v>
      </c>
      <c r="P314" s="19" t="str">
        <f aca="false">IF(J314="S0","—",IF(K314="","",IF(L314="E0","QM",INDEX(10_ASIL_Matrix!$D$4:$F$15,MATCH(J314&amp;"-"&amp;L314,10_ASIL_Matrix!$C$4:$C$15,0),MATCH(N314,10_ASIL_Matrix!$D$3:$F$3,0)))))</f>
        <v>A</v>
      </c>
      <c r="Q314" s="5" t="s">
        <v>448</v>
      </c>
    </row>
    <row r="315" customFormat="false" ht="46.25" hidden="false" customHeight="false" outlineLevel="0" collapsed="false">
      <c r="A315" s="6" t="s">
        <v>1219</v>
      </c>
      <c r="B315" s="6" t="s">
        <v>101</v>
      </c>
      <c r="C315" s="6" t="s">
        <v>102</v>
      </c>
      <c r="D315" s="6" t="s">
        <v>146</v>
      </c>
      <c r="E315" s="6" t="s">
        <v>147</v>
      </c>
      <c r="F315" s="6" t="s">
        <v>200</v>
      </c>
      <c r="G315" s="6" t="s">
        <v>570</v>
      </c>
      <c r="H315" s="6" t="s">
        <v>232</v>
      </c>
      <c r="I315" s="6" t="s">
        <v>1220</v>
      </c>
      <c r="J315" s="6" t="s">
        <v>250</v>
      </c>
      <c r="K315" s="6" t="s">
        <v>572</v>
      </c>
      <c r="L315" s="6" t="s">
        <v>233</v>
      </c>
      <c r="M315" s="6" t="s">
        <v>588</v>
      </c>
      <c r="N315" s="6" t="s">
        <v>282</v>
      </c>
      <c r="O315" s="6" t="s">
        <v>1133</v>
      </c>
      <c r="P315" s="6" t="str">
        <f aca="false">IF(J315="S0","—",IF(K315="","",IF(L315="E0","QM",INDEX(10_ASIL_Matrix!$D$4:$F$15,MATCH(J315&amp;"-"&amp;L315,10_ASIL_Matrix!$C$4:$C$15,0),MATCH(N315,10_ASIL_Matrix!$D$3:$F$3,0)))))</f>
        <v>QM</v>
      </c>
      <c r="Q315" s="6" t="s">
        <v>448</v>
      </c>
    </row>
    <row r="316" customFormat="false" ht="46.25" hidden="false" customHeight="false" outlineLevel="0" collapsed="false">
      <c r="A316" s="5" t="s">
        <v>1221</v>
      </c>
      <c r="B316" s="5" t="s">
        <v>101</v>
      </c>
      <c r="C316" s="5" t="s">
        <v>102</v>
      </c>
      <c r="D316" s="5" t="s">
        <v>146</v>
      </c>
      <c r="E316" s="5" t="s">
        <v>147</v>
      </c>
      <c r="F316" s="5" t="s">
        <v>202</v>
      </c>
      <c r="G316" s="5" t="s">
        <v>590</v>
      </c>
      <c r="H316" s="5" t="s">
        <v>222</v>
      </c>
      <c r="I316" s="5" t="s">
        <v>1222</v>
      </c>
      <c r="J316" s="5" t="s">
        <v>250</v>
      </c>
      <c r="K316" s="5" t="s">
        <v>572</v>
      </c>
      <c r="L316" s="5" t="s">
        <v>187</v>
      </c>
      <c r="M316" s="5" t="s">
        <v>592</v>
      </c>
      <c r="N316" s="5" t="s">
        <v>282</v>
      </c>
      <c r="O316" s="5" t="s">
        <v>1133</v>
      </c>
      <c r="P316" s="18" t="str">
        <f aca="false">IF(J316="S0","—",IF(K316="","",IF(L316="E0","QM",INDEX(10_ASIL_Matrix!$D$4:$F$15,MATCH(J316&amp;"-"&amp;L316,10_ASIL_Matrix!$C$4:$C$15,0),MATCH(N316,10_ASIL_Matrix!$D$3:$F$3,0)))))</f>
        <v>B</v>
      </c>
      <c r="Q316" s="5" t="s">
        <v>448</v>
      </c>
    </row>
    <row r="317" customFormat="false" ht="46.25" hidden="false" customHeight="false" outlineLevel="0" collapsed="false">
      <c r="A317" s="6" t="s">
        <v>1223</v>
      </c>
      <c r="B317" s="6" t="s">
        <v>101</v>
      </c>
      <c r="C317" s="6" t="s">
        <v>102</v>
      </c>
      <c r="D317" s="6" t="s">
        <v>146</v>
      </c>
      <c r="E317" s="6" t="s">
        <v>147</v>
      </c>
      <c r="F317" s="6" t="s">
        <v>202</v>
      </c>
      <c r="G317" s="6" t="s">
        <v>590</v>
      </c>
      <c r="H317" s="6" t="s">
        <v>224</v>
      </c>
      <c r="I317" s="6" t="s">
        <v>1224</v>
      </c>
      <c r="J317" s="6" t="s">
        <v>250</v>
      </c>
      <c r="K317" s="6" t="s">
        <v>572</v>
      </c>
      <c r="L317" s="6" t="s">
        <v>190</v>
      </c>
      <c r="M317" s="6" t="s">
        <v>595</v>
      </c>
      <c r="N317" s="6" t="s">
        <v>282</v>
      </c>
      <c r="O317" s="6" t="s">
        <v>1133</v>
      </c>
      <c r="P317" s="19" t="str">
        <f aca="false">IF(J317="S0","—",IF(K317="","",IF(L317="E0","QM",INDEX(10_ASIL_Matrix!$D$4:$F$15,MATCH(J317&amp;"-"&amp;L317,10_ASIL_Matrix!$C$4:$C$15,0),MATCH(N317,10_ASIL_Matrix!$D$3:$F$3,0)))))</f>
        <v>A</v>
      </c>
      <c r="Q317" s="6" t="s">
        <v>448</v>
      </c>
    </row>
    <row r="318" customFormat="false" ht="46.25" hidden="false" customHeight="false" outlineLevel="0" collapsed="false">
      <c r="A318" s="5" t="s">
        <v>1225</v>
      </c>
      <c r="B318" s="5" t="s">
        <v>101</v>
      </c>
      <c r="C318" s="5" t="s">
        <v>102</v>
      </c>
      <c r="D318" s="5" t="s">
        <v>146</v>
      </c>
      <c r="E318" s="5" t="s">
        <v>147</v>
      </c>
      <c r="F318" s="5" t="s">
        <v>202</v>
      </c>
      <c r="G318" s="5" t="s">
        <v>590</v>
      </c>
      <c r="H318" s="5" t="s">
        <v>226</v>
      </c>
      <c r="I318" s="5" t="s">
        <v>1226</v>
      </c>
      <c r="J318" s="5" t="s">
        <v>250</v>
      </c>
      <c r="K318" s="5" t="s">
        <v>572</v>
      </c>
      <c r="L318" s="5" t="s">
        <v>190</v>
      </c>
      <c r="M318" s="5" t="s">
        <v>598</v>
      </c>
      <c r="N318" s="5" t="s">
        <v>282</v>
      </c>
      <c r="O318" s="5" t="s">
        <v>1133</v>
      </c>
      <c r="P318" s="19" t="str">
        <f aca="false">IF(J318="S0","—",IF(K318="","",IF(L318="E0","QM",INDEX(10_ASIL_Matrix!$D$4:$F$15,MATCH(J318&amp;"-"&amp;L318,10_ASIL_Matrix!$C$4:$C$15,0),MATCH(N318,10_ASIL_Matrix!$D$3:$F$3,0)))))</f>
        <v>A</v>
      </c>
      <c r="Q318" s="5" t="s">
        <v>448</v>
      </c>
    </row>
    <row r="319" customFormat="false" ht="46.25" hidden="false" customHeight="false" outlineLevel="0" collapsed="false">
      <c r="A319" s="6" t="s">
        <v>1227</v>
      </c>
      <c r="B319" s="6" t="s">
        <v>101</v>
      </c>
      <c r="C319" s="6" t="s">
        <v>102</v>
      </c>
      <c r="D319" s="6" t="s">
        <v>146</v>
      </c>
      <c r="E319" s="6" t="s">
        <v>147</v>
      </c>
      <c r="F319" s="6" t="s">
        <v>202</v>
      </c>
      <c r="G319" s="6" t="s">
        <v>590</v>
      </c>
      <c r="H319" s="6" t="s">
        <v>228</v>
      </c>
      <c r="I319" s="6" t="s">
        <v>1228</v>
      </c>
      <c r="J319" s="6" t="s">
        <v>250</v>
      </c>
      <c r="K319" s="6" t="s">
        <v>572</v>
      </c>
      <c r="L319" s="6" t="s">
        <v>205</v>
      </c>
      <c r="M319" s="6" t="s">
        <v>601</v>
      </c>
      <c r="N319" s="6" t="s">
        <v>282</v>
      </c>
      <c r="O319" s="6" t="s">
        <v>1133</v>
      </c>
      <c r="P319" s="6" t="str">
        <f aca="false">IF(J319="S0","—",IF(K319="","",IF(L319="E0","QM",INDEX(10_ASIL_Matrix!$D$4:$F$15,MATCH(J319&amp;"-"&amp;L319,10_ASIL_Matrix!$C$4:$C$15,0),MATCH(N319,10_ASIL_Matrix!$D$3:$F$3,0)))))</f>
        <v>QM</v>
      </c>
      <c r="Q319" s="6" t="s">
        <v>448</v>
      </c>
    </row>
    <row r="320" customFormat="false" ht="57.45" hidden="false" customHeight="false" outlineLevel="0" collapsed="false">
      <c r="A320" s="5" t="s">
        <v>1229</v>
      </c>
      <c r="B320" s="5" t="s">
        <v>101</v>
      </c>
      <c r="C320" s="5" t="s">
        <v>102</v>
      </c>
      <c r="D320" s="5" t="s">
        <v>146</v>
      </c>
      <c r="E320" s="5" t="s">
        <v>147</v>
      </c>
      <c r="F320" s="5" t="s">
        <v>202</v>
      </c>
      <c r="G320" s="5" t="s">
        <v>590</v>
      </c>
      <c r="H320" s="5" t="s">
        <v>230</v>
      </c>
      <c r="I320" s="5" t="s">
        <v>1230</v>
      </c>
      <c r="J320" s="5" t="s">
        <v>250</v>
      </c>
      <c r="K320" s="5" t="s">
        <v>572</v>
      </c>
      <c r="L320" s="5" t="s">
        <v>205</v>
      </c>
      <c r="M320" s="5" t="s">
        <v>604</v>
      </c>
      <c r="N320" s="5" t="s">
        <v>286</v>
      </c>
      <c r="O320" s="5" t="s">
        <v>1142</v>
      </c>
      <c r="P320" s="19" t="str">
        <f aca="false">IF(J320="S0","—",IF(K320="","",IF(L320="E0","QM",INDEX(10_ASIL_Matrix!$D$4:$F$15,MATCH(J320&amp;"-"&amp;L320,10_ASIL_Matrix!$C$4:$C$15,0),MATCH(N320,10_ASIL_Matrix!$D$3:$F$3,0)))))</f>
        <v>A</v>
      </c>
      <c r="Q320" s="5" t="s">
        <v>448</v>
      </c>
    </row>
    <row r="321" customFormat="false" ht="46.25" hidden="false" customHeight="false" outlineLevel="0" collapsed="false">
      <c r="A321" s="6" t="s">
        <v>1231</v>
      </c>
      <c r="B321" s="6" t="s">
        <v>101</v>
      </c>
      <c r="C321" s="6" t="s">
        <v>102</v>
      </c>
      <c r="D321" s="6" t="s">
        <v>146</v>
      </c>
      <c r="E321" s="6" t="s">
        <v>147</v>
      </c>
      <c r="F321" s="6" t="s">
        <v>202</v>
      </c>
      <c r="G321" s="6" t="s">
        <v>590</v>
      </c>
      <c r="H321" s="6" t="s">
        <v>232</v>
      </c>
      <c r="I321" s="6" t="s">
        <v>1232</v>
      </c>
      <c r="J321" s="6" t="s">
        <v>250</v>
      </c>
      <c r="K321" s="6" t="s">
        <v>572</v>
      </c>
      <c r="L321" s="6" t="s">
        <v>233</v>
      </c>
      <c r="M321" s="6" t="s">
        <v>607</v>
      </c>
      <c r="N321" s="6" t="s">
        <v>282</v>
      </c>
      <c r="O321" s="6" t="s">
        <v>1133</v>
      </c>
      <c r="P321" s="6" t="str">
        <f aca="false">IF(J321="S0","—",IF(K321="","",IF(L321="E0","QM",INDEX(10_ASIL_Matrix!$D$4:$F$15,MATCH(J321&amp;"-"&amp;L321,10_ASIL_Matrix!$C$4:$C$15,0),MATCH(N321,10_ASIL_Matrix!$D$3:$F$3,0)))))</f>
        <v>QM</v>
      </c>
      <c r="Q321" s="6" t="s">
        <v>448</v>
      </c>
    </row>
    <row r="322" customFormat="false" ht="35.05" hidden="false" customHeight="false" outlineLevel="0" collapsed="false">
      <c r="A322" s="5" t="s">
        <v>1233</v>
      </c>
      <c r="B322" s="5" t="s">
        <v>101</v>
      </c>
      <c r="C322" s="5" t="s">
        <v>102</v>
      </c>
      <c r="D322" s="5" t="s">
        <v>146</v>
      </c>
      <c r="E322" s="5" t="s">
        <v>147</v>
      </c>
      <c r="F322" s="5" t="s">
        <v>204</v>
      </c>
      <c r="G322" s="5" t="s">
        <v>609</v>
      </c>
      <c r="H322" s="5" t="s">
        <v>222</v>
      </c>
      <c r="I322" s="5" t="s">
        <v>1234</v>
      </c>
      <c r="J322" s="5" t="s">
        <v>250</v>
      </c>
      <c r="K322" s="5" t="s">
        <v>611</v>
      </c>
      <c r="L322" s="5" t="s">
        <v>205</v>
      </c>
      <c r="M322" s="5" t="s">
        <v>612</v>
      </c>
      <c r="N322" s="5" t="s">
        <v>282</v>
      </c>
      <c r="O322" s="5" t="s">
        <v>1235</v>
      </c>
      <c r="P322" s="5" t="str">
        <f aca="false">IF(J322="S0","—",IF(K322="","",IF(L322="E0","QM",INDEX(10_ASIL_Matrix!$D$4:$F$15,MATCH(J322&amp;"-"&amp;L322,10_ASIL_Matrix!$C$4:$C$15,0),MATCH(N322,10_ASIL_Matrix!$D$3:$F$3,0)))))</f>
        <v>QM</v>
      </c>
      <c r="Q322" s="5" t="s">
        <v>448</v>
      </c>
    </row>
    <row r="323" customFormat="false" ht="35.05" hidden="false" customHeight="false" outlineLevel="0" collapsed="false">
      <c r="A323" s="6" t="s">
        <v>1236</v>
      </c>
      <c r="B323" s="6" t="s">
        <v>101</v>
      </c>
      <c r="C323" s="6" t="s">
        <v>102</v>
      </c>
      <c r="D323" s="6" t="s">
        <v>146</v>
      </c>
      <c r="E323" s="6" t="s">
        <v>147</v>
      </c>
      <c r="F323" s="6" t="s">
        <v>204</v>
      </c>
      <c r="G323" s="6" t="s">
        <v>609</v>
      </c>
      <c r="H323" s="6" t="s">
        <v>224</v>
      </c>
      <c r="I323" s="6" t="s">
        <v>1237</v>
      </c>
      <c r="J323" s="6" t="s">
        <v>250</v>
      </c>
      <c r="K323" s="6" t="s">
        <v>611</v>
      </c>
      <c r="L323" s="6" t="s">
        <v>205</v>
      </c>
      <c r="M323" s="6" t="s">
        <v>616</v>
      </c>
      <c r="N323" s="6" t="s">
        <v>282</v>
      </c>
      <c r="O323" s="6" t="s">
        <v>1235</v>
      </c>
      <c r="P323" s="6" t="str">
        <f aca="false">IF(J323="S0","—",IF(K323="","",IF(L323="E0","QM",INDEX(10_ASIL_Matrix!$D$4:$F$15,MATCH(J323&amp;"-"&amp;L323,10_ASIL_Matrix!$C$4:$C$15,0),MATCH(N323,10_ASIL_Matrix!$D$3:$F$3,0)))))</f>
        <v>QM</v>
      </c>
      <c r="Q323" s="6" t="s">
        <v>448</v>
      </c>
    </row>
    <row r="324" customFormat="false" ht="35.05" hidden="false" customHeight="false" outlineLevel="0" collapsed="false">
      <c r="A324" s="5" t="s">
        <v>1238</v>
      </c>
      <c r="B324" s="5" t="s">
        <v>101</v>
      </c>
      <c r="C324" s="5" t="s">
        <v>102</v>
      </c>
      <c r="D324" s="5" t="s">
        <v>146</v>
      </c>
      <c r="E324" s="5" t="s">
        <v>147</v>
      </c>
      <c r="F324" s="5" t="s">
        <v>204</v>
      </c>
      <c r="G324" s="5" t="s">
        <v>609</v>
      </c>
      <c r="H324" s="5" t="s">
        <v>226</v>
      </c>
      <c r="I324" s="5" t="s">
        <v>1239</v>
      </c>
      <c r="J324" s="5" t="s">
        <v>250</v>
      </c>
      <c r="K324" s="5" t="s">
        <v>611</v>
      </c>
      <c r="L324" s="5" t="s">
        <v>205</v>
      </c>
      <c r="M324" s="5" t="s">
        <v>619</v>
      </c>
      <c r="N324" s="5" t="s">
        <v>282</v>
      </c>
      <c r="O324" s="5" t="s">
        <v>1235</v>
      </c>
      <c r="P324" s="5" t="str">
        <f aca="false">IF(J324="S0","—",IF(K324="","",IF(L324="E0","QM",INDEX(10_ASIL_Matrix!$D$4:$F$15,MATCH(J324&amp;"-"&amp;L324,10_ASIL_Matrix!$C$4:$C$15,0),MATCH(N324,10_ASIL_Matrix!$D$3:$F$3,0)))))</f>
        <v>QM</v>
      </c>
      <c r="Q324" s="5" t="s">
        <v>448</v>
      </c>
    </row>
    <row r="325" customFormat="false" ht="35.05" hidden="false" customHeight="false" outlineLevel="0" collapsed="false">
      <c r="A325" s="6" t="s">
        <v>1240</v>
      </c>
      <c r="B325" s="6" t="s">
        <v>101</v>
      </c>
      <c r="C325" s="6" t="s">
        <v>102</v>
      </c>
      <c r="D325" s="6" t="s">
        <v>146</v>
      </c>
      <c r="E325" s="6" t="s">
        <v>147</v>
      </c>
      <c r="F325" s="6" t="s">
        <v>204</v>
      </c>
      <c r="G325" s="6" t="s">
        <v>609</v>
      </c>
      <c r="H325" s="6" t="s">
        <v>228</v>
      </c>
      <c r="I325" s="6" t="s">
        <v>1241</v>
      </c>
      <c r="J325" s="6" t="s">
        <v>250</v>
      </c>
      <c r="K325" s="6" t="s">
        <v>611</v>
      </c>
      <c r="L325" s="6" t="s">
        <v>205</v>
      </c>
      <c r="M325" s="6" t="s">
        <v>622</v>
      </c>
      <c r="N325" s="6" t="s">
        <v>282</v>
      </c>
      <c r="O325" s="6" t="s">
        <v>1235</v>
      </c>
      <c r="P325" s="6" t="str">
        <f aca="false">IF(J325="S0","—",IF(K325="","",IF(L325="E0","QM",INDEX(10_ASIL_Matrix!$D$4:$F$15,MATCH(J325&amp;"-"&amp;L325,10_ASIL_Matrix!$C$4:$C$15,0),MATCH(N325,10_ASIL_Matrix!$D$3:$F$3,0)))))</f>
        <v>QM</v>
      </c>
      <c r="Q325" s="6" t="s">
        <v>448</v>
      </c>
    </row>
    <row r="326" customFormat="false" ht="46.25" hidden="false" customHeight="false" outlineLevel="0" collapsed="false">
      <c r="A326" s="5" t="s">
        <v>1242</v>
      </c>
      <c r="B326" s="5" t="s">
        <v>101</v>
      </c>
      <c r="C326" s="5" t="s">
        <v>102</v>
      </c>
      <c r="D326" s="5" t="s">
        <v>146</v>
      </c>
      <c r="E326" s="5" t="s">
        <v>147</v>
      </c>
      <c r="F326" s="5" t="s">
        <v>204</v>
      </c>
      <c r="G326" s="5" t="s">
        <v>609</v>
      </c>
      <c r="H326" s="5" t="s">
        <v>230</v>
      </c>
      <c r="I326" s="5" t="s">
        <v>1243</v>
      </c>
      <c r="J326" s="5" t="s">
        <v>250</v>
      </c>
      <c r="K326" s="5" t="s">
        <v>611</v>
      </c>
      <c r="L326" s="5" t="s">
        <v>205</v>
      </c>
      <c r="M326" s="5" t="s">
        <v>625</v>
      </c>
      <c r="N326" s="5" t="s">
        <v>286</v>
      </c>
      <c r="O326" s="5" t="s">
        <v>1244</v>
      </c>
      <c r="P326" s="19" t="str">
        <f aca="false">IF(J326="S0","—",IF(K326="","",IF(L326="E0","QM",INDEX(10_ASIL_Matrix!$D$4:$F$15,MATCH(J326&amp;"-"&amp;L326,10_ASIL_Matrix!$C$4:$C$15,0),MATCH(N326,10_ASIL_Matrix!$D$3:$F$3,0)))))</f>
        <v>A</v>
      </c>
      <c r="Q326" s="5" t="s">
        <v>448</v>
      </c>
    </row>
    <row r="327" customFormat="false" ht="46.25" hidden="false" customHeight="false" outlineLevel="0" collapsed="false">
      <c r="A327" s="6" t="s">
        <v>1245</v>
      </c>
      <c r="B327" s="6" t="s">
        <v>101</v>
      </c>
      <c r="C327" s="6" t="s">
        <v>102</v>
      </c>
      <c r="D327" s="6" t="s">
        <v>146</v>
      </c>
      <c r="E327" s="6" t="s">
        <v>147</v>
      </c>
      <c r="F327" s="6" t="s">
        <v>204</v>
      </c>
      <c r="G327" s="6" t="s">
        <v>609</v>
      </c>
      <c r="H327" s="6" t="s">
        <v>232</v>
      </c>
      <c r="I327" s="6" t="s">
        <v>1246</v>
      </c>
      <c r="J327" s="6" t="s">
        <v>250</v>
      </c>
      <c r="K327" s="6" t="s">
        <v>611</v>
      </c>
      <c r="L327" s="6" t="s">
        <v>233</v>
      </c>
      <c r="M327" s="6" t="s">
        <v>629</v>
      </c>
      <c r="N327" s="6" t="s">
        <v>282</v>
      </c>
      <c r="O327" s="6" t="s">
        <v>1235</v>
      </c>
      <c r="P327" s="6" t="str">
        <f aca="false">IF(J327="S0","—",IF(K327="","",IF(L327="E0","QM",INDEX(10_ASIL_Matrix!$D$4:$F$15,MATCH(J327&amp;"-"&amp;L327,10_ASIL_Matrix!$C$4:$C$15,0),MATCH(N327,10_ASIL_Matrix!$D$3:$F$3,0)))))</f>
        <v>QM</v>
      </c>
      <c r="Q327" s="6" t="s">
        <v>448</v>
      </c>
    </row>
    <row r="328" customFormat="false" ht="35.05" hidden="false" customHeight="false" outlineLevel="0" collapsed="false">
      <c r="A328" s="5" t="s">
        <v>1247</v>
      </c>
      <c r="B328" s="5" t="s">
        <v>101</v>
      </c>
      <c r="C328" s="5" t="s">
        <v>102</v>
      </c>
      <c r="D328" s="5" t="s">
        <v>146</v>
      </c>
      <c r="E328" s="5" t="s">
        <v>147</v>
      </c>
      <c r="F328" s="5" t="s">
        <v>207</v>
      </c>
      <c r="G328" s="5" t="s">
        <v>609</v>
      </c>
      <c r="H328" s="5" t="s">
        <v>222</v>
      </c>
      <c r="I328" s="5" t="s">
        <v>1248</v>
      </c>
      <c r="J328" s="5" t="s">
        <v>238</v>
      </c>
      <c r="K328" s="5" t="s">
        <v>632</v>
      </c>
      <c r="L328" s="5" t="s">
        <v>190</v>
      </c>
      <c r="M328" s="5" t="s">
        <v>633</v>
      </c>
      <c r="N328" s="5" t="s">
        <v>278</v>
      </c>
      <c r="O328" s="5" t="s">
        <v>634</v>
      </c>
      <c r="P328" s="5" t="str">
        <f aca="false">IF(J328="S0","—",IF(K328="","",IF(L328="E0","QM",INDEX(10_ASIL_Matrix!$D$4:$F$15,MATCH(J328&amp;"-"&amp;L328,10_ASIL_Matrix!$C$4:$C$15,0),MATCH(N328,10_ASIL_Matrix!$D$3:$F$3,0)))))</f>
        <v>—</v>
      </c>
      <c r="Q328" s="5" t="s">
        <v>448</v>
      </c>
    </row>
    <row r="329" customFormat="false" ht="35.05" hidden="false" customHeight="false" outlineLevel="0" collapsed="false">
      <c r="A329" s="6" t="s">
        <v>1249</v>
      </c>
      <c r="B329" s="6" t="s">
        <v>101</v>
      </c>
      <c r="C329" s="6" t="s">
        <v>102</v>
      </c>
      <c r="D329" s="6" t="s">
        <v>146</v>
      </c>
      <c r="E329" s="6" t="s">
        <v>147</v>
      </c>
      <c r="F329" s="6" t="s">
        <v>207</v>
      </c>
      <c r="G329" s="6" t="s">
        <v>609</v>
      </c>
      <c r="H329" s="6" t="s">
        <v>224</v>
      </c>
      <c r="I329" s="6" t="s">
        <v>1250</v>
      </c>
      <c r="J329" s="6" t="s">
        <v>238</v>
      </c>
      <c r="K329" s="6" t="s">
        <v>632</v>
      </c>
      <c r="L329" s="6" t="s">
        <v>190</v>
      </c>
      <c r="M329" s="6" t="s">
        <v>637</v>
      </c>
      <c r="N329" s="6" t="s">
        <v>278</v>
      </c>
      <c r="O329" s="6" t="s">
        <v>634</v>
      </c>
      <c r="P329" s="6" t="str">
        <f aca="false">IF(J329="S0","—",IF(K329="","",IF(L329="E0","QM",INDEX(10_ASIL_Matrix!$D$4:$F$15,MATCH(J329&amp;"-"&amp;L329,10_ASIL_Matrix!$C$4:$C$15,0),MATCH(N329,10_ASIL_Matrix!$D$3:$F$3,0)))))</f>
        <v>—</v>
      </c>
      <c r="Q329" s="6" t="s">
        <v>448</v>
      </c>
    </row>
    <row r="330" customFormat="false" ht="35.05" hidden="false" customHeight="false" outlineLevel="0" collapsed="false">
      <c r="A330" s="5" t="s">
        <v>1251</v>
      </c>
      <c r="B330" s="5" t="s">
        <v>101</v>
      </c>
      <c r="C330" s="5" t="s">
        <v>102</v>
      </c>
      <c r="D330" s="5" t="s">
        <v>146</v>
      </c>
      <c r="E330" s="5" t="s">
        <v>147</v>
      </c>
      <c r="F330" s="5" t="s">
        <v>207</v>
      </c>
      <c r="G330" s="5" t="s">
        <v>609</v>
      </c>
      <c r="H330" s="5" t="s">
        <v>226</v>
      </c>
      <c r="I330" s="5" t="s">
        <v>1252</v>
      </c>
      <c r="J330" s="5" t="s">
        <v>238</v>
      </c>
      <c r="K330" s="5" t="s">
        <v>632</v>
      </c>
      <c r="L330" s="5" t="s">
        <v>190</v>
      </c>
      <c r="M330" s="5" t="s">
        <v>640</v>
      </c>
      <c r="N330" s="5" t="s">
        <v>278</v>
      </c>
      <c r="O330" s="5" t="s">
        <v>634</v>
      </c>
      <c r="P330" s="5" t="str">
        <f aca="false">IF(J330="S0","—",IF(K330="","",IF(L330="E0","QM",INDEX(10_ASIL_Matrix!$D$4:$F$15,MATCH(J330&amp;"-"&amp;L330,10_ASIL_Matrix!$C$4:$C$15,0),MATCH(N330,10_ASIL_Matrix!$D$3:$F$3,0)))))</f>
        <v>—</v>
      </c>
      <c r="Q330" s="5" t="s">
        <v>448</v>
      </c>
    </row>
    <row r="331" customFormat="false" ht="35.05" hidden="false" customHeight="false" outlineLevel="0" collapsed="false">
      <c r="A331" s="6" t="s">
        <v>1253</v>
      </c>
      <c r="B331" s="6" t="s">
        <v>101</v>
      </c>
      <c r="C331" s="6" t="s">
        <v>102</v>
      </c>
      <c r="D331" s="6" t="s">
        <v>146</v>
      </c>
      <c r="E331" s="6" t="s">
        <v>147</v>
      </c>
      <c r="F331" s="6" t="s">
        <v>207</v>
      </c>
      <c r="G331" s="6" t="s">
        <v>609</v>
      </c>
      <c r="H331" s="6" t="s">
        <v>228</v>
      </c>
      <c r="I331" s="6" t="s">
        <v>1254</v>
      </c>
      <c r="J331" s="6" t="s">
        <v>238</v>
      </c>
      <c r="K331" s="6" t="s">
        <v>632</v>
      </c>
      <c r="L331" s="6" t="s">
        <v>205</v>
      </c>
      <c r="M331" s="6" t="s">
        <v>643</v>
      </c>
      <c r="N331" s="6" t="s">
        <v>278</v>
      </c>
      <c r="O331" s="6" t="s">
        <v>634</v>
      </c>
      <c r="P331" s="6" t="str">
        <f aca="false">IF(J331="S0","—",IF(K331="","",IF(L331="E0","QM",INDEX(10_ASIL_Matrix!$D$4:$F$15,MATCH(J331&amp;"-"&amp;L331,10_ASIL_Matrix!$C$4:$C$15,0),MATCH(N331,10_ASIL_Matrix!$D$3:$F$3,0)))))</f>
        <v>—</v>
      </c>
      <c r="Q331" s="6" t="s">
        <v>448</v>
      </c>
    </row>
    <row r="332" customFormat="false" ht="35.05" hidden="false" customHeight="false" outlineLevel="0" collapsed="false">
      <c r="A332" s="5" t="s">
        <v>1255</v>
      </c>
      <c r="B332" s="5" t="s">
        <v>101</v>
      </c>
      <c r="C332" s="5" t="s">
        <v>102</v>
      </c>
      <c r="D332" s="5" t="s">
        <v>146</v>
      </c>
      <c r="E332" s="5" t="s">
        <v>147</v>
      </c>
      <c r="F332" s="5" t="s">
        <v>207</v>
      </c>
      <c r="G332" s="5" t="s">
        <v>609</v>
      </c>
      <c r="H332" s="5" t="s">
        <v>230</v>
      </c>
      <c r="I332" s="5" t="s">
        <v>1256</v>
      </c>
      <c r="J332" s="5" t="s">
        <v>238</v>
      </c>
      <c r="K332" s="5" t="s">
        <v>632</v>
      </c>
      <c r="L332" s="5" t="s">
        <v>205</v>
      </c>
      <c r="M332" s="5" t="s">
        <v>646</v>
      </c>
      <c r="N332" s="5" t="s">
        <v>278</v>
      </c>
      <c r="O332" s="5" t="s">
        <v>634</v>
      </c>
      <c r="P332" s="5" t="str">
        <f aca="false">IF(J332="S0","—",IF(K332="","",IF(L332="E0","QM",INDEX(10_ASIL_Matrix!$D$4:$F$15,MATCH(J332&amp;"-"&amp;L332,10_ASIL_Matrix!$C$4:$C$15,0),MATCH(N332,10_ASIL_Matrix!$D$3:$F$3,0)))))</f>
        <v>—</v>
      </c>
      <c r="Q332" s="5" t="s">
        <v>448</v>
      </c>
    </row>
    <row r="333" customFormat="false" ht="46.25" hidden="false" customHeight="false" outlineLevel="0" collapsed="false">
      <c r="A333" s="6" t="s">
        <v>1257</v>
      </c>
      <c r="B333" s="6" t="s">
        <v>101</v>
      </c>
      <c r="C333" s="6" t="s">
        <v>102</v>
      </c>
      <c r="D333" s="6" t="s">
        <v>146</v>
      </c>
      <c r="E333" s="6" t="s">
        <v>147</v>
      </c>
      <c r="F333" s="6" t="s">
        <v>207</v>
      </c>
      <c r="G333" s="6" t="s">
        <v>609</v>
      </c>
      <c r="H333" s="6" t="s">
        <v>232</v>
      </c>
      <c r="I333" s="6" t="s">
        <v>1258</v>
      </c>
      <c r="J333" s="6" t="s">
        <v>238</v>
      </c>
      <c r="K333" s="6" t="s">
        <v>632</v>
      </c>
      <c r="L333" s="6" t="s">
        <v>233</v>
      </c>
      <c r="M333" s="6" t="s">
        <v>649</v>
      </c>
      <c r="N333" s="6" t="s">
        <v>278</v>
      </c>
      <c r="O333" s="6" t="s">
        <v>634</v>
      </c>
      <c r="P333" s="6" t="str">
        <f aca="false">IF(J333="S0","—",IF(K333="","",IF(L333="E0","QM",INDEX(10_ASIL_Matrix!$D$4:$F$15,MATCH(J333&amp;"-"&amp;L333,10_ASIL_Matrix!$C$4:$C$15,0),MATCH(N333,10_ASIL_Matrix!$D$3:$F$3,0)))))</f>
        <v>—</v>
      </c>
      <c r="Q333" s="6" t="s">
        <v>448</v>
      </c>
    </row>
    <row r="334" customFormat="false" ht="46.25" hidden="false" customHeight="false" outlineLevel="0" collapsed="false">
      <c r="A334" s="5" t="s">
        <v>1259</v>
      </c>
      <c r="B334" s="5" t="s">
        <v>101</v>
      </c>
      <c r="C334" s="5" t="s">
        <v>102</v>
      </c>
      <c r="D334" s="5" t="s">
        <v>146</v>
      </c>
      <c r="E334" s="5" t="s">
        <v>147</v>
      </c>
      <c r="F334" s="5" t="s">
        <v>209</v>
      </c>
      <c r="G334" s="5" t="s">
        <v>570</v>
      </c>
      <c r="H334" s="5" t="s">
        <v>222</v>
      </c>
      <c r="I334" s="5" t="s">
        <v>1260</v>
      </c>
      <c r="J334" s="5" t="s">
        <v>250</v>
      </c>
      <c r="K334" s="5" t="s">
        <v>652</v>
      </c>
      <c r="L334" s="5" t="s">
        <v>190</v>
      </c>
      <c r="M334" s="5" t="s">
        <v>653</v>
      </c>
      <c r="N334" s="5" t="s">
        <v>286</v>
      </c>
      <c r="O334" s="5" t="s">
        <v>1147</v>
      </c>
      <c r="P334" s="18" t="str">
        <f aca="false">IF(J334="S0","—",IF(K334="","",IF(L334="E0","QM",INDEX(10_ASIL_Matrix!$D$4:$F$15,MATCH(J334&amp;"-"&amp;L334,10_ASIL_Matrix!$C$4:$C$15,0),MATCH(N334,10_ASIL_Matrix!$D$3:$F$3,0)))))</f>
        <v>B</v>
      </c>
      <c r="Q334" s="5" t="s">
        <v>448</v>
      </c>
    </row>
    <row r="335" customFormat="false" ht="46.25" hidden="false" customHeight="false" outlineLevel="0" collapsed="false">
      <c r="A335" s="6" t="s">
        <v>1261</v>
      </c>
      <c r="B335" s="6" t="s">
        <v>101</v>
      </c>
      <c r="C335" s="6" t="s">
        <v>102</v>
      </c>
      <c r="D335" s="6" t="s">
        <v>146</v>
      </c>
      <c r="E335" s="6" t="s">
        <v>147</v>
      </c>
      <c r="F335" s="6" t="s">
        <v>209</v>
      </c>
      <c r="G335" s="6" t="s">
        <v>570</v>
      </c>
      <c r="H335" s="6" t="s">
        <v>224</v>
      </c>
      <c r="I335" s="6" t="s">
        <v>1262</v>
      </c>
      <c r="J335" s="6" t="s">
        <v>250</v>
      </c>
      <c r="K335" s="6" t="s">
        <v>652</v>
      </c>
      <c r="L335" s="6" t="s">
        <v>190</v>
      </c>
      <c r="M335" s="6" t="s">
        <v>656</v>
      </c>
      <c r="N335" s="6" t="s">
        <v>286</v>
      </c>
      <c r="O335" s="6" t="s">
        <v>1147</v>
      </c>
      <c r="P335" s="18" t="str">
        <f aca="false">IF(J335="S0","—",IF(K335="","",IF(L335="E0","QM",INDEX(10_ASIL_Matrix!$D$4:$F$15,MATCH(J335&amp;"-"&amp;L335,10_ASIL_Matrix!$C$4:$C$15,0),MATCH(N335,10_ASIL_Matrix!$D$3:$F$3,0)))))</f>
        <v>B</v>
      </c>
      <c r="Q335" s="6" t="s">
        <v>448</v>
      </c>
    </row>
    <row r="336" customFormat="false" ht="46.25" hidden="false" customHeight="false" outlineLevel="0" collapsed="false">
      <c r="A336" s="5" t="s">
        <v>1263</v>
      </c>
      <c r="B336" s="5" t="s">
        <v>101</v>
      </c>
      <c r="C336" s="5" t="s">
        <v>102</v>
      </c>
      <c r="D336" s="5" t="s">
        <v>146</v>
      </c>
      <c r="E336" s="5" t="s">
        <v>147</v>
      </c>
      <c r="F336" s="5" t="s">
        <v>209</v>
      </c>
      <c r="G336" s="5" t="s">
        <v>570</v>
      </c>
      <c r="H336" s="5" t="s">
        <v>226</v>
      </c>
      <c r="I336" s="5" t="s">
        <v>1264</v>
      </c>
      <c r="J336" s="5" t="s">
        <v>250</v>
      </c>
      <c r="K336" s="5" t="s">
        <v>652</v>
      </c>
      <c r="L336" s="5" t="s">
        <v>190</v>
      </c>
      <c r="M336" s="5" t="s">
        <v>659</v>
      </c>
      <c r="N336" s="5" t="s">
        <v>286</v>
      </c>
      <c r="O336" s="5" t="s">
        <v>1147</v>
      </c>
      <c r="P336" s="18" t="str">
        <f aca="false">IF(J336="S0","—",IF(K336="","",IF(L336="E0","QM",INDEX(10_ASIL_Matrix!$D$4:$F$15,MATCH(J336&amp;"-"&amp;L336,10_ASIL_Matrix!$C$4:$C$15,0),MATCH(N336,10_ASIL_Matrix!$D$3:$F$3,0)))))</f>
        <v>B</v>
      </c>
      <c r="Q336" s="5" t="s">
        <v>448</v>
      </c>
    </row>
    <row r="337" customFormat="false" ht="46.25" hidden="false" customHeight="false" outlineLevel="0" collapsed="false">
      <c r="A337" s="6" t="s">
        <v>1265</v>
      </c>
      <c r="B337" s="6" t="s">
        <v>101</v>
      </c>
      <c r="C337" s="6" t="s">
        <v>102</v>
      </c>
      <c r="D337" s="6" t="s">
        <v>146</v>
      </c>
      <c r="E337" s="6" t="s">
        <v>147</v>
      </c>
      <c r="F337" s="6" t="s">
        <v>209</v>
      </c>
      <c r="G337" s="6" t="s">
        <v>570</v>
      </c>
      <c r="H337" s="6" t="s">
        <v>228</v>
      </c>
      <c r="I337" s="6" t="s">
        <v>1266</v>
      </c>
      <c r="J337" s="6" t="s">
        <v>250</v>
      </c>
      <c r="K337" s="6" t="s">
        <v>652</v>
      </c>
      <c r="L337" s="6" t="s">
        <v>205</v>
      </c>
      <c r="M337" s="6" t="s">
        <v>662</v>
      </c>
      <c r="N337" s="6" t="s">
        <v>286</v>
      </c>
      <c r="O337" s="6" t="s">
        <v>1147</v>
      </c>
      <c r="P337" s="19" t="str">
        <f aca="false">IF(J337="S0","—",IF(K337="","",IF(L337="E0","QM",INDEX(10_ASIL_Matrix!$D$4:$F$15,MATCH(J337&amp;"-"&amp;L337,10_ASIL_Matrix!$C$4:$C$15,0),MATCH(N337,10_ASIL_Matrix!$D$3:$F$3,0)))))</f>
        <v>A</v>
      </c>
      <c r="Q337" s="6" t="s">
        <v>448</v>
      </c>
    </row>
    <row r="338" customFormat="false" ht="68.65" hidden="false" customHeight="false" outlineLevel="0" collapsed="false">
      <c r="A338" s="5" t="s">
        <v>1267</v>
      </c>
      <c r="B338" s="5" t="s">
        <v>101</v>
      </c>
      <c r="C338" s="5" t="s">
        <v>102</v>
      </c>
      <c r="D338" s="5" t="s">
        <v>146</v>
      </c>
      <c r="E338" s="5" t="s">
        <v>147</v>
      </c>
      <c r="F338" s="5" t="s">
        <v>209</v>
      </c>
      <c r="G338" s="5" t="s">
        <v>570</v>
      </c>
      <c r="H338" s="5" t="s">
        <v>230</v>
      </c>
      <c r="I338" s="5" t="s">
        <v>1268</v>
      </c>
      <c r="J338" s="5" t="s">
        <v>250</v>
      </c>
      <c r="K338" s="5" t="s">
        <v>652</v>
      </c>
      <c r="L338" s="5" t="s">
        <v>205</v>
      </c>
      <c r="M338" s="5" t="s">
        <v>665</v>
      </c>
      <c r="N338" s="5" t="s">
        <v>290</v>
      </c>
      <c r="O338" s="5" t="s">
        <v>1156</v>
      </c>
      <c r="P338" s="18" t="str">
        <f aca="false">IF(J338="S0","—",IF(K338="","",IF(L338="E0","QM",INDEX(10_ASIL_Matrix!$D$4:$F$15,MATCH(J338&amp;"-"&amp;L338,10_ASIL_Matrix!$C$4:$C$15,0),MATCH(N338,10_ASIL_Matrix!$D$3:$F$3,0)))))</f>
        <v>B</v>
      </c>
      <c r="Q338" s="5" t="s">
        <v>448</v>
      </c>
    </row>
    <row r="339" customFormat="false" ht="46.25" hidden="false" customHeight="false" outlineLevel="0" collapsed="false">
      <c r="A339" s="6" t="s">
        <v>1269</v>
      </c>
      <c r="B339" s="6" t="s">
        <v>101</v>
      </c>
      <c r="C339" s="6" t="s">
        <v>102</v>
      </c>
      <c r="D339" s="6" t="s">
        <v>146</v>
      </c>
      <c r="E339" s="6" t="s">
        <v>147</v>
      </c>
      <c r="F339" s="6" t="s">
        <v>209</v>
      </c>
      <c r="G339" s="6" t="s">
        <v>570</v>
      </c>
      <c r="H339" s="6" t="s">
        <v>232</v>
      </c>
      <c r="I339" s="6" t="s">
        <v>1270</v>
      </c>
      <c r="J339" s="6" t="s">
        <v>250</v>
      </c>
      <c r="K339" s="6" t="s">
        <v>652</v>
      </c>
      <c r="L339" s="6" t="s">
        <v>233</v>
      </c>
      <c r="M339" s="6" t="s">
        <v>668</v>
      </c>
      <c r="N339" s="6" t="s">
        <v>286</v>
      </c>
      <c r="O339" s="6" t="s">
        <v>1147</v>
      </c>
      <c r="P339" s="6" t="str">
        <f aca="false">IF(J339="S0","—",IF(K339="","",IF(L339="E0","QM",INDEX(10_ASIL_Matrix!$D$4:$F$15,MATCH(J339&amp;"-"&amp;L339,10_ASIL_Matrix!$C$4:$C$15,0),MATCH(N339,10_ASIL_Matrix!$D$3:$F$3,0)))))</f>
        <v>QM</v>
      </c>
      <c r="Q339" s="6" t="s">
        <v>448</v>
      </c>
    </row>
    <row r="340" customFormat="false" ht="35.05" hidden="false" customHeight="false" outlineLevel="0" collapsed="false">
      <c r="A340" s="5" t="s">
        <v>1271</v>
      </c>
      <c r="B340" s="5" t="s">
        <v>101</v>
      </c>
      <c r="C340" s="5" t="s">
        <v>102</v>
      </c>
      <c r="D340" s="5" t="s">
        <v>146</v>
      </c>
      <c r="E340" s="5" t="s">
        <v>147</v>
      </c>
      <c r="F340" s="5" t="s">
        <v>211</v>
      </c>
      <c r="G340" s="5" t="s">
        <v>609</v>
      </c>
      <c r="H340" s="5" t="s">
        <v>222</v>
      </c>
      <c r="I340" s="5" t="s">
        <v>1272</v>
      </c>
      <c r="J340" s="5" t="s">
        <v>238</v>
      </c>
      <c r="K340" s="5" t="s">
        <v>1273</v>
      </c>
      <c r="L340" s="5" t="s">
        <v>187</v>
      </c>
      <c r="M340" s="5" t="s">
        <v>672</v>
      </c>
      <c r="N340" s="5" t="s">
        <v>278</v>
      </c>
      <c r="O340" s="5" t="s">
        <v>634</v>
      </c>
      <c r="P340" s="5" t="str">
        <f aca="false">IF(J340="S0","—",IF(K340="","",IF(L340="E0","QM",INDEX(10_ASIL_Matrix!$D$4:$F$15,MATCH(J340&amp;"-"&amp;L340,10_ASIL_Matrix!$C$4:$C$15,0),MATCH(N340,10_ASIL_Matrix!$D$3:$F$3,0)))))</f>
        <v>—</v>
      </c>
      <c r="Q340" s="5" t="s">
        <v>448</v>
      </c>
    </row>
    <row r="341" customFormat="false" ht="35.05" hidden="false" customHeight="false" outlineLevel="0" collapsed="false">
      <c r="A341" s="6" t="s">
        <v>1274</v>
      </c>
      <c r="B341" s="6" t="s">
        <v>101</v>
      </c>
      <c r="C341" s="6" t="s">
        <v>102</v>
      </c>
      <c r="D341" s="6" t="s">
        <v>146</v>
      </c>
      <c r="E341" s="6" t="s">
        <v>147</v>
      </c>
      <c r="F341" s="6" t="s">
        <v>211</v>
      </c>
      <c r="G341" s="6" t="s">
        <v>609</v>
      </c>
      <c r="H341" s="6" t="s">
        <v>224</v>
      </c>
      <c r="I341" s="6" t="s">
        <v>1275</v>
      </c>
      <c r="J341" s="6" t="s">
        <v>238</v>
      </c>
      <c r="K341" s="6" t="s">
        <v>1273</v>
      </c>
      <c r="L341" s="6" t="s">
        <v>190</v>
      </c>
      <c r="M341" s="6" t="s">
        <v>675</v>
      </c>
      <c r="N341" s="6" t="s">
        <v>278</v>
      </c>
      <c r="O341" s="6" t="s">
        <v>634</v>
      </c>
      <c r="P341" s="6" t="str">
        <f aca="false">IF(J341="S0","—",IF(K341="","",IF(L341="E0","QM",INDEX(10_ASIL_Matrix!$D$4:$F$15,MATCH(J341&amp;"-"&amp;L341,10_ASIL_Matrix!$C$4:$C$15,0),MATCH(N341,10_ASIL_Matrix!$D$3:$F$3,0)))))</f>
        <v>—</v>
      </c>
      <c r="Q341" s="6" t="s">
        <v>448</v>
      </c>
    </row>
    <row r="342" customFormat="false" ht="35.05" hidden="false" customHeight="false" outlineLevel="0" collapsed="false">
      <c r="A342" s="5" t="s">
        <v>1276</v>
      </c>
      <c r="B342" s="5" t="s">
        <v>101</v>
      </c>
      <c r="C342" s="5" t="s">
        <v>102</v>
      </c>
      <c r="D342" s="5" t="s">
        <v>146</v>
      </c>
      <c r="E342" s="5" t="s">
        <v>147</v>
      </c>
      <c r="F342" s="5" t="s">
        <v>211</v>
      </c>
      <c r="G342" s="5" t="s">
        <v>609</v>
      </c>
      <c r="H342" s="5" t="s">
        <v>226</v>
      </c>
      <c r="I342" s="5" t="s">
        <v>1277</v>
      </c>
      <c r="J342" s="5" t="s">
        <v>238</v>
      </c>
      <c r="K342" s="5" t="s">
        <v>1273</v>
      </c>
      <c r="L342" s="5" t="s">
        <v>190</v>
      </c>
      <c r="M342" s="5" t="s">
        <v>678</v>
      </c>
      <c r="N342" s="5" t="s">
        <v>278</v>
      </c>
      <c r="O342" s="5" t="s">
        <v>634</v>
      </c>
      <c r="P342" s="5" t="str">
        <f aca="false">IF(J342="S0","—",IF(K342="","",IF(L342="E0","QM",INDEX(10_ASIL_Matrix!$D$4:$F$15,MATCH(J342&amp;"-"&amp;L342,10_ASIL_Matrix!$C$4:$C$15,0),MATCH(N342,10_ASIL_Matrix!$D$3:$F$3,0)))))</f>
        <v>—</v>
      </c>
      <c r="Q342" s="5" t="s">
        <v>448</v>
      </c>
    </row>
    <row r="343" customFormat="false" ht="35.05" hidden="false" customHeight="false" outlineLevel="0" collapsed="false">
      <c r="A343" s="6" t="s">
        <v>1278</v>
      </c>
      <c r="B343" s="6" t="s">
        <v>101</v>
      </c>
      <c r="C343" s="6" t="s">
        <v>102</v>
      </c>
      <c r="D343" s="6" t="s">
        <v>146</v>
      </c>
      <c r="E343" s="6" t="s">
        <v>147</v>
      </c>
      <c r="F343" s="6" t="s">
        <v>211</v>
      </c>
      <c r="G343" s="6" t="s">
        <v>609</v>
      </c>
      <c r="H343" s="6" t="s">
        <v>228</v>
      </c>
      <c r="I343" s="6" t="s">
        <v>1279</v>
      </c>
      <c r="J343" s="6" t="s">
        <v>238</v>
      </c>
      <c r="K343" s="6" t="s">
        <v>1273</v>
      </c>
      <c r="L343" s="6" t="s">
        <v>205</v>
      </c>
      <c r="M343" s="6" t="s">
        <v>681</v>
      </c>
      <c r="N343" s="6" t="s">
        <v>278</v>
      </c>
      <c r="O343" s="6" t="s">
        <v>634</v>
      </c>
      <c r="P343" s="6" t="str">
        <f aca="false">IF(J343="S0","—",IF(K343="","",IF(L343="E0","QM",INDEX(10_ASIL_Matrix!$D$4:$F$15,MATCH(J343&amp;"-"&amp;L343,10_ASIL_Matrix!$C$4:$C$15,0),MATCH(N343,10_ASIL_Matrix!$D$3:$F$3,0)))))</f>
        <v>—</v>
      </c>
      <c r="Q343" s="6" t="s">
        <v>448</v>
      </c>
    </row>
    <row r="344" customFormat="false" ht="35.05" hidden="false" customHeight="false" outlineLevel="0" collapsed="false">
      <c r="A344" s="5" t="s">
        <v>1280</v>
      </c>
      <c r="B344" s="5" t="s">
        <v>101</v>
      </c>
      <c r="C344" s="5" t="s">
        <v>102</v>
      </c>
      <c r="D344" s="5" t="s">
        <v>146</v>
      </c>
      <c r="E344" s="5" t="s">
        <v>147</v>
      </c>
      <c r="F344" s="5" t="s">
        <v>211</v>
      </c>
      <c r="G344" s="5" t="s">
        <v>609</v>
      </c>
      <c r="H344" s="5" t="s">
        <v>230</v>
      </c>
      <c r="I344" s="5" t="s">
        <v>1281</v>
      </c>
      <c r="J344" s="5" t="s">
        <v>238</v>
      </c>
      <c r="K344" s="5" t="s">
        <v>1273</v>
      </c>
      <c r="L344" s="5" t="s">
        <v>205</v>
      </c>
      <c r="M344" s="5" t="s">
        <v>684</v>
      </c>
      <c r="N344" s="5" t="s">
        <v>278</v>
      </c>
      <c r="O344" s="5" t="s">
        <v>634</v>
      </c>
      <c r="P344" s="5" t="str">
        <f aca="false">IF(J344="S0","—",IF(K344="","",IF(L344="E0","QM",INDEX(10_ASIL_Matrix!$D$4:$F$15,MATCH(J344&amp;"-"&amp;L344,10_ASIL_Matrix!$C$4:$C$15,0),MATCH(N344,10_ASIL_Matrix!$D$3:$F$3,0)))))</f>
        <v>—</v>
      </c>
      <c r="Q344" s="5" t="s">
        <v>448</v>
      </c>
    </row>
    <row r="345" customFormat="false" ht="46.25" hidden="false" customHeight="false" outlineLevel="0" collapsed="false">
      <c r="A345" s="6" t="s">
        <v>1282</v>
      </c>
      <c r="B345" s="6" t="s">
        <v>101</v>
      </c>
      <c r="C345" s="6" t="s">
        <v>102</v>
      </c>
      <c r="D345" s="6" t="s">
        <v>146</v>
      </c>
      <c r="E345" s="6" t="s">
        <v>147</v>
      </c>
      <c r="F345" s="6" t="s">
        <v>211</v>
      </c>
      <c r="G345" s="6" t="s">
        <v>609</v>
      </c>
      <c r="H345" s="6" t="s">
        <v>232</v>
      </c>
      <c r="I345" s="6" t="s">
        <v>1283</v>
      </c>
      <c r="J345" s="6" t="s">
        <v>238</v>
      </c>
      <c r="K345" s="6" t="s">
        <v>1273</v>
      </c>
      <c r="L345" s="6" t="s">
        <v>233</v>
      </c>
      <c r="M345" s="6" t="s">
        <v>687</v>
      </c>
      <c r="N345" s="6" t="s">
        <v>278</v>
      </c>
      <c r="O345" s="6" t="s">
        <v>634</v>
      </c>
      <c r="P345" s="6" t="str">
        <f aca="false">IF(J345="S0","—",IF(K345="","",IF(L345="E0","QM",INDEX(10_ASIL_Matrix!$D$4:$F$15,MATCH(J345&amp;"-"&amp;L345,10_ASIL_Matrix!$C$4:$C$15,0),MATCH(N345,10_ASIL_Matrix!$D$3:$F$3,0)))))</f>
        <v>—</v>
      </c>
      <c r="Q345" s="6" t="s">
        <v>448</v>
      </c>
    </row>
    <row r="346" customFormat="false" ht="46.25" hidden="false" customHeight="false" outlineLevel="0" collapsed="false">
      <c r="A346" s="5" t="s">
        <v>1284</v>
      </c>
      <c r="B346" s="5" t="s">
        <v>101</v>
      </c>
      <c r="C346" s="5" t="s">
        <v>102</v>
      </c>
      <c r="D346" s="5" t="s">
        <v>146</v>
      </c>
      <c r="E346" s="5" t="s">
        <v>147</v>
      </c>
      <c r="F346" s="5" t="s">
        <v>213</v>
      </c>
      <c r="G346" s="5" t="s">
        <v>689</v>
      </c>
      <c r="H346" s="5" t="s">
        <v>222</v>
      </c>
      <c r="I346" s="5" t="s">
        <v>1285</v>
      </c>
      <c r="J346" s="5" t="s">
        <v>250</v>
      </c>
      <c r="K346" s="5" t="s">
        <v>691</v>
      </c>
      <c r="L346" s="5" t="s">
        <v>205</v>
      </c>
      <c r="M346" s="5" t="s">
        <v>692</v>
      </c>
      <c r="N346" s="5" t="s">
        <v>290</v>
      </c>
      <c r="O346" s="5" t="s">
        <v>1286</v>
      </c>
      <c r="P346" s="18" t="str">
        <f aca="false">IF(J346="S0","—",IF(K346="","",IF(L346="E0","QM",INDEX(10_ASIL_Matrix!$D$4:$F$15,MATCH(J346&amp;"-"&amp;L346,10_ASIL_Matrix!$C$4:$C$15,0),MATCH(N346,10_ASIL_Matrix!$D$3:$F$3,0)))))</f>
        <v>B</v>
      </c>
      <c r="Q346" s="5" t="s">
        <v>448</v>
      </c>
    </row>
    <row r="347" customFormat="false" ht="46.25" hidden="false" customHeight="false" outlineLevel="0" collapsed="false">
      <c r="A347" s="6" t="s">
        <v>1287</v>
      </c>
      <c r="B347" s="6" t="s">
        <v>101</v>
      </c>
      <c r="C347" s="6" t="s">
        <v>102</v>
      </c>
      <c r="D347" s="6" t="s">
        <v>146</v>
      </c>
      <c r="E347" s="6" t="s">
        <v>147</v>
      </c>
      <c r="F347" s="6" t="s">
        <v>213</v>
      </c>
      <c r="G347" s="6" t="s">
        <v>689</v>
      </c>
      <c r="H347" s="6" t="s">
        <v>224</v>
      </c>
      <c r="I347" s="6" t="s">
        <v>1288</v>
      </c>
      <c r="J347" s="6" t="s">
        <v>250</v>
      </c>
      <c r="K347" s="6" t="s">
        <v>691</v>
      </c>
      <c r="L347" s="6" t="s">
        <v>205</v>
      </c>
      <c r="M347" s="6" t="s">
        <v>696</v>
      </c>
      <c r="N347" s="6" t="s">
        <v>290</v>
      </c>
      <c r="O347" s="6" t="s">
        <v>1286</v>
      </c>
      <c r="P347" s="18" t="str">
        <f aca="false">IF(J347="S0","—",IF(K347="","",IF(L347="E0","QM",INDEX(10_ASIL_Matrix!$D$4:$F$15,MATCH(J347&amp;"-"&amp;L347,10_ASIL_Matrix!$C$4:$C$15,0),MATCH(N347,10_ASIL_Matrix!$D$3:$F$3,0)))))</f>
        <v>B</v>
      </c>
      <c r="Q347" s="6" t="s">
        <v>448</v>
      </c>
    </row>
    <row r="348" customFormat="false" ht="46.25" hidden="false" customHeight="false" outlineLevel="0" collapsed="false">
      <c r="A348" s="5" t="s">
        <v>1289</v>
      </c>
      <c r="B348" s="5" t="s">
        <v>101</v>
      </c>
      <c r="C348" s="5" t="s">
        <v>102</v>
      </c>
      <c r="D348" s="5" t="s">
        <v>146</v>
      </c>
      <c r="E348" s="5" t="s">
        <v>147</v>
      </c>
      <c r="F348" s="5" t="s">
        <v>213</v>
      </c>
      <c r="G348" s="5" t="s">
        <v>689</v>
      </c>
      <c r="H348" s="5" t="s">
        <v>226</v>
      </c>
      <c r="I348" s="5" t="s">
        <v>1290</v>
      </c>
      <c r="J348" s="5" t="s">
        <v>250</v>
      </c>
      <c r="K348" s="5" t="s">
        <v>691</v>
      </c>
      <c r="L348" s="5" t="s">
        <v>205</v>
      </c>
      <c r="M348" s="5" t="s">
        <v>699</v>
      </c>
      <c r="N348" s="5" t="s">
        <v>290</v>
      </c>
      <c r="O348" s="5" t="s">
        <v>1286</v>
      </c>
      <c r="P348" s="18" t="str">
        <f aca="false">IF(J348="S0","—",IF(K348="","",IF(L348="E0","QM",INDEX(10_ASIL_Matrix!$D$4:$F$15,MATCH(J348&amp;"-"&amp;L348,10_ASIL_Matrix!$C$4:$C$15,0),MATCH(N348,10_ASIL_Matrix!$D$3:$F$3,0)))))</f>
        <v>B</v>
      </c>
      <c r="Q348" s="5" t="s">
        <v>448</v>
      </c>
    </row>
    <row r="349" customFormat="false" ht="46.25" hidden="false" customHeight="false" outlineLevel="0" collapsed="false">
      <c r="A349" s="6" t="s">
        <v>1291</v>
      </c>
      <c r="B349" s="6" t="s">
        <v>101</v>
      </c>
      <c r="C349" s="6" t="s">
        <v>102</v>
      </c>
      <c r="D349" s="6" t="s">
        <v>146</v>
      </c>
      <c r="E349" s="6" t="s">
        <v>147</v>
      </c>
      <c r="F349" s="6" t="s">
        <v>213</v>
      </c>
      <c r="G349" s="6" t="s">
        <v>689</v>
      </c>
      <c r="H349" s="6" t="s">
        <v>228</v>
      </c>
      <c r="I349" s="6" t="s">
        <v>1292</v>
      </c>
      <c r="J349" s="6" t="s">
        <v>250</v>
      </c>
      <c r="K349" s="6" t="s">
        <v>691</v>
      </c>
      <c r="L349" s="6" t="s">
        <v>205</v>
      </c>
      <c r="M349" s="6" t="s">
        <v>702</v>
      </c>
      <c r="N349" s="6" t="s">
        <v>290</v>
      </c>
      <c r="O349" s="6" t="s">
        <v>1286</v>
      </c>
      <c r="P349" s="18" t="str">
        <f aca="false">IF(J349="S0","—",IF(K349="","",IF(L349="E0","QM",INDEX(10_ASIL_Matrix!$D$4:$F$15,MATCH(J349&amp;"-"&amp;L349,10_ASIL_Matrix!$C$4:$C$15,0),MATCH(N349,10_ASIL_Matrix!$D$3:$F$3,0)))))</f>
        <v>B</v>
      </c>
      <c r="Q349" s="6" t="s">
        <v>448</v>
      </c>
    </row>
    <row r="350" customFormat="false" ht="46.25" hidden="false" customHeight="false" outlineLevel="0" collapsed="false">
      <c r="A350" s="5" t="s">
        <v>1293</v>
      </c>
      <c r="B350" s="5" t="s">
        <v>101</v>
      </c>
      <c r="C350" s="5" t="s">
        <v>102</v>
      </c>
      <c r="D350" s="5" t="s">
        <v>146</v>
      </c>
      <c r="E350" s="5" t="s">
        <v>147</v>
      </c>
      <c r="F350" s="5" t="s">
        <v>213</v>
      </c>
      <c r="G350" s="5" t="s">
        <v>689</v>
      </c>
      <c r="H350" s="5" t="s">
        <v>230</v>
      </c>
      <c r="I350" s="5" t="s">
        <v>1294</v>
      </c>
      <c r="J350" s="5" t="s">
        <v>250</v>
      </c>
      <c r="K350" s="5" t="s">
        <v>691</v>
      </c>
      <c r="L350" s="5" t="s">
        <v>205</v>
      </c>
      <c r="M350" s="5" t="s">
        <v>705</v>
      </c>
      <c r="N350" s="5" t="s">
        <v>290</v>
      </c>
      <c r="O350" s="5" t="s">
        <v>1295</v>
      </c>
      <c r="P350" s="18" t="str">
        <f aca="false">IF(J350="S0","—",IF(K350="","",IF(L350="E0","QM",INDEX(10_ASIL_Matrix!$D$4:$F$15,MATCH(J350&amp;"-"&amp;L350,10_ASIL_Matrix!$C$4:$C$15,0),MATCH(N350,10_ASIL_Matrix!$D$3:$F$3,0)))))</f>
        <v>B</v>
      </c>
      <c r="Q350" s="5" t="s">
        <v>448</v>
      </c>
    </row>
    <row r="351" customFormat="false" ht="46.25" hidden="false" customHeight="false" outlineLevel="0" collapsed="false">
      <c r="A351" s="6" t="s">
        <v>1296</v>
      </c>
      <c r="B351" s="6" t="s">
        <v>101</v>
      </c>
      <c r="C351" s="6" t="s">
        <v>102</v>
      </c>
      <c r="D351" s="6" t="s">
        <v>146</v>
      </c>
      <c r="E351" s="6" t="s">
        <v>147</v>
      </c>
      <c r="F351" s="6" t="s">
        <v>213</v>
      </c>
      <c r="G351" s="6" t="s">
        <v>689</v>
      </c>
      <c r="H351" s="6" t="s">
        <v>232</v>
      </c>
      <c r="I351" s="6" t="s">
        <v>1297</v>
      </c>
      <c r="J351" s="6" t="s">
        <v>250</v>
      </c>
      <c r="K351" s="6" t="s">
        <v>691</v>
      </c>
      <c r="L351" s="6" t="s">
        <v>233</v>
      </c>
      <c r="M351" s="6" t="s">
        <v>709</v>
      </c>
      <c r="N351" s="6" t="s">
        <v>290</v>
      </c>
      <c r="O351" s="6" t="s">
        <v>1286</v>
      </c>
      <c r="P351" s="19" t="str">
        <f aca="false">IF(J351="S0","—",IF(K351="","",IF(L351="E0","QM",INDEX(10_ASIL_Matrix!$D$4:$F$15,MATCH(J351&amp;"-"&amp;L351,10_ASIL_Matrix!$C$4:$C$15,0),MATCH(N351,10_ASIL_Matrix!$D$3:$F$3,0)))))</f>
        <v>A</v>
      </c>
      <c r="Q351" s="6" t="s">
        <v>448</v>
      </c>
    </row>
    <row r="352" customFormat="false" ht="46.25" hidden="false" customHeight="false" outlineLevel="0" collapsed="false">
      <c r="A352" s="5" t="s">
        <v>1298</v>
      </c>
      <c r="B352" s="5" t="s">
        <v>101</v>
      </c>
      <c r="C352" s="5" t="s">
        <v>102</v>
      </c>
      <c r="D352" s="5" t="s">
        <v>146</v>
      </c>
      <c r="E352" s="5" t="s">
        <v>147</v>
      </c>
      <c r="F352" s="5" t="s">
        <v>215</v>
      </c>
      <c r="G352" s="5" t="s">
        <v>711</v>
      </c>
      <c r="H352" s="5" t="s">
        <v>222</v>
      </c>
      <c r="I352" s="5" t="s">
        <v>1299</v>
      </c>
      <c r="J352" s="5" t="s">
        <v>250</v>
      </c>
      <c r="K352" s="5" t="s">
        <v>713</v>
      </c>
      <c r="L352" s="5" t="s">
        <v>190</v>
      </c>
      <c r="M352" s="5" t="s">
        <v>714</v>
      </c>
      <c r="N352" s="5" t="s">
        <v>282</v>
      </c>
      <c r="O352" s="5" t="s">
        <v>1133</v>
      </c>
      <c r="P352" s="19" t="str">
        <f aca="false">IF(J352="S0","—",IF(K352="","",IF(L352="E0","QM",INDEX(10_ASIL_Matrix!$D$4:$F$15,MATCH(J352&amp;"-"&amp;L352,10_ASIL_Matrix!$C$4:$C$15,0),MATCH(N352,10_ASIL_Matrix!$D$3:$F$3,0)))))</f>
        <v>A</v>
      </c>
      <c r="Q352" s="5" t="s">
        <v>448</v>
      </c>
    </row>
    <row r="353" customFormat="false" ht="46.25" hidden="false" customHeight="false" outlineLevel="0" collapsed="false">
      <c r="A353" s="6" t="s">
        <v>1300</v>
      </c>
      <c r="B353" s="6" t="s">
        <v>101</v>
      </c>
      <c r="C353" s="6" t="s">
        <v>102</v>
      </c>
      <c r="D353" s="6" t="s">
        <v>146</v>
      </c>
      <c r="E353" s="6" t="s">
        <v>147</v>
      </c>
      <c r="F353" s="6" t="s">
        <v>215</v>
      </c>
      <c r="G353" s="6" t="s">
        <v>711</v>
      </c>
      <c r="H353" s="6" t="s">
        <v>224</v>
      </c>
      <c r="I353" s="6" t="s">
        <v>1301</v>
      </c>
      <c r="J353" s="6" t="s">
        <v>250</v>
      </c>
      <c r="K353" s="6" t="s">
        <v>713</v>
      </c>
      <c r="L353" s="6" t="s">
        <v>190</v>
      </c>
      <c r="M353" s="6" t="s">
        <v>717</v>
      </c>
      <c r="N353" s="6" t="s">
        <v>282</v>
      </c>
      <c r="O353" s="6" t="s">
        <v>1133</v>
      </c>
      <c r="P353" s="19" t="str">
        <f aca="false">IF(J353="S0","—",IF(K353="","",IF(L353="E0","QM",INDEX(10_ASIL_Matrix!$D$4:$F$15,MATCH(J353&amp;"-"&amp;L353,10_ASIL_Matrix!$C$4:$C$15,0),MATCH(N353,10_ASIL_Matrix!$D$3:$F$3,0)))))</f>
        <v>A</v>
      </c>
      <c r="Q353" s="6" t="s">
        <v>448</v>
      </c>
    </row>
    <row r="354" customFormat="false" ht="46.25" hidden="false" customHeight="false" outlineLevel="0" collapsed="false">
      <c r="A354" s="5" t="s">
        <v>1302</v>
      </c>
      <c r="B354" s="5" t="s">
        <v>101</v>
      </c>
      <c r="C354" s="5" t="s">
        <v>102</v>
      </c>
      <c r="D354" s="5" t="s">
        <v>146</v>
      </c>
      <c r="E354" s="5" t="s">
        <v>147</v>
      </c>
      <c r="F354" s="5" t="s">
        <v>215</v>
      </c>
      <c r="G354" s="5" t="s">
        <v>711</v>
      </c>
      <c r="H354" s="5" t="s">
        <v>226</v>
      </c>
      <c r="I354" s="5" t="s">
        <v>1303</v>
      </c>
      <c r="J354" s="5" t="s">
        <v>250</v>
      </c>
      <c r="K354" s="5" t="s">
        <v>713</v>
      </c>
      <c r="L354" s="5" t="s">
        <v>190</v>
      </c>
      <c r="M354" s="5" t="s">
        <v>720</v>
      </c>
      <c r="N354" s="5" t="s">
        <v>282</v>
      </c>
      <c r="O354" s="5" t="s">
        <v>1133</v>
      </c>
      <c r="P354" s="19" t="str">
        <f aca="false">IF(J354="S0","—",IF(K354="","",IF(L354="E0","QM",INDEX(10_ASIL_Matrix!$D$4:$F$15,MATCH(J354&amp;"-"&amp;L354,10_ASIL_Matrix!$C$4:$C$15,0),MATCH(N354,10_ASIL_Matrix!$D$3:$F$3,0)))))</f>
        <v>A</v>
      </c>
      <c r="Q354" s="5" t="s">
        <v>448</v>
      </c>
    </row>
    <row r="355" customFormat="false" ht="46.25" hidden="false" customHeight="false" outlineLevel="0" collapsed="false">
      <c r="A355" s="6" t="s">
        <v>1304</v>
      </c>
      <c r="B355" s="6" t="s">
        <v>101</v>
      </c>
      <c r="C355" s="6" t="s">
        <v>102</v>
      </c>
      <c r="D355" s="6" t="s">
        <v>146</v>
      </c>
      <c r="E355" s="6" t="s">
        <v>147</v>
      </c>
      <c r="F355" s="6" t="s">
        <v>215</v>
      </c>
      <c r="G355" s="6" t="s">
        <v>711</v>
      </c>
      <c r="H355" s="6" t="s">
        <v>228</v>
      </c>
      <c r="I355" s="6" t="s">
        <v>1305</v>
      </c>
      <c r="J355" s="6" t="s">
        <v>250</v>
      </c>
      <c r="K355" s="6" t="s">
        <v>713</v>
      </c>
      <c r="L355" s="6" t="s">
        <v>205</v>
      </c>
      <c r="M355" s="6" t="s">
        <v>723</v>
      </c>
      <c r="N355" s="6" t="s">
        <v>282</v>
      </c>
      <c r="O355" s="6" t="s">
        <v>1133</v>
      </c>
      <c r="P355" s="6" t="str">
        <f aca="false">IF(J355="S0","—",IF(K355="","",IF(L355="E0","QM",INDEX(10_ASIL_Matrix!$D$4:$F$15,MATCH(J355&amp;"-"&amp;L355,10_ASIL_Matrix!$C$4:$C$15,0),MATCH(N355,10_ASIL_Matrix!$D$3:$F$3,0)))))</f>
        <v>QM</v>
      </c>
      <c r="Q355" s="6" t="s">
        <v>448</v>
      </c>
    </row>
    <row r="356" customFormat="false" ht="57.45" hidden="false" customHeight="false" outlineLevel="0" collapsed="false">
      <c r="A356" s="5" t="s">
        <v>1306</v>
      </c>
      <c r="B356" s="5" t="s">
        <v>101</v>
      </c>
      <c r="C356" s="5" t="s">
        <v>102</v>
      </c>
      <c r="D356" s="5" t="s">
        <v>146</v>
      </c>
      <c r="E356" s="5" t="s">
        <v>147</v>
      </c>
      <c r="F356" s="5" t="s">
        <v>215</v>
      </c>
      <c r="G356" s="5" t="s">
        <v>711</v>
      </c>
      <c r="H356" s="5" t="s">
        <v>230</v>
      </c>
      <c r="I356" s="5" t="s">
        <v>1307</v>
      </c>
      <c r="J356" s="5" t="s">
        <v>250</v>
      </c>
      <c r="K356" s="5" t="s">
        <v>713</v>
      </c>
      <c r="L356" s="5" t="s">
        <v>205</v>
      </c>
      <c r="M356" s="5" t="s">
        <v>726</v>
      </c>
      <c r="N356" s="5" t="s">
        <v>286</v>
      </c>
      <c r="O356" s="5" t="s">
        <v>1142</v>
      </c>
      <c r="P356" s="19" t="str">
        <f aca="false">IF(J356="S0","—",IF(K356="","",IF(L356="E0","QM",INDEX(10_ASIL_Matrix!$D$4:$F$15,MATCH(J356&amp;"-"&amp;L356,10_ASIL_Matrix!$C$4:$C$15,0),MATCH(N356,10_ASIL_Matrix!$D$3:$F$3,0)))))</f>
        <v>A</v>
      </c>
      <c r="Q356" s="5" t="s">
        <v>448</v>
      </c>
    </row>
    <row r="357" customFormat="false" ht="46.25" hidden="false" customHeight="false" outlineLevel="0" collapsed="false">
      <c r="A357" s="6" t="s">
        <v>1308</v>
      </c>
      <c r="B357" s="6" t="s">
        <v>101</v>
      </c>
      <c r="C357" s="6" t="s">
        <v>102</v>
      </c>
      <c r="D357" s="6" t="s">
        <v>146</v>
      </c>
      <c r="E357" s="6" t="s">
        <v>147</v>
      </c>
      <c r="F357" s="6" t="s">
        <v>215</v>
      </c>
      <c r="G357" s="6" t="s">
        <v>711</v>
      </c>
      <c r="H357" s="6" t="s">
        <v>232</v>
      </c>
      <c r="I357" s="6" t="s">
        <v>1309</v>
      </c>
      <c r="J357" s="6" t="s">
        <v>250</v>
      </c>
      <c r="K357" s="6" t="s">
        <v>713</v>
      </c>
      <c r="L357" s="6" t="s">
        <v>233</v>
      </c>
      <c r="M357" s="6" t="s">
        <v>729</v>
      </c>
      <c r="N357" s="6" t="s">
        <v>282</v>
      </c>
      <c r="O357" s="6" t="s">
        <v>1133</v>
      </c>
      <c r="P357" s="6" t="str">
        <f aca="false">IF(J357="S0","—",IF(K357="","",IF(L357="E0","QM",INDEX(10_ASIL_Matrix!$D$4:$F$15,MATCH(J357&amp;"-"&amp;L357,10_ASIL_Matrix!$C$4:$C$15,0),MATCH(N357,10_ASIL_Matrix!$D$3:$F$3,0)))))</f>
        <v>QM</v>
      </c>
      <c r="Q357" s="6" t="s">
        <v>448</v>
      </c>
    </row>
    <row r="358" customFormat="false" ht="46.25" hidden="false" customHeight="false" outlineLevel="0" collapsed="false">
      <c r="A358" s="5" t="s">
        <v>1310</v>
      </c>
      <c r="B358" s="5" t="s">
        <v>101</v>
      </c>
      <c r="C358" s="5" t="s">
        <v>102</v>
      </c>
      <c r="D358" s="5" t="s">
        <v>146</v>
      </c>
      <c r="E358" s="5" t="s">
        <v>147</v>
      </c>
      <c r="F358" s="5" t="s">
        <v>217</v>
      </c>
      <c r="G358" s="5" t="s">
        <v>488</v>
      </c>
      <c r="H358" s="5" t="s">
        <v>222</v>
      </c>
      <c r="I358" s="5" t="s">
        <v>1311</v>
      </c>
      <c r="J358" s="5" t="s">
        <v>250</v>
      </c>
      <c r="K358" s="5" t="s">
        <v>732</v>
      </c>
      <c r="L358" s="5" t="s">
        <v>190</v>
      </c>
      <c r="M358" s="5" t="s">
        <v>733</v>
      </c>
      <c r="N358" s="5" t="s">
        <v>286</v>
      </c>
      <c r="O358" s="5" t="s">
        <v>1147</v>
      </c>
      <c r="P358" s="18" t="str">
        <f aca="false">IF(J358="S0","—",IF(K358="","",IF(L358="E0","QM",INDEX(10_ASIL_Matrix!$D$4:$F$15,MATCH(J358&amp;"-"&amp;L358,10_ASIL_Matrix!$C$4:$C$15,0),MATCH(N358,10_ASIL_Matrix!$D$3:$F$3,0)))))</f>
        <v>B</v>
      </c>
      <c r="Q358" s="5" t="s">
        <v>448</v>
      </c>
    </row>
    <row r="359" customFormat="false" ht="46.25" hidden="false" customHeight="false" outlineLevel="0" collapsed="false">
      <c r="A359" s="6" t="s">
        <v>1312</v>
      </c>
      <c r="B359" s="6" t="s">
        <v>101</v>
      </c>
      <c r="C359" s="6" t="s">
        <v>102</v>
      </c>
      <c r="D359" s="6" t="s">
        <v>146</v>
      </c>
      <c r="E359" s="6" t="s">
        <v>147</v>
      </c>
      <c r="F359" s="6" t="s">
        <v>217</v>
      </c>
      <c r="G359" s="6" t="s">
        <v>488</v>
      </c>
      <c r="H359" s="6" t="s">
        <v>224</v>
      </c>
      <c r="I359" s="6" t="s">
        <v>1313</v>
      </c>
      <c r="J359" s="6" t="s">
        <v>250</v>
      </c>
      <c r="K359" s="6" t="s">
        <v>732</v>
      </c>
      <c r="L359" s="6" t="s">
        <v>190</v>
      </c>
      <c r="M359" s="6" t="s">
        <v>736</v>
      </c>
      <c r="N359" s="6" t="s">
        <v>286</v>
      </c>
      <c r="O359" s="6" t="s">
        <v>1147</v>
      </c>
      <c r="P359" s="18" t="str">
        <f aca="false">IF(J359="S0","—",IF(K359="","",IF(L359="E0","QM",INDEX(10_ASIL_Matrix!$D$4:$F$15,MATCH(J359&amp;"-"&amp;L359,10_ASIL_Matrix!$C$4:$C$15,0),MATCH(N359,10_ASIL_Matrix!$D$3:$F$3,0)))))</f>
        <v>B</v>
      </c>
      <c r="Q359" s="6" t="s">
        <v>448</v>
      </c>
    </row>
    <row r="360" customFormat="false" ht="46.25" hidden="false" customHeight="false" outlineLevel="0" collapsed="false">
      <c r="A360" s="5" t="s">
        <v>1314</v>
      </c>
      <c r="B360" s="5" t="s">
        <v>101</v>
      </c>
      <c r="C360" s="5" t="s">
        <v>102</v>
      </c>
      <c r="D360" s="5" t="s">
        <v>146</v>
      </c>
      <c r="E360" s="5" t="s">
        <v>147</v>
      </c>
      <c r="F360" s="5" t="s">
        <v>217</v>
      </c>
      <c r="G360" s="5" t="s">
        <v>488</v>
      </c>
      <c r="H360" s="5" t="s">
        <v>226</v>
      </c>
      <c r="I360" s="5" t="s">
        <v>1315</v>
      </c>
      <c r="J360" s="5" t="s">
        <v>250</v>
      </c>
      <c r="K360" s="5" t="s">
        <v>732</v>
      </c>
      <c r="L360" s="5" t="s">
        <v>190</v>
      </c>
      <c r="M360" s="5" t="s">
        <v>739</v>
      </c>
      <c r="N360" s="5" t="s">
        <v>286</v>
      </c>
      <c r="O360" s="5" t="s">
        <v>1147</v>
      </c>
      <c r="P360" s="18" t="str">
        <f aca="false">IF(J360="S0","—",IF(K360="","",IF(L360="E0","QM",INDEX(10_ASIL_Matrix!$D$4:$F$15,MATCH(J360&amp;"-"&amp;L360,10_ASIL_Matrix!$C$4:$C$15,0),MATCH(N360,10_ASIL_Matrix!$D$3:$F$3,0)))))</f>
        <v>B</v>
      </c>
      <c r="Q360" s="5" t="s">
        <v>448</v>
      </c>
    </row>
    <row r="361" customFormat="false" ht="46.25" hidden="false" customHeight="false" outlineLevel="0" collapsed="false">
      <c r="A361" s="6" t="s">
        <v>1316</v>
      </c>
      <c r="B361" s="6" t="s">
        <v>101</v>
      </c>
      <c r="C361" s="6" t="s">
        <v>102</v>
      </c>
      <c r="D361" s="6" t="s">
        <v>146</v>
      </c>
      <c r="E361" s="6" t="s">
        <v>147</v>
      </c>
      <c r="F361" s="6" t="s">
        <v>217</v>
      </c>
      <c r="G361" s="6" t="s">
        <v>488</v>
      </c>
      <c r="H361" s="6" t="s">
        <v>228</v>
      </c>
      <c r="I361" s="6" t="s">
        <v>1317</v>
      </c>
      <c r="J361" s="6" t="s">
        <v>250</v>
      </c>
      <c r="K361" s="6" t="s">
        <v>732</v>
      </c>
      <c r="L361" s="6" t="s">
        <v>205</v>
      </c>
      <c r="M361" s="6" t="s">
        <v>742</v>
      </c>
      <c r="N361" s="6" t="s">
        <v>286</v>
      </c>
      <c r="O361" s="6" t="s">
        <v>1147</v>
      </c>
      <c r="P361" s="19" t="str">
        <f aca="false">IF(J361="S0","—",IF(K361="","",IF(L361="E0","QM",INDEX(10_ASIL_Matrix!$D$4:$F$15,MATCH(J361&amp;"-"&amp;L361,10_ASIL_Matrix!$C$4:$C$15,0),MATCH(N361,10_ASIL_Matrix!$D$3:$F$3,0)))))</f>
        <v>A</v>
      </c>
      <c r="Q361" s="6" t="s">
        <v>448</v>
      </c>
    </row>
    <row r="362" customFormat="false" ht="68.65" hidden="false" customHeight="false" outlineLevel="0" collapsed="false">
      <c r="A362" s="5" t="s">
        <v>1318</v>
      </c>
      <c r="B362" s="5" t="s">
        <v>101</v>
      </c>
      <c r="C362" s="5" t="s">
        <v>102</v>
      </c>
      <c r="D362" s="5" t="s">
        <v>146</v>
      </c>
      <c r="E362" s="5" t="s">
        <v>147</v>
      </c>
      <c r="F362" s="5" t="s">
        <v>217</v>
      </c>
      <c r="G362" s="5" t="s">
        <v>488</v>
      </c>
      <c r="H362" s="5" t="s">
        <v>230</v>
      </c>
      <c r="I362" s="5" t="s">
        <v>1319</v>
      </c>
      <c r="J362" s="5" t="s">
        <v>250</v>
      </c>
      <c r="K362" s="5" t="s">
        <v>732</v>
      </c>
      <c r="L362" s="5" t="s">
        <v>205</v>
      </c>
      <c r="M362" s="5" t="s">
        <v>745</v>
      </c>
      <c r="N362" s="5" t="s">
        <v>290</v>
      </c>
      <c r="O362" s="5" t="s">
        <v>1156</v>
      </c>
      <c r="P362" s="18" t="str">
        <f aca="false">IF(J362="S0","—",IF(K362="","",IF(L362="E0","QM",INDEX(10_ASIL_Matrix!$D$4:$F$15,MATCH(J362&amp;"-"&amp;L362,10_ASIL_Matrix!$C$4:$C$15,0),MATCH(N362,10_ASIL_Matrix!$D$3:$F$3,0)))))</f>
        <v>B</v>
      </c>
      <c r="Q362" s="5" t="s">
        <v>448</v>
      </c>
    </row>
    <row r="363" customFormat="false" ht="46.25" hidden="false" customHeight="false" outlineLevel="0" collapsed="false">
      <c r="A363" s="6" t="s">
        <v>1320</v>
      </c>
      <c r="B363" s="6" t="s">
        <v>101</v>
      </c>
      <c r="C363" s="6" t="s">
        <v>102</v>
      </c>
      <c r="D363" s="6" t="s">
        <v>146</v>
      </c>
      <c r="E363" s="6" t="s">
        <v>147</v>
      </c>
      <c r="F363" s="6" t="s">
        <v>217</v>
      </c>
      <c r="G363" s="6" t="s">
        <v>488</v>
      </c>
      <c r="H363" s="6" t="s">
        <v>232</v>
      </c>
      <c r="I363" s="6" t="s">
        <v>1321</v>
      </c>
      <c r="J363" s="6" t="s">
        <v>250</v>
      </c>
      <c r="K363" s="6" t="s">
        <v>732</v>
      </c>
      <c r="L363" s="6" t="s">
        <v>233</v>
      </c>
      <c r="M363" s="6" t="s">
        <v>748</v>
      </c>
      <c r="N363" s="6" t="s">
        <v>286</v>
      </c>
      <c r="O363" s="6" t="s">
        <v>1147</v>
      </c>
      <c r="P363" s="6" t="str">
        <f aca="false">IF(J363="S0","—",IF(K363="","",IF(L363="E0","QM",INDEX(10_ASIL_Matrix!$D$4:$F$15,MATCH(J363&amp;"-"&amp;L363,10_ASIL_Matrix!$C$4:$C$15,0),MATCH(N363,10_ASIL_Matrix!$D$3:$F$3,0)))))</f>
        <v>QM</v>
      </c>
      <c r="Q363" s="6" t="s">
        <v>448</v>
      </c>
    </row>
    <row r="364" customFormat="false" ht="46.25" hidden="false" customHeight="false" outlineLevel="0" collapsed="false">
      <c r="A364" s="5" t="s">
        <v>1322</v>
      </c>
      <c r="B364" s="5" t="s">
        <v>101</v>
      </c>
      <c r="C364" s="5" t="s">
        <v>102</v>
      </c>
      <c r="D364" s="5" t="s">
        <v>149</v>
      </c>
      <c r="E364" s="5" t="s">
        <v>150</v>
      </c>
      <c r="F364" s="5" t="s">
        <v>186</v>
      </c>
      <c r="G364" s="5" t="s">
        <v>443</v>
      </c>
      <c r="H364" s="5" t="s">
        <v>222</v>
      </c>
      <c r="I364" s="5" t="s">
        <v>1323</v>
      </c>
      <c r="J364" s="5" t="s">
        <v>250</v>
      </c>
      <c r="K364" s="5" t="s">
        <v>932</v>
      </c>
      <c r="L364" s="5" t="s">
        <v>187</v>
      </c>
      <c r="M364" s="5" t="s">
        <v>446</v>
      </c>
      <c r="N364" s="5" t="s">
        <v>286</v>
      </c>
      <c r="O364" s="5" t="s">
        <v>933</v>
      </c>
      <c r="P364" s="20" t="str">
        <f aca="false">IF(J364="S0","—",IF(K364="","",IF(L364="E0","QM",INDEX(10_ASIL_Matrix!$D$4:$F$15,MATCH(J364&amp;"-"&amp;L364,10_ASIL_Matrix!$C$4:$C$15,0),MATCH(N364,10_ASIL_Matrix!$D$3:$F$3,0)))))</f>
        <v>C</v>
      </c>
      <c r="Q364" s="5" t="s">
        <v>448</v>
      </c>
    </row>
    <row r="365" customFormat="false" ht="46.25" hidden="false" customHeight="false" outlineLevel="0" collapsed="false">
      <c r="A365" s="6" t="s">
        <v>1324</v>
      </c>
      <c r="B365" s="6" t="s">
        <v>101</v>
      </c>
      <c r="C365" s="6" t="s">
        <v>102</v>
      </c>
      <c r="D365" s="6" t="s">
        <v>149</v>
      </c>
      <c r="E365" s="6" t="s">
        <v>150</v>
      </c>
      <c r="F365" s="6" t="s">
        <v>186</v>
      </c>
      <c r="G365" s="6" t="s">
        <v>443</v>
      </c>
      <c r="H365" s="6" t="s">
        <v>224</v>
      </c>
      <c r="I365" s="6" t="s">
        <v>1325</v>
      </c>
      <c r="J365" s="6" t="s">
        <v>250</v>
      </c>
      <c r="K365" s="6" t="s">
        <v>932</v>
      </c>
      <c r="L365" s="6" t="s">
        <v>190</v>
      </c>
      <c r="M365" s="6" t="s">
        <v>451</v>
      </c>
      <c r="N365" s="6" t="s">
        <v>286</v>
      </c>
      <c r="O365" s="6" t="s">
        <v>933</v>
      </c>
      <c r="P365" s="18" t="str">
        <f aca="false">IF(J365="S0","—",IF(K365="","",IF(L365="E0","QM",INDEX(10_ASIL_Matrix!$D$4:$F$15,MATCH(J365&amp;"-"&amp;L365,10_ASIL_Matrix!$C$4:$C$15,0),MATCH(N365,10_ASIL_Matrix!$D$3:$F$3,0)))))</f>
        <v>B</v>
      </c>
      <c r="Q365" s="6" t="s">
        <v>448</v>
      </c>
    </row>
    <row r="366" customFormat="false" ht="46.25" hidden="false" customHeight="false" outlineLevel="0" collapsed="false">
      <c r="A366" s="5" t="s">
        <v>1326</v>
      </c>
      <c r="B366" s="5" t="s">
        <v>101</v>
      </c>
      <c r="C366" s="5" t="s">
        <v>102</v>
      </c>
      <c r="D366" s="5" t="s">
        <v>149</v>
      </c>
      <c r="E366" s="5" t="s">
        <v>150</v>
      </c>
      <c r="F366" s="5" t="s">
        <v>186</v>
      </c>
      <c r="G366" s="5" t="s">
        <v>443</v>
      </c>
      <c r="H366" s="5" t="s">
        <v>226</v>
      </c>
      <c r="I366" s="5" t="s">
        <v>1327</v>
      </c>
      <c r="J366" s="5" t="s">
        <v>250</v>
      </c>
      <c r="K366" s="5" t="s">
        <v>932</v>
      </c>
      <c r="L366" s="5" t="s">
        <v>190</v>
      </c>
      <c r="M366" s="5" t="s">
        <v>454</v>
      </c>
      <c r="N366" s="5" t="s">
        <v>286</v>
      </c>
      <c r="O366" s="5" t="s">
        <v>933</v>
      </c>
      <c r="P366" s="18" t="str">
        <f aca="false">IF(J366="S0","—",IF(K366="","",IF(L366="E0","QM",INDEX(10_ASIL_Matrix!$D$4:$F$15,MATCH(J366&amp;"-"&amp;L366,10_ASIL_Matrix!$C$4:$C$15,0),MATCH(N366,10_ASIL_Matrix!$D$3:$F$3,0)))))</f>
        <v>B</v>
      </c>
      <c r="Q366" s="5" t="s">
        <v>448</v>
      </c>
    </row>
    <row r="367" customFormat="false" ht="46.25" hidden="false" customHeight="false" outlineLevel="0" collapsed="false">
      <c r="A367" s="6" t="s">
        <v>1328</v>
      </c>
      <c r="B367" s="6" t="s">
        <v>101</v>
      </c>
      <c r="C367" s="6" t="s">
        <v>102</v>
      </c>
      <c r="D367" s="6" t="s">
        <v>149</v>
      </c>
      <c r="E367" s="6" t="s">
        <v>150</v>
      </c>
      <c r="F367" s="6" t="s">
        <v>186</v>
      </c>
      <c r="G367" s="6" t="s">
        <v>443</v>
      </c>
      <c r="H367" s="6" t="s">
        <v>228</v>
      </c>
      <c r="I367" s="6" t="s">
        <v>1329</v>
      </c>
      <c r="J367" s="6" t="s">
        <v>250</v>
      </c>
      <c r="K367" s="6" t="s">
        <v>932</v>
      </c>
      <c r="L367" s="6" t="s">
        <v>205</v>
      </c>
      <c r="M367" s="6" t="s">
        <v>457</v>
      </c>
      <c r="N367" s="6" t="s">
        <v>286</v>
      </c>
      <c r="O367" s="6" t="s">
        <v>933</v>
      </c>
      <c r="P367" s="19" t="str">
        <f aca="false">IF(J367="S0","—",IF(K367="","",IF(L367="E0","QM",INDEX(10_ASIL_Matrix!$D$4:$F$15,MATCH(J367&amp;"-"&amp;L367,10_ASIL_Matrix!$C$4:$C$15,0),MATCH(N367,10_ASIL_Matrix!$D$3:$F$3,0)))))</f>
        <v>A</v>
      </c>
      <c r="Q367" s="6" t="s">
        <v>448</v>
      </c>
    </row>
    <row r="368" customFormat="false" ht="57.45" hidden="false" customHeight="false" outlineLevel="0" collapsed="false">
      <c r="A368" s="5" t="s">
        <v>1330</v>
      </c>
      <c r="B368" s="5" t="s">
        <v>101</v>
      </c>
      <c r="C368" s="5" t="s">
        <v>102</v>
      </c>
      <c r="D368" s="5" t="s">
        <v>149</v>
      </c>
      <c r="E368" s="5" t="s">
        <v>150</v>
      </c>
      <c r="F368" s="5" t="s">
        <v>186</v>
      </c>
      <c r="G368" s="5" t="s">
        <v>443</v>
      </c>
      <c r="H368" s="5" t="s">
        <v>230</v>
      </c>
      <c r="I368" s="5" t="s">
        <v>1331</v>
      </c>
      <c r="J368" s="5" t="s">
        <v>250</v>
      </c>
      <c r="K368" s="5" t="s">
        <v>932</v>
      </c>
      <c r="L368" s="5" t="s">
        <v>205</v>
      </c>
      <c r="M368" s="5" t="s">
        <v>460</v>
      </c>
      <c r="N368" s="5" t="s">
        <v>290</v>
      </c>
      <c r="O368" s="5" t="s">
        <v>942</v>
      </c>
      <c r="P368" s="18" t="str">
        <f aca="false">IF(J368="S0","—",IF(K368="","",IF(L368="E0","QM",INDEX(10_ASIL_Matrix!$D$4:$F$15,MATCH(J368&amp;"-"&amp;L368,10_ASIL_Matrix!$C$4:$C$15,0),MATCH(N368,10_ASIL_Matrix!$D$3:$F$3,0)))))</f>
        <v>B</v>
      </c>
      <c r="Q368" s="5" t="s">
        <v>448</v>
      </c>
    </row>
    <row r="369" customFormat="false" ht="46.25" hidden="false" customHeight="false" outlineLevel="0" collapsed="false">
      <c r="A369" s="6" t="s">
        <v>1332</v>
      </c>
      <c r="B369" s="6" t="s">
        <v>101</v>
      </c>
      <c r="C369" s="6" t="s">
        <v>102</v>
      </c>
      <c r="D369" s="6" t="s">
        <v>149</v>
      </c>
      <c r="E369" s="6" t="s">
        <v>150</v>
      </c>
      <c r="F369" s="6" t="s">
        <v>186</v>
      </c>
      <c r="G369" s="6" t="s">
        <v>443</v>
      </c>
      <c r="H369" s="6" t="s">
        <v>232</v>
      </c>
      <c r="I369" s="6" t="s">
        <v>1333</v>
      </c>
      <c r="J369" s="6" t="s">
        <v>250</v>
      </c>
      <c r="K369" s="6" t="s">
        <v>932</v>
      </c>
      <c r="L369" s="6" t="s">
        <v>233</v>
      </c>
      <c r="M369" s="6" t="s">
        <v>464</v>
      </c>
      <c r="N369" s="6" t="s">
        <v>286</v>
      </c>
      <c r="O369" s="6" t="s">
        <v>933</v>
      </c>
      <c r="P369" s="6" t="str">
        <f aca="false">IF(J369="S0","—",IF(K369="","",IF(L369="E0","QM",INDEX(10_ASIL_Matrix!$D$4:$F$15,MATCH(J369&amp;"-"&amp;L369,10_ASIL_Matrix!$C$4:$C$15,0),MATCH(N369,10_ASIL_Matrix!$D$3:$F$3,0)))))</f>
        <v>QM</v>
      </c>
      <c r="Q369" s="6" t="s">
        <v>448</v>
      </c>
    </row>
    <row r="370" customFormat="false" ht="46.25" hidden="false" customHeight="false" outlineLevel="0" collapsed="false">
      <c r="A370" s="5" t="s">
        <v>1334</v>
      </c>
      <c r="B370" s="5" t="s">
        <v>101</v>
      </c>
      <c r="C370" s="5" t="s">
        <v>102</v>
      </c>
      <c r="D370" s="5" t="s">
        <v>149</v>
      </c>
      <c r="E370" s="5" t="s">
        <v>150</v>
      </c>
      <c r="F370" s="5" t="s">
        <v>189</v>
      </c>
      <c r="G370" s="5" t="s">
        <v>466</v>
      </c>
      <c r="H370" s="5" t="s">
        <v>222</v>
      </c>
      <c r="I370" s="5" t="s">
        <v>1335</v>
      </c>
      <c r="J370" s="5" t="s">
        <v>250</v>
      </c>
      <c r="K370" s="5" t="s">
        <v>947</v>
      </c>
      <c r="L370" s="5" t="s">
        <v>190</v>
      </c>
      <c r="M370" s="5" t="s">
        <v>469</v>
      </c>
      <c r="N370" s="5" t="s">
        <v>286</v>
      </c>
      <c r="O370" s="5" t="s">
        <v>933</v>
      </c>
      <c r="P370" s="18" t="str">
        <f aca="false">IF(J370="S0","—",IF(K370="","",IF(L370="E0","QM",INDEX(10_ASIL_Matrix!$D$4:$F$15,MATCH(J370&amp;"-"&amp;L370,10_ASIL_Matrix!$C$4:$C$15,0),MATCH(N370,10_ASIL_Matrix!$D$3:$F$3,0)))))</f>
        <v>B</v>
      </c>
      <c r="Q370" s="5" t="s">
        <v>448</v>
      </c>
    </row>
    <row r="371" customFormat="false" ht="46.25" hidden="false" customHeight="false" outlineLevel="0" collapsed="false">
      <c r="A371" s="6" t="s">
        <v>1336</v>
      </c>
      <c r="B371" s="6" t="s">
        <v>101</v>
      </c>
      <c r="C371" s="6" t="s">
        <v>102</v>
      </c>
      <c r="D371" s="6" t="s">
        <v>149</v>
      </c>
      <c r="E371" s="6" t="s">
        <v>150</v>
      </c>
      <c r="F371" s="6" t="s">
        <v>189</v>
      </c>
      <c r="G371" s="6" t="s">
        <v>466</v>
      </c>
      <c r="H371" s="6" t="s">
        <v>224</v>
      </c>
      <c r="I371" s="6" t="s">
        <v>1337</v>
      </c>
      <c r="J371" s="6" t="s">
        <v>250</v>
      </c>
      <c r="K371" s="6" t="s">
        <v>947</v>
      </c>
      <c r="L371" s="6" t="s">
        <v>190</v>
      </c>
      <c r="M371" s="6" t="s">
        <v>473</v>
      </c>
      <c r="N371" s="6" t="s">
        <v>286</v>
      </c>
      <c r="O371" s="6" t="s">
        <v>933</v>
      </c>
      <c r="P371" s="18" t="str">
        <f aca="false">IF(J371="S0","—",IF(K371="","",IF(L371="E0","QM",INDEX(10_ASIL_Matrix!$D$4:$F$15,MATCH(J371&amp;"-"&amp;L371,10_ASIL_Matrix!$C$4:$C$15,0),MATCH(N371,10_ASIL_Matrix!$D$3:$F$3,0)))))</f>
        <v>B</v>
      </c>
      <c r="Q371" s="6" t="s">
        <v>448</v>
      </c>
    </row>
    <row r="372" customFormat="false" ht="46.25" hidden="false" customHeight="false" outlineLevel="0" collapsed="false">
      <c r="A372" s="5" t="s">
        <v>1338</v>
      </c>
      <c r="B372" s="5" t="s">
        <v>101</v>
      </c>
      <c r="C372" s="5" t="s">
        <v>102</v>
      </c>
      <c r="D372" s="5" t="s">
        <v>149</v>
      </c>
      <c r="E372" s="5" t="s">
        <v>150</v>
      </c>
      <c r="F372" s="5" t="s">
        <v>189</v>
      </c>
      <c r="G372" s="5" t="s">
        <v>466</v>
      </c>
      <c r="H372" s="5" t="s">
        <v>226</v>
      </c>
      <c r="I372" s="5" t="s">
        <v>1339</v>
      </c>
      <c r="J372" s="5" t="s">
        <v>250</v>
      </c>
      <c r="K372" s="5" t="s">
        <v>947</v>
      </c>
      <c r="L372" s="5" t="s">
        <v>190</v>
      </c>
      <c r="M372" s="5" t="s">
        <v>476</v>
      </c>
      <c r="N372" s="5" t="s">
        <v>286</v>
      </c>
      <c r="O372" s="5" t="s">
        <v>933</v>
      </c>
      <c r="P372" s="18" t="str">
        <f aca="false">IF(J372="S0","—",IF(K372="","",IF(L372="E0","QM",INDEX(10_ASIL_Matrix!$D$4:$F$15,MATCH(J372&amp;"-"&amp;L372,10_ASIL_Matrix!$C$4:$C$15,0),MATCH(N372,10_ASIL_Matrix!$D$3:$F$3,0)))))</f>
        <v>B</v>
      </c>
      <c r="Q372" s="5" t="s">
        <v>448</v>
      </c>
    </row>
    <row r="373" customFormat="false" ht="46.25" hidden="false" customHeight="false" outlineLevel="0" collapsed="false">
      <c r="A373" s="6" t="s">
        <v>1340</v>
      </c>
      <c r="B373" s="6" t="s">
        <v>101</v>
      </c>
      <c r="C373" s="6" t="s">
        <v>102</v>
      </c>
      <c r="D373" s="6" t="s">
        <v>149</v>
      </c>
      <c r="E373" s="6" t="s">
        <v>150</v>
      </c>
      <c r="F373" s="6" t="s">
        <v>189</v>
      </c>
      <c r="G373" s="6" t="s">
        <v>466</v>
      </c>
      <c r="H373" s="6" t="s">
        <v>228</v>
      </c>
      <c r="I373" s="6" t="s">
        <v>1341</v>
      </c>
      <c r="J373" s="6" t="s">
        <v>250</v>
      </c>
      <c r="K373" s="6" t="s">
        <v>947</v>
      </c>
      <c r="L373" s="6" t="s">
        <v>205</v>
      </c>
      <c r="M373" s="6" t="s">
        <v>479</v>
      </c>
      <c r="N373" s="6" t="s">
        <v>286</v>
      </c>
      <c r="O373" s="6" t="s">
        <v>933</v>
      </c>
      <c r="P373" s="19" t="str">
        <f aca="false">IF(J373="S0","—",IF(K373="","",IF(L373="E0","QM",INDEX(10_ASIL_Matrix!$D$4:$F$15,MATCH(J373&amp;"-"&amp;L373,10_ASIL_Matrix!$C$4:$C$15,0),MATCH(N373,10_ASIL_Matrix!$D$3:$F$3,0)))))</f>
        <v>A</v>
      </c>
      <c r="Q373" s="6" t="s">
        <v>448</v>
      </c>
    </row>
    <row r="374" customFormat="false" ht="57.45" hidden="false" customHeight="false" outlineLevel="0" collapsed="false">
      <c r="A374" s="5" t="s">
        <v>1342</v>
      </c>
      <c r="B374" s="5" t="s">
        <v>101</v>
      </c>
      <c r="C374" s="5" t="s">
        <v>102</v>
      </c>
      <c r="D374" s="5" t="s">
        <v>149</v>
      </c>
      <c r="E374" s="5" t="s">
        <v>150</v>
      </c>
      <c r="F374" s="5" t="s">
        <v>189</v>
      </c>
      <c r="G374" s="5" t="s">
        <v>466</v>
      </c>
      <c r="H374" s="5" t="s">
        <v>230</v>
      </c>
      <c r="I374" s="5" t="s">
        <v>1343</v>
      </c>
      <c r="J374" s="5" t="s">
        <v>250</v>
      </c>
      <c r="K374" s="5" t="s">
        <v>947</v>
      </c>
      <c r="L374" s="5" t="s">
        <v>205</v>
      </c>
      <c r="M374" s="5" t="s">
        <v>482</v>
      </c>
      <c r="N374" s="5" t="s">
        <v>290</v>
      </c>
      <c r="O374" s="5" t="s">
        <v>942</v>
      </c>
      <c r="P374" s="18" t="str">
        <f aca="false">IF(J374="S0","—",IF(K374="","",IF(L374="E0","QM",INDEX(10_ASIL_Matrix!$D$4:$F$15,MATCH(J374&amp;"-"&amp;L374,10_ASIL_Matrix!$C$4:$C$15,0),MATCH(N374,10_ASIL_Matrix!$D$3:$F$3,0)))))</f>
        <v>B</v>
      </c>
      <c r="Q374" s="5" t="s">
        <v>448</v>
      </c>
    </row>
    <row r="375" customFormat="false" ht="46.25" hidden="false" customHeight="false" outlineLevel="0" collapsed="false">
      <c r="A375" s="6" t="s">
        <v>1344</v>
      </c>
      <c r="B375" s="6" t="s">
        <v>101</v>
      </c>
      <c r="C375" s="6" t="s">
        <v>102</v>
      </c>
      <c r="D375" s="6" t="s">
        <v>149</v>
      </c>
      <c r="E375" s="6" t="s">
        <v>150</v>
      </c>
      <c r="F375" s="6" t="s">
        <v>189</v>
      </c>
      <c r="G375" s="6" t="s">
        <v>466</v>
      </c>
      <c r="H375" s="6" t="s">
        <v>232</v>
      </c>
      <c r="I375" s="6" t="s">
        <v>1345</v>
      </c>
      <c r="J375" s="6" t="s">
        <v>250</v>
      </c>
      <c r="K375" s="6" t="s">
        <v>947</v>
      </c>
      <c r="L375" s="6" t="s">
        <v>233</v>
      </c>
      <c r="M375" s="6" t="s">
        <v>486</v>
      </c>
      <c r="N375" s="6" t="s">
        <v>286</v>
      </c>
      <c r="O375" s="6" t="s">
        <v>933</v>
      </c>
      <c r="P375" s="6" t="str">
        <f aca="false">IF(J375="S0","—",IF(K375="","",IF(L375="E0","QM",INDEX(10_ASIL_Matrix!$D$4:$F$15,MATCH(J375&amp;"-"&amp;L375,10_ASIL_Matrix!$C$4:$C$15,0),MATCH(N375,10_ASIL_Matrix!$D$3:$F$3,0)))))</f>
        <v>QM</v>
      </c>
      <c r="Q375" s="6" t="s">
        <v>448</v>
      </c>
    </row>
    <row r="376" customFormat="false" ht="46.25" hidden="false" customHeight="false" outlineLevel="0" collapsed="false">
      <c r="A376" s="5" t="s">
        <v>1346</v>
      </c>
      <c r="B376" s="5" t="s">
        <v>101</v>
      </c>
      <c r="C376" s="5" t="s">
        <v>102</v>
      </c>
      <c r="D376" s="5" t="s">
        <v>149</v>
      </c>
      <c r="E376" s="5" t="s">
        <v>150</v>
      </c>
      <c r="F376" s="5" t="s">
        <v>192</v>
      </c>
      <c r="G376" s="5" t="s">
        <v>488</v>
      </c>
      <c r="H376" s="5" t="s">
        <v>222</v>
      </c>
      <c r="I376" s="5" t="s">
        <v>1347</v>
      </c>
      <c r="J376" s="5" t="s">
        <v>250</v>
      </c>
      <c r="K376" s="5" t="s">
        <v>960</v>
      </c>
      <c r="L376" s="5" t="s">
        <v>187</v>
      </c>
      <c r="M376" s="5" t="s">
        <v>491</v>
      </c>
      <c r="N376" s="5" t="s">
        <v>286</v>
      </c>
      <c r="O376" s="5" t="s">
        <v>933</v>
      </c>
      <c r="P376" s="20" t="str">
        <f aca="false">IF(J376="S0","—",IF(K376="","",IF(L376="E0","QM",INDEX(10_ASIL_Matrix!$D$4:$F$15,MATCH(J376&amp;"-"&amp;L376,10_ASIL_Matrix!$C$4:$C$15,0),MATCH(N376,10_ASIL_Matrix!$D$3:$F$3,0)))))</f>
        <v>C</v>
      </c>
      <c r="Q376" s="5" t="s">
        <v>448</v>
      </c>
    </row>
    <row r="377" customFormat="false" ht="46.25" hidden="false" customHeight="false" outlineLevel="0" collapsed="false">
      <c r="A377" s="6" t="s">
        <v>1348</v>
      </c>
      <c r="B377" s="6" t="s">
        <v>101</v>
      </c>
      <c r="C377" s="6" t="s">
        <v>102</v>
      </c>
      <c r="D377" s="6" t="s">
        <v>149</v>
      </c>
      <c r="E377" s="6" t="s">
        <v>150</v>
      </c>
      <c r="F377" s="6" t="s">
        <v>192</v>
      </c>
      <c r="G377" s="6" t="s">
        <v>488</v>
      </c>
      <c r="H377" s="6" t="s">
        <v>224</v>
      </c>
      <c r="I377" s="6" t="s">
        <v>1349</v>
      </c>
      <c r="J377" s="6" t="s">
        <v>250</v>
      </c>
      <c r="K377" s="6" t="s">
        <v>960</v>
      </c>
      <c r="L377" s="6" t="s">
        <v>190</v>
      </c>
      <c r="M377" s="6" t="s">
        <v>494</v>
      </c>
      <c r="N377" s="6" t="s">
        <v>286</v>
      </c>
      <c r="O377" s="6" t="s">
        <v>933</v>
      </c>
      <c r="P377" s="18" t="str">
        <f aca="false">IF(J377="S0","—",IF(K377="","",IF(L377="E0","QM",INDEX(10_ASIL_Matrix!$D$4:$F$15,MATCH(J377&amp;"-"&amp;L377,10_ASIL_Matrix!$C$4:$C$15,0),MATCH(N377,10_ASIL_Matrix!$D$3:$F$3,0)))))</f>
        <v>B</v>
      </c>
      <c r="Q377" s="6" t="s">
        <v>448</v>
      </c>
    </row>
    <row r="378" customFormat="false" ht="46.25" hidden="false" customHeight="false" outlineLevel="0" collapsed="false">
      <c r="A378" s="5" t="s">
        <v>1350</v>
      </c>
      <c r="B378" s="5" t="s">
        <v>101</v>
      </c>
      <c r="C378" s="5" t="s">
        <v>102</v>
      </c>
      <c r="D378" s="5" t="s">
        <v>149</v>
      </c>
      <c r="E378" s="5" t="s">
        <v>150</v>
      </c>
      <c r="F378" s="5" t="s">
        <v>192</v>
      </c>
      <c r="G378" s="5" t="s">
        <v>488</v>
      </c>
      <c r="H378" s="5" t="s">
        <v>226</v>
      </c>
      <c r="I378" s="5" t="s">
        <v>1351</v>
      </c>
      <c r="J378" s="5" t="s">
        <v>250</v>
      </c>
      <c r="K378" s="5" t="s">
        <v>960</v>
      </c>
      <c r="L378" s="5" t="s">
        <v>190</v>
      </c>
      <c r="M378" s="5" t="s">
        <v>497</v>
      </c>
      <c r="N378" s="5" t="s">
        <v>286</v>
      </c>
      <c r="O378" s="5" t="s">
        <v>933</v>
      </c>
      <c r="P378" s="18" t="str">
        <f aca="false">IF(J378="S0","—",IF(K378="","",IF(L378="E0","QM",INDEX(10_ASIL_Matrix!$D$4:$F$15,MATCH(J378&amp;"-"&amp;L378,10_ASIL_Matrix!$C$4:$C$15,0),MATCH(N378,10_ASIL_Matrix!$D$3:$F$3,0)))))</f>
        <v>B</v>
      </c>
      <c r="Q378" s="5" t="s">
        <v>448</v>
      </c>
    </row>
    <row r="379" customFormat="false" ht="46.25" hidden="false" customHeight="false" outlineLevel="0" collapsed="false">
      <c r="A379" s="6" t="s">
        <v>1352</v>
      </c>
      <c r="B379" s="6" t="s">
        <v>101</v>
      </c>
      <c r="C379" s="6" t="s">
        <v>102</v>
      </c>
      <c r="D379" s="6" t="s">
        <v>149</v>
      </c>
      <c r="E379" s="6" t="s">
        <v>150</v>
      </c>
      <c r="F379" s="6" t="s">
        <v>192</v>
      </c>
      <c r="G379" s="6" t="s">
        <v>488</v>
      </c>
      <c r="H379" s="6" t="s">
        <v>228</v>
      </c>
      <c r="I379" s="6" t="s">
        <v>1353</v>
      </c>
      <c r="J379" s="6" t="s">
        <v>250</v>
      </c>
      <c r="K379" s="6" t="s">
        <v>960</v>
      </c>
      <c r="L379" s="6" t="s">
        <v>205</v>
      </c>
      <c r="M379" s="6" t="s">
        <v>500</v>
      </c>
      <c r="N379" s="6" t="s">
        <v>286</v>
      </c>
      <c r="O379" s="6" t="s">
        <v>933</v>
      </c>
      <c r="P379" s="19" t="str">
        <f aca="false">IF(J379="S0","—",IF(K379="","",IF(L379="E0","QM",INDEX(10_ASIL_Matrix!$D$4:$F$15,MATCH(J379&amp;"-"&amp;L379,10_ASIL_Matrix!$C$4:$C$15,0),MATCH(N379,10_ASIL_Matrix!$D$3:$F$3,0)))))</f>
        <v>A</v>
      </c>
      <c r="Q379" s="6" t="s">
        <v>448</v>
      </c>
    </row>
    <row r="380" customFormat="false" ht="57.45" hidden="false" customHeight="false" outlineLevel="0" collapsed="false">
      <c r="A380" s="5" t="s">
        <v>1354</v>
      </c>
      <c r="B380" s="5" t="s">
        <v>101</v>
      </c>
      <c r="C380" s="5" t="s">
        <v>102</v>
      </c>
      <c r="D380" s="5" t="s">
        <v>149</v>
      </c>
      <c r="E380" s="5" t="s">
        <v>150</v>
      </c>
      <c r="F380" s="5" t="s">
        <v>192</v>
      </c>
      <c r="G380" s="5" t="s">
        <v>488</v>
      </c>
      <c r="H380" s="5" t="s">
        <v>230</v>
      </c>
      <c r="I380" s="5" t="s">
        <v>1355</v>
      </c>
      <c r="J380" s="5" t="s">
        <v>250</v>
      </c>
      <c r="K380" s="5" t="s">
        <v>960</v>
      </c>
      <c r="L380" s="5" t="s">
        <v>205</v>
      </c>
      <c r="M380" s="5" t="s">
        <v>503</v>
      </c>
      <c r="N380" s="5" t="s">
        <v>290</v>
      </c>
      <c r="O380" s="5" t="s">
        <v>942</v>
      </c>
      <c r="P380" s="18" t="str">
        <f aca="false">IF(J380="S0","—",IF(K380="","",IF(L380="E0","QM",INDEX(10_ASIL_Matrix!$D$4:$F$15,MATCH(J380&amp;"-"&amp;L380,10_ASIL_Matrix!$C$4:$C$15,0),MATCH(N380,10_ASIL_Matrix!$D$3:$F$3,0)))))</f>
        <v>B</v>
      </c>
      <c r="Q380" s="5" t="s">
        <v>448</v>
      </c>
    </row>
    <row r="381" customFormat="false" ht="46.25" hidden="false" customHeight="false" outlineLevel="0" collapsed="false">
      <c r="A381" s="6" t="s">
        <v>1356</v>
      </c>
      <c r="B381" s="6" t="s">
        <v>101</v>
      </c>
      <c r="C381" s="6" t="s">
        <v>102</v>
      </c>
      <c r="D381" s="6" t="s">
        <v>149</v>
      </c>
      <c r="E381" s="6" t="s">
        <v>150</v>
      </c>
      <c r="F381" s="6" t="s">
        <v>192</v>
      </c>
      <c r="G381" s="6" t="s">
        <v>488</v>
      </c>
      <c r="H381" s="6" t="s">
        <v>232</v>
      </c>
      <c r="I381" s="6" t="s">
        <v>1357</v>
      </c>
      <c r="J381" s="6" t="s">
        <v>250</v>
      </c>
      <c r="K381" s="6" t="s">
        <v>960</v>
      </c>
      <c r="L381" s="6" t="s">
        <v>233</v>
      </c>
      <c r="M381" s="6" t="s">
        <v>506</v>
      </c>
      <c r="N381" s="6" t="s">
        <v>286</v>
      </c>
      <c r="O381" s="6" t="s">
        <v>933</v>
      </c>
      <c r="P381" s="6" t="str">
        <f aca="false">IF(J381="S0","—",IF(K381="","",IF(L381="E0","QM",INDEX(10_ASIL_Matrix!$D$4:$F$15,MATCH(J381&amp;"-"&amp;L381,10_ASIL_Matrix!$C$4:$C$15,0),MATCH(N381,10_ASIL_Matrix!$D$3:$F$3,0)))))</f>
        <v>QM</v>
      </c>
      <c r="Q381" s="6" t="s">
        <v>448</v>
      </c>
    </row>
    <row r="382" customFormat="false" ht="46.25" hidden="false" customHeight="false" outlineLevel="0" collapsed="false">
      <c r="A382" s="5" t="s">
        <v>1358</v>
      </c>
      <c r="B382" s="5" t="s">
        <v>101</v>
      </c>
      <c r="C382" s="5" t="s">
        <v>102</v>
      </c>
      <c r="D382" s="5" t="s">
        <v>149</v>
      </c>
      <c r="E382" s="5" t="s">
        <v>150</v>
      </c>
      <c r="F382" s="5" t="s">
        <v>194</v>
      </c>
      <c r="G382" s="5" t="s">
        <v>508</v>
      </c>
      <c r="H382" s="5" t="s">
        <v>222</v>
      </c>
      <c r="I382" s="5" t="s">
        <v>1359</v>
      </c>
      <c r="J382" s="5" t="s">
        <v>250</v>
      </c>
      <c r="K382" s="5" t="s">
        <v>973</v>
      </c>
      <c r="L382" s="5" t="s">
        <v>190</v>
      </c>
      <c r="M382" s="5" t="s">
        <v>511</v>
      </c>
      <c r="N382" s="5" t="s">
        <v>286</v>
      </c>
      <c r="O382" s="5" t="s">
        <v>933</v>
      </c>
      <c r="P382" s="18" t="str">
        <f aca="false">IF(J382="S0","—",IF(K382="","",IF(L382="E0","QM",INDEX(10_ASIL_Matrix!$D$4:$F$15,MATCH(J382&amp;"-"&amp;L382,10_ASIL_Matrix!$C$4:$C$15,0),MATCH(N382,10_ASIL_Matrix!$D$3:$F$3,0)))))</f>
        <v>B</v>
      </c>
      <c r="Q382" s="5" t="s">
        <v>448</v>
      </c>
    </row>
    <row r="383" customFormat="false" ht="46.25" hidden="false" customHeight="false" outlineLevel="0" collapsed="false">
      <c r="A383" s="6" t="s">
        <v>1360</v>
      </c>
      <c r="B383" s="6" t="s">
        <v>101</v>
      </c>
      <c r="C383" s="6" t="s">
        <v>102</v>
      </c>
      <c r="D383" s="6" t="s">
        <v>149</v>
      </c>
      <c r="E383" s="6" t="s">
        <v>150</v>
      </c>
      <c r="F383" s="6" t="s">
        <v>194</v>
      </c>
      <c r="G383" s="6" t="s">
        <v>508</v>
      </c>
      <c r="H383" s="6" t="s">
        <v>224</v>
      </c>
      <c r="I383" s="6" t="s">
        <v>1361</v>
      </c>
      <c r="J383" s="6" t="s">
        <v>250</v>
      </c>
      <c r="K383" s="6" t="s">
        <v>973</v>
      </c>
      <c r="L383" s="6" t="s">
        <v>190</v>
      </c>
      <c r="M383" s="6" t="s">
        <v>514</v>
      </c>
      <c r="N383" s="6" t="s">
        <v>286</v>
      </c>
      <c r="O383" s="6" t="s">
        <v>933</v>
      </c>
      <c r="P383" s="18" t="str">
        <f aca="false">IF(J383="S0","—",IF(K383="","",IF(L383="E0","QM",INDEX(10_ASIL_Matrix!$D$4:$F$15,MATCH(J383&amp;"-"&amp;L383,10_ASIL_Matrix!$C$4:$C$15,0),MATCH(N383,10_ASIL_Matrix!$D$3:$F$3,0)))))</f>
        <v>B</v>
      </c>
      <c r="Q383" s="6" t="s">
        <v>448</v>
      </c>
    </row>
    <row r="384" customFormat="false" ht="46.25" hidden="false" customHeight="false" outlineLevel="0" collapsed="false">
      <c r="A384" s="5" t="s">
        <v>1362</v>
      </c>
      <c r="B384" s="5" t="s">
        <v>101</v>
      </c>
      <c r="C384" s="5" t="s">
        <v>102</v>
      </c>
      <c r="D384" s="5" t="s">
        <v>149</v>
      </c>
      <c r="E384" s="5" t="s">
        <v>150</v>
      </c>
      <c r="F384" s="5" t="s">
        <v>194</v>
      </c>
      <c r="G384" s="5" t="s">
        <v>508</v>
      </c>
      <c r="H384" s="5" t="s">
        <v>226</v>
      </c>
      <c r="I384" s="5" t="s">
        <v>1363</v>
      </c>
      <c r="J384" s="5" t="s">
        <v>250</v>
      </c>
      <c r="K384" s="5" t="s">
        <v>973</v>
      </c>
      <c r="L384" s="5" t="s">
        <v>190</v>
      </c>
      <c r="M384" s="5" t="s">
        <v>517</v>
      </c>
      <c r="N384" s="5" t="s">
        <v>286</v>
      </c>
      <c r="O384" s="5" t="s">
        <v>933</v>
      </c>
      <c r="P384" s="18" t="str">
        <f aca="false">IF(J384="S0","—",IF(K384="","",IF(L384="E0","QM",INDEX(10_ASIL_Matrix!$D$4:$F$15,MATCH(J384&amp;"-"&amp;L384,10_ASIL_Matrix!$C$4:$C$15,0),MATCH(N384,10_ASIL_Matrix!$D$3:$F$3,0)))))</f>
        <v>B</v>
      </c>
      <c r="Q384" s="5" t="s">
        <v>448</v>
      </c>
    </row>
    <row r="385" customFormat="false" ht="46.25" hidden="false" customHeight="false" outlineLevel="0" collapsed="false">
      <c r="A385" s="6" t="s">
        <v>1364</v>
      </c>
      <c r="B385" s="6" t="s">
        <v>101</v>
      </c>
      <c r="C385" s="6" t="s">
        <v>102</v>
      </c>
      <c r="D385" s="6" t="s">
        <v>149</v>
      </c>
      <c r="E385" s="6" t="s">
        <v>150</v>
      </c>
      <c r="F385" s="6" t="s">
        <v>194</v>
      </c>
      <c r="G385" s="6" t="s">
        <v>508</v>
      </c>
      <c r="H385" s="6" t="s">
        <v>228</v>
      </c>
      <c r="I385" s="6" t="s">
        <v>1365</v>
      </c>
      <c r="J385" s="6" t="s">
        <v>250</v>
      </c>
      <c r="K385" s="6" t="s">
        <v>973</v>
      </c>
      <c r="L385" s="6" t="s">
        <v>205</v>
      </c>
      <c r="M385" s="6" t="s">
        <v>520</v>
      </c>
      <c r="N385" s="6" t="s">
        <v>286</v>
      </c>
      <c r="O385" s="6" t="s">
        <v>933</v>
      </c>
      <c r="P385" s="19" t="str">
        <f aca="false">IF(J385="S0","—",IF(K385="","",IF(L385="E0","QM",INDEX(10_ASIL_Matrix!$D$4:$F$15,MATCH(J385&amp;"-"&amp;L385,10_ASIL_Matrix!$C$4:$C$15,0),MATCH(N385,10_ASIL_Matrix!$D$3:$F$3,0)))))</f>
        <v>A</v>
      </c>
      <c r="Q385" s="6" t="s">
        <v>448</v>
      </c>
    </row>
    <row r="386" customFormat="false" ht="57.45" hidden="false" customHeight="false" outlineLevel="0" collapsed="false">
      <c r="A386" s="5" t="s">
        <v>1366</v>
      </c>
      <c r="B386" s="5" t="s">
        <v>101</v>
      </c>
      <c r="C386" s="5" t="s">
        <v>102</v>
      </c>
      <c r="D386" s="5" t="s">
        <v>149</v>
      </c>
      <c r="E386" s="5" t="s">
        <v>150</v>
      </c>
      <c r="F386" s="5" t="s">
        <v>194</v>
      </c>
      <c r="G386" s="5" t="s">
        <v>508</v>
      </c>
      <c r="H386" s="5" t="s">
        <v>230</v>
      </c>
      <c r="I386" s="5" t="s">
        <v>1367</v>
      </c>
      <c r="J386" s="5" t="s">
        <v>250</v>
      </c>
      <c r="K386" s="5" t="s">
        <v>973</v>
      </c>
      <c r="L386" s="5" t="s">
        <v>205</v>
      </c>
      <c r="M386" s="5" t="s">
        <v>523</v>
      </c>
      <c r="N386" s="5" t="s">
        <v>290</v>
      </c>
      <c r="O386" s="5" t="s">
        <v>942</v>
      </c>
      <c r="P386" s="18" t="str">
        <f aca="false">IF(J386="S0","—",IF(K386="","",IF(L386="E0","QM",INDEX(10_ASIL_Matrix!$D$4:$F$15,MATCH(J386&amp;"-"&amp;L386,10_ASIL_Matrix!$C$4:$C$15,0),MATCH(N386,10_ASIL_Matrix!$D$3:$F$3,0)))))</f>
        <v>B</v>
      </c>
      <c r="Q386" s="5" t="s">
        <v>448</v>
      </c>
    </row>
    <row r="387" customFormat="false" ht="46.25" hidden="false" customHeight="false" outlineLevel="0" collapsed="false">
      <c r="A387" s="6" t="s">
        <v>1368</v>
      </c>
      <c r="B387" s="6" t="s">
        <v>101</v>
      </c>
      <c r="C387" s="6" t="s">
        <v>102</v>
      </c>
      <c r="D387" s="6" t="s">
        <v>149</v>
      </c>
      <c r="E387" s="6" t="s">
        <v>150</v>
      </c>
      <c r="F387" s="6" t="s">
        <v>194</v>
      </c>
      <c r="G387" s="6" t="s">
        <v>508</v>
      </c>
      <c r="H387" s="6" t="s">
        <v>232</v>
      </c>
      <c r="I387" s="6" t="s">
        <v>1369</v>
      </c>
      <c r="J387" s="6" t="s">
        <v>250</v>
      </c>
      <c r="K387" s="6" t="s">
        <v>973</v>
      </c>
      <c r="L387" s="6" t="s">
        <v>233</v>
      </c>
      <c r="M387" s="6" t="s">
        <v>526</v>
      </c>
      <c r="N387" s="6" t="s">
        <v>286</v>
      </c>
      <c r="O387" s="6" t="s">
        <v>933</v>
      </c>
      <c r="P387" s="6" t="str">
        <f aca="false">IF(J387="S0","—",IF(K387="","",IF(L387="E0","QM",INDEX(10_ASIL_Matrix!$D$4:$F$15,MATCH(J387&amp;"-"&amp;L387,10_ASIL_Matrix!$C$4:$C$15,0),MATCH(N387,10_ASIL_Matrix!$D$3:$F$3,0)))))</f>
        <v>QM</v>
      </c>
      <c r="Q387" s="6" t="s">
        <v>448</v>
      </c>
    </row>
    <row r="388" customFormat="false" ht="46.25" hidden="false" customHeight="false" outlineLevel="0" collapsed="false">
      <c r="A388" s="5" t="s">
        <v>1370</v>
      </c>
      <c r="B388" s="5" t="s">
        <v>101</v>
      </c>
      <c r="C388" s="5" t="s">
        <v>102</v>
      </c>
      <c r="D388" s="5" t="s">
        <v>149</v>
      </c>
      <c r="E388" s="5" t="s">
        <v>150</v>
      </c>
      <c r="F388" s="5" t="s">
        <v>196</v>
      </c>
      <c r="G388" s="5" t="s">
        <v>528</v>
      </c>
      <c r="H388" s="5" t="s">
        <v>222</v>
      </c>
      <c r="I388" s="5" t="s">
        <v>1371</v>
      </c>
      <c r="J388" s="5" t="s">
        <v>250</v>
      </c>
      <c r="K388" s="5" t="s">
        <v>986</v>
      </c>
      <c r="L388" s="5" t="s">
        <v>187</v>
      </c>
      <c r="M388" s="5" t="s">
        <v>531</v>
      </c>
      <c r="N388" s="5" t="s">
        <v>286</v>
      </c>
      <c r="O388" s="5" t="s">
        <v>933</v>
      </c>
      <c r="P388" s="20" t="str">
        <f aca="false">IF(J388="S0","—",IF(K388="","",IF(L388="E0","QM",INDEX(10_ASIL_Matrix!$D$4:$F$15,MATCH(J388&amp;"-"&amp;L388,10_ASIL_Matrix!$C$4:$C$15,0),MATCH(N388,10_ASIL_Matrix!$D$3:$F$3,0)))))</f>
        <v>C</v>
      </c>
      <c r="Q388" s="5" t="s">
        <v>448</v>
      </c>
    </row>
    <row r="389" customFormat="false" ht="46.25" hidden="false" customHeight="false" outlineLevel="0" collapsed="false">
      <c r="A389" s="6" t="s">
        <v>1372</v>
      </c>
      <c r="B389" s="6" t="s">
        <v>101</v>
      </c>
      <c r="C389" s="6" t="s">
        <v>102</v>
      </c>
      <c r="D389" s="6" t="s">
        <v>149</v>
      </c>
      <c r="E389" s="6" t="s">
        <v>150</v>
      </c>
      <c r="F389" s="6" t="s">
        <v>196</v>
      </c>
      <c r="G389" s="6" t="s">
        <v>528</v>
      </c>
      <c r="H389" s="6" t="s">
        <v>224</v>
      </c>
      <c r="I389" s="6" t="s">
        <v>1373</v>
      </c>
      <c r="J389" s="6" t="s">
        <v>250</v>
      </c>
      <c r="K389" s="6" t="s">
        <v>986</v>
      </c>
      <c r="L389" s="6" t="s">
        <v>190</v>
      </c>
      <c r="M389" s="6" t="s">
        <v>534</v>
      </c>
      <c r="N389" s="6" t="s">
        <v>286</v>
      </c>
      <c r="O389" s="6" t="s">
        <v>933</v>
      </c>
      <c r="P389" s="18" t="str">
        <f aca="false">IF(J389="S0","—",IF(K389="","",IF(L389="E0","QM",INDEX(10_ASIL_Matrix!$D$4:$F$15,MATCH(J389&amp;"-"&amp;L389,10_ASIL_Matrix!$C$4:$C$15,0),MATCH(N389,10_ASIL_Matrix!$D$3:$F$3,0)))))</f>
        <v>B</v>
      </c>
      <c r="Q389" s="6" t="s">
        <v>448</v>
      </c>
    </row>
    <row r="390" customFormat="false" ht="46.25" hidden="false" customHeight="false" outlineLevel="0" collapsed="false">
      <c r="A390" s="5" t="s">
        <v>1374</v>
      </c>
      <c r="B390" s="5" t="s">
        <v>101</v>
      </c>
      <c r="C390" s="5" t="s">
        <v>102</v>
      </c>
      <c r="D390" s="5" t="s">
        <v>149</v>
      </c>
      <c r="E390" s="5" t="s">
        <v>150</v>
      </c>
      <c r="F390" s="5" t="s">
        <v>196</v>
      </c>
      <c r="G390" s="5" t="s">
        <v>528</v>
      </c>
      <c r="H390" s="5" t="s">
        <v>226</v>
      </c>
      <c r="I390" s="5" t="s">
        <v>1375</v>
      </c>
      <c r="J390" s="5" t="s">
        <v>250</v>
      </c>
      <c r="K390" s="5" t="s">
        <v>986</v>
      </c>
      <c r="L390" s="5" t="s">
        <v>190</v>
      </c>
      <c r="M390" s="5" t="s">
        <v>537</v>
      </c>
      <c r="N390" s="5" t="s">
        <v>286</v>
      </c>
      <c r="O390" s="5" t="s">
        <v>933</v>
      </c>
      <c r="P390" s="18" t="str">
        <f aca="false">IF(J390="S0","—",IF(K390="","",IF(L390="E0","QM",INDEX(10_ASIL_Matrix!$D$4:$F$15,MATCH(J390&amp;"-"&amp;L390,10_ASIL_Matrix!$C$4:$C$15,0),MATCH(N390,10_ASIL_Matrix!$D$3:$F$3,0)))))</f>
        <v>B</v>
      </c>
      <c r="Q390" s="5" t="s">
        <v>448</v>
      </c>
    </row>
    <row r="391" customFormat="false" ht="46.25" hidden="false" customHeight="false" outlineLevel="0" collapsed="false">
      <c r="A391" s="6" t="s">
        <v>1376</v>
      </c>
      <c r="B391" s="6" t="s">
        <v>101</v>
      </c>
      <c r="C391" s="6" t="s">
        <v>102</v>
      </c>
      <c r="D391" s="6" t="s">
        <v>149</v>
      </c>
      <c r="E391" s="6" t="s">
        <v>150</v>
      </c>
      <c r="F391" s="6" t="s">
        <v>196</v>
      </c>
      <c r="G391" s="6" t="s">
        <v>528</v>
      </c>
      <c r="H391" s="6" t="s">
        <v>228</v>
      </c>
      <c r="I391" s="6" t="s">
        <v>1377</v>
      </c>
      <c r="J391" s="6" t="s">
        <v>250</v>
      </c>
      <c r="K391" s="6" t="s">
        <v>986</v>
      </c>
      <c r="L391" s="6" t="s">
        <v>205</v>
      </c>
      <c r="M391" s="6" t="s">
        <v>540</v>
      </c>
      <c r="N391" s="6" t="s">
        <v>286</v>
      </c>
      <c r="O391" s="6" t="s">
        <v>933</v>
      </c>
      <c r="P391" s="19" t="str">
        <f aca="false">IF(J391="S0","—",IF(K391="","",IF(L391="E0","QM",INDEX(10_ASIL_Matrix!$D$4:$F$15,MATCH(J391&amp;"-"&amp;L391,10_ASIL_Matrix!$C$4:$C$15,0),MATCH(N391,10_ASIL_Matrix!$D$3:$F$3,0)))))</f>
        <v>A</v>
      </c>
      <c r="Q391" s="6" t="s">
        <v>448</v>
      </c>
    </row>
    <row r="392" customFormat="false" ht="57.45" hidden="false" customHeight="false" outlineLevel="0" collapsed="false">
      <c r="A392" s="5" t="s">
        <v>1378</v>
      </c>
      <c r="B392" s="5" t="s">
        <v>101</v>
      </c>
      <c r="C392" s="5" t="s">
        <v>102</v>
      </c>
      <c r="D392" s="5" t="s">
        <v>149</v>
      </c>
      <c r="E392" s="5" t="s">
        <v>150</v>
      </c>
      <c r="F392" s="5" t="s">
        <v>196</v>
      </c>
      <c r="G392" s="5" t="s">
        <v>528</v>
      </c>
      <c r="H392" s="5" t="s">
        <v>230</v>
      </c>
      <c r="I392" s="5" t="s">
        <v>1379</v>
      </c>
      <c r="J392" s="5" t="s">
        <v>250</v>
      </c>
      <c r="K392" s="5" t="s">
        <v>986</v>
      </c>
      <c r="L392" s="5" t="s">
        <v>205</v>
      </c>
      <c r="M392" s="5" t="s">
        <v>543</v>
      </c>
      <c r="N392" s="5" t="s">
        <v>290</v>
      </c>
      <c r="O392" s="5" t="s">
        <v>942</v>
      </c>
      <c r="P392" s="18" t="str">
        <f aca="false">IF(J392="S0","—",IF(K392="","",IF(L392="E0","QM",INDEX(10_ASIL_Matrix!$D$4:$F$15,MATCH(J392&amp;"-"&amp;L392,10_ASIL_Matrix!$C$4:$C$15,0),MATCH(N392,10_ASIL_Matrix!$D$3:$F$3,0)))))</f>
        <v>B</v>
      </c>
      <c r="Q392" s="5" t="s">
        <v>448</v>
      </c>
    </row>
    <row r="393" customFormat="false" ht="46.25" hidden="false" customHeight="false" outlineLevel="0" collapsed="false">
      <c r="A393" s="6" t="s">
        <v>1380</v>
      </c>
      <c r="B393" s="6" t="s">
        <v>101</v>
      </c>
      <c r="C393" s="6" t="s">
        <v>102</v>
      </c>
      <c r="D393" s="6" t="s">
        <v>149</v>
      </c>
      <c r="E393" s="6" t="s">
        <v>150</v>
      </c>
      <c r="F393" s="6" t="s">
        <v>196</v>
      </c>
      <c r="G393" s="6" t="s">
        <v>528</v>
      </c>
      <c r="H393" s="6" t="s">
        <v>232</v>
      </c>
      <c r="I393" s="6" t="s">
        <v>1381</v>
      </c>
      <c r="J393" s="6" t="s">
        <v>250</v>
      </c>
      <c r="K393" s="6" t="s">
        <v>986</v>
      </c>
      <c r="L393" s="6" t="s">
        <v>233</v>
      </c>
      <c r="M393" s="6" t="s">
        <v>546</v>
      </c>
      <c r="N393" s="6" t="s">
        <v>286</v>
      </c>
      <c r="O393" s="6" t="s">
        <v>933</v>
      </c>
      <c r="P393" s="6" t="str">
        <f aca="false">IF(J393="S0","—",IF(K393="","",IF(L393="E0","QM",INDEX(10_ASIL_Matrix!$D$4:$F$15,MATCH(J393&amp;"-"&amp;L393,10_ASIL_Matrix!$C$4:$C$15,0),MATCH(N393,10_ASIL_Matrix!$D$3:$F$3,0)))))</f>
        <v>QM</v>
      </c>
      <c r="Q393" s="6" t="s">
        <v>448</v>
      </c>
    </row>
    <row r="394" customFormat="false" ht="35.05" hidden="false" customHeight="false" outlineLevel="0" collapsed="false">
      <c r="A394" s="5" t="s">
        <v>1382</v>
      </c>
      <c r="B394" s="5" t="s">
        <v>101</v>
      </c>
      <c r="C394" s="5" t="s">
        <v>102</v>
      </c>
      <c r="D394" s="5" t="s">
        <v>149</v>
      </c>
      <c r="E394" s="5" t="s">
        <v>150</v>
      </c>
      <c r="F394" s="5" t="s">
        <v>198</v>
      </c>
      <c r="G394" s="5" t="s">
        <v>548</v>
      </c>
      <c r="H394" s="5" t="s">
        <v>222</v>
      </c>
      <c r="I394" s="5" t="s">
        <v>1383</v>
      </c>
      <c r="J394" s="5" t="s">
        <v>242</v>
      </c>
      <c r="K394" s="5" t="s">
        <v>999</v>
      </c>
      <c r="L394" s="5" t="s">
        <v>190</v>
      </c>
      <c r="M394" s="5" t="s">
        <v>551</v>
      </c>
      <c r="N394" s="5" t="s">
        <v>282</v>
      </c>
      <c r="O394" s="5" t="s">
        <v>1000</v>
      </c>
      <c r="P394" s="5" t="str">
        <f aca="false">IF(J394="S0","—",IF(K394="","",IF(L394="E0","QM",INDEX(10_ASIL_Matrix!$D$4:$F$15,MATCH(J394&amp;"-"&amp;L394,10_ASIL_Matrix!$C$4:$C$15,0),MATCH(N394,10_ASIL_Matrix!$D$3:$F$3,0)))))</f>
        <v>QM</v>
      </c>
      <c r="Q394" s="5" t="s">
        <v>448</v>
      </c>
    </row>
    <row r="395" customFormat="false" ht="35.05" hidden="false" customHeight="false" outlineLevel="0" collapsed="false">
      <c r="A395" s="6" t="s">
        <v>1384</v>
      </c>
      <c r="B395" s="6" t="s">
        <v>101</v>
      </c>
      <c r="C395" s="6" t="s">
        <v>102</v>
      </c>
      <c r="D395" s="6" t="s">
        <v>149</v>
      </c>
      <c r="E395" s="6" t="s">
        <v>150</v>
      </c>
      <c r="F395" s="6" t="s">
        <v>198</v>
      </c>
      <c r="G395" s="6" t="s">
        <v>548</v>
      </c>
      <c r="H395" s="6" t="s">
        <v>224</v>
      </c>
      <c r="I395" s="6" t="s">
        <v>1385</v>
      </c>
      <c r="J395" s="6" t="s">
        <v>242</v>
      </c>
      <c r="K395" s="6" t="s">
        <v>999</v>
      </c>
      <c r="L395" s="6" t="s">
        <v>190</v>
      </c>
      <c r="M395" s="6" t="s">
        <v>555</v>
      </c>
      <c r="N395" s="6" t="s">
        <v>282</v>
      </c>
      <c r="O395" s="6" t="s">
        <v>1000</v>
      </c>
      <c r="P395" s="6" t="str">
        <f aca="false">IF(J395="S0","—",IF(K395="","",IF(L395="E0","QM",INDEX(10_ASIL_Matrix!$D$4:$F$15,MATCH(J395&amp;"-"&amp;L395,10_ASIL_Matrix!$C$4:$C$15,0),MATCH(N395,10_ASIL_Matrix!$D$3:$F$3,0)))))</f>
        <v>QM</v>
      </c>
      <c r="Q395" s="6" t="s">
        <v>448</v>
      </c>
    </row>
    <row r="396" customFormat="false" ht="35.05" hidden="false" customHeight="false" outlineLevel="0" collapsed="false">
      <c r="A396" s="5" t="s">
        <v>1386</v>
      </c>
      <c r="B396" s="5" t="s">
        <v>101</v>
      </c>
      <c r="C396" s="5" t="s">
        <v>102</v>
      </c>
      <c r="D396" s="5" t="s">
        <v>149</v>
      </c>
      <c r="E396" s="5" t="s">
        <v>150</v>
      </c>
      <c r="F396" s="5" t="s">
        <v>198</v>
      </c>
      <c r="G396" s="5" t="s">
        <v>548</v>
      </c>
      <c r="H396" s="5" t="s">
        <v>226</v>
      </c>
      <c r="I396" s="5" t="s">
        <v>1387</v>
      </c>
      <c r="J396" s="5" t="s">
        <v>242</v>
      </c>
      <c r="K396" s="5" t="s">
        <v>999</v>
      </c>
      <c r="L396" s="5" t="s">
        <v>190</v>
      </c>
      <c r="M396" s="5" t="s">
        <v>558</v>
      </c>
      <c r="N396" s="5" t="s">
        <v>282</v>
      </c>
      <c r="O396" s="5" t="s">
        <v>1000</v>
      </c>
      <c r="P396" s="5" t="str">
        <f aca="false">IF(J396="S0","—",IF(K396="","",IF(L396="E0","QM",INDEX(10_ASIL_Matrix!$D$4:$F$15,MATCH(J396&amp;"-"&amp;L396,10_ASIL_Matrix!$C$4:$C$15,0),MATCH(N396,10_ASIL_Matrix!$D$3:$F$3,0)))))</f>
        <v>QM</v>
      </c>
      <c r="Q396" s="5" t="s">
        <v>448</v>
      </c>
    </row>
    <row r="397" customFormat="false" ht="35.05" hidden="false" customHeight="false" outlineLevel="0" collapsed="false">
      <c r="A397" s="6" t="s">
        <v>1388</v>
      </c>
      <c r="B397" s="6" t="s">
        <v>101</v>
      </c>
      <c r="C397" s="6" t="s">
        <v>102</v>
      </c>
      <c r="D397" s="6" t="s">
        <v>149</v>
      </c>
      <c r="E397" s="6" t="s">
        <v>150</v>
      </c>
      <c r="F397" s="6" t="s">
        <v>198</v>
      </c>
      <c r="G397" s="6" t="s">
        <v>548</v>
      </c>
      <c r="H397" s="6" t="s">
        <v>228</v>
      </c>
      <c r="I397" s="6" t="s">
        <v>1389</v>
      </c>
      <c r="J397" s="6" t="s">
        <v>242</v>
      </c>
      <c r="K397" s="6" t="s">
        <v>999</v>
      </c>
      <c r="L397" s="6" t="s">
        <v>205</v>
      </c>
      <c r="M397" s="6" t="s">
        <v>561</v>
      </c>
      <c r="N397" s="6" t="s">
        <v>282</v>
      </c>
      <c r="O397" s="6" t="s">
        <v>1000</v>
      </c>
      <c r="P397" s="6" t="str">
        <f aca="false">IF(J397="S0","—",IF(K397="","",IF(L397="E0","QM",INDEX(10_ASIL_Matrix!$D$4:$F$15,MATCH(J397&amp;"-"&amp;L397,10_ASIL_Matrix!$C$4:$C$15,0),MATCH(N397,10_ASIL_Matrix!$D$3:$F$3,0)))))</f>
        <v>QM</v>
      </c>
      <c r="Q397" s="6" t="s">
        <v>448</v>
      </c>
    </row>
    <row r="398" customFormat="false" ht="35.05" hidden="false" customHeight="false" outlineLevel="0" collapsed="false">
      <c r="A398" s="5" t="s">
        <v>1390</v>
      </c>
      <c r="B398" s="5" t="s">
        <v>101</v>
      </c>
      <c r="C398" s="5" t="s">
        <v>102</v>
      </c>
      <c r="D398" s="5" t="s">
        <v>149</v>
      </c>
      <c r="E398" s="5" t="s">
        <v>150</v>
      </c>
      <c r="F398" s="5" t="s">
        <v>198</v>
      </c>
      <c r="G398" s="5" t="s">
        <v>548</v>
      </c>
      <c r="H398" s="5" t="s">
        <v>230</v>
      </c>
      <c r="I398" s="5" t="s">
        <v>1391</v>
      </c>
      <c r="J398" s="5" t="s">
        <v>242</v>
      </c>
      <c r="K398" s="5" t="s">
        <v>999</v>
      </c>
      <c r="L398" s="5" t="s">
        <v>205</v>
      </c>
      <c r="M398" s="5" t="s">
        <v>564</v>
      </c>
      <c r="N398" s="5" t="s">
        <v>286</v>
      </c>
      <c r="O398" s="5" t="s">
        <v>1009</v>
      </c>
      <c r="P398" s="5" t="str">
        <f aca="false">IF(J398="S0","—",IF(K398="","",IF(L398="E0","QM",INDEX(10_ASIL_Matrix!$D$4:$F$15,MATCH(J398&amp;"-"&amp;L398,10_ASIL_Matrix!$C$4:$C$15,0),MATCH(N398,10_ASIL_Matrix!$D$3:$F$3,0)))))</f>
        <v>QM</v>
      </c>
      <c r="Q398" s="5" t="s">
        <v>448</v>
      </c>
    </row>
    <row r="399" customFormat="false" ht="46.25" hidden="false" customHeight="false" outlineLevel="0" collapsed="false">
      <c r="A399" s="6" t="s">
        <v>1392</v>
      </c>
      <c r="B399" s="6" t="s">
        <v>101</v>
      </c>
      <c r="C399" s="6" t="s">
        <v>102</v>
      </c>
      <c r="D399" s="6" t="s">
        <v>149</v>
      </c>
      <c r="E399" s="6" t="s">
        <v>150</v>
      </c>
      <c r="F399" s="6" t="s">
        <v>198</v>
      </c>
      <c r="G399" s="6" t="s">
        <v>548</v>
      </c>
      <c r="H399" s="6" t="s">
        <v>232</v>
      </c>
      <c r="I399" s="6" t="s">
        <v>1393</v>
      </c>
      <c r="J399" s="6" t="s">
        <v>242</v>
      </c>
      <c r="K399" s="6" t="s">
        <v>999</v>
      </c>
      <c r="L399" s="6" t="s">
        <v>233</v>
      </c>
      <c r="M399" s="6" t="s">
        <v>568</v>
      </c>
      <c r="N399" s="6" t="s">
        <v>282</v>
      </c>
      <c r="O399" s="6" t="s">
        <v>1000</v>
      </c>
      <c r="P399" s="6" t="str">
        <f aca="false">IF(J399="S0","—",IF(K399="","",IF(L399="E0","QM",INDEX(10_ASIL_Matrix!$D$4:$F$15,MATCH(J399&amp;"-"&amp;L399,10_ASIL_Matrix!$C$4:$C$15,0),MATCH(N399,10_ASIL_Matrix!$D$3:$F$3,0)))))</f>
        <v>QM</v>
      </c>
      <c r="Q399" s="6" t="s">
        <v>448</v>
      </c>
    </row>
    <row r="400" customFormat="false" ht="46.25" hidden="false" customHeight="false" outlineLevel="0" collapsed="false">
      <c r="A400" s="5" t="s">
        <v>1394</v>
      </c>
      <c r="B400" s="5" t="s">
        <v>101</v>
      </c>
      <c r="C400" s="5" t="s">
        <v>102</v>
      </c>
      <c r="D400" s="5" t="s">
        <v>149</v>
      </c>
      <c r="E400" s="5" t="s">
        <v>150</v>
      </c>
      <c r="F400" s="5" t="s">
        <v>200</v>
      </c>
      <c r="G400" s="5" t="s">
        <v>570</v>
      </c>
      <c r="H400" s="5" t="s">
        <v>222</v>
      </c>
      <c r="I400" s="5" t="s">
        <v>1395</v>
      </c>
      <c r="J400" s="5" t="s">
        <v>250</v>
      </c>
      <c r="K400" s="5" t="s">
        <v>1014</v>
      </c>
      <c r="L400" s="5" t="s">
        <v>190</v>
      </c>
      <c r="M400" s="5" t="s">
        <v>573</v>
      </c>
      <c r="N400" s="5" t="s">
        <v>286</v>
      </c>
      <c r="O400" s="5" t="s">
        <v>933</v>
      </c>
      <c r="P400" s="18" t="str">
        <f aca="false">IF(J400="S0","—",IF(K400="","",IF(L400="E0","QM",INDEX(10_ASIL_Matrix!$D$4:$F$15,MATCH(J400&amp;"-"&amp;L400,10_ASIL_Matrix!$C$4:$C$15,0),MATCH(N400,10_ASIL_Matrix!$D$3:$F$3,0)))))</f>
        <v>B</v>
      </c>
      <c r="Q400" s="5" t="s">
        <v>448</v>
      </c>
    </row>
    <row r="401" customFormat="false" ht="46.25" hidden="false" customHeight="false" outlineLevel="0" collapsed="false">
      <c r="A401" s="6" t="s">
        <v>1396</v>
      </c>
      <c r="B401" s="6" t="s">
        <v>101</v>
      </c>
      <c r="C401" s="6" t="s">
        <v>102</v>
      </c>
      <c r="D401" s="6" t="s">
        <v>149</v>
      </c>
      <c r="E401" s="6" t="s">
        <v>150</v>
      </c>
      <c r="F401" s="6" t="s">
        <v>200</v>
      </c>
      <c r="G401" s="6" t="s">
        <v>570</v>
      </c>
      <c r="H401" s="6" t="s">
        <v>224</v>
      </c>
      <c r="I401" s="6" t="s">
        <v>1397</v>
      </c>
      <c r="J401" s="6" t="s">
        <v>250</v>
      </c>
      <c r="K401" s="6" t="s">
        <v>1014</v>
      </c>
      <c r="L401" s="6" t="s">
        <v>190</v>
      </c>
      <c r="M401" s="6" t="s">
        <v>576</v>
      </c>
      <c r="N401" s="6" t="s">
        <v>286</v>
      </c>
      <c r="O401" s="6" t="s">
        <v>933</v>
      </c>
      <c r="P401" s="18" t="str">
        <f aca="false">IF(J401="S0","—",IF(K401="","",IF(L401="E0","QM",INDEX(10_ASIL_Matrix!$D$4:$F$15,MATCH(J401&amp;"-"&amp;L401,10_ASIL_Matrix!$C$4:$C$15,0),MATCH(N401,10_ASIL_Matrix!$D$3:$F$3,0)))))</f>
        <v>B</v>
      </c>
      <c r="Q401" s="6" t="s">
        <v>448</v>
      </c>
    </row>
    <row r="402" customFormat="false" ht="46.25" hidden="false" customHeight="false" outlineLevel="0" collapsed="false">
      <c r="A402" s="5" t="s">
        <v>1398</v>
      </c>
      <c r="B402" s="5" t="s">
        <v>101</v>
      </c>
      <c r="C402" s="5" t="s">
        <v>102</v>
      </c>
      <c r="D402" s="5" t="s">
        <v>149</v>
      </c>
      <c r="E402" s="5" t="s">
        <v>150</v>
      </c>
      <c r="F402" s="5" t="s">
        <v>200</v>
      </c>
      <c r="G402" s="5" t="s">
        <v>570</v>
      </c>
      <c r="H402" s="5" t="s">
        <v>226</v>
      </c>
      <c r="I402" s="5" t="s">
        <v>1399</v>
      </c>
      <c r="J402" s="5" t="s">
        <v>250</v>
      </c>
      <c r="K402" s="5" t="s">
        <v>1014</v>
      </c>
      <c r="L402" s="5" t="s">
        <v>190</v>
      </c>
      <c r="M402" s="5" t="s">
        <v>579</v>
      </c>
      <c r="N402" s="5" t="s">
        <v>286</v>
      </c>
      <c r="O402" s="5" t="s">
        <v>933</v>
      </c>
      <c r="P402" s="18" t="str">
        <f aca="false">IF(J402="S0","—",IF(K402="","",IF(L402="E0","QM",INDEX(10_ASIL_Matrix!$D$4:$F$15,MATCH(J402&amp;"-"&amp;L402,10_ASIL_Matrix!$C$4:$C$15,0),MATCH(N402,10_ASIL_Matrix!$D$3:$F$3,0)))))</f>
        <v>B</v>
      </c>
      <c r="Q402" s="5" t="s">
        <v>448</v>
      </c>
    </row>
    <row r="403" customFormat="false" ht="46.25" hidden="false" customHeight="false" outlineLevel="0" collapsed="false">
      <c r="A403" s="6" t="s">
        <v>1400</v>
      </c>
      <c r="B403" s="6" t="s">
        <v>101</v>
      </c>
      <c r="C403" s="6" t="s">
        <v>102</v>
      </c>
      <c r="D403" s="6" t="s">
        <v>149</v>
      </c>
      <c r="E403" s="6" t="s">
        <v>150</v>
      </c>
      <c r="F403" s="6" t="s">
        <v>200</v>
      </c>
      <c r="G403" s="6" t="s">
        <v>570</v>
      </c>
      <c r="H403" s="6" t="s">
        <v>228</v>
      </c>
      <c r="I403" s="6" t="s">
        <v>1401</v>
      </c>
      <c r="J403" s="6" t="s">
        <v>250</v>
      </c>
      <c r="K403" s="6" t="s">
        <v>1014</v>
      </c>
      <c r="L403" s="6" t="s">
        <v>205</v>
      </c>
      <c r="M403" s="6" t="s">
        <v>582</v>
      </c>
      <c r="N403" s="6" t="s">
        <v>286</v>
      </c>
      <c r="O403" s="6" t="s">
        <v>933</v>
      </c>
      <c r="P403" s="19" t="str">
        <f aca="false">IF(J403="S0","—",IF(K403="","",IF(L403="E0","QM",INDEX(10_ASIL_Matrix!$D$4:$F$15,MATCH(J403&amp;"-"&amp;L403,10_ASIL_Matrix!$C$4:$C$15,0),MATCH(N403,10_ASIL_Matrix!$D$3:$F$3,0)))))</f>
        <v>A</v>
      </c>
      <c r="Q403" s="6" t="s">
        <v>448</v>
      </c>
    </row>
    <row r="404" customFormat="false" ht="57.45" hidden="false" customHeight="false" outlineLevel="0" collapsed="false">
      <c r="A404" s="5" t="s">
        <v>1402</v>
      </c>
      <c r="B404" s="5" t="s">
        <v>101</v>
      </c>
      <c r="C404" s="5" t="s">
        <v>102</v>
      </c>
      <c r="D404" s="5" t="s">
        <v>149</v>
      </c>
      <c r="E404" s="5" t="s">
        <v>150</v>
      </c>
      <c r="F404" s="5" t="s">
        <v>200</v>
      </c>
      <c r="G404" s="5" t="s">
        <v>570</v>
      </c>
      <c r="H404" s="5" t="s">
        <v>230</v>
      </c>
      <c r="I404" s="5" t="s">
        <v>1403</v>
      </c>
      <c r="J404" s="5" t="s">
        <v>250</v>
      </c>
      <c r="K404" s="5" t="s">
        <v>1014</v>
      </c>
      <c r="L404" s="5" t="s">
        <v>205</v>
      </c>
      <c r="M404" s="5" t="s">
        <v>585</v>
      </c>
      <c r="N404" s="5" t="s">
        <v>290</v>
      </c>
      <c r="O404" s="5" t="s">
        <v>942</v>
      </c>
      <c r="P404" s="18" t="str">
        <f aca="false">IF(J404="S0","—",IF(K404="","",IF(L404="E0","QM",INDEX(10_ASIL_Matrix!$D$4:$F$15,MATCH(J404&amp;"-"&amp;L404,10_ASIL_Matrix!$C$4:$C$15,0),MATCH(N404,10_ASIL_Matrix!$D$3:$F$3,0)))))</f>
        <v>B</v>
      </c>
      <c r="Q404" s="5" t="s">
        <v>448</v>
      </c>
    </row>
    <row r="405" customFormat="false" ht="46.25" hidden="false" customHeight="false" outlineLevel="0" collapsed="false">
      <c r="A405" s="6" t="s">
        <v>1404</v>
      </c>
      <c r="B405" s="6" t="s">
        <v>101</v>
      </c>
      <c r="C405" s="6" t="s">
        <v>102</v>
      </c>
      <c r="D405" s="6" t="s">
        <v>149</v>
      </c>
      <c r="E405" s="6" t="s">
        <v>150</v>
      </c>
      <c r="F405" s="6" t="s">
        <v>200</v>
      </c>
      <c r="G405" s="6" t="s">
        <v>570</v>
      </c>
      <c r="H405" s="6" t="s">
        <v>232</v>
      </c>
      <c r="I405" s="6" t="s">
        <v>1405</v>
      </c>
      <c r="J405" s="6" t="s">
        <v>250</v>
      </c>
      <c r="K405" s="6" t="s">
        <v>1014</v>
      </c>
      <c r="L405" s="6" t="s">
        <v>233</v>
      </c>
      <c r="M405" s="6" t="s">
        <v>588</v>
      </c>
      <c r="N405" s="6" t="s">
        <v>286</v>
      </c>
      <c r="O405" s="6" t="s">
        <v>933</v>
      </c>
      <c r="P405" s="6" t="str">
        <f aca="false">IF(J405="S0","—",IF(K405="","",IF(L405="E0","QM",INDEX(10_ASIL_Matrix!$D$4:$F$15,MATCH(J405&amp;"-"&amp;L405,10_ASIL_Matrix!$C$4:$C$15,0),MATCH(N405,10_ASIL_Matrix!$D$3:$F$3,0)))))</f>
        <v>QM</v>
      </c>
      <c r="Q405" s="6" t="s">
        <v>448</v>
      </c>
    </row>
    <row r="406" customFormat="false" ht="46.25" hidden="false" customHeight="false" outlineLevel="0" collapsed="false">
      <c r="A406" s="5" t="s">
        <v>1406</v>
      </c>
      <c r="B406" s="5" t="s">
        <v>101</v>
      </c>
      <c r="C406" s="5" t="s">
        <v>102</v>
      </c>
      <c r="D406" s="5" t="s">
        <v>149</v>
      </c>
      <c r="E406" s="5" t="s">
        <v>150</v>
      </c>
      <c r="F406" s="5" t="s">
        <v>202</v>
      </c>
      <c r="G406" s="5" t="s">
        <v>590</v>
      </c>
      <c r="H406" s="5" t="s">
        <v>222</v>
      </c>
      <c r="I406" s="5" t="s">
        <v>1407</v>
      </c>
      <c r="J406" s="5" t="s">
        <v>250</v>
      </c>
      <c r="K406" s="5" t="s">
        <v>1027</v>
      </c>
      <c r="L406" s="5" t="s">
        <v>187</v>
      </c>
      <c r="M406" s="5" t="s">
        <v>592</v>
      </c>
      <c r="N406" s="5" t="s">
        <v>286</v>
      </c>
      <c r="O406" s="5" t="s">
        <v>933</v>
      </c>
      <c r="P406" s="20" t="str">
        <f aca="false">IF(J406="S0","—",IF(K406="","",IF(L406="E0","QM",INDEX(10_ASIL_Matrix!$D$4:$F$15,MATCH(J406&amp;"-"&amp;L406,10_ASIL_Matrix!$C$4:$C$15,0),MATCH(N406,10_ASIL_Matrix!$D$3:$F$3,0)))))</f>
        <v>C</v>
      </c>
      <c r="Q406" s="5" t="s">
        <v>448</v>
      </c>
    </row>
    <row r="407" customFormat="false" ht="46.25" hidden="false" customHeight="false" outlineLevel="0" collapsed="false">
      <c r="A407" s="6" t="s">
        <v>1408</v>
      </c>
      <c r="B407" s="6" t="s">
        <v>101</v>
      </c>
      <c r="C407" s="6" t="s">
        <v>102</v>
      </c>
      <c r="D407" s="6" t="s">
        <v>149</v>
      </c>
      <c r="E407" s="6" t="s">
        <v>150</v>
      </c>
      <c r="F407" s="6" t="s">
        <v>202</v>
      </c>
      <c r="G407" s="6" t="s">
        <v>590</v>
      </c>
      <c r="H407" s="6" t="s">
        <v>224</v>
      </c>
      <c r="I407" s="6" t="s">
        <v>1409</v>
      </c>
      <c r="J407" s="6" t="s">
        <v>250</v>
      </c>
      <c r="K407" s="6" t="s">
        <v>1027</v>
      </c>
      <c r="L407" s="6" t="s">
        <v>190</v>
      </c>
      <c r="M407" s="6" t="s">
        <v>595</v>
      </c>
      <c r="N407" s="6" t="s">
        <v>286</v>
      </c>
      <c r="O407" s="6" t="s">
        <v>933</v>
      </c>
      <c r="P407" s="18" t="str">
        <f aca="false">IF(J407="S0","—",IF(K407="","",IF(L407="E0","QM",INDEX(10_ASIL_Matrix!$D$4:$F$15,MATCH(J407&amp;"-"&amp;L407,10_ASIL_Matrix!$C$4:$C$15,0),MATCH(N407,10_ASIL_Matrix!$D$3:$F$3,0)))))</f>
        <v>B</v>
      </c>
      <c r="Q407" s="6" t="s">
        <v>448</v>
      </c>
    </row>
    <row r="408" customFormat="false" ht="46.25" hidden="false" customHeight="false" outlineLevel="0" collapsed="false">
      <c r="A408" s="5" t="s">
        <v>1410</v>
      </c>
      <c r="B408" s="5" t="s">
        <v>101</v>
      </c>
      <c r="C408" s="5" t="s">
        <v>102</v>
      </c>
      <c r="D408" s="5" t="s">
        <v>149</v>
      </c>
      <c r="E408" s="5" t="s">
        <v>150</v>
      </c>
      <c r="F408" s="5" t="s">
        <v>202</v>
      </c>
      <c r="G408" s="5" t="s">
        <v>590</v>
      </c>
      <c r="H408" s="5" t="s">
        <v>226</v>
      </c>
      <c r="I408" s="5" t="s">
        <v>1411</v>
      </c>
      <c r="J408" s="5" t="s">
        <v>250</v>
      </c>
      <c r="K408" s="5" t="s">
        <v>1027</v>
      </c>
      <c r="L408" s="5" t="s">
        <v>190</v>
      </c>
      <c r="M408" s="5" t="s">
        <v>598</v>
      </c>
      <c r="N408" s="5" t="s">
        <v>286</v>
      </c>
      <c r="O408" s="5" t="s">
        <v>933</v>
      </c>
      <c r="P408" s="18" t="str">
        <f aca="false">IF(J408="S0","—",IF(K408="","",IF(L408="E0","QM",INDEX(10_ASIL_Matrix!$D$4:$F$15,MATCH(J408&amp;"-"&amp;L408,10_ASIL_Matrix!$C$4:$C$15,0),MATCH(N408,10_ASIL_Matrix!$D$3:$F$3,0)))))</f>
        <v>B</v>
      </c>
      <c r="Q408" s="5" t="s">
        <v>448</v>
      </c>
    </row>
    <row r="409" customFormat="false" ht="46.25" hidden="false" customHeight="false" outlineLevel="0" collapsed="false">
      <c r="A409" s="6" t="s">
        <v>1412</v>
      </c>
      <c r="B409" s="6" t="s">
        <v>101</v>
      </c>
      <c r="C409" s="6" t="s">
        <v>102</v>
      </c>
      <c r="D409" s="6" t="s">
        <v>149</v>
      </c>
      <c r="E409" s="6" t="s">
        <v>150</v>
      </c>
      <c r="F409" s="6" t="s">
        <v>202</v>
      </c>
      <c r="G409" s="6" t="s">
        <v>590</v>
      </c>
      <c r="H409" s="6" t="s">
        <v>228</v>
      </c>
      <c r="I409" s="6" t="s">
        <v>1413</v>
      </c>
      <c r="J409" s="6" t="s">
        <v>250</v>
      </c>
      <c r="K409" s="6" t="s">
        <v>1027</v>
      </c>
      <c r="L409" s="6" t="s">
        <v>205</v>
      </c>
      <c r="M409" s="6" t="s">
        <v>601</v>
      </c>
      <c r="N409" s="6" t="s">
        <v>286</v>
      </c>
      <c r="O409" s="6" t="s">
        <v>933</v>
      </c>
      <c r="P409" s="19" t="str">
        <f aca="false">IF(J409="S0","—",IF(K409="","",IF(L409="E0","QM",INDEX(10_ASIL_Matrix!$D$4:$F$15,MATCH(J409&amp;"-"&amp;L409,10_ASIL_Matrix!$C$4:$C$15,0),MATCH(N409,10_ASIL_Matrix!$D$3:$F$3,0)))))</f>
        <v>A</v>
      </c>
      <c r="Q409" s="6" t="s">
        <v>448</v>
      </c>
    </row>
    <row r="410" customFormat="false" ht="57.45" hidden="false" customHeight="false" outlineLevel="0" collapsed="false">
      <c r="A410" s="5" t="s">
        <v>1414</v>
      </c>
      <c r="B410" s="5" t="s">
        <v>101</v>
      </c>
      <c r="C410" s="5" t="s">
        <v>102</v>
      </c>
      <c r="D410" s="5" t="s">
        <v>149</v>
      </c>
      <c r="E410" s="5" t="s">
        <v>150</v>
      </c>
      <c r="F410" s="5" t="s">
        <v>202</v>
      </c>
      <c r="G410" s="5" t="s">
        <v>590</v>
      </c>
      <c r="H410" s="5" t="s">
        <v>230</v>
      </c>
      <c r="I410" s="5" t="s">
        <v>1415</v>
      </c>
      <c r="J410" s="5" t="s">
        <v>250</v>
      </c>
      <c r="K410" s="5" t="s">
        <v>1027</v>
      </c>
      <c r="L410" s="5" t="s">
        <v>205</v>
      </c>
      <c r="M410" s="5" t="s">
        <v>604</v>
      </c>
      <c r="N410" s="5" t="s">
        <v>290</v>
      </c>
      <c r="O410" s="5" t="s">
        <v>942</v>
      </c>
      <c r="P410" s="18" t="str">
        <f aca="false">IF(J410="S0","—",IF(K410="","",IF(L410="E0","QM",INDEX(10_ASIL_Matrix!$D$4:$F$15,MATCH(J410&amp;"-"&amp;L410,10_ASIL_Matrix!$C$4:$C$15,0),MATCH(N410,10_ASIL_Matrix!$D$3:$F$3,0)))))</f>
        <v>B</v>
      </c>
      <c r="Q410" s="5" t="s">
        <v>448</v>
      </c>
    </row>
    <row r="411" customFormat="false" ht="46.25" hidden="false" customHeight="false" outlineLevel="0" collapsed="false">
      <c r="A411" s="6" t="s">
        <v>1416</v>
      </c>
      <c r="B411" s="6" t="s">
        <v>101</v>
      </c>
      <c r="C411" s="6" t="s">
        <v>102</v>
      </c>
      <c r="D411" s="6" t="s">
        <v>149</v>
      </c>
      <c r="E411" s="6" t="s">
        <v>150</v>
      </c>
      <c r="F411" s="6" t="s">
        <v>202</v>
      </c>
      <c r="G411" s="6" t="s">
        <v>590</v>
      </c>
      <c r="H411" s="6" t="s">
        <v>232</v>
      </c>
      <c r="I411" s="6" t="s">
        <v>1417</v>
      </c>
      <c r="J411" s="6" t="s">
        <v>250</v>
      </c>
      <c r="K411" s="6" t="s">
        <v>1027</v>
      </c>
      <c r="L411" s="6" t="s">
        <v>233</v>
      </c>
      <c r="M411" s="6" t="s">
        <v>607</v>
      </c>
      <c r="N411" s="6" t="s">
        <v>286</v>
      </c>
      <c r="O411" s="6" t="s">
        <v>933</v>
      </c>
      <c r="P411" s="6" t="str">
        <f aca="false">IF(J411="S0","—",IF(K411="","",IF(L411="E0","QM",INDEX(10_ASIL_Matrix!$D$4:$F$15,MATCH(J411&amp;"-"&amp;L411,10_ASIL_Matrix!$C$4:$C$15,0),MATCH(N411,10_ASIL_Matrix!$D$3:$F$3,0)))))</f>
        <v>QM</v>
      </c>
      <c r="Q411" s="6" t="s">
        <v>448</v>
      </c>
    </row>
    <row r="412" customFormat="false" ht="46.25" hidden="false" customHeight="false" outlineLevel="0" collapsed="false">
      <c r="A412" s="5" t="s">
        <v>1418</v>
      </c>
      <c r="B412" s="5" t="s">
        <v>101</v>
      </c>
      <c r="C412" s="5" t="s">
        <v>102</v>
      </c>
      <c r="D412" s="5" t="s">
        <v>149</v>
      </c>
      <c r="E412" s="5" t="s">
        <v>150</v>
      </c>
      <c r="F412" s="5" t="s">
        <v>204</v>
      </c>
      <c r="G412" s="5" t="s">
        <v>609</v>
      </c>
      <c r="H412" s="5" t="s">
        <v>222</v>
      </c>
      <c r="I412" s="5" t="s">
        <v>1419</v>
      </c>
      <c r="J412" s="5" t="s">
        <v>250</v>
      </c>
      <c r="K412" s="5" t="s">
        <v>1040</v>
      </c>
      <c r="L412" s="5" t="s">
        <v>205</v>
      </c>
      <c r="M412" s="5" t="s">
        <v>612</v>
      </c>
      <c r="N412" s="5" t="s">
        <v>286</v>
      </c>
      <c r="O412" s="5" t="s">
        <v>933</v>
      </c>
      <c r="P412" s="19" t="str">
        <f aca="false">IF(J412="S0","—",IF(K412="","",IF(L412="E0","QM",INDEX(10_ASIL_Matrix!$D$4:$F$15,MATCH(J412&amp;"-"&amp;L412,10_ASIL_Matrix!$C$4:$C$15,0),MATCH(N412,10_ASIL_Matrix!$D$3:$F$3,0)))))</f>
        <v>A</v>
      </c>
      <c r="Q412" s="5" t="s">
        <v>448</v>
      </c>
    </row>
    <row r="413" customFormat="false" ht="46.25" hidden="false" customHeight="false" outlineLevel="0" collapsed="false">
      <c r="A413" s="6" t="s">
        <v>1420</v>
      </c>
      <c r="B413" s="6" t="s">
        <v>101</v>
      </c>
      <c r="C413" s="6" t="s">
        <v>102</v>
      </c>
      <c r="D413" s="6" t="s">
        <v>149</v>
      </c>
      <c r="E413" s="6" t="s">
        <v>150</v>
      </c>
      <c r="F413" s="6" t="s">
        <v>204</v>
      </c>
      <c r="G413" s="6" t="s">
        <v>609</v>
      </c>
      <c r="H413" s="6" t="s">
        <v>224</v>
      </c>
      <c r="I413" s="6" t="s">
        <v>1421</v>
      </c>
      <c r="J413" s="6" t="s">
        <v>250</v>
      </c>
      <c r="K413" s="6" t="s">
        <v>1040</v>
      </c>
      <c r="L413" s="6" t="s">
        <v>205</v>
      </c>
      <c r="M413" s="6" t="s">
        <v>616</v>
      </c>
      <c r="N413" s="6" t="s">
        <v>286</v>
      </c>
      <c r="O413" s="6" t="s">
        <v>933</v>
      </c>
      <c r="P413" s="19" t="str">
        <f aca="false">IF(J413="S0","—",IF(K413="","",IF(L413="E0","QM",INDEX(10_ASIL_Matrix!$D$4:$F$15,MATCH(J413&amp;"-"&amp;L413,10_ASIL_Matrix!$C$4:$C$15,0),MATCH(N413,10_ASIL_Matrix!$D$3:$F$3,0)))))</f>
        <v>A</v>
      </c>
      <c r="Q413" s="6" t="s">
        <v>448</v>
      </c>
    </row>
    <row r="414" customFormat="false" ht="46.25" hidden="false" customHeight="false" outlineLevel="0" collapsed="false">
      <c r="A414" s="5" t="s">
        <v>1422</v>
      </c>
      <c r="B414" s="5" t="s">
        <v>101</v>
      </c>
      <c r="C414" s="5" t="s">
        <v>102</v>
      </c>
      <c r="D414" s="5" t="s">
        <v>149</v>
      </c>
      <c r="E414" s="5" t="s">
        <v>150</v>
      </c>
      <c r="F414" s="5" t="s">
        <v>204</v>
      </c>
      <c r="G414" s="5" t="s">
        <v>609</v>
      </c>
      <c r="H414" s="5" t="s">
        <v>226</v>
      </c>
      <c r="I414" s="5" t="s">
        <v>1423</v>
      </c>
      <c r="J414" s="5" t="s">
        <v>250</v>
      </c>
      <c r="K414" s="5" t="s">
        <v>1040</v>
      </c>
      <c r="L414" s="5" t="s">
        <v>205</v>
      </c>
      <c r="M414" s="5" t="s">
        <v>619</v>
      </c>
      <c r="N414" s="5" t="s">
        <v>286</v>
      </c>
      <c r="O414" s="5" t="s">
        <v>933</v>
      </c>
      <c r="P414" s="19" t="str">
        <f aca="false">IF(J414="S0","—",IF(K414="","",IF(L414="E0","QM",INDEX(10_ASIL_Matrix!$D$4:$F$15,MATCH(J414&amp;"-"&amp;L414,10_ASIL_Matrix!$C$4:$C$15,0),MATCH(N414,10_ASIL_Matrix!$D$3:$F$3,0)))))</f>
        <v>A</v>
      </c>
      <c r="Q414" s="5" t="s">
        <v>448</v>
      </c>
    </row>
    <row r="415" customFormat="false" ht="46.25" hidden="false" customHeight="false" outlineLevel="0" collapsed="false">
      <c r="A415" s="6" t="s">
        <v>1424</v>
      </c>
      <c r="B415" s="6" t="s">
        <v>101</v>
      </c>
      <c r="C415" s="6" t="s">
        <v>102</v>
      </c>
      <c r="D415" s="6" t="s">
        <v>149</v>
      </c>
      <c r="E415" s="6" t="s">
        <v>150</v>
      </c>
      <c r="F415" s="6" t="s">
        <v>204</v>
      </c>
      <c r="G415" s="6" t="s">
        <v>609</v>
      </c>
      <c r="H415" s="6" t="s">
        <v>228</v>
      </c>
      <c r="I415" s="6" t="s">
        <v>1425</v>
      </c>
      <c r="J415" s="6" t="s">
        <v>250</v>
      </c>
      <c r="K415" s="6" t="s">
        <v>1040</v>
      </c>
      <c r="L415" s="6" t="s">
        <v>205</v>
      </c>
      <c r="M415" s="6" t="s">
        <v>622</v>
      </c>
      <c r="N415" s="6" t="s">
        <v>286</v>
      </c>
      <c r="O415" s="6" t="s">
        <v>933</v>
      </c>
      <c r="P415" s="19" t="str">
        <f aca="false">IF(J415="S0","—",IF(K415="","",IF(L415="E0","QM",INDEX(10_ASIL_Matrix!$D$4:$F$15,MATCH(J415&amp;"-"&amp;L415,10_ASIL_Matrix!$C$4:$C$15,0),MATCH(N415,10_ASIL_Matrix!$D$3:$F$3,0)))))</f>
        <v>A</v>
      </c>
      <c r="Q415" s="6" t="s">
        <v>448</v>
      </c>
    </row>
    <row r="416" customFormat="false" ht="57.45" hidden="false" customHeight="false" outlineLevel="0" collapsed="false">
      <c r="A416" s="5" t="s">
        <v>1426</v>
      </c>
      <c r="B416" s="5" t="s">
        <v>101</v>
      </c>
      <c r="C416" s="5" t="s">
        <v>102</v>
      </c>
      <c r="D416" s="5" t="s">
        <v>149</v>
      </c>
      <c r="E416" s="5" t="s">
        <v>150</v>
      </c>
      <c r="F416" s="5" t="s">
        <v>204</v>
      </c>
      <c r="G416" s="5" t="s">
        <v>609</v>
      </c>
      <c r="H416" s="5" t="s">
        <v>230</v>
      </c>
      <c r="I416" s="5" t="s">
        <v>1427</v>
      </c>
      <c r="J416" s="5" t="s">
        <v>250</v>
      </c>
      <c r="K416" s="5" t="s">
        <v>1040</v>
      </c>
      <c r="L416" s="5" t="s">
        <v>205</v>
      </c>
      <c r="M416" s="5" t="s">
        <v>625</v>
      </c>
      <c r="N416" s="5" t="s">
        <v>290</v>
      </c>
      <c r="O416" s="5" t="s">
        <v>942</v>
      </c>
      <c r="P416" s="18" t="str">
        <f aca="false">IF(J416="S0","—",IF(K416="","",IF(L416="E0","QM",INDEX(10_ASIL_Matrix!$D$4:$F$15,MATCH(J416&amp;"-"&amp;L416,10_ASIL_Matrix!$C$4:$C$15,0),MATCH(N416,10_ASIL_Matrix!$D$3:$F$3,0)))))</f>
        <v>B</v>
      </c>
      <c r="Q416" s="5" t="s">
        <v>448</v>
      </c>
    </row>
    <row r="417" customFormat="false" ht="46.25" hidden="false" customHeight="false" outlineLevel="0" collapsed="false">
      <c r="A417" s="6" t="s">
        <v>1428</v>
      </c>
      <c r="B417" s="6" t="s">
        <v>101</v>
      </c>
      <c r="C417" s="6" t="s">
        <v>102</v>
      </c>
      <c r="D417" s="6" t="s">
        <v>149</v>
      </c>
      <c r="E417" s="6" t="s">
        <v>150</v>
      </c>
      <c r="F417" s="6" t="s">
        <v>204</v>
      </c>
      <c r="G417" s="6" t="s">
        <v>609</v>
      </c>
      <c r="H417" s="6" t="s">
        <v>232</v>
      </c>
      <c r="I417" s="6" t="s">
        <v>1429</v>
      </c>
      <c r="J417" s="6" t="s">
        <v>250</v>
      </c>
      <c r="K417" s="6" t="s">
        <v>1040</v>
      </c>
      <c r="L417" s="6" t="s">
        <v>233</v>
      </c>
      <c r="M417" s="6" t="s">
        <v>629</v>
      </c>
      <c r="N417" s="6" t="s">
        <v>286</v>
      </c>
      <c r="O417" s="6" t="s">
        <v>933</v>
      </c>
      <c r="P417" s="6" t="str">
        <f aca="false">IF(J417="S0","—",IF(K417="","",IF(L417="E0","QM",INDEX(10_ASIL_Matrix!$D$4:$F$15,MATCH(J417&amp;"-"&amp;L417,10_ASIL_Matrix!$C$4:$C$15,0),MATCH(N417,10_ASIL_Matrix!$D$3:$F$3,0)))))</f>
        <v>QM</v>
      </c>
      <c r="Q417" s="6" t="s">
        <v>448</v>
      </c>
    </row>
    <row r="418" customFormat="false" ht="46.25" hidden="false" customHeight="false" outlineLevel="0" collapsed="false">
      <c r="A418" s="5" t="s">
        <v>1430</v>
      </c>
      <c r="B418" s="5" t="s">
        <v>101</v>
      </c>
      <c r="C418" s="5" t="s">
        <v>102</v>
      </c>
      <c r="D418" s="5" t="s">
        <v>149</v>
      </c>
      <c r="E418" s="5" t="s">
        <v>150</v>
      </c>
      <c r="F418" s="5" t="s">
        <v>207</v>
      </c>
      <c r="G418" s="5" t="s">
        <v>609</v>
      </c>
      <c r="H418" s="5" t="s">
        <v>222</v>
      </c>
      <c r="I418" s="5" t="s">
        <v>1431</v>
      </c>
      <c r="J418" s="5" t="s">
        <v>250</v>
      </c>
      <c r="K418" s="5" t="s">
        <v>1053</v>
      </c>
      <c r="L418" s="5" t="s">
        <v>190</v>
      </c>
      <c r="M418" s="5" t="s">
        <v>633</v>
      </c>
      <c r="N418" s="5" t="s">
        <v>286</v>
      </c>
      <c r="O418" s="5" t="s">
        <v>933</v>
      </c>
      <c r="P418" s="18" t="str">
        <f aca="false">IF(J418="S0","—",IF(K418="","",IF(L418="E0","QM",INDEX(10_ASIL_Matrix!$D$4:$F$15,MATCH(J418&amp;"-"&amp;L418,10_ASIL_Matrix!$C$4:$C$15,0),MATCH(N418,10_ASIL_Matrix!$D$3:$F$3,0)))))</f>
        <v>B</v>
      </c>
      <c r="Q418" s="5" t="s">
        <v>448</v>
      </c>
    </row>
    <row r="419" customFormat="false" ht="46.25" hidden="false" customHeight="false" outlineLevel="0" collapsed="false">
      <c r="A419" s="6" t="s">
        <v>1432</v>
      </c>
      <c r="B419" s="6" t="s">
        <v>101</v>
      </c>
      <c r="C419" s="6" t="s">
        <v>102</v>
      </c>
      <c r="D419" s="6" t="s">
        <v>149</v>
      </c>
      <c r="E419" s="6" t="s">
        <v>150</v>
      </c>
      <c r="F419" s="6" t="s">
        <v>207</v>
      </c>
      <c r="G419" s="6" t="s">
        <v>609</v>
      </c>
      <c r="H419" s="6" t="s">
        <v>224</v>
      </c>
      <c r="I419" s="6" t="s">
        <v>1433</v>
      </c>
      <c r="J419" s="6" t="s">
        <v>250</v>
      </c>
      <c r="K419" s="6" t="s">
        <v>1053</v>
      </c>
      <c r="L419" s="6" t="s">
        <v>190</v>
      </c>
      <c r="M419" s="6" t="s">
        <v>637</v>
      </c>
      <c r="N419" s="6" t="s">
        <v>286</v>
      </c>
      <c r="O419" s="6" t="s">
        <v>933</v>
      </c>
      <c r="P419" s="18" t="str">
        <f aca="false">IF(J419="S0","—",IF(K419="","",IF(L419="E0","QM",INDEX(10_ASIL_Matrix!$D$4:$F$15,MATCH(J419&amp;"-"&amp;L419,10_ASIL_Matrix!$C$4:$C$15,0),MATCH(N419,10_ASIL_Matrix!$D$3:$F$3,0)))))</f>
        <v>B</v>
      </c>
      <c r="Q419" s="6" t="s">
        <v>448</v>
      </c>
    </row>
    <row r="420" customFormat="false" ht="46.25" hidden="false" customHeight="false" outlineLevel="0" collapsed="false">
      <c r="A420" s="5" t="s">
        <v>1434</v>
      </c>
      <c r="B420" s="5" t="s">
        <v>101</v>
      </c>
      <c r="C420" s="5" t="s">
        <v>102</v>
      </c>
      <c r="D420" s="5" t="s">
        <v>149</v>
      </c>
      <c r="E420" s="5" t="s">
        <v>150</v>
      </c>
      <c r="F420" s="5" t="s">
        <v>207</v>
      </c>
      <c r="G420" s="5" t="s">
        <v>609</v>
      </c>
      <c r="H420" s="5" t="s">
        <v>226</v>
      </c>
      <c r="I420" s="5" t="s">
        <v>1435</v>
      </c>
      <c r="J420" s="5" t="s">
        <v>250</v>
      </c>
      <c r="K420" s="5" t="s">
        <v>1053</v>
      </c>
      <c r="L420" s="5" t="s">
        <v>190</v>
      </c>
      <c r="M420" s="5" t="s">
        <v>640</v>
      </c>
      <c r="N420" s="5" t="s">
        <v>286</v>
      </c>
      <c r="O420" s="5" t="s">
        <v>933</v>
      </c>
      <c r="P420" s="18" t="str">
        <f aca="false">IF(J420="S0","—",IF(K420="","",IF(L420="E0","QM",INDEX(10_ASIL_Matrix!$D$4:$F$15,MATCH(J420&amp;"-"&amp;L420,10_ASIL_Matrix!$C$4:$C$15,0),MATCH(N420,10_ASIL_Matrix!$D$3:$F$3,0)))))</f>
        <v>B</v>
      </c>
      <c r="Q420" s="5" t="s">
        <v>448</v>
      </c>
    </row>
    <row r="421" customFormat="false" ht="46.25" hidden="false" customHeight="false" outlineLevel="0" collapsed="false">
      <c r="A421" s="6" t="s">
        <v>1436</v>
      </c>
      <c r="B421" s="6" t="s">
        <v>101</v>
      </c>
      <c r="C421" s="6" t="s">
        <v>102</v>
      </c>
      <c r="D421" s="6" t="s">
        <v>149</v>
      </c>
      <c r="E421" s="6" t="s">
        <v>150</v>
      </c>
      <c r="F421" s="6" t="s">
        <v>207</v>
      </c>
      <c r="G421" s="6" t="s">
        <v>609</v>
      </c>
      <c r="H421" s="6" t="s">
        <v>228</v>
      </c>
      <c r="I421" s="6" t="s">
        <v>1437</v>
      </c>
      <c r="J421" s="6" t="s">
        <v>250</v>
      </c>
      <c r="K421" s="6" t="s">
        <v>1053</v>
      </c>
      <c r="L421" s="6" t="s">
        <v>205</v>
      </c>
      <c r="M421" s="6" t="s">
        <v>643</v>
      </c>
      <c r="N421" s="6" t="s">
        <v>286</v>
      </c>
      <c r="O421" s="6" t="s">
        <v>933</v>
      </c>
      <c r="P421" s="19" t="str">
        <f aca="false">IF(J421="S0","—",IF(K421="","",IF(L421="E0","QM",INDEX(10_ASIL_Matrix!$D$4:$F$15,MATCH(J421&amp;"-"&amp;L421,10_ASIL_Matrix!$C$4:$C$15,0),MATCH(N421,10_ASIL_Matrix!$D$3:$F$3,0)))))</f>
        <v>A</v>
      </c>
      <c r="Q421" s="6" t="s">
        <v>448</v>
      </c>
    </row>
    <row r="422" customFormat="false" ht="57.45" hidden="false" customHeight="false" outlineLevel="0" collapsed="false">
      <c r="A422" s="5" t="s">
        <v>1438</v>
      </c>
      <c r="B422" s="5" t="s">
        <v>101</v>
      </c>
      <c r="C422" s="5" t="s">
        <v>102</v>
      </c>
      <c r="D422" s="5" t="s">
        <v>149</v>
      </c>
      <c r="E422" s="5" t="s">
        <v>150</v>
      </c>
      <c r="F422" s="5" t="s">
        <v>207</v>
      </c>
      <c r="G422" s="5" t="s">
        <v>609</v>
      </c>
      <c r="H422" s="5" t="s">
        <v>230</v>
      </c>
      <c r="I422" s="5" t="s">
        <v>1439</v>
      </c>
      <c r="J422" s="5" t="s">
        <v>250</v>
      </c>
      <c r="K422" s="5" t="s">
        <v>1053</v>
      </c>
      <c r="L422" s="5" t="s">
        <v>205</v>
      </c>
      <c r="M422" s="5" t="s">
        <v>646</v>
      </c>
      <c r="N422" s="5" t="s">
        <v>290</v>
      </c>
      <c r="O422" s="5" t="s">
        <v>942</v>
      </c>
      <c r="P422" s="18" t="str">
        <f aca="false">IF(J422="S0","—",IF(K422="","",IF(L422="E0","QM",INDEX(10_ASIL_Matrix!$D$4:$F$15,MATCH(J422&amp;"-"&amp;L422,10_ASIL_Matrix!$C$4:$C$15,0),MATCH(N422,10_ASIL_Matrix!$D$3:$F$3,0)))))</f>
        <v>B</v>
      </c>
      <c r="Q422" s="5" t="s">
        <v>448</v>
      </c>
    </row>
    <row r="423" customFormat="false" ht="46.25" hidden="false" customHeight="false" outlineLevel="0" collapsed="false">
      <c r="A423" s="6" t="s">
        <v>1440</v>
      </c>
      <c r="B423" s="6" t="s">
        <v>101</v>
      </c>
      <c r="C423" s="6" t="s">
        <v>102</v>
      </c>
      <c r="D423" s="6" t="s">
        <v>149</v>
      </c>
      <c r="E423" s="6" t="s">
        <v>150</v>
      </c>
      <c r="F423" s="6" t="s">
        <v>207</v>
      </c>
      <c r="G423" s="6" t="s">
        <v>609</v>
      </c>
      <c r="H423" s="6" t="s">
        <v>232</v>
      </c>
      <c r="I423" s="6" t="s">
        <v>1441</v>
      </c>
      <c r="J423" s="6" t="s">
        <v>250</v>
      </c>
      <c r="K423" s="6" t="s">
        <v>1053</v>
      </c>
      <c r="L423" s="6" t="s">
        <v>233</v>
      </c>
      <c r="M423" s="6" t="s">
        <v>649</v>
      </c>
      <c r="N423" s="6" t="s">
        <v>286</v>
      </c>
      <c r="O423" s="6" t="s">
        <v>933</v>
      </c>
      <c r="P423" s="6" t="str">
        <f aca="false">IF(J423="S0","—",IF(K423="","",IF(L423="E0","QM",INDEX(10_ASIL_Matrix!$D$4:$F$15,MATCH(J423&amp;"-"&amp;L423,10_ASIL_Matrix!$C$4:$C$15,0),MATCH(N423,10_ASIL_Matrix!$D$3:$F$3,0)))))</f>
        <v>QM</v>
      </c>
      <c r="Q423" s="6" t="s">
        <v>448</v>
      </c>
    </row>
    <row r="424" customFormat="false" ht="46.25" hidden="false" customHeight="false" outlineLevel="0" collapsed="false">
      <c r="A424" s="5" t="s">
        <v>1442</v>
      </c>
      <c r="B424" s="5" t="s">
        <v>101</v>
      </c>
      <c r="C424" s="5" t="s">
        <v>102</v>
      </c>
      <c r="D424" s="5" t="s">
        <v>149</v>
      </c>
      <c r="E424" s="5" t="s">
        <v>150</v>
      </c>
      <c r="F424" s="5" t="s">
        <v>209</v>
      </c>
      <c r="G424" s="5" t="s">
        <v>570</v>
      </c>
      <c r="H424" s="5" t="s">
        <v>222</v>
      </c>
      <c r="I424" s="5" t="s">
        <v>1443</v>
      </c>
      <c r="J424" s="5" t="s">
        <v>250</v>
      </c>
      <c r="K424" s="5" t="s">
        <v>1066</v>
      </c>
      <c r="L424" s="5" t="s">
        <v>190</v>
      </c>
      <c r="M424" s="5" t="s">
        <v>653</v>
      </c>
      <c r="N424" s="5" t="s">
        <v>286</v>
      </c>
      <c r="O424" s="5" t="s">
        <v>933</v>
      </c>
      <c r="P424" s="18" t="str">
        <f aca="false">IF(J424="S0","—",IF(K424="","",IF(L424="E0","QM",INDEX(10_ASIL_Matrix!$D$4:$F$15,MATCH(J424&amp;"-"&amp;L424,10_ASIL_Matrix!$C$4:$C$15,0),MATCH(N424,10_ASIL_Matrix!$D$3:$F$3,0)))))</f>
        <v>B</v>
      </c>
      <c r="Q424" s="5" t="s">
        <v>448</v>
      </c>
    </row>
    <row r="425" customFormat="false" ht="46.25" hidden="false" customHeight="false" outlineLevel="0" collapsed="false">
      <c r="A425" s="6" t="s">
        <v>1444</v>
      </c>
      <c r="B425" s="6" t="s">
        <v>101</v>
      </c>
      <c r="C425" s="6" t="s">
        <v>102</v>
      </c>
      <c r="D425" s="6" t="s">
        <v>149</v>
      </c>
      <c r="E425" s="6" t="s">
        <v>150</v>
      </c>
      <c r="F425" s="6" t="s">
        <v>209</v>
      </c>
      <c r="G425" s="6" t="s">
        <v>570</v>
      </c>
      <c r="H425" s="6" t="s">
        <v>224</v>
      </c>
      <c r="I425" s="6" t="s">
        <v>1445</v>
      </c>
      <c r="J425" s="6" t="s">
        <v>250</v>
      </c>
      <c r="K425" s="6" t="s">
        <v>1066</v>
      </c>
      <c r="L425" s="6" t="s">
        <v>190</v>
      </c>
      <c r="M425" s="6" t="s">
        <v>656</v>
      </c>
      <c r="N425" s="6" t="s">
        <v>286</v>
      </c>
      <c r="O425" s="6" t="s">
        <v>933</v>
      </c>
      <c r="P425" s="18" t="str">
        <f aca="false">IF(J425="S0","—",IF(K425="","",IF(L425="E0","QM",INDEX(10_ASIL_Matrix!$D$4:$F$15,MATCH(J425&amp;"-"&amp;L425,10_ASIL_Matrix!$C$4:$C$15,0),MATCH(N425,10_ASIL_Matrix!$D$3:$F$3,0)))))</f>
        <v>B</v>
      </c>
      <c r="Q425" s="6" t="s">
        <v>448</v>
      </c>
    </row>
    <row r="426" customFormat="false" ht="46.25" hidden="false" customHeight="false" outlineLevel="0" collapsed="false">
      <c r="A426" s="5" t="s">
        <v>1446</v>
      </c>
      <c r="B426" s="5" t="s">
        <v>101</v>
      </c>
      <c r="C426" s="5" t="s">
        <v>102</v>
      </c>
      <c r="D426" s="5" t="s">
        <v>149</v>
      </c>
      <c r="E426" s="5" t="s">
        <v>150</v>
      </c>
      <c r="F426" s="5" t="s">
        <v>209</v>
      </c>
      <c r="G426" s="5" t="s">
        <v>570</v>
      </c>
      <c r="H426" s="5" t="s">
        <v>226</v>
      </c>
      <c r="I426" s="5" t="s">
        <v>1447</v>
      </c>
      <c r="J426" s="5" t="s">
        <v>250</v>
      </c>
      <c r="K426" s="5" t="s">
        <v>1066</v>
      </c>
      <c r="L426" s="5" t="s">
        <v>190</v>
      </c>
      <c r="M426" s="5" t="s">
        <v>659</v>
      </c>
      <c r="N426" s="5" t="s">
        <v>286</v>
      </c>
      <c r="O426" s="5" t="s">
        <v>933</v>
      </c>
      <c r="P426" s="18" t="str">
        <f aca="false">IF(J426="S0","—",IF(K426="","",IF(L426="E0","QM",INDEX(10_ASIL_Matrix!$D$4:$F$15,MATCH(J426&amp;"-"&amp;L426,10_ASIL_Matrix!$C$4:$C$15,0),MATCH(N426,10_ASIL_Matrix!$D$3:$F$3,0)))))</f>
        <v>B</v>
      </c>
      <c r="Q426" s="5" t="s">
        <v>448</v>
      </c>
    </row>
    <row r="427" customFormat="false" ht="46.25" hidden="false" customHeight="false" outlineLevel="0" collapsed="false">
      <c r="A427" s="6" t="s">
        <v>1448</v>
      </c>
      <c r="B427" s="6" t="s">
        <v>101</v>
      </c>
      <c r="C427" s="6" t="s">
        <v>102</v>
      </c>
      <c r="D427" s="6" t="s">
        <v>149</v>
      </c>
      <c r="E427" s="6" t="s">
        <v>150</v>
      </c>
      <c r="F427" s="6" t="s">
        <v>209</v>
      </c>
      <c r="G427" s="6" t="s">
        <v>570</v>
      </c>
      <c r="H427" s="6" t="s">
        <v>228</v>
      </c>
      <c r="I427" s="6" t="s">
        <v>1449</v>
      </c>
      <c r="J427" s="6" t="s">
        <v>250</v>
      </c>
      <c r="K427" s="6" t="s">
        <v>1066</v>
      </c>
      <c r="L427" s="6" t="s">
        <v>205</v>
      </c>
      <c r="M427" s="6" t="s">
        <v>662</v>
      </c>
      <c r="N427" s="6" t="s">
        <v>286</v>
      </c>
      <c r="O427" s="6" t="s">
        <v>933</v>
      </c>
      <c r="P427" s="19" t="str">
        <f aca="false">IF(J427="S0","—",IF(K427="","",IF(L427="E0","QM",INDEX(10_ASIL_Matrix!$D$4:$F$15,MATCH(J427&amp;"-"&amp;L427,10_ASIL_Matrix!$C$4:$C$15,0),MATCH(N427,10_ASIL_Matrix!$D$3:$F$3,0)))))</f>
        <v>A</v>
      </c>
      <c r="Q427" s="6" t="s">
        <v>448</v>
      </c>
    </row>
    <row r="428" customFormat="false" ht="57.45" hidden="false" customHeight="false" outlineLevel="0" collapsed="false">
      <c r="A428" s="5" t="s">
        <v>1450</v>
      </c>
      <c r="B428" s="5" t="s">
        <v>101</v>
      </c>
      <c r="C428" s="5" t="s">
        <v>102</v>
      </c>
      <c r="D428" s="5" t="s">
        <v>149</v>
      </c>
      <c r="E428" s="5" t="s">
        <v>150</v>
      </c>
      <c r="F428" s="5" t="s">
        <v>209</v>
      </c>
      <c r="G428" s="5" t="s">
        <v>570</v>
      </c>
      <c r="H428" s="5" t="s">
        <v>230</v>
      </c>
      <c r="I428" s="5" t="s">
        <v>1451</v>
      </c>
      <c r="J428" s="5" t="s">
        <v>250</v>
      </c>
      <c r="K428" s="5" t="s">
        <v>1066</v>
      </c>
      <c r="L428" s="5" t="s">
        <v>205</v>
      </c>
      <c r="M428" s="5" t="s">
        <v>665</v>
      </c>
      <c r="N428" s="5" t="s">
        <v>290</v>
      </c>
      <c r="O428" s="5" t="s">
        <v>942</v>
      </c>
      <c r="P428" s="18" t="str">
        <f aca="false">IF(J428="S0","—",IF(K428="","",IF(L428="E0","QM",INDEX(10_ASIL_Matrix!$D$4:$F$15,MATCH(J428&amp;"-"&amp;L428,10_ASIL_Matrix!$C$4:$C$15,0),MATCH(N428,10_ASIL_Matrix!$D$3:$F$3,0)))))</f>
        <v>B</v>
      </c>
      <c r="Q428" s="5" t="s">
        <v>448</v>
      </c>
    </row>
    <row r="429" customFormat="false" ht="46.25" hidden="false" customHeight="false" outlineLevel="0" collapsed="false">
      <c r="A429" s="6" t="s">
        <v>1452</v>
      </c>
      <c r="B429" s="6" t="s">
        <v>101</v>
      </c>
      <c r="C429" s="6" t="s">
        <v>102</v>
      </c>
      <c r="D429" s="6" t="s">
        <v>149</v>
      </c>
      <c r="E429" s="6" t="s">
        <v>150</v>
      </c>
      <c r="F429" s="6" t="s">
        <v>209</v>
      </c>
      <c r="G429" s="6" t="s">
        <v>570</v>
      </c>
      <c r="H429" s="6" t="s">
        <v>232</v>
      </c>
      <c r="I429" s="6" t="s">
        <v>1453</v>
      </c>
      <c r="J429" s="6" t="s">
        <v>250</v>
      </c>
      <c r="K429" s="6" t="s">
        <v>1066</v>
      </c>
      <c r="L429" s="6" t="s">
        <v>233</v>
      </c>
      <c r="M429" s="6" t="s">
        <v>668</v>
      </c>
      <c r="N429" s="6" t="s">
        <v>286</v>
      </c>
      <c r="O429" s="6" t="s">
        <v>933</v>
      </c>
      <c r="P429" s="6" t="str">
        <f aca="false">IF(J429="S0","—",IF(K429="","",IF(L429="E0","QM",INDEX(10_ASIL_Matrix!$D$4:$F$15,MATCH(J429&amp;"-"&amp;L429,10_ASIL_Matrix!$C$4:$C$15,0),MATCH(N429,10_ASIL_Matrix!$D$3:$F$3,0)))))</f>
        <v>QM</v>
      </c>
      <c r="Q429" s="6" t="s">
        <v>448</v>
      </c>
    </row>
    <row r="430" customFormat="false" ht="35.05" hidden="false" customHeight="false" outlineLevel="0" collapsed="false">
      <c r="A430" s="5" t="s">
        <v>1454</v>
      </c>
      <c r="B430" s="5" t="s">
        <v>101</v>
      </c>
      <c r="C430" s="5" t="s">
        <v>102</v>
      </c>
      <c r="D430" s="5" t="s">
        <v>149</v>
      </c>
      <c r="E430" s="5" t="s">
        <v>150</v>
      </c>
      <c r="F430" s="5" t="s">
        <v>211</v>
      </c>
      <c r="G430" s="5" t="s">
        <v>609</v>
      </c>
      <c r="H430" s="5" t="s">
        <v>222</v>
      </c>
      <c r="I430" s="5" t="s">
        <v>1455</v>
      </c>
      <c r="J430" s="5" t="s">
        <v>238</v>
      </c>
      <c r="K430" s="5" t="s">
        <v>1456</v>
      </c>
      <c r="L430" s="5" t="s">
        <v>187</v>
      </c>
      <c r="M430" s="5" t="s">
        <v>672</v>
      </c>
      <c r="N430" s="5" t="s">
        <v>278</v>
      </c>
      <c r="O430" s="5" t="s">
        <v>634</v>
      </c>
      <c r="P430" s="5" t="str">
        <f aca="false">IF(J430="S0","—",IF(K430="","",IF(L430="E0","QM",INDEX(10_ASIL_Matrix!$D$4:$F$15,MATCH(J430&amp;"-"&amp;L430,10_ASIL_Matrix!$C$4:$C$15,0),MATCH(N430,10_ASIL_Matrix!$D$3:$F$3,0)))))</f>
        <v>—</v>
      </c>
      <c r="Q430" s="5" t="s">
        <v>448</v>
      </c>
    </row>
    <row r="431" customFormat="false" ht="35.05" hidden="false" customHeight="false" outlineLevel="0" collapsed="false">
      <c r="A431" s="6" t="s">
        <v>1457</v>
      </c>
      <c r="B431" s="6" t="s">
        <v>101</v>
      </c>
      <c r="C431" s="6" t="s">
        <v>102</v>
      </c>
      <c r="D431" s="6" t="s">
        <v>149</v>
      </c>
      <c r="E431" s="6" t="s">
        <v>150</v>
      </c>
      <c r="F431" s="6" t="s">
        <v>211</v>
      </c>
      <c r="G431" s="6" t="s">
        <v>609</v>
      </c>
      <c r="H431" s="6" t="s">
        <v>224</v>
      </c>
      <c r="I431" s="6" t="s">
        <v>1458</v>
      </c>
      <c r="J431" s="6" t="s">
        <v>238</v>
      </c>
      <c r="K431" s="6" t="s">
        <v>1456</v>
      </c>
      <c r="L431" s="6" t="s">
        <v>190</v>
      </c>
      <c r="M431" s="6" t="s">
        <v>675</v>
      </c>
      <c r="N431" s="6" t="s">
        <v>278</v>
      </c>
      <c r="O431" s="6" t="s">
        <v>634</v>
      </c>
      <c r="P431" s="6" t="str">
        <f aca="false">IF(J431="S0","—",IF(K431="","",IF(L431="E0","QM",INDEX(10_ASIL_Matrix!$D$4:$F$15,MATCH(J431&amp;"-"&amp;L431,10_ASIL_Matrix!$C$4:$C$15,0),MATCH(N431,10_ASIL_Matrix!$D$3:$F$3,0)))))</f>
        <v>—</v>
      </c>
      <c r="Q431" s="6" t="s">
        <v>448</v>
      </c>
    </row>
    <row r="432" customFormat="false" ht="35.05" hidden="false" customHeight="false" outlineLevel="0" collapsed="false">
      <c r="A432" s="5" t="s">
        <v>1459</v>
      </c>
      <c r="B432" s="5" t="s">
        <v>101</v>
      </c>
      <c r="C432" s="5" t="s">
        <v>102</v>
      </c>
      <c r="D432" s="5" t="s">
        <v>149</v>
      </c>
      <c r="E432" s="5" t="s">
        <v>150</v>
      </c>
      <c r="F432" s="5" t="s">
        <v>211</v>
      </c>
      <c r="G432" s="5" t="s">
        <v>609</v>
      </c>
      <c r="H432" s="5" t="s">
        <v>226</v>
      </c>
      <c r="I432" s="5" t="s">
        <v>1460</v>
      </c>
      <c r="J432" s="5" t="s">
        <v>238</v>
      </c>
      <c r="K432" s="5" t="s">
        <v>1456</v>
      </c>
      <c r="L432" s="5" t="s">
        <v>190</v>
      </c>
      <c r="M432" s="5" t="s">
        <v>678</v>
      </c>
      <c r="N432" s="5" t="s">
        <v>278</v>
      </c>
      <c r="O432" s="5" t="s">
        <v>634</v>
      </c>
      <c r="P432" s="5" t="str">
        <f aca="false">IF(J432="S0","—",IF(K432="","",IF(L432="E0","QM",INDEX(10_ASIL_Matrix!$D$4:$F$15,MATCH(J432&amp;"-"&amp;L432,10_ASIL_Matrix!$C$4:$C$15,0),MATCH(N432,10_ASIL_Matrix!$D$3:$F$3,0)))))</f>
        <v>—</v>
      </c>
      <c r="Q432" s="5" t="s">
        <v>448</v>
      </c>
    </row>
    <row r="433" customFormat="false" ht="35.05" hidden="false" customHeight="false" outlineLevel="0" collapsed="false">
      <c r="A433" s="6" t="s">
        <v>1461</v>
      </c>
      <c r="B433" s="6" t="s">
        <v>101</v>
      </c>
      <c r="C433" s="6" t="s">
        <v>102</v>
      </c>
      <c r="D433" s="6" t="s">
        <v>149</v>
      </c>
      <c r="E433" s="6" t="s">
        <v>150</v>
      </c>
      <c r="F433" s="6" t="s">
        <v>211</v>
      </c>
      <c r="G433" s="6" t="s">
        <v>609</v>
      </c>
      <c r="H433" s="6" t="s">
        <v>228</v>
      </c>
      <c r="I433" s="6" t="s">
        <v>1462</v>
      </c>
      <c r="J433" s="6" t="s">
        <v>238</v>
      </c>
      <c r="K433" s="6" t="s">
        <v>1456</v>
      </c>
      <c r="L433" s="6" t="s">
        <v>205</v>
      </c>
      <c r="M433" s="6" t="s">
        <v>681</v>
      </c>
      <c r="N433" s="6" t="s">
        <v>278</v>
      </c>
      <c r="O433" s="6" t="s">
        <v>634</v>
      </c>
      <c r="P433" s="6" t="str">
        <f aca="false">IF(J433="S0","—",IF(K433="","",IF(L433="E0","QM",INDEX(10_ASIL_Matrix!$D$4:$F$15,MATCH(J433&amp;"-"&amp;L433,10_ASIL_Matrix!$C$4:$C$15,0),MATCH(N433,10_ASIL_Matrix!$D$3:$F$3,0)))))</f>
        <v>—</v>
      </c>
      <c r="Q433" s="6" t="s">
        <v>448</v>
      </c>
    </row>
    <row r="434" customFormat="false" ht="35.05" hidden="false" customHeight="false" outlineLevel="0" collapsed="false">
      <c r="A434" s="5" t="s">
        <v>1463</v>
      </c>
      <c r="B434" s="5" t="s">
        <v>101</v>
      </c>
      <c r="C434" s="5" t="s">
        <v>102</v>
      </c>
      <c r="D434" s="5" t="s">
        <v>149</v>
      </c>
      <c r="E434" s="5" t="s">
        <v>150</v>
      </c>
      <c r="F434" s="5" t="s">
        <v>211</v>
      </c>
      <c r="G434" s="5" t="s">
        <v>609</v>
      </c>
      <c r="H434" s="5" t="s">
        <v>230</v>
      </c>
      <c r="I434" s="5" t="s">
        <v>1464</v>
      </c>
      <c r="J434" s="5" t="s">
        <v>238</v>
      </c>
      <c r="K434" s="5" t="s">
        <v>1456</v>
      </c>
      <c r="L434" s="5" t="s">
        <v>205</v>
      </c>
      <c r="M434" s="5" t="s">
        <v>684</v>
      </c>
      <c r="N434" s="5" t="s">
        <v>278</v>
      </c>
      <c r="O434" s="5" t="s">
        <v>634</v>
      </c>
      <c r="P434" s="5" t="str">
        <f aca="false">IF(J434="S0","—",IF(K434="","",IF(L434="E0","QM",INDEX(10_ASIL_Matrix!$D$4:$F$15,MATCH(J434&amp;"-"&amp;L434,10_ASIL_Matrix!$C$4:$C$15,0),MATCH(N434,10_ASIL_Matrix!$D$3:$F$3,0)))))</f>
        <v>—</v>
      </c>
      <c r="Q434" s="5" t="s">
        <v>448</v>
      </c>
    </row>
    <row r="435" customFormat="false" ht="46.25" hidden="false" customHeight="false" outlineLevel="0" collapsed="false">
      <c r="A435" s="6" t="s">
        <v>1465</v>
      </c>
      <c r="B435" s="6" t="s">
        <v>101</v>
      </c>
      <c r="C435" s="6" t="s">
        <v>102</v>
      </c>
      <c r="D435" s="6" t="s">
        <v>149</v>
      </c>
      <c r="E435" s="6" t="s">
        <v>150</v>
      </c>
      <c r="F435" s="6" t="s">
        <v>211</v>
      </c>
      <c r="G435" s="6" t="s">
        <v>609</v>
      </c>
      <c r="H435" s="6" t="s">
        <v>232</v>
      </c>
      <c r="I435" s="6" t="s">
        <v>1466</v>
      </c>
      <c r="J435" s="6" t="s">
        <v>238</v>
      </c>
      <c r="K435" s="6" t="s">
        <v>1456</v>
      </c>
      <c r="L435" s="6" t="s">
        <v>233</v>
      </c>
      <c r="M435" s="6" t="s">
        <v>687</v>
      </c>
      <c r="N435" s="6" t="s">
        <v>278</v>
      </c>
      <c r="O435" s="6" t="s">
        <v>634</v>
      </c>
      <c r="P435" s="6" t="str">
        <f aca="false">IF(J435="S0","—",IF(K435="","",IF(L435="E0","QM",INDEX(10_ASIL_Matrix!$D$4:$F$15,MATCH(J435&amp;"-"&amp;L435,10_ASIL_Matrix!$C$4:$C$15,0),MATCH(N435,10_ASIL_Matrix!$D$3:$F$3,0)))))</f>
        <v>—</v>
      </c>
      <c r="Q435" s="6" t="s">
        <v>448</v>
      </c>
    </row>
    <row r="436" customFormat="false" ht="46.25" hidden="false" customHeight="false" outlineLevel="0" collapsed="false">
      <c r="A436" s="5" t="s">
        <v>1467</v>
      </c>
      <c r="B436" s="5" t="s">
        <v>101</v>
      </c>
      <c r="C436" s="5" t="s">
        <v>102</v>
      </c>
      <c r="D436" s="5" t="s">
        <v>149</v>
      </c>
      <c r="E436" s="5" t="s">
        <v>150</v>
      </c>
      <c r="F436" s="5" t="s">
        <v>213</v>
      </c>
      <c r="G436" s="5" t="s">
        <v>689</v>
      </c>
      <c r="H436" s="5" t="s">
        <v>222</v>
      </c>
      <c r="I436" s="5" t="s">
        <v>1468</v>
      </c>
      <c r="J436" s="5" t="s">
        <v>250</v>
      </c>
      <c r="K436" s="5" t="s">
        <v>1094</v>
      </c>
      <c r="L436" s="5" t="s">
        <v>205</v>
      </c>
      <c r="M436" s="5" t="s">
        <v>692</v>
      </c>
      <c r="N436" s="5" t="s">
        <v>286</v>
      </c>
      <c r="O436" s="5" t="s">
        <v>933</v>
      </c>
      <c r="P436" s="19" t="str">
        <f aca="false">IF(J436="S0","—",IF(K436="","",IF(L436="E0","QM",INDEX(10_ASIL_Matrix!$D$4:$F$15,MATCH(J436&amp;"-"&amp;L436,10_ASIL_Matrix!$C$4:$C$15,0),MATCH(N436,10_ASIL_Matrix!$D$3:$F$3,0)))))</f>
        <v>A</v>
      </c>
      <c r="Q436" s="5" t="s">
        <v>448</v>
      </c>
    </row>
    <row r="437" customFormat="false" ht="46.25" hidden="false" customHeight="false" outlineLevel="0" collapsed="false">
      <c r="A437" s="6" t="s">
        <v>1469</v>
      </c>
      <c r="B437" s="6" t="s">
        <v>101</v>
      </c>
      <c r="C437" s="6" t="s">
        <v>102</v>
      </c>
      <c r="D437" s="6" t="s">
        <v>149</v>
      </c>
      <c r="E437" s="6" t="s">
        <v>150</v>
      </c>
      <c r="F437" s="6" t="s">
        <v>213</v>
      </c>
      <c r="G437" s="6" t="s">
        <v>689</v>
      </c>
      <c r="H437" s="6" t="s">
        <v>224</v>
      </c>
      <c r="I437" s="6" t="s">
        <v>1470</v>
      </c>
      <c r="J437" s="6" t="s">
        <v>250</v>
      </c>
      <c r="K437" s="6" t="s">
        <v>1094</v>
      </c>
      <c r="L437" s="6" t="s">
        <v>205</v>
      </c>
      <c r="M437" s="6" t="s">
        <v>696</v>
      </c>
      <c r="N437" s="6" t="s">
        <v>286</v>
      </c>
      <c r="O437" s="6" t="s">
        <v>933</v>
      </c>
      <c r="P437" s="19" t="str">
        <f aca="false">IF(J437="S0","—",IF(K437="","",IF(L437="E0","QM",INDEX(10_ASIL_Matrix!$D$4:$F$15,MATCH(J437&amp;"-"&amp;L437,10_ASIL_Matrix!$C$4:$C$15,0),MATCH(N437,10_ASIL_Matrix!$D$3:$F$3,0)))))</f>
        <v>A</v>
      </c>
      <c r="Q437" s="6" t="s">
        <v>448</v>
      </c>
    </row>
    <row r="438" customFormat="false" ht="46.25" hidden="false" customHeight="false" outlineLevel="0" collapsed="false">
      <c r="A438" s="5" t="s">
        <v>1471</v>
      </c>
      <c r="B438" s="5" t="s">
        <v>101</v>
      </c>
      <c r="C438" s="5" t="s">
        <v>102</v>
      </c>
      <c r="D438" s="5" t="s">
        <v>149</v>
      </c>
      <c r="E438" s="5" t="s">
        <v>150</v>
      </c>
      <c r="F438" s="5" t="s">
        <v>213</v>
      </c>
      <c r="G438" s="5" t="s">
        <v>689</v>
      </c>
      <c r="H438" s="5" t="s">
        <v>226</v>
      </c>
      <c r="I438" s="5" t="s">
        <v>1472</v>
      </c>
      <c r="J438" s="5" t="s">
        <v>250</v>
      </c>
      <c r="K438" s="5" t="s">
        <v>1094</v>
      </c>
      <c r="L438" s="5" t="s">
        <v>205</v>
      </c>
      <c r="M438" s="5" t="s">
        <v>699</v>
      </c>
      <c r="N438" s="5" t="s">
        <v>286</v>
      </c>
      <c r="O438" s="5" t="s">
        <v>933</v>
      </c>
      <c r="P438" s="19" t="str">
        <f aca="false">IF(J438="S0","—",IF(K438="","",IF(L438="E0","QM",INDEX(10_ASIL_Matrix!$D$4:$F$15,MATCH(J438&amp;"-"&amp;L438,10_ASIL_Matrix!$C$4:$C$15,0),MATCH(N438,10_ASIL_Matrix!$D$3:$F$3,0)))))</f>
        <v>A</v>
      </c>
      <c r="Q438" s="5" t="s">
        <v>448</v>
      </c>
    </row>
    <row r="439" customFormat="false" ht="46.25" hidden="false" customHeight="false" outlineLevel="0" collapsed="false">
      <c r="A439" s="6" t="s">
        <v>1473</v>
      </c>
      <c r="B439" s="6" t="s">
        <v>101</v>
      </c>
      <c r="C439" s="6" t="s">
        <v>102</v>
      </c>
      <c r="D439" s="6" t="s">
        <v>149</v>
      </c>
      <c r="E439" s="6" t="s">
        <v>150</v>
      </c>
      <c r="F439" s="6" t="s">
        <v>213</v>
      </c>
      <c r="G439" s="6" t="s">
        <v>689</v>
      </c>
      <c r="H439" s="6" t="s">
        <v>228</v>
      </c>
      <c r="I439" s="6" t="s">
        <v>1474</v>
      </c>
      <c r="J439" s="6" t="s">
        <v>250</v>
      </c>
      <c r="K439" s="6" t="s">
        <v>1094</v>
      </c>
      <c r="L439" s="6" t="s">
        <v>205</v>
      </c>
      <c r="M439" s="6" t="s">
        <v>702</v>
      </c>
      <c r="N439" s="6" t="s">
        <v>286</v>
      </c>
      <c r="O439" s="6" t="s">
        <v>933</v>
      </c>
      <c r="P439" s="19" t="str">
        <f aca="false">IF(J439="S0","—",IF(K439="","",IF(L439="E0","QM",INDEX(10_ASIL_Matrix!$D$4:$F$15,MATCH(J439&amp;"-"&amp;L439,10_ASIL_Matrix!$C$4:$C$15,0),MATCH(N439,10_ASIL_Matrix!$D$3:$F$3,0)))))</f>
        <v>A</v>
      </c>
      <c r="Q439" s="6" t="s">
        <v>448</v>
      </c>
    </row>
    <row r="440" customFormat="false" ht="57.45" hidden="false" customHeight="false" outlineLevel="0" collapsed="false">
      <c r="A440" s="5" t="s">
        <v>1475</v>
      </c>
      <c r="B440" s="5" t="s">
        <v>101</v>
      </c>
      <c r="C440" s="5" t="s">
        <v>102</v>
      </c>
      <c r="D440" s="5" t="s">
        <v>149</v>
      </c>
      <c r="E440" s="5" t="s">
        <v>150</v>
      </c>
      <c r="F440" s="5" t="s">
        <v>213</v>
      </c>
      <c r="G440" s="5" t="s">
        <v>689</v>
      </c>
      <c r="H440" s="5" t="s">
        <v>230</v>
      </c>
      <c r="I440" s="5" t="s">
        <v>1476</v>
      </c>
      <c r="J440" s="5" t="s">
        <v>250</v>
      </c>
      <c r="K440" s="5" t="s">
        <v>1094</v>
      </c>
      <c r="L440" s="5" t="s">
        <v>205</v>
      </c>
      <c r="M440" s="5" t="s">
        <v>705</v>
      </c>
      <c r="N440" s="5" t="s">
        <v>290</v>
      </c>
      <c r="O440" s="5" t="s">
        <v>942</v>
      </c>
      <c r="P440" s="18" t="str">
        <f aca="false">IF(J440="S0","—",IF(K440="","",IF(L440="E0","QM",INDEX(10_ASIL_Matrix!$D$4:$F$15,MATCH(J440&amp;"-"&amp;L440,10_ASIL_Matrix!$C$4:$C$15,0),MATCH(N440,10_ASIL_Matrix!$D$3:$F$3,0)))))</f>
        <v>B</v>
      </c>
      <c r="Q440" s="5" t="s">
        <v>448</v>
      </c>
    </row>
    <row r="441" customFormat="false" ht="46.25" hidden="false" customHeight="false" outlineLevel="0" collapsed="false">
      <c r="A441" s="6" t="s">
        <v>1477</v>
      </c>
      <c r="B441" s="6" t="s">
        <v>101</v>
      </c>
      <c r="C441" s="6" t="s">
        <v>102</v>
      </c>
      <c r="D441" s="6" t="s">
        <v>149</v>
      </c>
      <c r="E441" s="6" t="s">
        <v>150</v>
      </c>
      <c r="F441" s="6" t="s">
        <v>213</v>
      </c>
      <c r="G441" s="6" t="s">
        <v>689</v>
      </c>
      <c r="H441" s="6" t="s">
        <v>232</v>
      </c>
      <c r="I441" s="6" t="s">
        <v>1478</v>
      </c>
      <c r="J441" s="6" t="s">
        <v>250</v>
      </c>
      <c r="K441" s="6" t="s">
        <v>1094</v>
      </c>
      <c r="L441" s="6" t="s">
        <v>233</v>
      </c>
      <c r="M441" s="6" t="s">
        <v>709</v>
      </c>
      <c r="N441" s="6" t="s">
        <v>286</v>
      </c>
      <c r="O441" s="6" t="s">
        <v>933</v>
      </c>
      <c r="P441" s="6" t="str">
        <f aca="false">IF(J441="S0","—",IF(K441="","",IF(L441="E0","QM",INDEX(10_ASIL_Matrix!$D$4:$F$15,MATCH(J441&amp;"-"&amp;L441,10_ASIL_Matrix!$C$4:$C$15,0),MATCH(N441,10_ASIL_Matrix!$D$3:$F$3,0)))))</f>
        <v>QM</v>
      </c>
      <c r="Q441" s="6" t="s">
        <v>448</v>
      </c>
    </row>
    <row r="442" customFormat="false" ht="46.25" hidden="false" customHeight="false" outlineLevel="0" collapsed="false">
      <c r="A442" s="5" t="s">
        <v>1479</v>
      </c>
      <c r="B442" s="5" t="s">
        <v>101</v>
      </c>
      <c r="C442" s="5" t="s">
        <v>102</v>
      </c>
      <c r="D442" s="5" t="s">
        <v>149</v>
      </c>
      <c r="E442" s="5" t="s">
        <v>150</v>
      </c>
      <c r="F442" s="5" t="s">
        <v>215</v>
      </c>
      <c r="G442" s="5" t="s">
        <v>711</v>
      </c>
      <c r="H442" s="5" t="s">
        <v>222</v>
      </c>
      <c r="I442" s="5" t="s">
        <v>1480</v>
      </c>
      <c r="J442" s="5" t="s">
        <v>250</v>
      </c>
      <c r="K442" s="5" t="s">
        <v>1107</v>
      </c>
      <c r="L442" s="5" t="s">
        <v>190</v>
      </c>
      <c r="M442" s="5" t="s">
        <v>714</v>
      </c>
      <c r="N442" s="5" t="s">
        <v>286</v>
      </c>
      <c r="O442" s="5" t="s">
        <v>933</v>
      </c>
      <c r="P442" s="18" t="str">
        <f aca="false">IF(J442="S0","—",IF(K442="","",IF(L442="E0","QM",INDEX(10_ASIL_Matrix!$D$4:$F$15,MATCH(J442&amp;"-"&amp;L442,10_ASIL_Matrix!$C$4:$C$15,0),MATCH(N442,10_ASIL_Matrix!$D$3:$F$3,0)))))</f>
        <v>B</v>
      </c>
      <c r="Q442" s="5" t="s">
        <v>448</v>
      </c>
    </row>
    <row r="443" customFormat="false" ht="46.25" hidden="false" customHeight="false" outlineLevel="0" collapsed="false">
      <c r="A443" s="6" t="s">
        <v>1481</v>
      </c>
      <c r="B443" s="6" t="s">
        <v>101</v>
      </c>
      <c r="C443" s="6" t="s">
        <v>102</v>
      </c>
      <c r="D443" s="6" t="s">
        <v>149</v>
      </c>
      <c r="E443" s="6" t="s">
        <v>150</v>
      </c>
      <c r="F443" s="6" t="s">
        <v>215</v>
      </c>
      <c r="G443" s="6" t="s">
        <v>711</v>
      </c>
      <c r="H443" s="6" t="s">
        <v>224</v>
      </c>
      <c r="I443" s="6" t="s">
        <v>1482</v>
      </c>
      <c r="J443" s="6" t="s">
        <v>250</v>
      </c>
      <c r="K443" s="6" t="s">
        <v>1107</v>
      </c>
      <c r="L443" s="6" t="s">
        <v>190</v>
      </c>
      <c r="M443" s="6" t="s">
        <v>717</v>
      </c>
      <c r="N443" s="6" t="s">
        <v>286</v>
      </c>
      <c r="O443" s="6" t="s">
        <v>933</v>
      </c>
      <c r="P443" s="18" t="str">
        <f aca="false">IF(J443="S0","—",IF(K443="","",IF(L443="E0","QM",INDEX(10_ASIL_Matrix!$D$4:$F$15,MATCH(J443&amp;"-"&amp;L443,10_ASIL_Matrix!$C$4:$C$15,0),MATCH(N443,10_ASIL_Matrix!$D$3:$F$3,0)))))</f>
        <v>B</v>
      </c>
      <c r="Q443" s="6" t="s">
        <v>448</v>
      </c>
    </row>
    <row r="444" customFormat="false" ht="46.25" hidden="false" customHeight="false" outlineLevel="0" collapsed="false">
      <c r="A444" s="5" t="s">
        <v>1483</v>
      </c>
      <c r="B444" s="5" t="s">
        <v>101</v>
      </c>
      <c r="C444" s="5" t="s">
        <v>102</v>
      </c>
      <c r="D444" s="5" t="s">
        <v>149</v>
      </c>
      <c r="E444" s="5" t="s">
        <v>150</v>
      </c>
      <c r="F444" s="5" t="s">
        <v>215</v>
      </c>
      <c r="G444" s="5" t="s">
        <v>711</v>
      </c>
      <c r="H444" s="5" t="s">
        <v>226</v>
      </c>
      <c r="I444" s="5" t="s">
        <v>1484</v>
      </c>
      <c r="J444" s="5" t="s">
        <v>250</v>
      </c>
      <c r="K444" s="5" t="s">
        <v>1107</v>
      </c>
      <c r="L444" s="5" t="s">
        <v>190</v>
      </c>
      <c r="M444" s="5" t="s">
        <v>720</v>
      </c>
      <c r="N444" s="5" t="s">
        <v>286</v>
      </c>
      <c r="O444" s="5" t="s">
        <v>933</v>
      </c>
      <c r="P444" s="18" t="str">
        <f aca="false">IF(J444="S0","—",IF(K444="","",IF(L444="E0","QM",INDEX(10_ASIL_Matrix!$D$4:$F$15,MATCH(J444&amp;"-"&amp;L444,10_ASIL_Matrix!$C$4:$C$15,0),MATCH(N444,10_ASIL_Matrix!$D$3:$F$3,0)))))</f>
        <v>B</v>
      </c>
      <c r="Q444" s="5" t="s">
        <v>448</v>
      </c>
    </row>
    <row r="445" customFormat="false" ht="46.25" hidden="false" customHeight="false" outlineLevel="0" collapsed="false">
      <c r="A445" s="6" t="s">
        <v>1485</v>
      </c>
      <c r="B445" s="6" t="s">
        <v>101</v>
      </c>
      <c r="C445" s="6" t="s">
        <v>102</v>
      </c>
      <c r="D445" s="6" t="s">
        <v>149</v>
      </c>
      <c r="E445" s="6" t="s">
        <v>150</v>
      </c>
      <c r="F445" s="6" t="s">
        <v>215</v>
      </c>
      <c r="G445" s="6" t="s">
        <v>711</v>
      </c>
      <c r="H445" s="6" t="s">
        <v>228</v>
      </c>
      <c r="I445" s="6" t="s">
        <v>1486</v>
      </c>
      <c r="J445" s="6" t="s">
        <v>250</v>
      </c>
      <c r="K445" s="6" t="s">
        <v>1107</v>
      </c>
      <c r="L445" s="6" t="s">
        <v>205</v>
      </c>
      <c r="M445" s="6" t="s">
        <v>723</v>
      </c>
      <c r="N445" s="6" t="s">
        <v>286</v>
      </c>
      <c r="O445" s="6" t="s">
        <v>933</v>
      </c>
      <c r="P445" s="19" t="str">
        <f aca="false">IF(J445="S0","—",IF(K445="","",IF(L445="E0","QM",INDEX(10_ASIL_Matrix!$D$4:$F$15,MATCH(J445&amp;"-"&amp;L445,10_ASIL_Matrix!$C$4:$C$15,0),MATCH(N445,10_ASIL_Matrix!$D$3:$F$3,0)))))</f>
        <v>A</v>
      </c>
      <c r="Q445" s="6" t="s">
        <v>448</v>
      </c>
    </row>
    <row r="446" customFormat="false" ht="57.45" hidden="false" customHeight="false" outlineLevel="0" collapsed="false">
      <c r="A446" s="5" t="s">
        <v>1487</v>
      </c>
      <c r="B446" s="5" t="s">
        <v>101</v>
      </c>
      <c r="C446" s="5" t="s">
        <v>102</v>
      </c>
      <c r="D446" s="5" t="s">
        <v>149</v>
      </c>
      <c r="E446" s="5" t="s">
        <v>150</v>
      </c>
      <c r="F446" s="5" t="s">
        <v>215</v>
      </c>
      <c r="G446" s="5" t="s">
        <v>711</v>
      </c>
      <c r="H446" s="5" t="s">
        <v>230</v>
      </c>
      <c r="I446" s="5" t="s">
        <v>1488</v>
      </c>
      <c r="J446" s="5" t="s">
        <v>250</v>
      </c>
      <c r="K446" s="5" t="s">
        <v>1107</v>
      </c>
      <c r="L446" s="5" t="s">
        <v>205</v>
      </c>
      <c r="M446" s="5" t="s">
        <v>726</v>
      </c>
      <c r="N446" s="5" t="s">
        <v>290</v>
      </c>
      <c r="O446" s="5" t="s">
        <v>942</v>
      </c>
      <c r="P446" s="18" t="str">
        <f aca="false">IF(J446="S0","—",IF(K446="","",IF(L446="E0","QM",INDEX(10_ASIL_Matrix!$D$4:$F$15,MATCH(J446&amp;"-"&amp;L446,10_ASIL_Matrix!$C$4:$C$15,0),MATCH(N446,10_ASIL_Matrix!$D$3:$F$3,0)))))</f>
        <v>B</v>
      </c>
      <c r="Q446" s="5" t="s">
        <v>448</v>
      </c>
    </row>
    <row r="447" customFormat="false" ht="46.25" hidden="false" customHeight="false" outlineLevel="0" collapsed="false">
      <c r="A447" s="6" t="s">
        <v>1489</v>
      </c>
      <c r="B447" s="6" t="s">
        <v>101</v>
      </c>
      <c r="C447" s="6" t="s">
        <v>102</v>
      </c>
      <c r="D447" s="6" t="s">
        <v>149</v>
      </c>
      <c r="E447" s="6" t="s">
        <v>150</v>
      </c>
      <c r="F447" s="6" t="s">
        <v>215</v>
      </c>
      <c r="G447" s="6" t="s">
        <v>711</v>
      </c>
      <c r="H447" s="6" t="s">
        <v>232</v>
      </c>
      <c r="I447" s="6" t="s">
        <v>1490</v>
      </c>
      <c r="J447" s="6" t="s">
        <v>250</v>
      </c>
      <c r="K447" s="6" t="s">
        <v>1107</v>
      </c>
      <c r="L447" s="6" t="s">
        <v>233</v>
      </c>
      <c r="M447" s="6" t="s">
        <v>729</v>
      </c>
      <c r="N447" s="6" t="s">
        <v>286</v>
      </c>
      <c r="O447" s="6" t="s">
        <v>933</v>
      </c>
      <c r="P447" s="6" t="str">
        <f aca="false">IF(J447="S0","—",IF(K447="","",IF(L447="E0","QM",INDEX(10_ASIL_Matrix!$D$4:$F$15,MATCH(J447&amp;"-"&amp;L447,10_ASIL_Matrix!$C$4:$C$15,0),MATCH(N447,10_ASIL_Matrix!$D$3:$F$3,0)))))</f>
        <v>QM</v>
      </c>
      <c r="Q447" s="6" t="s">
        <v>448</v>
      </c>
    </row>
    <row r="448" customFormat="false" ht="46.25" hidden="false" customHeight="false" outlineLevel="0" collapsed="false">
      <c r="A448" s="5" t="s">
        <v>1491</v>
      </c>
      <c r="B448" s="5" t="s">
        <v>101</v>
      </c>
      <c r="C448" s="5" t="s">
        <v>102</v>
      </c>
      <c r="D448" s="5" t="s">
        <v>149</v>
      </c>
      <c r="E448" s="5" t="s">
        <v>150</v>
      </c>
      <c r="F448" s="5" t="s">
        <v>217</v>
      </c>
      <c r="G448" s="5" t="s">
        <v>488</v>
      </c>
      <c r="H448" s="5" t="s">
        <v>222</v>
      </c>
      <c r="I448" s="5" t="s">
        <v>1492</v>
      </c>
      <c r="J448" s="5" t="s">
        <v>250</v>
      </c>
      <c r="K448" s="5" t="s">
        <v>1120</v>
      </c>
      <c r="L448" s="5" t="s">
        <v>190</v>
      </c>
      <c r="M448" s="5" t="s">
        <v>733</v>
      </c>
      <c r="N448" s="5" t="s">
        <v>286</v>
      </c>
      <c r="O448" s="5" t="s">
        <v>933</v>
      </c>
      <c r="P448" s="18" t="str">
        <f aca="false">IF(J448="S0","—",IF(K448="","",IF(L448="E0","QM",INDEX(10_ASIL_Matrix!$D$4:$F$15,MATCH(J448&amp;"-"&amp;L448,10_ASIL_Matrix!$C$4:$C$15,0),MATCH(N448,10_ASIL_Matrix!$D$3:$F$3,0)))))</f>
        <v>B</v>
      </c>
      <c r="Q448" s="5" t="s">
        <v>448</v>
      </c>
    </row>
    <row r="449" customFormat="false" ht="46.25" hidden="false" customHeight="false" outlineLevel="0" collapsed="false">
      <c r="A449" s="6" t="s">
        <v>1493</v>
      </c>
      <c r="B449" s="6" t="s">
        <v>101</v>
      </c>
      <c r="C449" s="6" t="s">
        <v>102</v>
      </c>
      <c r="D449" s="6" t="s">
        <v>149</v>
      </c>
      <c r="E449" s="6" t="s">
        <v>150</v>
      </c>
      <c r="F449" s="6" t="s">
        <v>217</v>
      </c>
      <c r="G449" s="6" t="s">
        <v>488</v>
      </c>
      <c r="H449" s="6" t="s">
        <v>224</v>
      </c>
      <c r="I449" s="6" t="s">
        <v>1494</v>
      </c>
      <c r="J449" s="6" t="s">
        <v>250</v>
      </c>
      <c r="K449" s="6" t="s">
        <v>1120</v>
      </c>
      <c r="L449" s="6" t="s">
        <v>190</v>
      </c>
      <c r="M449" s="6" t="s">
        <v>736</v>
      </c>
      <c r="N449" s="6" t="s">
        <v>286</v>
      </c>
      <c r="O449" s="6" t="s">
        <v>933</v>
      </c>
      <c r="P449" s="18" t="str">
        <f aca="false">IF(J449="S0","—",IF(K449="","",IF(L449="E0","QM",INDEX(10_ASIL_Matrix!$D$4:$F$15,MATCH(J449&amp;"-"&amp;L449,10_ASIL_Matrix!$C$4:$C$15,0),MATCH(N449,10_ASIL_Matrix!$D$3:$F$3,0)))))</f>
        <v>B</v>
      </c>
      <c r="Q449" s="6" t="s">
        <v>448</v>
      </c>
    </row>
    <row r="450" customFormat="false" ht="46.25" hidden="false" customHeight="false" outlineLevel="0" collapsed="false">
      <c r="A450" s="5" t="s">
        <v>1495</v>
      </c>
      <c r="B450" s="5" t="s">
        <v>101</v>
      </c>
      <c r="C450" s="5" t="s">
        <v>102</v>
      </c>
      <c r="D450" s="5" t="s">
        <v>149</v>
      </c>
      <c r="E450" s="5" t="s">
        <v>150</v>
      </c>
      <c r="F450" s="5" t="s">
        <v>217</v>
      </c>
      <c r="G450" s="5" t="s">
        <v>488</v>
      </c>
      <c r="H450" s="5" t="s">
        <v>226</v>
      </c>
      <c r="I450" s="5" t="s">
        <v>1496</v>
      </c>
      <c r="J450" s="5" t="s">
        <v>250</v>
      </c>
      <c r="K450" s="5" t="s">
        <v>1120</v>
      </c>
      <c r="L450" s="5" t="s">
        <v>190</v>
      </c>
      <c r="M450" s="5" t="s">
        <v>739</v>
      </c>
      <c r="N450" s="5" t="s">
        <v>286</v>
      </c>
      <c r="O450" s="5" t="s">
        <v>933</v>
      </c>
      <c r="P450" s="18" t="str">
        <f aca="false">IF(J450="S0","—",IF(K450="","",IF(L450="E0","QM",INDEX(10_ASIL_Matrix!$D$4:$F$15,MATCH(J450&amp;"-"&amp;L450,10_ASIL_Matrix!$C$4:$C$15,0),MATCH(N450,10_ASIL_Matrix!$D$3:$F$3,0)))))</f>
        <v>B</v>
      </c>
      <c r="Q450" s="5" t="s">
        <v>448</v>
      </c>
    </row>
    <row r="451" customFormat="false" ht="46.25" hidden="false" customHeight="false" outlineLevel="0" collapsed="false">
      <c r="A451" s="6" t="s">
        <v>1497</v>
      </c>
      <c r="B451" s="6" t="s">
        <v>101</v>
      </c>
      <c r="C451" s="6" t="s">
        <v>102</v>
      </c>
      <c r="D451" s="6" t="s">
        <v>149</v>
      </c>
      <c r="E451" s="6" t="s">
        <v>150</v>
      </c>
      <c r="F451" s="6" t="s">
        <v>217</v>
      </c>
      <c r="G451" s="6" t="s">
        <v>488</v>
      </c>
      <c r="H451" s="6" t="s">
        <v>228</v>
      </c>
      <c r="I451" s="6" t="s">
        <v>1498</v>
      </c>
      <c r="J451" s="6" t="s">
        <v>250</v>
      </c>
      <c r="K451" s="6" t="s">
        <v>1120</v>
      </c>
      <c r="L451" s="6" t="s">
        <v>205</v>
      </c>
      <c r="M451" s="6" t="s">
        <v>742</v>
      </c>
      <c r="N451" s="6" t="s">
        <v>286</v>
      </c>
      <c r="O451" s="6" t="s">
        <v>933</v>
      </c>
      <c r="P451" s="19" t="str">
        <f aca="false">IF(J451="S0","—",IF(K451="","",IF(L451="E0","QM",INDEX(10_ASIL_Matrix!$D$4:$F$15,MATCH(J451&amp;"-"&amp;L451,10_ASIL_Matrix!$C$4:$C$15,0),MATCH(N451,10_ASIL_Matrix!$D$3:$F$3,0)))))</f>
        <v>A</v>
      </c>
      <c r="Q451" s="6" t="s">
        <v>448</v>
      </c>
    </row>
    <row r="452" customFormat="false" ht="57.45" hidden="false" customHeight="false" outlineLevel="0" collapsed="false">
      <c r="A452" s="5" t="s">
        <v>1499</v>
      </c>
      <c r="B452" s="5" t="s">
        <v>101</v>
      </c>
      <c r="C452" s="5" t="s">
        <v>102</v>
      </c>
      <c r="D452" s="5" t="s">
        <v>149</v>
      </c>
      <c r="E452" s="5" t="s">
        <v>150</v>
      </c>
      <c r="F452" s="5" t="s">
        <v>217</v>
      </c>
      <c r="G452" s="5" t="s">
        <v>488</v>
      </c>
      <c r="H452" s="5" t="s">
        <v>230</v>
      </c>
      <c r="I452" s="5" t="s">
        <v>1500</v>
      </c>
      <c r="J452" s="5" t="s">
        <v>250</v>
      </c>
      <c r="K452" s="5" t="s">
        <v>1120</v>
      </c>
      <c r="L452" s="5" t="s">
        <v>205</v>
      </c>
      <c r="M452" s="5" t="s">
        <v>745</v>
      </c>
      <c r="N452" s="5" t="s">
        <v>290</v>
      </c>
      <c r="O452" s="5" t="s">
        <v>942</v>
      </c>
      <c r="P452" s="18" t="str">
        <f aca="false">IF(J452="S0","—",IF(K452="","",IF(L452="E0","QM",INDEX(10_ASIL_Matrix!$D$4:$F$15,MATCH(J452&amp;"-"&amp;L452,10_ASIL_Matrix!$C$4:$C$15,0),MATCH(N452,10_ASIL_Matrix!$D$3:$F$3,0)))))</f>
        <v>B</v>
      </c>
      <c r="Q452" s="5" t="s">
        <v>448</v>
      </c>
    </row>
    <row r="453" customFormat="false" ht="46.25" hidden="false" customHeight="false" outlineLevel="0" collapsed="false">
      <c r="A453" s="6" t="s">
        <v>1501</v>
      </c>
      <c r="B453" s="6" t="s">
        <v>101</v>
      </c>
      <c r="C453" s="6" t="s">
        <v>102</v>
      </c>
      <c r="D453" s="6" t="s">
        <v>149</v>
      </c>
      <c r="E453" s="6" t="s">
        <v>150</v>
      </c>
      <c r="F453" s="6" t="s">
        <v>217</v>
      </c>
      <c r="G453" s="6" t="s">
        <v>488</v>
      </c>
      <c r="H453" s="6" t="s">
        <v>232</v>
      </c>
      <c r="I453" s="6" t="s">
        <v>1502</v>
      </c>
      <c r="J453" s="6" t="s">
        <v>250</v>
      </c>
      <c r="K453" s="6" t="s">
        <v>1120</v>
      </c>
      <c r="L453" s="6" t="s">
        <v>233</v>
      </c>
      <c r="M453" s="6" t="s">
        <v>748</v>
      </c>
      <c r="N453" s="6" t="s">
        <v>286</v>
      </c>
      <c r="O453" s="6" t="s">
        <v>933</v>
      </c>
      <c r="P453" s="6" t="str">
        <f aca="false">IF(J453="S0","—",IF(K453="","",IF(L453="E0","QM",INDEX(10_ASIL_Matrix!$D$4:$F$15,MATCH(J453&amp;"-"&amp;L453,10_ASIL_Matrix!$C$4:$C$15,0),MATCH(N453,10_ASIL_Matrix!$D$3:$F$3,0)))))</f>
        <v>QM</v>
      </c>
      <c r="Q453" s="6" t="s">
        <v>448</v>
      </c>
    </row>
    <row r="454" customFormat="false" ht="35.05" hidden="false" customHeight="false" outlineLevel="0" collapsed="false">
      <c r="A454" s="5" t="s">
        <v>1503</v>
      </c>
      <c r="B454" s="5" t="s">
        <v>101</v>
      </c>
      <c r="C454" s="5" t="s">
        <v>102</v>
      </c>
      <c r="D454" s="5" t="s">
        <v>152</v>
      </c>
      <c r="E454" s="5" t="s">
        <v>153</v>
      </c>
      <c r="F454" s="5" t="s">
        <v>186</v>
      </c>
      <c r="G454" s="5" t="s">
        <v>443</v>
      </c>
      <c r="H454" s="5" t="s">
        <v>222</v>
      </c>
      <c r="I454" s="5" t="s">
        <v>1504</v>
      </c>
      <c r="J454" s="5" t="s">
        <v>250</v>
      </c>
      <c r="K454" s="5" t="s">
        <v>445</v>
      </c>
      <c r="L454" s="5" t="s">
        <v>187</v>
      </c>
      <c r="M454" s="5" t="s">
        <v>446</v>
      </c>
      <c r="N454" s="5" t="s">
        <v>282</v>
      </c>
      <c r="O454" s="5" t="s">
        <v>447</v>
      </c>
      <c r="P454" s="18" t="str">
        <f aca="false">IF(J454="S0","—",IF(K454="","",IF(L454="E0","QM",INDEX(10_ASIL_Matrix!$D$4:$F$15,MATCH(J454&amp;"-"&amp;L454,10_ASIL_Matrix!$C$4:$C$15,0),MATCH(N454,10_ASIL_Matrix!$D$3:$F$3,0)))))</f>
        <v>B</v>
      </c>
      <c r="Q454" s="5" t="s">
        <v>448</v>
      </c>
    </row>
    <row r="455" customFormat="false" ht="35.05" hidden="false" customHeight="false" outlineLevel="0" collapsed="false">
      <c r="A455" s="6" t="s">
        <v>1505</v>
      </c>
      <c r="B455" s="6" t="s">
        <v>101</v>
      </c>
      <c r="C455" s="6" t="s">
        <v>102</v>
      </c>
      <c r="D455" s="6" t="s">
        <v>152</v>
      </c>
      <c r="E455" s="6" t="s">
        <v>153</v>
      </c>
      <c r="F455" s="6" t="s">
        <v>186</v>
      </c>
      <c r="G455" s="6" t="s">
        <v>443</v>
      </c>
      <c r="H455" s="6" t="s">
        <v>224</v>
      </c>
      <c r="I455" s="6" t="s">
        <v>1506</v>
      </c>
      <c r="J455" s="6" t="s">
        <v>250</v>
      </c>
      <c r="K455" s="6" t="s">
        <v>445</v>
      </c>
      <c r="L455" s="6" t="s">
        <v>190</v>
      </c>
      <c r="M455" s="6" t="s">
        <v>451</v>
      </c>
      <c r="N455" s="6" t="s">
        <v>282</v>
      </c>
      <c r="O455" s="6" t="s">
        <v>447</v>
      </c>
      <c r="P455" s="19" t="str">
        <f aca="false">IF(J455="S0","—",IF(K455="","",IF(L455="E0","QM",INDEX(10_ASIL_Matrix!$D$4:$F$15,MATCH(J455&amp;"-"&amp;L455,10_ASIL_Matrix!$C$4:$C$15,0),MATCH(N455,10_ASIL_Matrix!$D$3:$F$3,0)))))</f>
        <v>A</v>
      </c>
      <c r="Q455" s="6" t="s">
        <v>448</v>
      </c>
    </row>
    <row r="456" customFormat="false" ht="35.05" hidden="false" customHeight="false" outlineLevel="0" collapsed="false">
      <c r="A456" s="5" t="s">
        <v>1507</v>
      </c>
      <c r="B456" s="5" t="s">
        <v>101</v>
      </c>
      <c r="C456" s="5" t="s">
        <v>102</v>
      </c>
      <c r="D456" s="5" t="s">
        <v>152</v>
      </c>
      <c r="E456" s="5" t="s">
        <v>153</v>
      </c>
      <c r="F456" s="5" t="s">
        <v>186</v>
      </c>
      <c r="G456" s="5" t="s">
        <v>443</v>
      </c>
      <c r="H456" s="5" t="s">
        <v>226</v>
      </c>
      <c r="I456" s="5" t="s">
        <v>1508</v>
      </c>
      <c r="J456" s="5" t="s">
        <v>250</v>
      </c>
      <c r="K456" s="5" t="s">
        <v>445</v>
      </c>
      <c r="L456" s="5" t="s">
        <v>190</v>
      </c>
      <c r="M456" s="5" t="s">
        <v>454</v>
      </c>
      <c r="N456" s="5" t="s">
        <v>282</v>
      </c>
      <c r="O456" s="5" t="s">
        <v>447</v>
      </c>
      <c r="P456" s="19" t="str">
        <f aca="false">IF(J456="S0","—",IF(K456="","",IF(L456="E0","QM",INDEX(10_ASIL_Matrix!$D$4:$F$15,MATCH(J456&amp;"-"&amp;L456,10_ASIL_Matrix!$C$4:$C$15,0),MATCH(N456,10_ASIL_Matrix!$D$3:$F$3,0)))))</f>
        <v>A</v>
      </c>
      <c r="Q456" s="5" t="s">
        <v>448</v>
      </c>
    </row>
    <row r="457" customFormat="false" ht="35.05" hidden="false" customHeight="false" outlineLevel="0" collapsed="false">
      <c r="A457" s="6" t="s">
        <v>1509</v>
      </c>
      <c r="B457" s="6" t="s">
        <v>101</v>
      </c>
      <c r="C457" s="6" t="s">
        <v>102</v>
      </c>
      <c r="D457" s="6" t="s">
        <v>152</v>
      </c>
      <c r="E457" s="6" t="s">
        <v>153</v>
      </c>
      <c r="F457" s="6" t="s">
        <v>186</v>
      </c>
      <c r="G457" s="6" t="s">
        <v>443</v>
      </c>
      <c r="H457" s="6" t="s">
        <v>228</v>
      </c>
      <c r="I457" s="6" t="s">
        <v>1510</v>
      </c>
      <c r="J457" s="6" t="s">
        <v>250</v>
      </c>
      <c r="K457" s="6" t="s">
        <v>445</v>
      </c>
      <c r="L457" s="6" t="s">
        <v>205</v>
      </c>
      <c r="M457" s="6" t="s">
        <v>457</v>
      </c>
      <c r="N457" s="6" t="s">
        <v>282</v>
      </c>
      <c r="O457" s="6" t="s">
        <v>447</v>
      </c>
      <c r="P457" s="6" t="str">
        <f aca="false">IF(J457="S0","—",IF(K457="","",IF(L457="E0","QM",INDEX(10_ASIL_Matrix!$D$4:$F$15,MATCH(J457&amp;"-"&amp;L457,10_ASIL_Matrix!$C$4:$C$15,0),MATCH(N457,10_ASIL_Matrix!$D$3:$F$3,0)))))</f>
        <v>QM</v>
      </c>
      <c r="Q457" s="6" t="s">
        <v>448</v>
      </c>
    </row>
    <row r="458" customFormat="false" ht="35.05" hidden="false" customHeight="false" outlineLevel="0" collapsed="false">
      <c r="A458" s="5" t="s">
        <v>1511</v>
      </c>
      <c r="B458" s="5" t="s">
        <v>101</v>
      </c>
      <c r="C458" s="5" t="s">
        <v>102</v>
      </c>
      <c r="D458" s="5" t="s">
        <v>152</v>
      </c>
      <c r="E458" s="5" t="s">
        <v>153</v>
      </c>
      <c r="F458" s="5" t="s">
        <v>186</v>
      </c>
      <c r="G458" s="5" t="s">
        <v>443</v>
      </c>
      <c r="H458" s="5" t="s">
        <v>230</v>
      </c>
      <c r="I458" s="5" t="s">
        <v>1512</v>
      </c>
      <c r="J458" s="5" t="s">
        <v>250</v>
      </c>
      <c r="K458" s="5" t="s">
        <v>445</v>
      </c>
      <c r="L458" s="5" t="s">
        <v>205</v>
      </c>
      <c r="M458" s="5" t="s">
        <v>460</v>
      </c>
      <c r="N458" s="5" t="s">
        <v>286</v>
      </c>
      <c r="O458" s="5" t="s">
        <v>461</v>
      </c>
      <c r="P458" s="19" t="str">
        <f aca="false">IF(J458="S0","—",IF(K458="","",IF(L458="E0","QM",INDEX(10_ASIL_Matrix!$D$4:$F$15,MATCH(J458&amp;"-"&amp;L458,10_ASIL_Matrix!$C$4:$C$15,0),MATCH(N458,10_ASIL_Matrix!$D$3:$F$3,0)))))</f>
        <v>A</v>
      </c>
      <c r="Q458" s="5" t="s">
        <v>448</v>
      </c>
    </row>
    <row r="459" customFormat="false" ht="46.25" hidden="false" customHeight="false" outlineLevel="0" collapsed="false">
      <c r="A459" s="6" t="s">
        <v>1513</v>
      </c>
      <c r="B459" s="6" t="s">
        <v>101</v>
      </c>
      <c r="C459" s="6" t="s">
        <v>102</v>
      </c>
      <c r="D459" s="6" t="s">
        <v>152</v>
      </c>
      <c r="E459" s="6" t="s">
        <v>153</v>
      </c>
      <c r="F459" s="6" t="s">
        <v>186</v>
      </c>
      <c r="G459" s="6" t="s">
        <v>443</v>
      </c>
      <c r="H459" s="6" t="s">
        <v>232</v>
      </c>
      <c r="I459" s="6" t="s">
        <v>1514</v>
      </c>
      <c r="J459" s="6" t="s">
        <v>250</v>
      </c>
      <c r="K459" s="6" t="s">
        <v>445</v>
      </c>
      <c r="L459" s="6" t="s">
        <v>233</v>
      </c>
      <c r="M459" s="6" t="s">
        <v>464</v>
      </c>
      <c r="N459" s="6" t="s">
        <v>282</v>
      </c>
      <c r="O459" s="6" t="s">
        <v>447</v>
      </c>
      <c r="P459" s="6" t="str">
        <f aca="false">IF(J459="S0","—",IF(K459="","",IF(L459="E0","QM",INDEX(10_ASIL_Matrix!$D$4:$F$15,MATCH(J459&amp;"-"&amp;L459,10_ASIL_Matrix!$C$4:$C$15,0),MATCH(N459,10_ASIL_Matrix!$D$3:$F$3,0)))))</f>
        <v>QM</v>
      </c>
      <c r="Q459" s="6" t="s">
        <v>448</v>
      </c>
    </row>
    <row r="460" customFormat="false" ht="35.05" hidden="false" customHeight="false" outlineLevel="0" collapsed="false">
      <c r="A460" s="5" t="s">
        <v>1515</v>
      </c>
      <c r="B460" s="5" t="s">
        <v>101</v>
      </c>
      <c r="C460" s="5" t="s">
        <v>102</v>
      </c>
      <c r="D460" s="5" t="s">
        <v>152</v>
      </c>
      <c r="E460" s="5" t="s">
        <v>153</v>
      </c>
      <c r="F460" s="5" t="s">
        <v>189</v>
      </c>
      <c r="G460" s="5" t="s">
        <v>466</v>
      </c>
      <c r="H460" s="5" t="s">
        <v>222</v>
      </c>
      <c r="I460" s="5" t="s">
        <v>1516</v>
      </c>
      <c r="J460" s="5" t="s">
        <v>250</v>
      </c>
      <c r="K460" s="5" t="s">
        <v>468</v>
      </c>
      <c r="L460" s="5" t="s">
        <v>190</v>
      </c>
      <c r="M460" s="5" t="s">
        <v>469</v>
      </c>
      <c r="N460" s="5" t="s">
        <v>286</v>
      </c>
      <c r="O460" s="5" t="s">
        <v>470</v>
      </c>
      <c r="P460" s="18" t="str">
        <f aca="false">IF(J460="S0","—",IF(K460="","",IF(L460="E0","QM",INDEX(10_ASIL_Matrix!$D$4:$F$15,MATCH(J460&amp;"-"&amp;L460,10_ASIL_Matrix!$C$4:$C$15,0),MATCH(N460,10_ASIL_Matrix!$D$3:$F$3,0)))))</f>
        <v>B</v>
      </c>
      <c r="Q460" s="5" t="s">
        <v>448</v>
      </c>
    </row>
    <row r="461" customFormat="false" ht="35.05" hidden="false" customHeight="false" outlineLevel="0" collapsed="false">
      <c r="A461" s="6" t="s">
        <v>1517</v>
      </c>
      <c r="B461" s="6" t="s">
        <v>101</v>
      </c>
      <c r="C461" s="6" t="s">
        <v>102</v>
      </c>
      <c r="D461" s="6" t="s">
        <v>152</v>
      </c>
      <c r="E461" s="6" t="s">
        <v>153</v>
      </c>
      <c r="F461" s="6" t="s">
        <v>189</v>
      </c>
      <c r="G461" s="6" t="s">
        <v>466</v>
      </c>
      <c r="H461" s="6" t="s">
        <v>224</v>
      </c>
      <c r="I461" s="6" t="s">
        <v>1518</v>
      </c>
      <c r="J461" s="6" t="s">
        <v>250</v>
      </c>
      <c r="K461" s="6" t="s">
        <v>468</v>
      </c>
      <c r="L461" s="6" t="s">
        <v>190</v>
      </c>
      <c r="M461" s="6" t="s">
        <v>473</v>
      </c>
      <c r="N461" s="6" t="s">
        <v>286</v>
      </c>
      <c r="O461" s="6" t="s">
        <v>470</v>
      </c>
      <c r="P461" s="18" t="str">
        <f aca="false">IF(J461="S0","—",IF(K461="","",IF(L461="E0","QM",INDEX(10_ASIL_Matrix!$D$4:$F$15,MATCH(J461&amp;"-"&amp;L461,10_ASIL_Matrix!$C$4:$C$15,0),MATCH(N461,10_ASIL_Matrix!$D$3:$F$3,0)))))</f>
        <v>B</v>
      </c>
      <c r="Q461" s="6" t="s">
        <v>448</v>
      </c>
    </row>
    <row r="462" customFormat="false" ht="35.05" hidden="false" customHeight="false" outlineLevel="0" collapsed="false">
      <c r="A462" s="5" t="s">
        <v>1519</v>
      </c>
      <c r="B462" s="5" t="s">
        <v>101</v>
      </c>
      <c r="C462" s="5" t="s">
        <v>102</v>
      </c>
      <c r="D462" s="5" t="s">
        <v>152</v>
      </c>
      <c r="E462" s="5" t="s">
        <v>153</v>
      </c>
      <c r="F462" s="5" t="s">
        <v>189</v>
      </c>
      <c r="G462" s="5" t="s">
        <v>466</v>
      </c>
      <c r="H462" s="5" t="s">
        <v>226</v>
      </c>
      <c r="I462" s="5" t="s">
        <v>1520</v>
      </c>
      <c r="J462" s="5" t="s">
        <v>250</v>
      </c>
      <c r="K462" s="5" t="s">
        <v>468</v>
      </c>
      <c r="L462" s="5" t="s">
        <v>190</v>
      </c>
      <c r="M462" s="5" t="s">
        <v>476</v>
      </c>
      <c r="N462" s="5" t="s">
        <v>286</v>
      </c>
      <c r="O462" s="5" t="s">
        <v>470</v>
      </c>
      <c r="P462" s="18" t="str">
        <f aca="false">IF(J462="S0","—",IF(K462="","",IF(L462="E0","QM",INDEX(10_ASIL_Matrix!$D$4:$F$15,MATCH(J462&amp;"-"&amp;L462,10_ASIL_Matrix!$C$4:$C$15,0),MATCH(N462,10_ASIL_Matrix!$D$3:$F$3,0)))))</f>
        <v>B</v>
      </c>
      <c r="Q462" s="5" t="s">
        <v>448</v>
      </c>
    </row>
    <row r="463" customFormat="false" ht="35.05" hidden="false" customHeight="false" outlineLevel="0" collapsed="false">
      <c r="A463" s="6" t="s">
        <v>1521</v>
      </c>
      <c r="B463" s="6" t="s">
        <v>101</v>
      </c>
      <c r="C463" s="6" t="s">
        <v>102</v>
      </c>
      <c r="D463" s="6" t="s">
        <v>152</v>
      </c>
      <c r="E463" s="6" t="s">
        <v>153</v>
      </c>
      <c r="F463" s="6" t="s">
        <v>189</v>
      </c>
      <c r="G463" s="6" t="s">
        <v>466</v>
      </c>
      <c r="H463" s="6" t="s">
        <v>228</v>
      </c>
      <c r="I463" s="6" t="s">
        <v>1522</v>
      </c>
      <c r="J463" s="6" t="s">
        <v>250</v>
      </c>
      <c r="K463" s="6" t="s">
        <v>468</v>
      </c>
      <c r="L463" s="6" t="s">
        <v>205</v>
      </c>
      <c r="M463" s="6" t="s">
        <v>479</v>
      </c>
      <c r="N463" s="6" t="s">
        <v>286</v>
      </c>
      <c r="O463" s="6" t="s">
        <v>470</v>
      </c>
      <c r="P463" s="19" t="str">
        <f aca="false">IF(J463="S0","—",IF(K463="","",IF(L463="E0","QM",INDEX(10_ASIL_Matrix!$D$4:$F$15,MATCH(J463&amp;"-"&amp;L463,10_ASIL_Matrix!$C$4:$C$15,0),MATCH(N463,10_ASIL_Matrix!$D$3:$F$3,0)))))</f>
        <v>A</v>
      </c>
      <c r="Q463" s="6" t="s">
        <v>448</v>
      </c>
    </row>
    <row r="464" customFormat="false" ht="46.25" hidden="false" customHeight="false" outlineLevel="0" collapsed="false">
      <c r="A464" s="5" t="s">
        <v>1523</v>
      </c>
      <c r="B464" s="5" t="s">
        <v>101</v>
      </c>
      <c r="C464" s="5" t="s">
        <v>102</v>
      </c>
      <c r="D464" s="5" t="s">
        <v>152</v>
      </c>
      <c r="E464" s="5" t="s">
        <v>153</v>
      </c>
      <c r="F464" s="5" t="s">
        <v>189</v>
      </c>
      <c r="G464" s="5" t="s">
        <v>466</v>
      </c>
      <c r="H464" s="5" t="s">
        <v>230</v>
      </c>
      <c r="I464" s="5" t="s">
        <v>1524</v>
      </c>
      <c r="J464" s="5" t="s">
        <v>250</v>
      </c>
      <c r="K464" s="5" t="s">
        <v>468</v>
      </c>
      <c r="L464" s="5" t="s">
        <v>205</v>
      </c>
      <c r="M464" s="5" t="s">
        <v>482</v>
      </c>
      <c r="N464" s="5" t="s">
        <v>290</v>
      </c>
      <c r="O464" s="5" t="s">
        <v>483</v>
      </c>
      <c r="P464" s="18" t="str">
        <f aca="false">IF(J464="S0","—",IF(K464="","",IF(L464="E0","QM",INDEX(10_ASIL_Matrix!$D$4:$F$15,MATCH(J464&amp;"-"&amp;L464,10_ASIL_Matrix!$C$4:$C$15,0),MATCH(N464,10_ASIL_Matrix!$D$3:$F$3,0)))))</f>
        <v>B</v>
      </c>
      <c r="Q464" s="5" t="s">
        <v>448</v>
      </c>
    </row>
    <row r="465" customFormat="false" ht="46.25" hidden="false" customHeight="false" outlineLevel="0" collapsed="false">
      <c r="A465" s="6" t="s">
        <v>1525</v>
      </c>
      <c r="B465" s="6" t="s">
        <v>101</v>
      </c>
      <c r="C465" s="6" t="s">
        <v>102</v>
      </c>
      <c r="D465" s="6" t="s">
        <v>152</v>
      </c>
      <c r="E465" s="6" t="s">
        <v>153</v>
      </c>
      <c r="F465" s="6" t="s">
        <v>189</v>
      </c>
      <c r="G465" s="6" t="s">
        <v>466</v>
      </c>
      <c r="H465" s="6" t="s">
        <v>232</v>
      </c>
      <c r="I465" s="6" t="s">
        <v>1526</v>
      </c>
      <c r="J465" s="6" t="s">
        <v>250</v>
      </c>
      <c r="K465" s="6" t="s">
        <v>468</v>
      </c>
      <c r="L465" s="6" t="s">
        <v>233</v>
      </c>
      <c r="M465" s="6" t="s">
        <v>486</v>
      </c>
      <c r="N465" s="6" t="s">
        <v>286</v>
      </c>
      <c r="O465" s="6" t="s">
        <v>470</v>
      </c>
      <c r="P465" s="6" t="str">
        <f aca="false">IF(J465="S0","—",IF(K465="","",IF(L465="E0","QM",INDEX(10_ASIL_Matrix!$D$4:$F$15,MATCH(J465&amp;"-"&amp;L465,10_ASIL_Matrix!$C$4:$C$15,0),MATCH(N465,10_ASIL_Matrix!$D$3:$F$3,0)))))</f>
        <v>QM</v>
      </c>
      <c r="Q465" s="6" t="s">
        <v>448</v>
      </c>
    </row>
    <row r="466" customFormat="false" ht="35.05" hidden="false" customHeight="false" outlineLevel="0" collapsed="false">
      <c r="A466" s="5" t="s">
        <v>1527</v>
      </c>
      <c r="B466" s="5" t="s">
        <v>101</v>
      </c>
      <c r="C466" s="5" t="s">
        <v>102</v>
      </c>
      <c r="D466" s="5" t="s">
        <v>152</v>
      </c>
      <c r="E466" s="5" t="s">
        <v>153</v>
      </c>
      <c r="F466" s="5" t="s">
        <v>192</v>
      </c>
      <c r="G466" s="5" t="s">
        <v>488</v>
      </c>
      <c r="H466" s="5" t="s">
        <v>222</v>
      </c>
      <c r="I466" s="5" t="s">
        <v>1528</v>
      </c>
      <c r="J466" s="5" t="s">
        <v>250</v>
      </c>
      <c r="K466" s="5" t="s">
        <v>490</v>
      </c>
      <c r="L466" s="5" t="s">
        <v>187</v>
      </c>
      <c r="M466" s="5" t="s">
        <v>491</v>
      </c>
      <c r="N466" s="5" t="s">
        <v>282</v>
      </c>
      <c r="O466" s="5" t="s">
        <v>447</v>
      </c>
      <c r="P466" s="18" t="str">
        <f aca="false">IF(J466="S0","—",IF(K466="","",IF(L466="E0","QM",INDEX(10_ASIL_Matrix!$D$4:$F$15,MATCH(J466&amp;"-"&amp;L466,10_ASIL_Matrix!$C$4:$C$15,0),MATCH(N466,10_ASIL_Matrix!$D$3:$F$3,0)))))</f>
        <v>B</v>
      </c>
      <c r="Q466" s="5" t="s">
        <v>448</v>
      </c>
    </row>
    <row r="467" customFormat="false" ht="35.05" hidden="false" customHeight="false" outlineLevel="0" collapsed="false">
      <c r="A467" s="6" t="s">
        <v>1529</v>
      </c>
      <c r="B467" s="6" t="s">
        <v>101</v>
      </c>
      <c r="C467" s="6" t="s">
        <v>102</v>
      </c>
      <c r="D467" s="6" t="s">
        <v>152</v>
      </c>
      <c r="E467" s="6" t="s">
        <v>153</v>
      </c>
      <c r="F467" s="6" t="s">
        <v>192</v>
      </c>
      <c r="G467" s="6" t="s">
        <v>488</v>
      </c>
      <c r="H467" s="6" t="s">
        <v>224</v>
      </c>
      <c r="I467" s="6" t="s">
        <v>1530</v>
      </c>
      <c r="J467" s="6" t="s">
        <v>250</v>
      </c>
      <c r="K467" s="6" t="s">
        <v>490</v>
      </c>
      <c r="L467" s="6" t="s">
        <v>190</v>
      </c>
      <c r="M467" s="6" t="s">
        <v>494</v>
      </c>
      <c r="N467" s="6" t="s">
        <v>282</v>
      </c>
      <c r="O467" s="6" t="s">
        <v>447</v>
      </c>
      <c r="P467" s="19" t="str">
        <f aca="false">IF(J467="S0","—",IF(K467="","",IF(L467="E0","QM",INDEX(10_ASIL_Matrix!$D$4:$F$15,MATCH(J467&amp;"-"&amp;L467,10_ASIL_Matrix!$C$4:$C$15,0),MATCH(N467,10_ASIL_Matrix!$D$3:$F$3,0)))))</f>
        <v>A</v>
      </c>
      <c r="Q467" s="6" t="s">
        <v>448</v>
      </c>
    </row>
    <row r="468" customFormat="false" ht="35.05" hidden="false" customHeight="false" outlineLevel="0" collapsed="false">
      <c r="A468" s="5" t="s">
        <v>1531</v>
      </c>
      <c r="B468" s="5" t="s">
        <v>101</v>
      </c>
      <c r="C468" s="5" t="s">
        <v>102</v>
      </c>
      <c r="D468" s="5" t="s">
        <v>152</v>
      </c>
      <c r="E468" s="5" t="s">
        <v>153</v>
      </c>
      <c r="F468" s="5" t="s">
        <v>192</v>
      </c>
      <c r="G468" s="5" t="s">
        <v>488</v>
      </c>
      <c r="H468" s="5" t="s">
        <v>226</v>
      </c>
      <c r="I468" s="5" t="s">
        <v>1532</v>
      </c>
      <c r="J468" s="5" t="s">
        <v>250</v>
      </c>
      <c r="K468" s="5" t="s">
        <v>490</v>
      </c>
      <c r="L468" s="5" t="s">
        <v>190</v>
      </c>
      <c r="M468" s="5" t="s">
        <v>497</v>
      </c>
      <c r="N468" s="5" t="s">
        <v>282</v>
      </c>
      <c r="O468" s="5" t="s">
        <v>447</v>
      </c>
      <c r="P468" s="19" t="str">
        <f aca="false">IF(J468="S0","—",IF(K468="","",IF(L468="E0","QM",INDEX(10_ASIL_Matrix!$D$4:$F$15,MATCH(J468&amp;"-"&amp;L468,10_ASIL_Matrix!$C$4:$C$15,0),MATCH(N468,10_ASIL_Matrix!$D$3:$F$3,0)))))</f>
        <v>A</v>
      </c>
      <c r="Q468" s="5" t="s">
        <v>448</v>
      </c>
    </row>
    <row r="469" customFormat="false" ht="35.05" hidden="false" customHeight="false" outlineLevel="0" collapsed="false">
      <c r="A469" s="6" t="s">
        <v>1533</v>
      </c>
      <c r="B469" s="6" t="s">
        <v>101</v>
      </c>
      <c r="C469" s="6" t="s">
        <v>102</v>
      </c>
      <c r="D469" s="6" t="s">
        <v>152</v>
      </c>
      <c r="E469" s="6" t="s">
        <v>153</v>
      </c>
      <c r="F469" s="6" t="s">
        <v>192</v>
      </c>
      <c r="G469" s="6" t="s">
        <v>488</v>
      </c>
      <c r="H469" s="6" t="s">
        <v>228</v>
      </c>
      <c r="I469" s="6" t="s">
        <v>1534</v>
      </c>
      <c r="J469" s="6" t="s">
        <v>250</v>
      </c>
      <c r="K469" s="6" t="s">
        <v>490</v>
      </c>
      <c r="L469" s="6" t="s">
        <v>205</v>
      </c>
      <c r="M469" s="6" t="s">
        <v>500</v>
      </c>
      <c r="N469" s="6" t="s">
        <v>282</v>
      </c>
      <c r="O469" s="6" t="s">
        <v>447</v>
      </c>
      <c r="P469" s="6" t="str">
        <f aca="false">IF(J469="S0","—",IF(K469="","",IF(L469="E0","QM",INDEX(10_ASIL_Matrix!$D$4:$F$15,MATCH(J469&amp;"-"&amp;L469,10_ASIL_Matrix!$C$4:$C$15,0),MATCH(N469,10_ASIL_Matrix!$D$3:$F$3,0)))))</f>
        <v>QM</v>
      </c>
      <c r="Q469" s="6" t="s">
        <v>448</v>
      </c>
    </row>
    <row r="470" customFormat="false" ht="35.05" hidden="false" customHeight="false" outlineLevel="0" collapsed="false">
      <c r="A470" s="5" t="s">
        <v>1535</v>
      </c>
      <c r="B470" s="5" t="s">
        <v>101</v>
      </c>
      <c r="C470" s="5" t="s">
        <v>102</v>
      </c>
      <c r="D470" s="5" t="s">
        <v>152</v>
      </c>
      <c r="E470" s="5" t="s">
        <v>153</v>
      </c>
      <c r="F470" s="5" t="s">
        <v>192</v>
      </c>
      <c r="G470" s="5" t="s">
        <v>488</v>
      </c>
      <c r="H470" s="5" t="s">
        <v>230</v>
      </c>
      <c r="I470" s="5" t="s">
        <v>1536</v>
      </c>
      <c r="J470" s="5" t="s">
        <v>250</v>
      </c>
      <c r="K470" s="5" t="s">
        <v>490</v>
      </c>
      <c r="L470" s="5" t="s">
        <v>205</v>
      </c>
      <c r="M470" s="5" t="s">
        <v>503</v>
      </c>
      <c r="N470" s="5" t="s">
        <v>286</v>
      </c>
      <c r="O470" s="5" t="s">
        <v>461</v>
      </c>
      <c r="P470" s="19" t="str">
        <f aca="false">IF(J470="S0","—",IF(K470="","",IF(L470="E0","QM",INDEX(10_ASIL_Matrix!$D$4:$F$15,MATCH(J470&amp;"-"&amp;L470,10_ASIL_Matrix!$C$4:$C$15,0),MATCH(N470,10_ASIL_Matrix!$D$3:$F$3,0)))))</f>
        <v>A</v>
      </c>
      <c r="Q470" s="5" t="s">
        <v>448</v>
      </c>
    </row>
    <row r="471" customFormat="false" ht="46.25" hidden="false" customHeight="false" outlineLevel="0" collapsed="false">
      <c r="A471" s="6" t="s">
        <v>1537</v>
      </c>
      <c r="B471" s="6" t="s">
        <v>101</v>
      </c>
      <c r="C471" s="6" t="s">
        <v>102</v>
      </c>
      <c r="D471" s="6" t="s">
        <v>152</v>
      </c>
      <c r="E471" s="6" t="s">
        <v>153</v>
      </c>
      <c r="F471" s="6" t="s">
        <v>192</v>
      </c>
      <c r="G471" s="6" t="s">
        <v>488</v>
      </c>
      <c r="H471" s="6" t="s">
        <v>232</v>
      </c>
      <c r="I471" s="6" t="s">
        <v>1538</v>
      </c>
      <c r="J471" s="6" t="s">
        <v>250</v>
      </c>
      <c r="K471" s="6" t="s">
        <v>490</v>
      </c>
      <c r="L471" s="6" t="s">
        <v>233</v>
      </c>
      <c r="M471" s="6" t="s">
        <v>506</v>
      </c>
      <c r="N471" s="6" t="s">
        <v>282</v>
      </c>
      <c r="O471" s="6" t="s">
        <v>447</v>
      </c>
      <c r="P471" s="6" t="str">
        <f aca="false">IF(J471="S0","—",IF(K471="","",IF(L471="E0","QM",INDEX(10_ASIL_Matrix!$D$4:$F$15,MATCH(J471&amp;"-"&amp;L471,10_ASIL_Matrix!$C$4:$C$15,0),MATCH(N471,10_ASIL_Matrix!$D$3:$F$3,0)))))</f>
        <v>QM</v>
      </c>
      <c r="Q471" s="6" t="s">
        <v>448</v>
      </c>
    </row>
    <row r="472" customFormat="false" ht="35.05" hidden="false" customHeight="false" outlineLevel="0" collapsed="false">
      <c r="A472" s="5" t="s">
        <v>1539</v>
      </c>
      <c r="B472" s="5" t="s">
        <v>101</v>
      </c>
      <c r="C472" s="5" t="s">
        <v>102</v>
      </c>
      <c r="D472" s="5" t="s">
        <v>152</v>
      </c>
      <c r="E472" s="5" t="s">
        <v>153</v>
      </c>
      <c r="F472" s="5" t="s">
        <v>194</v>
      </c>
      <c r="G472" s="5" t="s">
        <v>508</v>
      </c>
      <c r="H472" s="5" t="s">
        <v>222</v>
      </c>
      <c r="I472" s="5" t="s">
        <v>1540</v>
      </c>
      <c r="J472" s="5" t="s">
        <v>250</v>
      </c>
      <c r="K472" s="5" t="s">
        <v>510</v>
      </c>
      <c r="L472" s="5" t="s">
        <v>190</v>
      </c>
      <c r="M472" s="5" t="s">
        <v>511</v>
      </c>
      <c r="N472" s="5" t="s">
        <v>282</v>
      </c>
      <c r="O472" s="5" t="s">
        <v>447</v>
      </c>
      <c r="P472" s="19" t="str">
        <f aca="false">IF(J472="S0","—",IF(K472="","",IF(L472="E0","QM",INDEX(10_ASIL_Matrix!$D$4:$F$15,MATCH(J472&amp;"-"&amp;L472,10_ASIL_Matrix!$C$4:$C$15,0),MATCH(N472,10_ASIL_Matrix!$D$3:$F$3,0)))))</f>
        <v>A</v>
      </c>
      <c r="Q472" s="5" t="s">
        <v>448</v>
      </c>
    </row>
    <row r="473" customFormat="false" ht="35.05" hidden="false" customHeight="false" outlineLevel="0" collapsed="false">
      <c r="A473" s="6" t="s">
        <v>1541</v>
      </c>
      <c r="B473" s="6" t="s">
        <v>101</v>
      </c>
      <c r="C473" s="6" t="s">
        <v>102</v>
      </c>
      <c r="D473" s="6" t="s">
        <v>152</v>
      </c>
      <c r="E473" s="6" t="s">
        <v>153</v>
      </c>
      <c r="F473" s="6" t="s">
        <v>194</v>
      </c>
      <c r="G473" s="6" t="s">
        <v>508</v>
      </c>
      <c r="H473" s="6" t="s">
        <v>224</v>
      </c>
      <c r="I473" s="6" t="s">
        <v>1542</v>
      </c>
      <c r="J473" s="6" t="s">
        <v>250</v>
      </c>
      <c r="K473" s="6" t="s">
        <v>510</v>
      </c>
      <c r="L473" s="6" t="s">
        <v>190</v>
      </c>
      <c r="M473" s="6" t="s">
        <v>514</v>
      </c>
      <c r="N473" s="6" t="s">
        <v>282</v>
      </c>
      <c r="O473" s="6" t="s">
        <v>447</v>
      </c>
      <c r="P473" s="19" t="str">
        <f aca="false">IF(J473="S0","—",IF(K473="","",IF(L473="E0","QM",INDEX(10_ASIL_Matrix!$D$4:$F$15,MATCH(J473&amp;"-"&amp;L473,10_ASIL_Matrix!$C$4:$C$15,0),MATCH(N473,10_ASIL_Matrix!$D$3:$F$3,0)))))</f>
        <v>A</v>
      </c>
      <c r="Q473" s="6" t="s">
        <v>448</v>
      </c>
    </row>
    <row r="474" customFormat="false" ht="35.05" hidden="false" customHeight="false" outlineLevel="0" collapsed="false">
      <c r="A474" s="5" t="s">
        <v>1543</v>
      </c>
      <c r="B474" s="5" t="s">
        <v>101</v>
      </c>
      <c r="C474" s="5" t="s">
        <v>102</v>
      </c>
      <c r="D474" s="5" t="s">
        <v>152</v>
      </c>
      <c r="E474" s="5" t="s">
        <v>153</v>
      </c>
      <c r="F474" s="5" t="s">
        <v>194</v>
      </c>
      <c r="G474" s="5" t="s">
        <v>508</v>
      </c>
      <c r="H474" s="5" t="s">
        <v>226</v>
      </c>
      <c r="I474" s="5" t="s">
        <v>1544</v>
      </c>
      <c r="J474" s="5" t="s">
        <v>250</v>
      </c>
      <c r="K474" s="5" t="s">
        <v>510</v>
      </c>
      <c r="L474" s="5" t="s">
        <v>190</v>
      </c>
      <c r="M474" s="5" t="s">
        <v>517</v>
      </c>
      <c r="N474" s="5" t="s">
        <v>282</v>
      </c>
      <c r="O474" s="5" t="s">
        <v>447</v>
      </c>
      <c r="P474" s="19" t="str">
        <f aca="false">IF(J474="S0","—",IF(K474="","",IF(L474="E0","QM",INDEX(10_ASIL_Matrix!$D$4:$F$15,MATCH(J474&amp;"-"&amp;L474,10_ASIL_Matrix!$C$4:$C$15,0),MATCH(N474,10_ASIL_Matrix!$D$3:$F$3,0)))))</f>
        <v>A</v>
      </c>
      <c r="Q474" s="5" t="s">
        <v>448</v>
      </c>
    </row>
    <row r="475" customFormat="false" ht="35.05" hidden="false" customHeight="false" outlineLevel="0" collapsed="false">
      <c r="A475" s="6" t="s">
        <v>1545</v>
      </c>
      <c r="B475" s="6" t="s">
        <v>101</v>
      </c>
      <c r="C475" s="6" t="s">
        <v>102</v>
      </c>
      <c r="D475" s="6" t="s">
        <v>152</v>
      </c>
      <c r="E475" s="6" t="s">
        <v>153</v>
      </c>
      <c r="F475" s="6" t="s">
        <v>194</v>
      </c>
      <c r="G475" s="6" t="s">
        <v>508</v>
      </c>
      <c r="H475" s="6" t="s">
        <v>228</v>
      </c>
      <c r="I475" s="6" t="s">
        <v>1546</v>
      </c>
      <c r="J475" s="6" t="s">
        <v>250</v>
      </c>
      <c r="K475" s="6" t="s">
        <v>510</v>
      </c>
      <c r="L475" s="6" t="s">
        <v>205</v>
      </c>
      <c r="M475" s="6" t="s">
        <v>520</v>
      </c>
      <c r="N475" s="6" t="s">
        <v>282</v>
      </c>
      <c r="O475" s="6" t="s">
        <v>447</v>
      </c>
      <c r="P475" s="6" t="str">
        <f aca="false">IF(J475="S0","—",IF(K475="","",IF(L475="E0","QM",INDEX(10_ASIL_Matrix!$D$4:$F$15,MATCH(J475&amp;"-"&amp;L475,10_ASIL_Matrix!$C$4:$C$15,0),MATCH(N475,10_ASIL_Matrix!$D$3:$F$3,0)))))</f>
        <v>QM</v>
      </c>
      <c r="Q475" s="6" t="s">
        <v>448</v>
      </c>
    </row>
    <row r="476" customFormat="false" ht="35.05" hidden="false" customHeight="false" outlineLevel="0" collapsed="false">
      <c r="A476" s="5" t="s">
        <v>1547</v>
      </c>
      <c r="B476" s="5" t="s">
        <v>101</v>
      </c>
      <c r="C476" s="5" t="s">
        <v>102</v>
      </c>
      <c r="D476" s="5" t="s">
        <v>152</v>
      </c>
      <c r="E476" s="5" t="s">
        <v>153</v>
      </c>
      <c r="F476" s="5" t="s">
        <v>194</v>
      </c>
      <c r="G476" s="5" t="s">
        <v>508</v>
      </c>
      <c r="H476" s="5" t="s">
        <v>230</v>
      </c>
      <c r="I476" s="5" t="s">
        <v>1548</v>
      </c>
      <c r="J476" s="5" t="s">
        <v>250</v>
      </c>
      <c r="K476" s="5" t="s">
        <v>510</v>
      </c>
      <c r="L476" s="5" t="s">
        <v>205</v>
      </c>
      <c r="M476" s="5" t="s">
        <v>523</v>
      </c>
      <c r="N476" s="5" t="s">
        <v>286</v>
      </c>
      <c r="O476" s="5" t="s">
        <v>461</v>
      </c>
      <c r="P476" s="19" t="str">
        <f aca="false">IF(J476="S0","—",IF(K476="","",IF(L476="E0","QM",INDEX(10_ASIL_Matrix!$D$4:$F$15,MATCH(J476&amp;"-"&amp;L476,10_ASIL_Matrix!$C$4:$C$15,0),MATCH(N476,10_ASIL_Matrix!$D$3:$F$3,0)))))</f>
        <v>A</v>
      </c>
      <c r="Q476" s="5" t="s">
        <v>448</v>
      </c>
    </row>
    <row r="477" customFormat="false" ht="46.25" hidden="false" customHeight="false" outlineLevel="0" collapsed="false">
      <c r="A477" s="6" t="s">
        <v>1549</v>
      </c>
      <c r="B477" s="6" t="s">
        <v>101</v>
      </c>
      <c r="C477" s="6" t="s">
        <v>102</v>
      </c>
      <c r="D477" s="6" t="s">
        <v>152</v>
      </c>
      <c r="E477" s="6" t="s">
        <v>153</v>
      </c>
      <c r="F477" s="6" t="s">
        <v>194</v>
      </c>
      <c r="G477" s="6" t="s">
        <v>508</v>
      </c>
      <c r="H477" s="6" t="s">
        <v>232</v>
      </c>
      <c r="I477" s="6" t="s">
        <v>1550</v>
      </c>
      <c r="J477" s="6" t="s">
        <v>250</v>
      </c>
      <c r="K477" s="6" t="s">
        <v>510</v>
      </c>
      <c r="L477" s="6" t="s">
        <v>233</v>
      </c>
      <c r="M477" s="6" t="s">
        <v>526</v>
      </c>
      <c r="N477" s="6" t="s">
        <v>282</v>
      </c>
      <c r="O477" s="6" t="s">
        <v>447</v>
      </c>
      <c r="P477" s="6" t="str">
        <f aca="false">IF(J477="S0","—",IF(K477="","",IF(L477="E0","QM",INDEX(10_ASIL_Matrix!$D$4:$F$15,MATCH(J477&amp;"-"&amp;L477,10_ASIL_Matrix!$C$4:$C$15,0),MATCH(N477,10_ASIL_Matrix!$D$3:$F$3,0)))))</f>
        <v>QM</v>
      </c>
      <c r="Q477" s="6" t="s">
        <v>448</v>
      </c>
    </row>
    <row r="478" customFormat="false" ht="35.05" hidden="false" customHeight="false" outlineLevel="0" collapsed="false">
      <c r="A478" s="5" t="s">
        <v>1551</v>
      </c>
      <c r="B478" s="5" t="s">
        <v>101</v>
      </c>
      <c r="C478" s="5" t="s">
        <v>102</v>
      </c>
      <c r="D478" s="5" t="s">
        <v>152</v>
      </c>
      <c r="E478" s="5" t="s">
        <v>153</v>
      </c>
      <c r="F478" s="5" t="s">
        <v>196</v>
      </c>
      <c r="G478" s="5" t="s">
        <v>528</v>
      </c>
      <c r="H478" s="5" t="s">
        <v>222</v>
      </c>
      <c r="I478" s="5" t="s">
        <v>1552</v>
      </c>
      <c r="J478" s="5" t="s">
        <v>250</v>
      </c>
      <c r="K478" s="5" t="s">
        <v>530</v>
      </c>
      <c r="L478" s="5" t="s">
        <v>187</v>
      </c>
      <c r="M478" s="5" t="s">
        <v>531</v>
      </c>
      <c r="N478" s="5" t="s">
        <v>282</v>
      </c>
      <c r="O478" s="5" t="s">
        <v>447</v>
      </c>
      <c r="P478" s="18" t="str">
        <f aca="false">IF(J478="S0","—",IF(K478="","",IF(L478="E0","QM",INDEX(10_ASIL_Matrix!$D$4:$F$15,MATCH(J478&amp;"-"&amp;L478,10_ASIL_Matrix!$C$4:$C$15,0),MATCH(N478,10_ASIL_Matrix!$D$3:$F$3,0)))))</f>
        <v>B</v>
      </c>
      <c r="Q478" s="5" t="s">
        <v>448</v>
      </c>
    </row>
    <row r="479" customFormat="false" ht="35.05" hidden="false" customHeight="false" outlineLevel="0" collapsed="false">
      <c r="A479" s="6" t="s">
        <v>1553</v>
      </c>
      <c r="B479" s="6" t="s">
        <v>101</v>
      </c>
      <c r="C479" s="6" t="s">
        <v>102</v>
      </c>
      <c r="D479" s="6" t="s">
        <v>152</v>
      </c>
      <c r="E479" s="6" t="s">
        <v>153</v>
      </c>
      <c r="F479" s="6" t="s">
        <v>196</v>
      </c>
      <c r="G479" s="6" t="s">
        <v>528</v>
      </c>
      <c r="H479" s="6" t="s">
        <v>224</v>
      </c>
      <c r="I479" s="6" t="s">
        <v>1554</v>
      </c>
      <c r="J479" s="6" t="s">
        <v>250</v>
      </c>
      <c r="K479" s="6" t="s">
        <v>530</v>
      </c>
      <c r="L479" s="6" t="s">
        <v>190</v>
      </c>
      <c r="M479" s="6" t="s">
        <v>534</v>
      </c>
      <c r="N479" s="6" t="s">
        <v>282</v>
      </c>
      <c r="O479" s="6" t="s">
        <v>447</v>
      </c>
      <c r="P479" s="19" t="str">
        <f aca="false">IF(J479="S0","—",IF(K479="","",IF(L479="E0","QM",INDEX(10_ASIL_Matrix!$D$4:$F$15,MATCH(J479&amp;"-"&amp;L479,10_ASIL_Matrix!$C$4:$C$15,0),MATCH(N479,10_ASIL_Matrix!$D$3:$F$3,0)))))</f>
        <v>A</v>
      </c>
      <c r="Q479" s="6" t="s">
        <v>448</v>
      </c>
    </row>
    <row r="480" customFormat="false" ht="35.05" hidden="false" customHeight="false" outlineLevel="0" collapsed="false">
      <c r="A480" s="5" t="s">
        <v>1555</v>
      </c>
      <c r="B480" s="5" t="s">
        <v>101</v>
      </c>
      <c r="C480" s="5" t="s">
        <v>102</v>
      </c>
      <c r="D480" s="5" t="s">
        <v>152</v>
      </c>
      <c r="E480" s="5" t="s">
        <v>153</v>
      </c>
      <c r="F480" s="5" t="s">
        <v>196</v>
      </c>
      <c r="G480" s="5" t="s">
        <v>528</v>
      </c>
      <c r="H480" s="5" t="s">
        <v>226</v>
      </c>
      <c r="I480" s="5" t="s">
        <v>1556</v>
      </c>
      <c r="J480" s="5" t="s">
        <v>250</v>
      </c>
      <c r="K480" s="5" t="s">
        <v>530</v>
      </c>
      <c r="L480" s="5" t="s">
        <v>190</v>
      </c>
      <c r="M480" s="5" t="s">
        <v>537</v>
      </c>
      <c r="N480" s="5" t="s">
        <v>282</v>
      </c>
      <c r="O480" s="5" t="s">
        <v>447</v>
      </c>
      <c r="P480" s="19" t="str">
        <f aca="false">IF(J480="S0","—",IF(K480="","",IF(L480="E0","QM",INDEX(10_ASIL_Matrix!$D$4:$F$15,MATCH(J480&amp;"-"&amp;L480,10_ASIL_Matrix!$C$4:$C$15,0),MATCH(N480,10_ASIL_Matrix!$D$3:$F$3,0)))))</f>
        <v>A</v>
      </c>
      <c r="Q480" s="5" t="s">
        <v>448</v>
      </c>
    </row>
    <row r="481" customFormat="false" ht="35.05" hidden="false" customHeight="false" outlineLevel="0" collapsed="false">
      <c r="A481" s="6" t="s">
        <v>1557</v>
      </c>
      <c r="B481" s="6" t="s">
        <v>101</v>
      </c>
      <c r="C481" s="6" t="s">
        <v>102</v>
      </c>
      <c r="D481" s="6" t="s">
        <v>152</v>
      </c>
      <c r="E481" s="6" t="s">
        <v>153</v>
      </c>
      <c r="F481" s="6" t="s">
        <v>196</v>
      </c>
      <c r="G481" s="6" t="s">
        <v>528</v>
      </c>
      <c r="H481" s="6" t="s">
        <v>228</v>
      </c>
      <c r="I481" s="6" t="s">
        <v>1558</v>
      </c>
      <c r="J481" s="6" t="s">
        <v>250</v>
      </c>
      <c r="K481" s="6" t="s">
        <v>530</v>
      </c>
      <c r="L481" s="6" t="s">
        <v>205</v>
      </c>
      <c r="M481" s="6" t="s">
        <v>540</v>
      </c>
      <c r="N481" s="6" t="s">
        <v>282</v>
      </c>
      <c r="O481" s="6" t="s">
        <v>447</v>
      </c>
      <c r="P481" s="6" t="str">
        <f aca="false">IF(J481="S0","—",IF(K481="","",IF(L481="E0","QM",INDEX(10_ASIL_Matrix!$D$4:$F$15,MATCH(J481&amp;"-"&amp;L481,10_ASIL_Matrix!$C$4:$C$15,0),MATCH(N481,10_ASIL_Matrix!$D$3:$F$3,0)))))</f>
        <v>QM</v>
      </c>
      <c r="Q481" s="6" t="s">
        <v>448</v>
      </c>
    </row>
    <row r="482" customFormat="false" ht="35.05" hidden="false" customHeight="false" outlineLevel="0" collapsed="false">
      <c r="A482" s="5" t="s">
        <v>1559</v>
      </c>
      <c r="B482" s="5" t="s">
        <v>101</v>
      </c>
      <c r="C482" s="5" t="s">
        <v>102</v>
      </c>
      <c r="D482" s="5" t="s">
        <v>152</v>
      </c>
      <c r="E482" s="5" t="s">
        <v>153</v>
      </c>
      <c r="F482" s="5" t="s">
        <v>196</v>
      </c>
      <c r="G482" s="5" t="s">
        <v>528</v>
      </c>
      <c r="H482" s="5" t="s">
        <v>230</v>
      </c>
      <c r="I482" s="5" t="s">
        <v>1560</v>
      </c>
      <c r="J482" s="5" t="s">
        <v>250</v>
      </c>
      <c r="K482" s="5" t="s">
        <v>530</v>
      </c>
      <c r="L482" s="5" t="s">
        <v>205</v>
      </c>
      <c r="M482" s="5" t="s">
        <v>543</v>
      </c>
      <c r="N482" s="5" t="s">
        <v>286</v>
      </c>
      <c r="O482" s="5" t="s">
        <v>461</v>
      </c>
      <c r="P482" s="19" t="str">
        <f aca="false">IF(J482="S0","—",IF(K482="","",IF(L482="E0","QM",INDEX(10_ASIL_Matrix!$D$4:$F$15,MATCH(J482&amp;"-"&amp;L482,10_ASIL_Matrix!$C$4:$C$15,0),MATCH(N482,10_ASIL_Matrix!$D$3:$F$3,0)))))</f>
        <v>A</v>
      </c>
      <c r="Q482" s="5" t="s">
        <v>448</v>
      </c>
    </row>
    <row r="483" customFormat="false" ht="46.25" hidden="false" customHeight="false" outlineLevel="0" collapsed="false">
      <c r="A483" s="6" t="s">
        <v>1561</v>
      </c>
      <c r="B483" s="6" t="s">
        <v>101</v>
      </c>
      <c r="C483" s="6" t="s">
        <v>102</v>
      </c>
      <c r="D483" s="6" t="s">
        <v>152</v>
      </c>
      <c r="E483" s="6" t="s">
        <v>153</v>
      </c>
      <c r="F483" s="6" t="s">
        <v>196</v>
      </c>
      <c r="G483" s="6" t="s">
        <v>528</v>
      </c>
      <c r="H483" s="6" t="s">
        <v>232</v>
      </c>
      <c r="I483" s="6" t="s">
        <v>1562</v>
      </c>
      <c r="J483" s="6" t="s">
        <v>250</v>
      </c>
      <c r="K483" s="6" t="s">
        <v>530</v>
      </c>
      <c r="L483" s="6" t="s">
        <v>233</v>
      </c>
      <c r="M483" s="6" t="s">
        <v>546</v>
      </c>
      <c r="N483" s="6" t="s">
        <v>282</v>
      </c>
      <c r="O483" s="6" t="s">
        <v>447</v>
      </c>
      <c r="P483" s="6" t="str">
        <f aca="false">IF(J483="S0","—",IF(K483="","",IF(L483="E0","QM",INDEX(10_ASIL_Matrix!$D$4:$F$15,MATCH(J483&amp;"-"&amp;L483,10_ASIL_Matrix!$C$4:$C$15,0),MATCH(N483,10_ASIL_Matrix!$D$3:$F$3,0)))))</f>
        <v>QM</v>
      </c>
      <c r="Q483" s="6" t="s">
        <v>448</v>
      </c>
    </row>
    <row r="484" customFormat="false" ht="35.05" hidden="false" customHeight="false" outlineLevel="0" collapsed="false">
      <c r="A484" s="5" t="s">
        <v>1563</v>
      </c>
      <c r="B484" s="5" t="s">
        <v>101</v>
      </c>
      <c r="C484" s="5" t="s">
        <v>102</v>
      </c>
      <c r="D484" s="5" t="s">
        <v>152</v>
      </c>
      <c r="E484" s="5" t="s">
        <v>153</v>
      </c>
      <c r="F484" s="5" t="s">
        <v>198</v>
      </c>
      <c r="G484" s="5" t="s">
        <v>548</v>
      </c>
      <c r="H484" s="5" t="s">
        <v>222</v>
      </c>
      <c r="I484" s="5" t="s">
        <v>1564</v>
      </c>
      <c r="J484" s="5" t="s">
        <v>242</v>
      </c>
      <c r="K484" s="5" t="s">
        <v>550</v>
      </c>
      <c r="L484" s="5" t="s">
        <v>190</v>
      </c>
      <c r="M484" s="5" t="s">
        <v>551</v>
      </c>
      <c r="N484" s="5" t="s">
        <v>282</v>
      </c>
      <c r="O484" s="5" t="s">
        <v>552</v>
      </c>
      <c r="P484" s="5" t="str">
        <f aca="false">IF(J484="S0","—",IF(K484="","",IF(L484="E0","QM",INDEX(10_ASIL_Matrix!$D$4:$F$15,MATCH(J484&amp;"-"&amp;L484,10_ASIL_Matrix!$C$4:$C$15,0),MATCH(N484,10_ASIL_Matrix!$D$3:$F$3,0)))))</f>
        <v>QM</v>
      </c>
      <c r="Q484" s="5" t="s">
        <v>448</v>
      </c>
    </row>
    <row r="485" customFormat="false" ht="35.05" hidden="false" customHeight="false" outlineLevel="0" collapsed="false">
      <c r="A485" s="6" t="s">
        <v>1565</v>
      </c>
      <c r="B485" s="6" t="s">
        <v>101</v>
      </c>
      <c r="C485" s="6" t="s">
        <v>102</v>
      </c>
      <c r="D485" s="6" t="s">
        <v>152</v>
      </c>
      <c r="E485" s="6" t="s">
        <v>153</v>
      </c>
      <c r="F485" s="6" t="s">
        <v>198</v>
      </c>
      <c r="G485" s="6" t="s">
        <v>548</v>
      </c>
      <c r="H485" s="6" t="s">
        <v>224</v>
      </c>
      <c r="I485" s="6" t="s">
        <v>1566</v>
      </c>
      <c r="J485" s="6" t="s">
        <v>242</v>
      </c>
      <c r="K485" s="6" t="s">
        <v>550</v>
      </c>
      <c r="L485" s="6" t="s">
        <v>190</v>
      </c>
      <c r="M485" s="6" t="s">
        <v>555</v>
      </c>
      <c r="N485" s="6" t="s">
        <v>282</v>
      </c>
      <c r="O485" s="6" t="s">
        <v>552</v>
      </c>
      <c r="P485" s="6" t="str">
        <f aca="false">IF(J485="S0","—",IF(K485="","",IF(L485="E0","QM",INDEX(10_ASIL_Matrix!$D$4:$F$15,MATCH(J485&amp;"-"&amp;L485,10_ASIL_Matrix!$C$4:$C$15,0),MATCH(N485,10_ASIL_Matrix!$D$3:$F$3,0)))))</f>
        <v>QM</v>
      </c>
      <c r="Q485" s="6" t="s">
        <v>448</v>
      </c>
    </row>
    <row r="486" customFormat="false" ht="35.05" hidden="false" customHeight="false" outlineLevel="0" collapsed="false">
      <c r="A486" s="5" t="s">
        <v>1567</v>
      </c>
      <c r="B486" s="5" t="s">
        <v>101</v>
      </c>
      <c r="C486" s="5" t="s">
        <v>102</v>
      </c>
      <c r="D486" s="5" t="s">
        <v>152</v>
      </c>
      <c r="E486" s="5" t="s">
        <v>153</v>
      </c>
      <c r="F486" s="5" t="s">
        <v>198</v>
      </c>
      <c r="G486" s="5" t="s">
        <v>548</v>
      </c>
      <c r="H486" s="5" t="s">
        <v>226</v>
      </c>
      <c r="I486" s="5" t="s">
        <v>1568</v>
      </c>
      <c r="J486" s="5" t="s">
        <v>242</v>
      </c>
      <c r="K486" s="5" t="s">
        <v>550</v>
      </c>
      <c r="L486" s="5" t="s">
        <v>190</v>
      </c>
      <c r="M486" s="5" t="s">
        <v>558</v>
      </c>
      <c r="N486" s="5" t="s">
        <v>282</v>
      </c>
      <c r="O486" s="5" t="s">
        <v>552</v>
      </c>
      <c r="P486" s="5" t="str">
        <f aca="false">IF(J486="S0","—",IF(K486="","",IF(L486="E0","QM",INDEX(10_ASIL_Matrix!$D$4:$F$15,MATCH(J486&amp;"-"&amp;L486,10_ASIL_Matrix!$C$4:$C$15,0),MATCH(N486,10_ASIL_Matrix!$D$3:$F$3,0)))))</f>
        <v>QM</v>
      </c>
      <c r="Q486" s="5" t="s">
        <v>448</v>
      </c>
    </row>
    <row r="487" customFormat="false" ht="35.05" hidden="false" customHeight="false" outlineLevel="0" collapsed="false">
      <c r="A487" s="6" t="s">
        <v>1569</v>
      </c>
      <c r="B487" s="6" t="s">
        <v>101</v>
      </c>
      <c r="C487" s="6" t="s">
        <v>102</v>
      </c>
      <c r="D487" s="6" t="s">
        <v>152</v>
      </c>
      <c r="E487" s="6" t="s">
        <v>153</v>
      </c>
      <c r="F487" s="6" t="s">
        <v>198</v>
      </c>
      <c r="G487" s="6" t="s">
        <v>548</v>
      </c>
      <c r="H487" s="6" t="s">
        <v>228</v>
      </c>
      <c r="I487" s="6" t="s">
        <v>1570</v>
      </c>
      <c r="J487" s="6" t="s">
        <v>242</v>
      </c>
      <c r="K487" s="6" t="s">
        <v>550</v>
      </c>
      <c r="L487" s="6" t="s">
        <v>205</v>
      </c>
      <c r="M487" s="6" t="s">
        <v>561</v>
      </c>
      <c r="N487" s="6" t="s">
        <v>282</v>
      </c>
      <c r="O487" s="6" t="s">
        <v>552</v>
      </c>
      <c r="P487" s="6" t="str">
        <f aca="false">IF(J487="S0","—",IF(K487="","",IF(L487="E0","QM",INDEX(10_ASIL_Matrix!$D$4:$F$15,MATCH(J487&amp;"-"&amp;L487,10_ASIL_Matrix!$C$4:$C$15,0),MATCH(N487,10_ASIL_Matrix!$D$3:$F$3,0)))))</f>
        <v>QM</v>
      </c>
      <c r="Q487" s="6" t="s">
        <v>448</v>
      </c>
    </row>
    <row r="488" customFormat="false" ht="35.05" hidden="false" customHeight="false" outlineLevel="0" collapsed="false">
      <c r="A488" s="5" t="s">
        <v>1571</v>
      </c>
      <c r="B488" s="5" t="s">
        <v>101</v>
      </c>
      <c r="C488" s="5" t="s">
        <v>102</v>
      </c>
      <c r="D488" s="5" t="s">
        <v>152</v>
      </c>
      <c r="E488" s="5" t="s">
        <v>153</v>
      </c>
      <c r="F488" s="5" t="s">
        <v>198</v>
      </c>
      <c r="G488" s="5" t="s">
        <v>548</v>
      </c>
      <c r="H488" s="5" t="s">
        <v>230</v>
      </c>
      <c r="I488" s="5" t="s">
        <v>1572</v>
      </c>
      <c r="J488" s="5" t="s">
        <v>242</v>
      </c>
      <c r="K488" s="5" t="s">
        <v>550</v>
      </c>
      <c r="L488" s="5" t="s">
        <v>205</v>
      </c>
      <c r="M488" s="5" t="s">
        <v>564</v>
      </c>
      <c r="N488" s="5" t="s">
        <v>286</v>
      </c>
      <c r="O488" s="5" t="s">
        <v>565</v>
      </c>
      <c r="P488" s="5" t="str">
        <f aca="false">IF(J488="S0","—",IF(K488="","",IF(L488="E0","QM",INDEX(10_ASIL_Matrix!$D$4:$F$15,MATCH(J488&amp;"-"&amp;L488,10_ASIL_Matrix!$C$4:$C$15,0),MATCH(N488,10_ASIL_Matrix!$D$3:$F$3,0)))))</f>
        <v>QM</v>
      </c>
      <c r="Q488" s="5" t="s">
        <v>448</v>
      </c>
    </row>
    <row r="489" customFormat="false" ht="46.25" hidden="false" customHeight="false" outlineLevel="0" collapsed="false">
      <c r="A489" s="6" t="s">
        <v>1573</v>
      </c>
      <c r="B489" s="6" t="s">
        <v>101</v>
      </c>
      <c r="C489" s="6" t="s">
        <v>102</v>
      </c>
      <c r="D489" s="6" t="s">
        <v>152</v>
      </c>
      <c r="E489" s="6" t="s">
        <v>153</v>
      </c>
      <c r="F489" s="6" t="s">
        <v>198</v>
      </c>
      <c r="G489" s="6" t="s">
        <v>548</v>
      </c>
      <c r="H489" s="6" t="s">
        <v>232</v>
      </c>
      <c r="I489" s="6" t="s">
        <v>1574</v>
      </c>
      <c r="J489" s="6" t="s">
        <v>242</v>
      </c>
      <c r="K489" s="6" t="s">
        <v>550</v>
      </c>
      <c r="L489" s="6" t="s">
        <v>233</v>
      </c>
      <c r="M489" s="6" t="s">
        <v>568</v>
      </c>
      <c r="N489" s="6" t="s">
        <v>282</v>
      </c>
      <c r="O489" s="6" t="s">
        <v>552</v>
      </c>
      <c r="P489" s="6" t="str">
        <f aca="false">IF(J489="S0","—",IF(K489="","",IF(L489="E0","QM",INDEX(10_ASIL_Matrix!$D$4:$F$15,MATCH(J489&amp;"-"&amp;L489,10_ASIL_Matrix!$C$4:$C$15,0),MATCH(N489,10_ASIL_Matrix!$D$3:$F$3,0)))))</f>
        <v>QM</v>
      </c>
      <c r="Q489" s="6" t="s">
        <v>448</v>
      </c>
    </row>
    <row r="490" customFormat="false" ht="35.05" hidden="false" customHeight="false" outlineLevel="0" collapsed="false">
      <c r="A490" s="5" t="s">
        <v>1575</v>
      </c>
      <c r="B490" s="5" t="s">
        <v>101</v>
      </c>
      <c r="C490" s="5" t="s">
        <v>102</v>
      </c>
      <c r="D490" s="5" t="s">
        <v>152</v>
      </c>
      <c r="E490" s="5" t="s">
        <v>153</v>
      </c>
      <c r="F490" s="5" t="s">
        <v>200</v>
      </c>
      <c r="G490" s="5" t="s">
        <v>570</v>
      </c>
      <c r="H490" s="5" t="s">
        <v>222</v>
      </c>
      <c r="I490" s="5" t="s">
        <v>1576</v>
      </c>
      <c r="J490" s="5" t="s">
        <v>250</v>
      </c>
      <c r="K490" s="5" t="s">
        <v>572</v>
      </c>
      <c r="L490" s="5" t="s">
        <v>190</v>
      </c>
      <c r="M490" s="5" t="s">
        <v>573</v>
      </c>
      <c r="N490" s="5" t="s">
        <v>282</v>
      </c>
      <c r="O490" s="5" t="s">
        <v>447</v>
      </c>
      <c r="P490" s="19" t="str">
        <f aca="false">IF(J490="S0","—",IF(K490="","",IF(L490="E0","QM",INDEX(10_ASIL_Matrix!$D$4:$F$15,MATCH(J490&amp;"-"&amp;L490,10_ASIL_Matrix!$C$4:$C$15,0),MATCH(N490,10_ASIL_Matrix!$D$3:$F$3,0)))))</f>
        <v>A</v>
      </c>
      <c r="Q490" s="5" t="s">
        <v>448</v>
      </c>
    </row>
    <row r="491" customFormat="false" ht="35.05" hidden="false" customHeight="false" outlineLevel="0" collapsed="false">
      <c r="A491" s="6" t="s">
        <v>1577</v>
      </c>
      <c r="B491" s="6" t="s">
        <v>101</v>
      </c>
      <c r="C491" s="6" t="s">
        <v>102</v>
      </c>
      <c r="D491" s="6" t="s">
        <v>152</v>
      </c>
      <c r="E491" s="6" t="s">
        <v>153</v>
      </c>
      <c r="F491" s="6" t="s">
        <v>200</v>
      </c>
      <c r="G491" s="6" t="s">
        <v>570</v>
      </c>
      <c r="H491" s="6" t="s">
        <v>224</v>
      </c>
      <c r="I491" s="6" t="s">
        <v>1578</v>
      </c>
      <c r="J491" s="6" t="s">
        <v>250</v>
      </c>
      <c r="K491" s="6" t="s">
        <v>572</v>
      </c>
      <c r="L491" s="6" t="s">
        <v>190</v>
      </c>
      <c r="M491" s="6" t="s">
        <v>576</v>
      </c>
      <c r="N491" s="6" t="s">
        <v>282</v>
      </c>
      <c r="O491" s="6" t="s">
        <v>447</v>
      </c>
      <c r="P491" s="19" t="str">
        <f aca="false">IF(J491="S0","—",IF(K491="","",IF(L491="E0","QM",INDEX(10_ASIL_Matrix!$D$4:$F$15,MATCH(J491&amp;"-"&amp;L491,10_ASIL_Matrix!$C$4:$C$15,0),MATCH(N491,10_ASIL_Matrix!$D$3:$F$3,0)))))</f>
        <v>A</v>
      </c>
      <c r="Q491" s="6" t="s">
        <v>448</v>
      </c>
    </row>
    <row r="492" customFormat="false" ht="35.05" hidden="false" customHeight="false" outlineLevel="0" collapsed="false">
      <c r="A492" s="5" t="s">
        <v>1579</v>
      </c>
      <c r="B492" s="5" t="s">
        <v>101</v>
      </c>
      <c r="C492" s="5" t="s">
        <v>102</v>
      </c>
      <c r="D492" s="5" t="s">
        <v>152</v>
      </c>
      <c r="E492" s="5" t="s">
        <v>153</v>
      </c>
      <c r="F492" s="5" t="s">
        <v>200</v>
      </c>
      <c r="G492" s="5" t="s">
        <v>570</v>
      </c>
      <c r="H492" s="5" t="s">
        <v>226</v>
      </c>
      <c r="I492" s="5" t="s">
        <v>1580</v>
      </c>
      <c r="J492" s="5" t="s">
        <v>250</v>
      </c>
      <c r="K492" s="5" t="s">
        <v>572</v>
      </c>
      <c r="L492" s="5" t="s">
        <v>190</v>
      </c>
      <c r="M492" s="5" t="s">
        <v>579</v>
      </c>
      <c r="N492" s="5" t="s">
        <v>282</v>
      </c>
      <c r="O492" s="5" t="s">
        <v>447</v>
      </c>
      <c r="P492" s="19" t="str">
        <f aca="false">IF(J492="S0","—",IF(K492="","",IF(L492="E0","QM",INDEX(10_ASIL_Matrix!$D$4:$F$15,MATCH(J492&amp;"-"&amp;L492,10_ASIL_Matrix!$C$4:$C$15,0),MATCH(N492,10_ASIL_Matrix!$D$3:$F$3,0)))))</f>
        <v>A</v>
      </c>
      <c r="Q492" s="5" t="s">
        <v>448</v>
      </c>
    </row>
    <row r="493" customFormat="false" ht="35.05" hidden="false" customHeight="false" outlineLevel="0" collapsed="false">
      <c r="A493" s="6" t="s">
        <v>1581</v>
      </c>
      <c r="B493" s="6" t="s">
        <v>101</v>
      </c>
      <c r="C493" s="6" t="s">
        <v>102</v>
      </c>
      <c r="D493" s="6" t="s">
        <v>152</v>
      </c>
      <c r="E493" s="6" t="s">
        <v>153</v>
      </c>
      <c r="F493" s="6" t="s">
        <v>200</v>
      </c>
      <c r="G493" s="6" t="s">
        <v>570</v>
      </c>
      <c r="H493" s="6" t="s">
        <v>228</v>
      </c>
      <c r="I493" s="6" t="s">
        <v>1582</v>
      </c>
      <c r="J493" s="6" t="s">
        <v>250</v>
      </c>
      <c r="K493" s="6" t="s">
        <v>572</v>
      </c>
      <c r="L493" s="6" t="s">
        <v>205</v>
      </c>
      <c r="M493" s="6" t="s">
        <v>582</v>
      </c>
      <c r="N493" s="6" t="s">
        <v>282</v>
      </c>
      <c r="O493" s="6" t="s">
        <v>447</v>
      </c>
      <c r="P493" s="6" t="str">
        <f aca="false">IF(J493="S0","—",IF(K493="","",IF(L493="E0","QM",INDEX(10_ASIL_Matrix!$D$4:$F$15,MATCH(J493&amp;"-"&amp;L493,10_ASIL_Matrix!$C$4:$C$15,0),MATCH(N493,10_ASIL_Matrix!$D$3:$F$3,0)))))</f>
        <v>QM</v>
      </c>
      <c r="Q493" s="6" t="s">
        <v>448</v>
      </c>
    </row>
    <row r="494" customFormat="false" ht="35.05" hidden="false" customHeight="false" outlineLevel="0" collapsed="false">
      <c r="A494" s="5" t="s">
        <v>1583</v>
      </c>
      <c r="B494" s="5" t="s">
        <v>101</v>
      </c>
      <c r="C494" s="5" t="s">
        <v>102</v>
      </c>
      <c r="D494" s="5" t="s">
        <v>152</v>
      </c>
      <c r="E494" s="5" t="s">
        <v>153</v>
      </c>
      <c r="F494" s="5" t="s">
        <v>200</v>
      </c>
      <c r="G494" s="5" t="s">
        <v>570</v>
      </c>
      <c r="H494" s="5" t="s">
        <v>230</v>
      </c>
      <c r="I494" s="5" t="s">
        <v>1584</v>
      </c>
      <c r="J494" s="5" t="s">
        <v>250</v>
      </c>
      <c r="K494" s="5" t="s">
        <v>572</v>
      </c>
      <c r="L494" s="5" t="s">
        <v>205</v>
      </c>
      <c r="M494" s="5" t="s">
        <v>585</v>
      </c>
      <c r="N494" s="5" t="s">
        <v>286</v>
      </c>
      <c r="O494" s="5" t="s">
        <v>461</v>
      </c>
      <c r="P494" s="19" t="str">
        <f aca="false">IF(J494="S0","—",IF(K494="","",IF(L494="E0","QM",INDEX(10_ASIL_Matrix!$D$4:$F$15,MATCH(J494&amp;"-"&amp;L494,10_ASIL_Matrix!$C$4:$C$15,0),MATCH(N494,10_ASIL_Matrix!$D$3:$F$3,0)))))</f>
        <v>A</v>
      </c>
      <c r="Q494" s="5" t="s">
        <v>448</v>
      </c>
    </row>
    <row r="495" customFormat="false" ht="46.25" hidden="false" customHeight="false" outlineLevel="0" collapsed="false">
      <c r="A495" s="6" t="s">
        <v>1585</v>
      </c>
      <c r="B495" s="6" t="s">
        <v>101</v>
      </c>
      <c r="C495" s="6" t="s">
        <v>102</v>
      </c>
      <c r="D495" s="6" t="s">
        <v>152</v>
      </c>
      <c r="E495" s="6" t="s">
        <v>153</v>
      </c>
      <c r="F495" s="6" t="s">
        <v>200</v>
      </c>
      <c r="G495" s="6" t="s">
        <v>570</v>
      </c>
      <c r="H495" s="6" t="s">
        <v>232</v>
      </c>
      <c r="I495" s="6" t="s">
        <v>1586</v>
      </c>
      <c r="J495" s="6" t="s">
        <v>250</v>
      </c>
      <c r="K495" s="6" t="s">
        <v>572</v>
      </c>
      <c r="L495" s="6" t="s">
        <v>233</v>
      </c>
      <c r="M495" s="6" t="s">
        <v>588</v>
      </c>
      <c r="N495" s="6" t="s">
        <v>282</v>
      </c>
      <c r="O495" s="6" t="s">
        <v>447</v>
      </c>
      <c r="P495" s="6" t="str">
        <f aca="false">IF(J495="S0","—",IF(K495="","",IF(L495="E0","QM",INDEX(10_ASIL_Matrix!$D$4:$F$15,MATCH(J495&amp;"-"&amp;L495,10_ASIL_Matrix!$C$4:$C$15,0),MATCH(N495,10_ASIL_Matrix!$D$3:$F$3,0)))))</f>
        <v>QM</v>
      </c>
      <c r="Q495" s="6" t="s">
        <v>448</v>
      </c>
    </row>
    <row r="496" customFormat="false" ht="35.05" hidden="false" customHeight="false" outlineLevel="0" collapsed="false">
      <c r="A496" s="5" t="s">
        <v>1587</v>
      </c>
      <c r="B496" s="5" t="s">
        <v>101</v>
      </c>
      <c r="C496" s="5" t="s">
        <v>102</v>
      </c>
      <c r="D496" s="5" t="s">
        <v>152</v>
      </c>
      <c r="E496" s="5" t="s">
        <v>153</v>
      </c>
      <c r="F496" s="5" t="s">
        <v>202</v>
      </c>
      <c r="G496" s="5" t="s">
        <v>590</v>
      </c>
      <c r="H496" s="5" t="s">
        <v>222</v>
      </c>
      <c r="I496" s="5" t="s">
        <v>1588</v>
      </c>
      <c r="J496" s="5" t="s">
        <v>250</v>
      </c>
      <c r="K496" s="5" t="s">
        <v>572</v>
      </c>
      <c r="L496" s="5" t="s">
        <v>187</v>
      </c>
      <c r="M496" s="5" t="s">
        <v>592</v>
      </c>
      <c r="N496" s="5" t="s">
        <v>282</v>
      </c>
      <c r="O496" s="5" t="s">
        <v>447</v>
      </c>
      <c r="P496" s="18" t="str">
        <f aca="false">IF(J496="S0","—",IF(K496="","",IF(L496="E0","QM",INDEX(10_ASIL_Matrix!$D$4:$F$15,MATCH(J496&amp;"-"&amp;L496,10_ASIL_Matrix!$C$4:$C$15,0),MATCH(N496,10_ASIL_Matrix!$D$3:$F$3,0)))))</f>
        <v>B</v>
      </c>
      <c r="Q496" s="5" t="s">
        <v>448</v>
      </c>
    </row>
    <row r="497" customFormat="false" ht="35.05" hidden="false" customHeight="false" outlineLevel="0" collapsed="false">
      <c r="A497" s="6" t="s">
        <v>1589</v>
      </c>
      <c r="B497" s="6" t="s">
        <v>101</v>
      </c>
      <c r="C497" s="6" t="s">
        <v>102</v>
      </c>
      <c r="D497" s="6" t="s">
        <v>152</v>
      </c>
      <c r="E497" s="6" t="s">
        <v>153</v>
      </c>
      <c r="F497" s="6" t="s">
        <v>202</v>
      </c>
      <c r="G497" s="6" t="s">
        <v>590</v>
      </c>
      <c r="H497" s="6" t="s">
        <v>224</v>
      </c>
      <c r="I497" s="6" t="s">
        <v>1590</v>
      </c>
      <c r="J497" s="6" t="s">
        <v>250</v>
      </c>
      <c r="K497" s="6" t="s">
        <v>572</v>
      </c>
      <c r="L497" s="6" t="s">
        <v>190</v>
      </c>
      <c r="M497" s="6" t="s">
        <v>595</v>
      </c>
      <c r="N497" s="6" t="s">
        <v>282</v>
      </c>
      <c r="O497" s="6" t="s">
        <v>447</v>
      </c>
      <c r="P497" s="19" t="str">
        <f aca="false">IF(J497="S0","—",IF(K497="","",IF(L497="E0","QM",INDEX(10_ASIL_Matrix!$D$4:$F$15,MATCH(J497&amp;"-"&amp;L497,10_ASIL_Matrix!$C$4:$C$15,0),MATCH(N497,10_ASIL_Matrix!$D$3:$F$3,0)))))</f>
        <v>A</v>
      </c>
      <c r="Q497" s="6" t="s">
        <v>448</v>
      </c>
    </row>
    <row r="498" customFormat="false" ht="35.05" hidden="false" customHeight="false" outlineLevel="0" collapsed="false">
      <c r="A498" s="5" t="s">
        <v>1591</v>
      </c>
      <c r="B498" s="5" t="s">
        <v>101</v>
      </c>
      <c r="C498" s="5" t="s">
        <v>102</v>
      </c>
      <c r="D498" s="5" t="s">
        <v>152</v>
      </c>
      <c r="E498" s="5" t="s">
        <v>153</v>
      </c>
      <c r="F498" s="5" t="s">
        <v>202</v>
      </c>
      <c r="G498" s="5" t="s">
        <v>590</v>
      </c>
      <c r="H498" s="5" t="s">
        <v>226</v>
      </c>
      <c r="I498" s="5" t="s">
        <v>1592</v>
      </c>
      <c r="J498" s="5" t="s">
        <v>250</v>
      </c>
      <c r="K498" s="5" t="s">
        <v>572</v>
      </c>
      <c r="L498" s="5" t="s">
        <v>190</v>
      </c>
      <c r="M498" s="5" t="s">
        <v>598</v>
      </c>
      <c r="N498" s="5" t="s">
        <v>282</v>
      </c>
      <c r="O498" s="5" t="s">
        <v>447</v>
      </c>
      <c r="P498" s="19" t="str">
        <f aca="false">IF(J498="S0","—",IF(K498="","",IF(L498="E0","QM",INDEX(10_ASIL_Matrix!$D$4:$F$15,MATCH(J498&amp;"-"&amp;L498,10_ASIL_Matrix!$C$4:$C$15,0),MATCH(N498,10_ASIL_Matrix!$D$3:$F$3,0)))))</f>
        <v>A</v>
      </c>
      <c r="Q498" s="5" t="s">
        <v>448</v>
      </c>
    </row>
    <row r="499" customFormat="false" ht="35.05" hidden="false" customHeight="false" outlineLevel="0" collapsed="false">
      <c r="A499" s="6" t="s">
        <v>1593</v>
      </c>
      <c r="B499" s="6" t="s">
        <v>101</v>
      </c>
      <c r="C499" s="6" t="s">
        <v>102</v>
      </c>
      <c r="D499" s="6" t="s">
        <v>152</v>
      </c>
      <c r="E499" s="6" t="s">
        <v>153</v>
      </c>
      <c r="F499" s="6" t="s">
        <v>202</v>
      </c>
      <c r="G499" s="6" t="s">
        <v>590</v>
      </c>
      <c r="H499" s="6" t="s">
        <v>228</v>
      </c>
      <c r="I499" s="6" t="s">
        <v>1594</v>
      </c>
      <c r="J499" s="6" t="s">
        <v>250</v>
      </c>
      <c r="K499" s="6" t="s">
        <v>572</v>
      </c>
      <c r="L499" s="6" t="s">
        <v>205</v>
      </c>
      <c r="M499" s="6" t="s">
        <v>601</v>
      </c>
      <c r="N499" s="6" t="s">
        <v>282</v>
      </c>
      <c r="O499" s="6" t="s">
        <v>447</v>
      </c>
      <c r="P499" s="6" t="str">
        <f aca="false">IF(J499="S0","—",IF(K499="","",IF(L499="E0","QM",INDEX(10_ASIL_Matrix!$D$4:$F$15,MATCH(J499&amp;"-"&amp;L499,10_ASIL_Matrix!$C$4:$C$15,0),MATCH(N499,10_ASIL_Matrix!$D$3:$F$3,0)))))</f>
        <v>QM</v>
      </c>
      <c r="Q499" s="6" t="s">
        <v>448</v>
      </c>
    </row>
    <row r="500" customFormat="false" ht="35.05" hidden="false" customHeight="false" outlineLevel="0" collapsed="false">
      <c r="A500" s="5" t="s">
        <v>1595</v>
      </c>
      <c r="B500" s="5" t="s">
        <v>101</v>
      </c>
      <c r="C500" s="5" t="s">
        <v>102</v>
      </c>
      <c r="D500" s="5" t="s">
        <v>152</v>
      </c>
      <c r="E500" s="5" t="s">
        <v>153</v>
      </c>
      <c r="F500" s="5" t="s">
        <v>202</v>
      </c>
      <c r="G500" s="5" t="s">
        <v>590</v>
      </c>
      <c r="H500" s="5" t="s">
        <v>230</v>
      </c>
      <c r="I500" s="5" t="s">
        <v>1596</v>
      </c>
      <c r="J500" s="5" t="s">
        <v>250</v>
      </c>
      <c r="K500" s="5" t="s">
        <v>572</v>
      </c>
      <c r="L500" s="5" t="s">
        <v>205</v>
      </c>
      <c r="M500" s="5" t="s">
        <v>604</v>
      </c>
      <c r="N500" s="5" t="s">
        <v>286</v>
      </c>
      <c r="O500" s="5" t="s">
        <v>461</v>
      </c>
      <c r="P500" s="19" t="str">
        <f aca="false">IF(J500="S0","—",IF(K500="","",IF(L500="E0","QM",INDEX(10_ASIL_Matrix!$D$4:$F$15,MATCH(J500&amp;"-"&amp;L500,10_ASIL_Matrix!$C$4:$C$15,0),MATCH(N500,10_ASIL_Matrix!$D$3:$F$3,0)))))</f>
        <v>A</v>
      </c>
      <c r="Q500" s="5" t="s">
        <v>448</v>
      </c>
    </row>
    <row r="501" customFormat="false" ht="46.25" hidden="false" customHeight="false" outlineLevel="0" collapsed="false">
      <c r="A501" s="6" t="s">
        <v>1597</v>
      </c>
      <c r="B501" s="6" t="s">
        <v>101</v>
      </c>
      <c r="C501" s="6" t="s">
        <v>102</v>
      </c>
      <c r="D501" s="6" t="s">
        <v>152</v>
      </c>
      <c r="E501" s="6" t="s">
        <v>153</v>
      </c>
      <c r="F501" s="6" t="s">
        <v>202</v>
      </c>
      <c r="G501" s="6" t="s">
        <v>590</v>
      </c>
      <c r="H501" s="6" t="s">
        <v>232</v>
      </c>
      <c r="I501" s="6" t="s">
        <v>1598</v>
      </c>
      <c r="J501" s="6" t="s">
        <v>250</v>
      </c>
      <c r="K501" s="6" t="s">
        <v>572</v>
      </c>
      <c r="L501" s="6" t="s">
        <v>233</v>
      </c>
      <c r="M501" s="6" t="s">
        <v>607</v>
      </c>
      <c r="N501" s="6" t="s">
        <v>282</v>
      </c>
      <c r="O501" s="6" t="s">
        <v>447</v>
      </c>
      <c r="P501" s="6" t="str">
        <f aca="false">IF(J501="S0","—",IF(K501="","",IF(L501="E0","QM",INDEX(10_ASIL_Matrix!$D$4:$F$15,MATCH(J501&amp;"-"&amp;L501,10_ASIL_Matrix!$C$4:$C$15,0),MATCH(N501,10_ASIL_Matrix!$D$3:$F$3,0)))))</f>
        <v>QM</v>
      </c>
      <c r="Q501" s="6" t="s">
        <v>448</v>
      </c>
    </row>
    <row r="502" customFormat="false" ht="35.05" hidden="false" customHeight="false" outlineLevel="0" collapsed="false">
      <c r="A502" s="5" t="s">
        <v>1599</v>
      </c>
      <c r="B502" s="5" t="s">
        <v>101</v>
      </c>
      <c r="C502" s="5" t="s">
        <v>102</v>
      </c>
      <c r="D502" s="5" t="s">
        <v>152</v>
      </c>
      <c r="E502" s="5" t="s">
        <v>153</v>
      </c>
      <c r="F502" s="5" t="s">
        <v>204</v>
      </c>
      <c r="G502" s="5" t="s">
        <v>609</v>
      </c>
      <c r="H502" s="5" t="s">
        <v>222</v>
      </c>
      <c r="I502" s="5" t="s">
        <v>1600</v>
      </c>
      <c r="J502" s="5" t="s">
        <v>250</v>
      </c>
      <c r="K502" s="5" t="s">
        <v>611</v>
      </c>
      <c r="L502" s="5" t="s">
        <v>205</v>
      </c>
      <c r="M502" s="5" t="s">
        <v>612</v>
      </c>
      <c r="N502" s="5" t="s">
        <v>282</v>
      </c>
      <c r="O502" s="5" t="s">
        <v>613</v>
      </c>
      <c r="P502" s="5" t="str">
        <f aca="false">IF(J502="S0","—",IF(K502="","",IF(L502="E0","QM",INDEX(10_ASIL_Matrix!$D$4:$F$15,MATCH(J502&amp;"-"&amp;L502,10_ASIL_Matrix!$C$4:$C$15,0),MATCH(N502,10_ASIL_Matrix!$D$3:$F$3,0)))))</f>
        <v>QM</v>
      </c>
      <c r="Q502" s="5" t="s">
        <v>448</v>
      </c>
    </row>
    <row r="503" customFormat="false" ht="35.05" hidden="false" customHeight="false" outlineLevel="0" collapsed="false">
      <c r="A503" s="6" t="s">
        <v>1601</v>
      </c>
      <c r="B503" s="6" t="s">
        <v>101</v>
      </c>
      <c r="C503" s="6" t="s">
        <v>102</v>
      </c>
      <c r="D503" s="6" t="s">
        <v>152</v>
      </c>
      <c r="E503" s="6" t="s">
        <v>153</v>
      </c>
      <c r="F503" s="6" t="s">
        <v>204</v>
      </c>
      <c r="G503" s="6" t="s">
        <v>609</v>
      </c>
      <c r="H503" s="6" t="s">
        <v>224</v>
      </c>
      <c r="I503" s="6" t="s">
        <v>1602</v>
      </c>
      <c r="J503" s="6" t="s">
        <v>250</v>
      </c>
      <c r="K503" s="6" t="s">
        <v>611</v>
      </c>
      <c r="L503" s="6" t="s">
        <v>205</v>
      </c>
      <c r="M503" s="6" t="s">
        <v>616</v>
      </c>
      <c r="N503" s="6" t="s">
        <v>282</v>
      </c>
      <c r="O503" s="6" t="s">
        <v>613</v>
      </c>
      <c r="P503" s="6" t="str">
        <f aca="false">IF(J503="S0","—",IF(K503="","",IF(L503="E0","QM",INDEX(10_ASIL_Matrix!$D$4:$F$15,MATCH(J503&amp;"-"&amp;L503,10_ASIL_Matrix!$C$4:$C$15,0),MATCH(N503,10_ASIL_Matrix!$D$3:$F$3,0)))))</f>
        <v>QM</v>
      </c>
      <c r="Q503" s="6" t="s">
        <v>448</v>
      </c>
    </row>
    <row r="504" customFormat="false" ht="35.05" hidden="false" customHeight="false" outlineLevel="0" collapsed="false">
      <c r="A504" s="5" t="s">
        <v>1603</v>
      </c>
      <c r="B504" s="5" t="s">
        <v>101</v>
      </c>
      <c r="C504" s="5" t="s">
        <v>102</v>
      </c>
      <c r="D504" s="5" t="s">
        <v>152</v>
      </c>
      <c r="E504" s="5" t="s">
        <v>153</v>
      </c>
      <c r="F504" s="5" t="s">
        <v>204</v>
      </c>
      <c r="G504" s="5" t="s">
        <v>609</v>
      </c>
      <c r="H504" s="5" t="s">
        <v>226</v>
      </c>
      <c r="I504" s="5" t="s">
        <v>1604</v>
      </c>
      <c r="J504" s="5" t="s">
        <v>250</v>
      </c>
      <c r="K504" s="5" t="s">
        <v>611</v>
      </c>
      <c r="L504" s="5" t="s">
        <v>205</v>
      </c>
      <c r="M504" s="5" t="s">
        <v>619</v>
      </c>
      <c r="N504" s="5" t="s">
        <v>282</v>
      </c>
      <c r="O504" s="5" t="s">
        <v>613</v>
      </c>
      <c r="P504" s="5" t="str">
        <f aca="false">IF(J504="S0","—",IF(K504="","",IF(L504="E0","QM",INDEX(10_ASIL_Matrix!$D$4:$F$15,MATCH(J504&amp;"-"&amp;L504,10_ASIL_Matrix!$C$4:$C$15,0),MATCH(N504,10_ASIL_Matrix!$D$3:$F$3,0)))))</f>
        <v>QM</v>
      </c>
      <c r="Q504" s="5" t="s">
        <v>448</v>
      </c>
    </row>
    <row r="505" customFormat="false" ht="35.05" hidden="false" customHeight="false" outlineLevel="0" collapsed="false">
      <c r="A505" s="6" t="s">
        <v>1605</v>
      </c>
      <c r="B505" s="6" t="s">
        <v>101</v>
      </c>
      <c r="C505" s="6" t="s">
        <v>102</v>
      </c>
      <c r="D505" s="6" t="s">
        <v>152</v>
      </c>
      <c r="E505" s="6" t="s">
        <v>153</v>
      </c>
      <c r="F505" s="6" t="s">
        <v>204</v>
      </c>
      <c r="G505" s="6" t="s">
        <v>609</v>
      </c>
      <c r="H505" s="6" t="s">
        <v>228</v>
      </c>
      <c r="I505" s="6" t="s">
        <v>1606</v>
      </c>
      <c r="J505" s="6" t="s">
        <v>250</v>
      </c>
      <c r="K505" s="6" t="s">
        <v>611</v>
      </c>
      <c r="L505" s="6" t="s">
        <v>205</v>
      </c>
      <c r="M505" s="6" t="s">
        <v>622</v>
      </c>
      <c r="N505" s="6" t="s">
        <v>282</v>
      </c>
      <c r="O505" s="6" t="s">
        <v>613</v>
      </c>
      <c r="P505" s="6" t="str">
        <f aca="false">IF(J505="S0","—",IF(K505="","",IF(L505="E0","QM",INDEX(10_ASIL_Matrix!$D$4:$F$15,MATCH(J505&amp;"-"&amp;L505,10_ASIL_Matrix!$C$4:$C$15,0),MATCH(N505,10_ASIL_Matrix!$D$3:$F$3,0)))))</f>
        <v>QM</v>
      </c>
      <c r="Q505" s="6" t="s">
        <v>448</v>
      </c>
    </row>
    <row r="506" customFormat="false" ht="35.05" hidden="false" customHeight="false" outlineLevel="0" collapsed="false">
      <c r="A506" s="5" t="s">
        <v>1607</v>
      </c>
      <c r="B506" s="5" t="s">
        <v>101</v>
      </c>
      <c r="C506" s="5" t="s">
        <v>102</v>
      </c>
      <c r="D506" s="5" t="s">
        <v>152</v>
      </c>
      <c r="E506" s="5" t="s">
        <v>153</v>
      </c>
      <c r="F506" s="5" t="s">
        <v>204</v>
      </c>
      <c r="G506" s="5" t="s">
        <v>609</v>
      </c>
      <c r="H506" s="5" t="s">
        <v>230</v>
      </c>
      <c r="I506" s="5" t="s">
        <v>1608</v>
      </c>
      <c r="J506" s="5" t="s">
        <v>250</v>
      </c>
      <c r="K506" s="5" t="s">
        <v>611</v>
      </c>
      <c r="L506" s="5" t="s">
        <v>205</v>
      </c>
      <c r="M506" s="5" t="s">
        <v>625</v>
      </c>
      <c r="N506" s="5" t="s">
        <v>286</v>
      </c>
      <c r="O506" s="5" t="s">
        <v>626</v>
      </c>
      <c r="P506" s="19" t="str">
        <f aca="false">IF(J506="S0","—",IF(K506="","",IF(L506="E0","QM",INDEX(10_ASIL_Matrix!$D$4:$F$15,MATCH(J506&amp;"-"&amp;L506,10_ASIL_Matrix!$C$4:$C$15,0),MATCH(N506,10_ASIL_Matrix!$D$3:$F$3,0)))))</f>
        <v>A</v>
      </c>
      <c r="Q506" s="5" t="s">
        <v>448</v>
      </c>
    </row>
    <row r="507" customFormat="false" ht="46.25" hidden="false" customHeight="false" outlineLevel="0" collapsed="false">
      <c r="A507" s="6" t="s">
        <v>1609</v>
      </c>
      <c r="B507" s="6" t="s">
        <v>101</v>
      </c>
      <c r="C507" s="6" t="s">
        <v>102</v>
      </c>
      <c r="D507" s="6" t="s">
        <v>152</v>
      </c>
      <c r="E507" s="6" t="s">
        <v>153</v>
      </c>
      <c r="F507" s="6" t="s">
        <v>204</v>
      </c>
      <c r="G507" s="6" t="s">
        <v>609</v>
      </c>
      <c r="H507" s="6" t="s">
        <v>232</v>
      </c>
      <c r="I507" s="6" t="s">
        <v>1610</v>
      </c>
      <c r="J507" s="6" t="s">
        <v>250</v>
      </c>
      <c r="K507" s="6" t="s">
        <v>611</v>
      </c>
      <c r="L507" s="6" t="s">
        <v>233</v>
      </c>
      <c r="M507" s="6" t="s">
        <v>629</v>
      </c>
      <c r="N507" s="6" t="s">
        <v>282</v>
      </c>
      <c r="O507" s="6" t="s">
        <v>613</v>
      </c>
      <c r="P507" s="6" t="str">
        <f aca="false">IF(J507="S0","—",IF(K507="","",IF(L507="E0","QM",INDEX(10_ASIL_Matrix!$D$4:$F$15,MATCH(J507&amp;"-"&amp;L507,10_ASIL_Matrix!$C$4:$C$15,0),MATCH(N507,10_ASIL_Matrix!$D$3:$F$3,0)))))</f>
        <v>QM</v>
      </c>
      <c r="Q507" s="6" t="s">
        <v>448</v>
      </c>
    </row>
    <row r="508" customFormat="false" ht="35.05" hidden="false" customHeight="false" outlineLevel="0" collapsed="false">
      <c r="A508" s="5" t="s">
        <v>1611</v>
      </c>
      <c r="B508" s="5" t="s">
        <v>101</v>
      </c>
      <c r="C508" s="5" t="s">
        <v>102</v>
      </c>
      <c r="D508" s="5" t="s">
        <v>152</v>
      </c>
      <c r="E508" s="5" t="s">
        <v>153</v>
      </c>
      <c r="F508" s="5" t="s">
        <v>207</v>
      </c>
      <c r="G508" s="5" t="s">
        <v>609</v>
      </c>
      <c r="H508" s="5" t="s">
        <v>222</v>
      </c>
      <c r="I508" s="5" t="s">
        <v>1612</v>
      </c>
      <c r="J508" s="5" t="s">
        <v>238</v>
      </c>
      <c r="K508" s="5" t="s">
        <v>632</v>
      </c>
      <c r="L508" s="5" t="s">
        <v>190</v>
      </c>
      <c r="M508" s="5" t="s">
        <v>633</v>
      </c>
      <c r="N508" s="5" t="s">
        <v>278</v>
      </c>
      <c r="O508" s="5" t="s">
        <v>634</v>
      </c>
      <c r="P508" s="5" t="str">
        <f aca="false">IF(J508="S0","—",IF(K508="","",IF(L508="E0","QM",INDEX(10_ASIL_Matrix!$D$4:$F$15,MATCH(J508&amp;"-"&amp;L508,10_ASIL_Matrix!$C$4:$C$15,0),MATCH(N508,10_ASIL_Matrix!$D$3:$F$3,0)))))</f>
        <v>—</v>
      </c>
      <c r="Q508" s="5" t="s">
        <v>448</v>
      </c>
    </row>
    <row r="509" customFormat="false" ht="35.05" hidden="false" customHeight="false" outlineLevel="0" collapsed="false">
      <c r="A509" s="6" t="s">
        <v>1613</v>
      </c>
      <c r="B509" s="6" t="s">
        <v>101</v>
      </c>
      <c r="C509" s="6" t="s">
        <v>102</v>
      </c>
      <c r="D509" s="6" t="s">
        <v>152</v>
      </c>
      <c r="E509" s="6" t="s">
        <v>153</v>
      </c>
      <c r="F509" s="6" t="s">
        <v>207</v>
      </c>
      <c r="G509" s="6" t="s">
        <v>609</v>
      </c>
      <c r="H509" s="6" t="s">
        <v>224</v>
      </c>
      <c r="I509" s="6" t="s">
        <v>1614</v>
      </c>
      <c r="J509" s="6" t="s">
        <v>238</v>
      </c>
      <c r="K509" s="6" t="s">
        <v>632</v>
      </c>
      <c r="L509" s="6" t="s">
        <v>190</v>
      </c>
      <c r="M509" s="6" t="s">
        <v>637</v>
      </c>
      <c r="N509" s="6" t="s">
        <v>278</v>
      </c>
      <c r="O509" s="6" t="s">
        <v>634</v>
      </c>
      <c r="P509" s="6" t="str">
        <f aca="false">IF(J509="S0","—",IF(K509="","",IF(L509="E0","QM",INDEX(10_ASIL_Matrix!$D$4:$F$15,MATCH(J509&amp;"-"&amp;L509,10_ASIL_Matrix!$C$4:$C$15,0),MATCH(N509,10_ASIL_Matrix!$D$3:$F$3,0)))))</f>
        <v>—</v>
      </c>
      <c r="Q509" s="6" t="s">
        <v>448</v>
      </c>
    </row>
    <row r="510" customFormat="false" ht="35.05" hidden="false" customHeight="false" outlineLevel="0" collapsed="false">
      <c r="A510" s="5" t="s">
        <v>1615</v>
      </c>
      <c r="B510" s="5" t="s">
        <v>101</v>
      </c>
      <c r="C510" s="5" t="s">
        <v>102</v>
      </c>
      <c r="D510" s="5" t="s">
        <v>152</v>
      </c>
      <c r="E510" s="5" t="s">
        <v>153</v>
      </c>
      <c r="F510" s="5" t="s">
        <v>207</v>
      </c>
      <c r="G510" s="5" t="s">
        <v>609</v>
      </c>
      <c r="H510" s="5" t="s">
        <v>226</v>
      </c>
      <c r="I510" s="5" t="s">
        <v>1616</v>
      </c>
      <c r="J510" s="5" t="s">
        <v>238</v>
      </c>
      <c r="K510" s="5" t="s">
        <v>632</v>
      </c>
      <c r="L510" s="5" t="s">
        <v>190</v>
      </c>
      <c r="M510" s="5" t="s">
        <v>640</v>
      </c>
      <c r="N510" s="5" t="s">
        <v>278</v>
      </c>
      <c r="O510" s="5" t="s">
        <v>634</v>
      </c>
      <c r="P510" s="5" t="str">
        <f aca="false">IF(J510="S0","—",IF(K510="","",IF(L510="E0","QM",INDEX(10_ASIL_Matrix!$D$4:$F$15,MATCH(J510&amp;"-"&amp;L510,10_ASIL_Matrix!$C$4:$C$15,0),MATCH(N510,10_ASIL_Matrix!$D$3:$F$3,0)))))</f>
        <v>—</v>
      </c>
      <c r="Q510" s="5" t="s">
        <v>448</v>
      </c>
    </row>
    <row r="511" customFormat="false" ht="35.05" hidden="false" customHeight="false" outlineLevel="0" collapsed="false">
      <c r="A511" s="6" t="s">
        <v>1617</v>
      </c>
      <c r="B511" s="6" t="s">
        <v>101</v>
      </c>
      <c r="C511" s="6" t="s">
        <v>102</v>
      </c>
      <c r="D511" s="6" t="s">
        <v>152</v>
      </c>
      <c r="E511" s="6" t="s">
        <v>153</v>
      </c>
      <c r="F511" s="6" t="s">
        <v>207</v>
      </c>
      <c r="G511" s="6" t="s">
        <v>609</v>
      </c>
      <c r="H511" s="6" t="s">
        <v>228</v>
      </c>
      <c r="I511" s="6" t="s">
        <v>1618</v>
      </c>
      <c r="J511" s="6" t="s">
        <v>238</v>
      </c>
      <c r="K511" s="6" t="s">
        <v>632</v>
      </c>
      <c r="L511" s="6" t="s">
        <v>205</v>
      </c>
      <c r="M511" s="6" t="s">
        <v>643</v>
      </c>
      <c r="N511" s="6" t="s">
        <v>278</v>
      </c>
      <c r="O511" s="6" t="s">
        <v>634</v>
      </c>
      <c r="P511" s="6" t="str">
        <f aca="false">IF(J511="S0","—",IF(K511="","",IF(L511="E0","QM",INDEX(10_ASIL_Matrix!$D$4:$F$15,MATCH(J511&amp;"-"&amp;L511,10_ASIL_Matrix!$C$4:$C$15,0),MATCH(N511,10_ASIL_Matrix!$D$3:$F$3,0)))))</f>
        <v>—</v>
      </c>
      <c r="Q511" s="6" t="s">
        <v>448</v>
      </c>
    </row>
    <row r="512" customFormat="false" ht="35.05" hidden="false" customHeight="false" outlineLevel="0" collapsed="false">
      <c r="A512" s="5" t="s">
        <v>1619</v>
      </c>
      <c r="B512" s="5" t="s">
        <v>101</v>
      </c>
      <c r="C512" s="5" t="s">
        <v>102</v>
      </c>
      <c r="D512" s="5" t="s">
        <v>152</v>
      </c>
      <c r="E512" s="5" t="s">
        <v>153</v>
      </c>
      <c r="F512" s="5" t="s">
        <v>207</v>
      </c>
      <c r="G512" s="5" t="s">
        <v>609</v>
      </c>
      <c r="H512" s="5" t="s">
        <v>230</v>
      </c>
      <c r="I512" s="5" t="s">
        <v>1620</v>
      </c>
      <c r="J512" s="5" t="s">
        <v>238</v>
      </c>
      <c r="K512" s="5" t="s">
        <v>632</v>
      </c>
      <c r="L512" s="5" t="s">
        <v>205</v>
      </c>
      <c r="M512" s="5" t="s">
        <v>646</v>
      </c>
      <c r="N512" s="5" t="s">
        <v>278</v>
      </c>
      <c r="O512" s="5" t="s">
        <v>634</v>
      </c>
      <c r="P512" s="5" t="str">
        <f aca="false">IF(J512="S0","—",IF(K512="","",IF(L512="E0","QM",INDEX(10_ASIL_Matrix!$D$4:$F$15,MATCH(J512&amp;"-"&amp;L512,10_ASIL_Matrix!$C$4:$C$15,0),MATCH(N512,10_ASIL_Matrix!$D$3:$F$3,0)))))</f>
        <v>—</v>
      </c>
      <c r="Q512" s="5" t="s">
        <v>448</v>
      </c>
    </row>
    <row r="513" customFormat="false" ht="46.25" hidden="false" customHeight="false" outlineLevel="0" collapsed="false">
      <c r="A513" s="6" t="s">
        <v>1621</v>
      </c>
      <c r="B513" s="6" t="s">
        <v>101</v>
      </c>
      <c r="C513" s="6" t="s">
        <v>102</v>
      </c>
      <c r="D513" s="6" t="s">
        <v>152</v>
      </c>
      <c r="E513" s="6" t="s">
        <v>153</v>
      </c>
      <c r="F513" s="6" t="s">
        <v>207</v>
      </c>
      <c r="G513" s="6" t="s">
        <v>609</v>
      </c>
      <c r="H513" s="6" t="s">
        <v>232</v>
      </c>
      <c r="I513" s="6" t="s">
        <v>1622</v>
      </c>
      <c r="J513" s="6" t="s">
        <v>238</v>
      </c>
      <c r="K513" s="6" t="s">
        <v>632</v>
      </c>
      <c r="L513" s="6" t="s">
        <v>233</v>
      </c>
      <c r="M513" s="6" t="s">
        <v>649</v>
      </c>
      <c r="N513" s="6" t="s">
        <v>278</v>
      </c>
      <c r="O513" s="6" t="s">
        <v>634</v>
      </c>
      <c r="P513" s="6" t="str">
        <f aca="false">IF(J513="S0","—",IF(K513="","",IF(L513="E0","QM",INDEX(10_ASIL_Matrix!$D$4:$F$15,MATCH(J513&amp;"-"&amp;L513,10_ASIL_Matrix!$C$4:$C$15,0),MATCH(N513,10_ASIL_Matrix!$D$3:$F$3,0)))))</f>
        <v>—</v>
      </c>
      <c r="Q513" s="6" t="s">
        <v>448</v>
      </c>
    </row>
    <row r="514" customFormat="false" ht="35.05" hidden="false" customHeight="false" outlineLevel="0" collapsed="false">
      <c r="A514" s="5" t="s">
        <v>1623</v>
      </c>
      <c r="B514" s="5" t="s">
        <v>101</v>
      </c>
      <c r="C514" s="5" t="s">
        <v>102</v>
      </c>
      <c r="D514" s="5" t="s">
        <v>152</v>
      </c>
      <c r="E514" s="5" t="s">
        <v>153</v>
      </c>
      <c r="F514" s="5" t="s">
        <v>209</v>
      </c>
      <c r="G514" s="5" t="s">
        <v>570</v>
      </c>
      <c r="H514" s="5" t="s">
        <v>222</v>
      </c>
      <c r="I514" s="5" t="s">
        <v>1624</v>
      </c>
      <c r="J514" s="5" t="s">
        <v>250</v>
      </c>
      <c r="K514" s="5" t="s">
        <v>652</v>
      </c>
      <c r="L514" s="5" t="s">
        <v>190</v>
      </c>
      <c r="M514" s="5" t="s">
        <v>653</v>
      </c>
      <c r="N514" s="5" t="s">
        <v>286</v>
      </c>
      <c r="O514" s="5" t="s">
        <v>470</v>
      </c>
      <c r="P514" s="18" t="str">
        <f aca="false">IF(J514="S0","—",IF(K514="","",IF(L514="E0","QM",INDEX(10_ASIL_Matrix!$D$4:$F$15,MATCH(J514&amp;"-"&amp;L514,10_ASIL_Matrix!$C$4:$C$15,0),MATCH(N514,10_ASIL_Matrix!$D$3:$F$3,0)))))</f>
        <v>B</v>
      </c>
      <c r="Q514" s="5" t="s">
        <v>448</v>
      </c>
    </row>
    <row r="515" customFormat="false" ht="35.05" hidden="false" customHeight="false" outlineLevel="0" collapsed="false">
      <c r="A515" s="6" t="s">
        <v>1625</v>
      </c>
      <c r="B515" s="6" t="s">
        <v>101</v>
      </c>
      <c r="C515" s="6" t="s">
        <v>102</v>
      </c>
      <c r="D515" s="6" t="s">
        <v>152</v>
      </c>
      <c r="E515" s="6" t="s">
        <v>153</v>
      </c>
      <c r="F515" s="6" t="s">
        <v>209</v>
      </c>
      <c r="G515" s="6" t="s">
        <v>570</v>
      </c>
      <c r="H515" s="6" t="s">
        <v>224</v>
      </c>
      <c r="I515" s="6" t="s">
        <v>1626</v>
      </c>
      <c r="J515" s="6" t="s">
        <v>250</v>
      </c>
      <c r="K515" s="6" t="s">
        <v>652</v>
      </c>
      <c r="L515" s="6" t="s">
        <v>190</v>
      </c>
      <c r="M515" s="6" t="s">
        <v>656</v>
      </c>
      <c r="N515" s="6" t="s">
        <v>286</v>
      </c>
      <c r="O515" s="6" t="s">
        <v>470</v>
      </c>
      <c r="P515" s="18" t="str">
        <f aca="false">IF(J515="S0","—",IF(K515="","",IF(L515="E0","QM",INDEX(10_ASIL_Matrix!$D$4:$F$15,MATCH(J515&amp;"-"&amp;L515,10_ASIL_Matrix!$C$4:$C$15,0),MATCH(N515,10_ASIL_Matrix!$D$3:$F$3,0)))))</f>
        <v>B</v>
      </c>
      <c r="Q515" s="6" t="s">
        <v>448</v>
      </c>
    </row>
    <row r="516" customFormat="false" ht="35.05" hidden="false" customHeight="false" outlineLevel="0" collapsed="false">
      <c r="A516" s="5" t="s">
        <v>1627</v>
      </c>
      <c r="B516" s="5" t="s">
        <v>101</v>
      </c>
      <c r="C516" s="5" t="s">
        <v>102</v>
      </c>
      <c r="D516" s="5" t="s">
        <v>152</v>
      </c>
      <c r="E516" s="5" t="s">
        <v>153</v>
      </c>
      <c r="F516" s="5" t="s">
        <v>209</v>
      </c>
      <c r="G516" s="5" t="s">
        <v>570</v>
      </c>
      <c r="H516" s="5" t="s">
        <v>226</v>
      </c>
      <c r="I516" s="5" t="s">
        <v>1628</v>
      </c>
      <c r="J516" s="5" t="s">
        <v>250</v>
      </c>
      <c r="K516" s="5" t="s">
        <v>652</v>
      </c>
      <c r="L516" s="5" t="s">
        <v>190</v>
      </c>
      <c r="M516" s="5" t="s">
        <v>659</v>
      </c>
      <c r="N516" s="5" t="s">
        <v>286</v>
      </c>
      <c r="O516" s="5" t="s">
        <v>470</v>
      </c>
      <c r="P516" s="18" t="str">
        <f aca="false">IF(J516="S0","—",IF(K516="","",IF(L516="E0","QM",INDEX(10_ASIL_Matrix!$D$4:$F$15,MATCH(J516&amp;"-"&amp;L516,10_ASIL_Matrix!$C$4:$C$15,0),MATCH(N516,10_ASIL_Matrix!$D$3:$F$3,0)))))</f>
        <v>B</v>
      </c>
      <c r="Q516" s="5" t="s">
        <v>448</v>
      </c>
    </row>
    <row r="517" customFormat="false" ht="35.05" hidden="false" customHeight="false" outlineLevel="0" collapsed="false">
      <c r="A517" s="6" t="s">
        <v>1629</v>
      </c>
      <c r="B517" s="6" t="s">
        <v>101</v>
      </c>
      <c r="C517" s="6" t="s">
        <v>102</v>
      </c>
      <c r="D517" s="6" t="s">
        <v>152</v>
      </c>
      <c r="E517" s="6" t="s">
        <v>153</v>
      </c>
      <c r="F517" s="6" t="s">
        <v>209</v>
      </c>
      <c r="G517" s="6" t="s">
        <v>570</v>
      </c>
      <c r="H517" s="6" t="s">
        <v>228</v>
      </c>
      <c r="I517" s="6" t="s">
        <v>1630</v>
      </c>
      <c r="J517" s="6" t="s">
        <v>250</v>
      </c>
      <c r="K517" s="6" t="s">
        <v>652</v>
      </c>
      <c r="L517" s="6" t="s">
        <v>205</v>
      </c>
      <c r="M517" s="6" t="s">
        <v>662</v>
      </c>
      <c r="N517" s="6" t="s">
        <v>286</v>
      </c>
      <c r="O517" s="6" t="s">
        <v>470</v>
      </c>
      <c r="P517" s="19" t="str">
        <f aca="false">IF(J517="S0","—",IF(K517="","",IF(L517="E0","QM",INDEX(10_ASIL_Matrix!$D$4:$F$15,MATCH(J517&amp;"-"&amp;L517,10_ASIL_Matrix!$C$4:$C$15,0),MATCH(N517,10_ASIL_Matrix!$D$3:$F$3,0)))))</f>
        <v>A</v>
      </c>
      <c r="Q517" s="6" t="s">
        <v>448</v>
      </c>
    </row>
    <row r="518" customFormat="false" ht="46.25" hidden="false" customHeight="false" outlineLevel="0" collapsed="false">
      <c r="A518" s="5" t="s">
        <v>1631</v>
      </c>
      <c r="B518" s="5" t="s">
        <v>101</v>
      </c>
      <c r="C518" s="5" t="s">
        <v>102</v>
      </c>
      <c r="D518" s="5" t="s">
        <v>152</v>
      </c>
      <c r="E518" s="5" t="s">
        <v>153</v>
      </c>
      <c r="F518" s="5" t="s">
        <v>209</v>
      </c>
      <c r="G518" s="5" t="s">
        <v>570</v>
      </c>
      <c r="H518" s="5" t="s">
        <v>230</v>
      </c>
      <c r="I518" s="5" t="s">
        <v>1632</v>
      </c>
      <c r="J518" s="5" t="s">
        <v>250</v>
      </c>
      <c r="K518" s="5" t="s">
        <v>652</v>
      </c>
      <c r="L518" s="5" t="s">
        <v>205</v>
      </c>
      <c r="M518" s="5" t="s">
        <v>665</v>
      </c>
      <c r="N518" s="5" t="s">
        <v>290</v>
      </c>
      <c r="O518" s="5" t="s">
        <v>483</v>
      </c>
      <c r="P518" s="18" t="str">
        <f aca="false">IF(J518="S0","—",IF(K518="","",IF(L518="E0","QM",INDEX(10_ASIL_Matrix!$D$4:$F$15,MATCH(J518&amp;"-"&amp;L518,10_ASIL_Matrix!$C$4:$C$15,0),MATCH(N518,10_ASIL_Matrix!$D$3:$F$3,0)))))</f>
        <v>B</v>
      </c>
      <c r="Q518" s="5" t="s">
        <v>448</v>
      </c>
    </row>
    <row r="519" customFormat="false" ht="46.25" hidden="false" customHeight="false" outlineLevel="0" collapsed="false">
      <c r="A519" s="6" t="s">
        <v>1633</v>
      </c>
      <c r="B519" s="6" t="s">
        <v>101</v>
      </c>
      <c r="C519" s="6" t="s">
        <v>102</v>
      </c>
      <c r="D519" s="6" t="s">
        <v>152</v>
      </c>
      <c r="E519" s="6" t="s">
        <v>153</v>
      </c>
      <c r="F519" s="6" t="s">
        <v>209</v>
      </c>
      <c r="G519" s="6" t="s">
        <v>570</v>
      </c>
      <c r="H519" s="6" t="s">
        <v>232</v>
      </c>
      <c r="I519" s="6" t="s">
        <v>1634</v>
      </c>
      <c r="J519" s="6" t="s">
        <v>250</v>
      </c>
      <c r="K519" s="6" t="s">
        <v>652</v>
      </c>
      <c r="L519" s="6" t="s">
        <v>233</v>
      </c>
      <c r="M519" s="6" t="s">
        <v>668</v>
      </c>
      <c r="N519" s="6" t="s">
        <v>286</v>
      </c>
      <c r="O519" s="6" t="s">
        <v>470</v>
      </c>
      <c r="P519" s="6" t="str">
        <f aca="false">IF(J519="S0","—",IF(K519="","",IF(L519="E0","QM",INDEX(10_ASIL_Matrix!$D$4:$F$15,MATCH(J519&amp;"-"&amp;L519,10_ASIL_Matrix!$C$4:$C$15,0),MATCH(N519,10_ASIL_Matrix!$D$3:$F$3,0)))))</f>
        <v>QM</v>
      </c>
      <c r="Q519" s="6" t="s">
        <v>448</v>
      </c>
    </row>
    <row r="520" customFormat="false" ht="35.05" hidden="false" customHeight="false" outlineLevel="0" collapsed="false">
      <c r="A520" s="5" t="s">
        <v>1635</v>
      </c>
      <c r="B520" s="5" t="s">
        <v>101</v>
      </c>
      <c r="C520" s="5" t="s">
        <v>102</v>
      </c>
      <c r="D520" s="5" t="s">
        <v>152</v>
      </c>
      <c r="E520" s="5" t="s">
        <v>153</v>
      </c>
      <c r="F520" s="5" t="s">
        <v>211</v>
      </c>
      <c r="G520" s="5" t="s">
        <v>609</v>
      </c>
      <c r="H520" s="5" t="s">
        <v>222</v>
      </c>
      <c r="I520" s="5" t="s">
        <v>1636</v>
      </c>
      <c r="J520" s="5" t="s">
        <v>238</v>
      </c>
      <c r="K520" s="5" t="s">
        <v>1637</v>
      </c>
      <c r="L520" s="5" t="s">
        <v>187</v>
      </c>
      <c r="M520" s="5" t="s">
        <v>672</v>
      </c>
      <c r="N520" s="5" t="s">
        <v>278</v>
      </c>
      <c r="O520" s="5" t="s">
        <v>634</v>
      </c>
      <c r="P520" s="5" t="str">
        <f aca="false">IF(J520="S0","—",IF(K520="","",IF(L520="E0","QM",INDEX(10_ASIL_Matrix!$D$4:$F$15,MATCH(J520&amp;"-"&amp;L520,10_ASIL_Matrix!$C$4:$C$15,0),MATCH(N520,10_ASIL_Matrix!$D$3:$F$3,0)))))</f>
        <v>—</v>
      </c>
      <c r="Q520" s="5" t="s">
        <v>448</v>
      </c>
    </row>
    <row r="521" customFormat="false" ht="35.05" hidden="false" customHeight="false" outlineLevel="0" collapsed="false">
      <c r="A521" s="6" t="s">
        <v>1638</v>
      </c>
      <c r="B521" s="6" t="s">
        <v>101</v>
      </c>
      <c r="C521" s="6" t="s">
        <v>102</v>
      </c>
      <c r="D521" s="6" t="s">
        <v>152</v>
      </c>
      <c r="E521" s="6" t="s">
        <v>153</v>
      </c>
      <c r="F521" s="6" t="s">
        <v>211</v>
      </c>
      <c r="G521" s="6" t="s">
        <v>609</v>
      </c>
      <c r="H521" s="6" t="s">
        <v>224</v>
      </c>
      <c r="I521" s="6" t="s">
        <v>1639</v>
      </c>
      <c r="J521" s="6" t="s">
        <v>238</v>
      </c>
      <c r="K521" s="6" t="s">
        <v>1637</v>
      </c>
      <c r="L521" s="6" t="s">
        <v>190</v>
      </c>
      <c r="M521" s="6" t="s">
        <v>675</v>
      </c>
      <c r="N521" s="6" t="s">
        <v>278</v>
      </c>
      <c r="O521" s="6" t="s">
        <v>634</v>
      </c>
      <c r="P521" s="6" t="str">
        <f aca="false">IF(J521="S0","—",IF(K521="","",IF(L521="E0","QM",INDEX(10_ASIL_Matrix!$D$4:$F$15,MATCH(J521&amp;"-"&amp;L521,10_ASIL_Matrix!$C$4:$C$15,0),MATCH(N521,10_ASIL_Matrix!$D$3:$F$3,0)))))</f>
        <v>—</v>
      </c>
      <c r="Q521" s="6" t="s">
        <v>448</v>
      </c>
    </row>
    <row r="522" customFormat="false" ht="35.05" hidden="false" customHeight="false" outlineLevel="0" collapsed="false">
      <c r="A522" s="5" t="s">
        <v>1640</v>
      </c>
      <c r="B522" s="5" t="s">
        <v>101</v>
      </c>
      <c r="C522" s="5" t="s">
        <v>102</v>
      </c>
      <c r="D522" s="5" t="s">
        <v>152</v>
      </c>
      <c r="E522" s="5" t="s">
        <v>153</v>
      </c>
      <c r="F522" s="5" t="s">
        <v>211</v>
      </c>
      <c r="G522" s="5" t="s">
        <v>609</v>
      </c>
      <c r="H522" s="5" t="s">
        <v>226</v>
      </c>
      <c r="I522" s="5" t="s">
        <v>1641</v>
      </c>
      <c r="J522" s="5" t="s">
        <v>238</v>
      </c>
      <c r="K522" s="5" t="s">
        <v>1637</v>
      </c>
      <c r="L522" s="5" t="s">
        <v>190</v>
      </c>
      <c r="M522" s="5" t="s">
        <v>678</v>
      </c>
      <c r="N522" s="5" t="s">
        <v>278</v>
      </c>
      <c r="O522" s="5" t="s">
        <v>634</v>
      </c>
      <c r="P522" s="5" t="str">
        <f aca="false">IF(J522="S0","—",IF(K522="","",IF(L522="E0","QM",INDEX(10_ASIL_Matrix!$D$4:$F$15,MATCH(J522&amp;"-"&amp;L522,10_ASIL_Matrix!$C$4:$C$15,0),MATCH(N522,10_ASIL_Matrix!$D$3:$F$3,0)))))</f>
        <v>—</v>
      </c>
      <c r="Q522" s="5" t="s">
        <v>448</v>
      </c>
    </row>
    <row r="523" customFormat="false" ht="35.05" hidden="false" customHeight="false" outlineLevel="0" collapsed="false">
      <c r="A523" s="6" t="s">
        <v>1642</v>
      </c>
      <c r="B523" s="6" t="s">
        <v>101</v>
      </c>
      <c r="C523" s="6" t="s">
        <v>102</v>
      </c>
      <c r="D523" s="6" t="s">
        <v>152</v>
      </c>
      <c r="E523" s="6" t="s">
        <v>153</v>
      </c>
      <c r="F523" s="6" t="s">
        <v>211</v>
      </c>
      <c r="G523" s="6" t="s">
        <v>609</v>
      </c>
      <c r="H523" s="6" t="s">
        <v>228</v>
      </c>
      <c r="I523" s="6" t="s">
        <v>1643</v>
      </c>
      <c r="J523" s="6" t="s">
        <v>238</v>
      </c>
      <c r="K523" s="6" t="s">
        <v>1637</v>
      </c>
      <c r="L523" s="6" t="s">
        <v>205</v>
      </c>
      <c r="M523" s="6" t="s">
        <v>681</v>
      </c>
      <c r="N523" s="6" t="s">
        <v>278</v>
      </c>
      <c r="O523" s="6" t="s">
        <v>634</v>
      </c>
      <c r="P523" s="6" t="str">
        <f aca="false">IF(J523="S0","—",IF(K523="","",IF(L523="E0","QM",INDEX(10_ASIL_Matrix!$D$4:$F$15,MATCH(J523&amp;"-"&amp;L523,10_ASIL_Matrix!$C$4:$C$15,0),MATCH(N523,10_ASIL_Matrix!$D$3:$F$3,0)))))</f>
        <v>—</v>
      </c>
      <c r="Q523" s="6" t="s">
        <v>448</v>
      </c>
    </row>
    <row r="524" customFormat="false" ht="35.05" hidden="false" customHeight="false" outlineLevel="0" collapsed="false">
      <c r="A524" s="5" t="s">
        <v>1644</v>
      </c>
      <c r="B524" s="5" t="s">
        <v>101</v>
      </c>
      <c r="C524" s="5" t="s">
        <v>102</v>
      </c>
      <c r="D524" s="5" t="s">
        <v>152</v>
      </c>
      <c r="E524" s="5" t="s">
        <v>153</v>
      </c>
      <c r="F524" s="5" t="s">
        <v>211</v>
      </c>
      <c r="G524" s="5" t="s">
        <v>609</v>
      </c>
      <c r="H524" s="5" t="s">
        <v>230</v>
      </c>
      <c r="I524" s="5" t="s">
        <v>1645</v>
      </c>
      <c r="J524" s="5" t="s">
        <v>238</v>
      </c>
      <c r="K524" s="5" t="s">
        <v>1637</v>
      </c>
      <c r="L524" s="5" t="s">
        <v>205</v>
      </c>
      <c r="M524" s="5" t="s">
        <v>684</v>
      </c>
      <c r="N524" s="5" t="s">
        <v>278</v>
      </c>
      <c r="O524" s="5" t="s">
        <v>634</v>
      </c>
      <c r="P524" s="5" t="str">
        <f aca="false">IF(J524="S0","—",IF(K524="","",IF(L524="E0","QM",INDEX(10_ASIL_Matrix!$D$4:$F$15,MATCH(J524&amp;"-"&amp;L524,10_ASIL_Matrix!$C$4:$C$15,0),MATCH(N524,10_ASIL_Matrix!$D$3:$F$3,0)))))</f>
        <v>—</v>
      </c>
      <c r="Q524" s="5" t="s">
        <v>448</v>
      </c>
    </row>
    <row r="525" customFormat="false" ht="46.25" hidden="false" customHeight="false" outlineLevel="0" collapsed="false">
      <c r="A525" s="6" t="s">
        <v>1646</v>
      </c>
      <c r="B525" s="6" t="s">
        <v>101</v>
      </c>
      <c r="C525" s="6" t="s">
        <v>102</v>
      </c>
      <c r="D525" s="6" t="s">
        <v>152</v>
      </c>
      <c r="E525" s="6" t="s">
        <v>153</v>
      </c>
      <c r="F525" s="6" t="s">
        <v>211</v>
      </c>
      <c r="G525" s="6" t="s">
        <v>609</v>
      </c>
      <c r="H525" s="6" t="s">
        <v>232</v>
      </c>
      <c r="I525" s="6" t="s">
        <v>1647</v>
      </c>
      <c r="J525" s="6" t="s">
        <v>238</v>
      </c>
      <c r="K525" s="6" t="s">
        <v>1637</v>
      </c>
      <c r="L525" s="6" t="s">
        <v>233</v>
      </c>
      <c r="M525" s="6" t="s">
        <v>687</v>
      </c>
      <c r="N525" s="6" t="s">
        <v>278</v>
      </c>
      <c r="O525" s="6" t="s">
        <v>634</v>
      </c>
      <c r="P525" s="6" t="str">
        <f aca="false">IF(J525="S0","—",IF(K525="","",IF(L525="E0","QM",INDEX(10_ASIL_Matrix!$D$4:$F$15,MATCH(J525&amp;"-"&amp;L525,10_ASIL_Matrix!$C$4:$C$15,0),MATCH(N525,10_ASIL_Matrix!$D$3:$F$3,0)))))</f>
        <v>—</v>
      </c>
      <c r="Q525" s="6" t="s">
        <v>448</v>
      </c>
    </row>
    <row r="526" customFormat="false" ht="46.25" hidden="false" customHeight="false" outlineLevel="0" collapsed="false">
      <c r="A526" s="5" t="s">
        <v>1648</v>
      </c>
      <c r="B526" s="5" t="s">
        <v>101</v>
      </c>
      <c r="C526" s="5" t="s">
        <v>102</v>
      </c>
      <c r="D526" s="5" t="s">
        <v>152</v>
      </c>
      <c r="E526" s="5" t="s">
        <v>153</v>
      </c>
      <c r="F526" s="5" t="s">
        <v>213</v>
      </c>
      <c r="G526" s="5" t="s">
        <v>689</v>
      </c>
      <c r="H526" s="5" t="s">
        <v>222</v>
      </c>
      <c r="I526" s="5" t="s">
        <v>1649</v>
      </c>
      <c r="J526" s="5" t="s">
        <v>250</v>
      </c>
      <c r="K526" s="5" t="s">
        <v>691</v>
      </c>
      <c r="L526" s="5" t="s">
        <v>205</v>
      </c>
      <c r="M526" s="5" t="s">
        <v>692</v>
      </c>
      <c r="N526" s="5" t="s">
        <v>290</v>
      </c>
      <c r="O526" s="5" t="s">
        <v>693</v>
      </c>
      <c r="P526" s="18" t="str">
        <f aca="false">IF(J526="S0","—",IF(K526="","",IF(L526="E0","QM",INDEX(10_ASIL_Matrix!$D$4:$F$15,MATCH(J526&amp;"-"&amp;L526,10_ASIL_Matrix!$C$4:$C$15,0),MATCH(N526,10_ASIL_Matrix!$D$3:$F$3,0)))))</f>
        <v>B</v>
      </c>
      <c r="Q526" s="5" t="s">
        <v>448</v>
      </c>
    </row>
    <row r="527" customFormat="false" ht="46.25" hidden="false" customHeight="false" outlineLevel="0" collapsed="false">
      <c r="A527" s="6" t="s">
        <v>1650</v>
      </c>
      <c r="B527" s="6" t="s">
        <v>101</v>
      </c>
      <c r="C527" s="6" t="s">
        <v>102</v>
      </c>
      <c r="D527" s="6" t="s">
        <v>152</v>
      </c>
      <c r="E527" s="6" t="s">
        <v>153</v>
      </c>
      <c r="F527" s="6" t="s">
        <v>213</v>
      </c>
      <c r="G527" s="6" t="s">
        <v>689</v>
      </c>
      <c r="H527" s="6" t="s">
        <v>224</v>
      </c>
      <c r="I527" s="6" t="s">
        <v>1651</v>
      </c>
      <c r="J527" s="6" t="s">
        <v>250</v>
      </c>
      <c r="K527" s="6" t="s">
        <v>691</v>
      </c>
      <c r="L527" s="6" t="s">
        <v>205</v>
      </c>
      <c r="M527" s="6" t="s">
        <v>696</v>
      </c>
      <c r="N527" s="6" t="s">
        <v>290</v>
      </c>
      <c r="O527" s="6" t="s">
        <v>693</v>
      </c>
      <c r="P527" s="18" t="str">
        <f aca="false">IF(J527="S0","—",IF(K527="","",IF(L527="E0","QM",INDEX(10_ASIL_Matrix!$D$4:$F$15,MATCH(J527&amp;"-"&amp;L527,10_ASIL_Matrix!$C$4:$C$15,0),MATCH(N527,10_ASIL_Matrix!$D$3:$F$3,0)))))</f>
        <v>B</v>
      </c>
      <c r="Q527" s="6" t="s">
        <v>448</v>
      </c>
    </row>
    <row r="528" customFormat="false" ht="46.25" hidden="false" customHeight="false" outlineLevel="0" collapsed="false">
      <c r="A528" s="5" t="s">
        <v>1652</v>
      </c>
      <c r="B528" s="5" t="s">
        <v>101</v>
      </c>
      <c r="C528" s="5" t="s">
        <v>102</v>
      </c>
      <c r="D528" s="5" t="s">
        <v>152</v>
      </c>
      <c r="E528" s="5" t="s">
        <v>153</v>
      </c>
      <c r="F528" s="5" t="s">
        <v>213</v>
      </c>
      <c r="G528" s="5" t="s">
        <v>689</v>
      </c>
      <c r="H528" s="5" t="s">
        <v>226</v>
      </c>
      <c r="I528" s="5" t="s">
        <v>1653</v>
      </c>
      <c r="J528" s="5" t="s">
        <v>250</v>
      </c>
      <c r="K528" s="5" t="s">
        <v>691</v>
      </c>
      <c r="L528" s="5" t="s">
        <v>205</v>
      </c>
      <c r="M528" s="5" t="s">
        <v>699</v>
      </c>
      <c r="N528" s="5" t="s">
        <v>290</v>
      </c>
      <c r="O528" s="5" t="s">
        <v>693</v>
      </c>
      <c r="P528" s="18" t="str">
        <f aca="false">IF(J528="S0","—",IF(K528="","",IF(L528="E0","QM",INDEX(10_ASIL_Matrix!$D$4:$F$15,MATCH(J528&amp;"-"&amp;L528,10_ASIL_Matrix!$C$4:$C$15,0),MATCH(N528,10_ASIL_Matrix!$D$3:$F$3,0)))))</f>
        <v>B</v>
      </c>
      <c r="Q528" s="5" t="s">
        <v>448</v>
      </c>
    </row>
    <row r="529" customFormat="false" ht="46.25" hidden="false" customHeight="false" outlineLevel="0" collapsed="false">
      <c r="A529" s="6" t="s">
        <v>1654</v>
      </c>
      <c r="B529" s="6" t="s">
        <v>101</v>
      </c>
      <c r="C529" s="6" t="s">
        <v>102</v>
      </c>
      <c r="D529" s="6" t="s">
        <v>152</v>
      </c>
      <c r="E529" s="6" t="s">
        <v>153</v>
      </c>
      <c r="F529" s="6" t="s">
        <v>213</v>
      </c>
      <c r="G529" s="6" t="s">
        <v>689</v>
      </c>
      <c r="H529" s="6" t="s">
        <v>228</v>
      </c>
      <c r="I529" s="6" t="s">
        <v>1655</v>
      </c>
      <c r="J529" s="6" t="s">
        <v>250</v>
      </c>
      <c r="K529" s="6" t="s">
        <v>691</v>
      </c>
      <c r="L529" s="6" t="s">
        <v>205</v>
      </c>
      <c r="M529" s="6" t="s">
        <v>702</v>
      </c>
      <c r="N529" s="6" t="s">
        <v>290</v>
      </c>
      <c r="O529" s="6" t="s">
        <v>693</v>
      </c>
      <c r="P529" s="18" t="str">
        <f aca="false">IF(J529="S0","—",IF(K529="","",IF(L529="E0","QM",INDEX(10_ASIL_Matrix!$D$4:$F$15,MATCH(J529&amp;"-"&amp;L529,10_ASIL_Matrix!$C$4:$C$15,0),MATCH(N529,10_ASIL_Matrix!$D$3:$F$3,0)))))</f>
        <v>B</v>
      </c>
      <c r="Q529" s="6" t="s">
        <v>448</v>
      </c>
    </row>
    <row r="530" customFormat="false" ht="46.25" hidden="false" customHeight="false" outlineLevel="0" collapsed="false">
      <c r="A530" s="5" t="s">
        <v>1656</v>
      </c>
      <c r="B530" s="5" t="s">
        <v>101</v>
      </c>
      <c r="C530" s="5" t="s">
        <v>102</v>
      </c>
      <c r="D530" s="5" t="s">
        <v>152</v>
      </c>
      <c r="E530" s="5" t="s">
        <v>153</v>
      </c>
      <c r="F530" s="5" t="s">
        <v>213</v>
      </c>
      <c r="G530" s="5" t="s">
        <v>689</v>
      </c>
      <c r="H530" s="5" t="s">
        <v>230</v>
      </c>
      <c r="I530" s="5" t="s">
        <v>1657</v>
      </c>
      <c r="J530" s="5" t="s">
        <v>250</v>
      </c>
      <c r="K530" s="5" t="s">
        <v>691</v>
      </c>
      <c r="L530" s="5" t="s">
        <v>205</v>
      </c>
      <c r="M530" s="5" t="s">
        <v>705</v>
      </c>
      <c r="N530" s="5" t="s">
        <v>290</v>
      </c>
      <c r="O530" s="5" t="s">
        <v>706</v>
      </c>
      <c r="P530" s="18" t="str">
        <f aca="false">IF(J530="S0","—",IF(K530="","",IF(L530="E0","QM",INDEX(10_ASIL_Matrix!$D$4:$F$15,MATCH(J530&amp;"-"&amp;L530,10_ASIL_Matrix!$C$4:$C$15,0),MATCH(N530,10_ASIL_Matrix!$D$3:$F$3,0)))))</f>
        <v>B</v>
      </c>
      <c r="Q530" s="5" t="s">
        <v>448</v>
      </c>
    </row>
    <row r="531" customFormat="false" ht="46.25" hidden="false" customHeight="false" outlineLevel="0" collapsed="false">
      <c r="A531" s="6" t="s">
        <v>1658</v>
      </c>
      <c r="B531" s="6" t="s">
        <v>101</v>
      </c>
      <c r="C531" s="6" t="s">
        <v>102</v>
      </c>
      <c r="D531" s="6" t="s">
        <v>152</v>
      </c>
      <c r="E531" s="6" t="s">
        <v>153</v>
      </c>
      <c r="F531" s="6" t="s">
        <v>213</v>
      </c>
      <c r="G531" s="6" t="s">
        <v>689</v>
      </c>
      <c r="H531" s="6" t="s">
        <v>232</v>
      </c>
      <c r="I531" s="6" t="s">
        <v>1659</v>
      </c>
      <c r="J531" s="6" t="s">
        <v>250</v>
      </c>
      <c r="K531" s="6" t="s">
        <v>691</v>
      </c>
      <c r="L531" s="6" t="s">
        <v>233</v>
      </c>
      <c r="M531" s="6" t="s">
        <v>709</v>
      </c>
      <c r="N531" s="6" t="s">
        <v>290</v>
      </c>
      <c r="O531" s="6" t="s">
        <v>693</v>
      </c>
      <c r="P531" s="19" t="str">
        <f aca="false">IF(J531="S0","—",IF(K531="","",IF(L531="E0","QM",INDEX(10_ASIL_Matrix!$D$4:$F$15,MATCH(J531&amp;"-"&amp;L531,10_ASIL_Matrix!$C$4:$C$15,0),MATCH(N531,10_ASIL_Matrix!$D$3:$F$3,0)))))</f>
        <v>A</v>
      </c>
      <c r="Q531" s="6" t="s">
        <v>448</v>
      </c>
    </row>
    <row r="532" customFormat="false" ht="35.05" hidden="false" customHeight="false" outlineLevel="0" collapsed="false">
      <c r="A532" s="5" t="s">
        <v>1660</v>
      </c>
      <c r="B532" s="5" t="s">
        <v>101</v>
      </c>
      <c r="C532" s="5" t="s">
        <v>102</v>
      </c>
      <c r="D532" s="5" t="s">
        <v>152</v>
      </c>
      <c r="E532" s="5" t="s">
        <v>153</v>
      </c>
      <c r="F532" s="5" t="s">
        <v>215</v>
      </c>
      <c r="G532" s="5" t="s">
        <v>711</v>
      </c>
      <c r="H532" s="5" t="s">
        <v>222</v>
      </c>
      <c r="I532" s="5" t="s">
        <v>1661</v>
      </c>
      <c r="J532" s="5" t="s">
        <v>250</v>
      </c>
      <c r="K532" s="5" t="s">
        <v>713</v>
      </c>
      <c r="L532" s="5" t="s">
        <v>190</v>
      </c>
      <c r="M532" s="5" t="s">
        <v>714</v>
      </c>
      <c r="N532" s="5" t="s">
        <v>282</v>
      </c>
      <c r="O532" s="5" t="s">
        <v>447</v>
      </c>
      <c r="P532" s="19" t="str">
        <f aca="false">IF(J532="S0","—",IF(K532="","",IF(L532="E0","QM",INDEX(10_ASIL_Matrix!$D$4:$F$15,MATCH(J532&amp;"-"&amp;L532,10_ASIL_Matrix!$C$4:$C$15,0),MATCH(N532,10_ASIL_Matrix!$D$3:$F$3,0)))))</f>
        <v>A</v>
      </c>
      <c r="Q532" s="5" t="s">
        <v>448</v>
      </c>
    </row>
    <row r="533" customFormat="false" ht="35.05" hidden="false" customHeight="false" outlineLevel="0" collapsed="false">
      <c r="A533" s="6" t="s">
        <v>1662</v>
      </c>
      <c r="B533" s="6" t="s">
        <v>101</v>
      </c>
      <c r="C533" s="6" t="s">
        <v>102</v>
      </c>
      <c r="D533" s="6" t="s">
        <v>152</v>
      </c>
      <c r="E533" s="6" t="s">
        <v>153</v>
      </c>
      <c r="F533" s="6" t="s">
        <v>215</v>
      </c>
      <c r="G533" s="6" t="s">
        <v>711</v>
      </c>
      <c r="H533" s="6" t="s">
        <v>224</v>
      </c>
      <c r="I533" s="6" t="s">
        <v>1663</v>
      </c>
      <c r="J533" s="6" t="s">
        <v>250</v>
      </c>
      <c r="K533" s="6" t="s">
        <v>713</v>
      </c>
      <c r="L533" s="6" t="s">
        <v>190</v>
      </c>
      <c r="M533" s="6" t="s">
        <v>717</v>
      </c>
      <c r="N533" s="6" t="s">
        <v>282</v>
      </c>
      <c r="O533" s="6" t="s">
        <v>447</v>
      </c>
      <c r="P533" s="19" t="str">
        <f aca="false">IF(J533="S0","—",IF(K533="","",IF(L533="E0","QM",INDEX(10_ASIL_Matrix!$D$4:$F$15,MATCH(J533&amp;"-"&amp;L533,10_ASIL_Matrix!$C$4:$C$15,0),MATCH(N533,10_ASIL_Matrix!$D$3:$F$3,0)))))</f>
        <v>A</v>
      </c>
      <c r="Q533" s="6" t="s">
        <v>448</v>
      </c>
    </row>
    <row r="534" customFormat="false" ht="35.05" hidden="false" customHeight="false" outlineLevel="0" collapsed="false">
      <c r="A534" s="5" t="s">
        <v>1664</v>
      </c>
      <c r="B534" s="5" t="s">
        <v>101</v>
      </c>
      <c r="C534" s="5" t="s">
        <v>102</v>
      </c>
      <c r="D534" s="5" t="s">
        <v>152</v>
      </c>
      <c r="E534" s="5" t="s">
        <v>153</v>
      </c>
      <c r="F534" s="5" t="s">
        <v>215</v>
      </c>
      <c r="G534" s="5" t="s">
        <v>711</v>
      </c>
      <c r="H534" s="5" t="s">
        <v>226</v>
      </c>
      <c r="I534" s="5" t="s">
        <v>1665</v>
      </c>
      <c r="J534" s="5" t="s">
        <v>250</v>
      </c>
      <c r="K534" s="5" t="s">
        <v>713</v>
      </c>
      <c r="L534" s="5" t="s">
        <v>190</v>
      </c>
      <c r="M534" s="5" t="s">
        <v>720</v>
      </c>
      <c r="N534" s="5" t="s">
        <v>282</v>
      </c>
      <c r="O534" s="5" t="s">
        <v>447</v>
      </c>
      <c r="P534" s="19" t="str">
        <f aca="false">IF(J534="S0","—",IF(K534="","",IF(L534="E0","QM",INDEX(10_ASIL_Matrix!$D$4:$F$15,MATCH(J534&amp;"-"&amp;L534,10_ASIL_Matrix!$C$4:$C$15,0),MATCH(N534,10_ASIL_Matrix!$D$3:$F$3,0)))))</f>
        <v>A</v>
      </c>
      <c r="Q534" s="5" t="s">
        <v>448</v>
      </c>
    </row>
    <row r="535" customFormat="false" ht="35.05" hidden="false" customHeight="false" outlineLevel="0" collapsed="false">
      <c r="A535" s="6" t="s">
        <v>1666</v>
      </c>
      <c r="B535" s="6" t="s">
        <v>101</v>
      </c>
      <c r="C535" s="6" t="s">
        <v>102</v>
      </c>
      <c r="D535" s="6" t="s">
        <v>152</v>
      </c>
      <c r="E535" s="6" t="s">
        <v>153</v>
      </c>
      <c r="F535" s="6" t="s">
        <v>215</v>
      </c>
      <c r="G535" s="6" t="s">
        <v>711</v>
      </c>
      <c r="H535" s="6" t="s">
        <v>228</v>
      </c>
      <c r="I535" s="6" t="s">
        <v>1667</v>
      </c>
      <c r="J535" s="6" t="s">
        <v>250</v>
      </c>
      <c r="K535" s="6" t="s">
        <v>713</v>
      </c>
      <c r="L535" s="6" t="s">
        <v>205</v>
      </c>
      <c r="M535" s="6" t="s">
        <v>723</v>
      </c>
      <c r="N535" s="6" t="s">
        <v>282</v>
      </c>
      <c r="O535" s="6" t="s">
        <v>447</v>
      </c>
      <c r="P535" s="6" t="str">
        <f aca="false">IF(J535="S0","—",IF(K535="","",IF(L535="E0","QM",INDEX(10_ASIL_Matrix!$D$4:$F$15,MATCH(J535&amp;"-"&amp;L535,10_ASIL_Matrix!$C$4:$C$15,0),MATCH(N535,10_ASIL_Matrix!$D$3:$F$3,0)))))</f>
        <v>QM</v>
      </c>
      <c r="Q535" s="6" t="s">
        <v>448</v>
      </c>
    </row>
    <row r="536" customFormat="false" ht="35.05" hidden="false" customHeight="false" outlineLevel="0" collapsed="false">
      <c r="A536" s="5" t="s">
        <v>1668</v>
      </c>
      <c r="B536" s="5" t="s">
        <v>101</v>
      </c>
      <c r="C536" s="5" t="s">
        <v>102</v>
      </c>
      <c r="D536" s="5" t="s">
        <v>152</v>
      </c>
      <c r="E536" s="5" t="s">
        <v>153</v>
      </c>
      <c r="F536" s="5" t="s">
        <v>215</v>
      </c>
      <c r="G536" s="5" t="s">
        <v>711</v>
      </c>
      <c r="H536" s="5" t="s">
        <v>230</v>
      </c>
      <c r="I536" s="5" t="s">
        <v>1669</v>
      </c>
      <c r="J536" s="5" t="s">
        <v>250</v>
      </c>
      <c r="K536" s="5" t="s">
        <v>713</v>
      </c>
      <c r="L536" s="5" t="s">
        <v>205</v>
      </c>
      <c r="M536" s="5" t="s">
        <v>726</v>
      </c>
      <c r="N536" s="5" t="s">
        <v>286</v>
      </c>
      <c r="O536" s="5" t="s">
        <v>461</v>
      </c>
      <c r="P536" s="19" t="str">
        <f aca="false">IF(J536="S0","—",IF(K536="","",IF(L536="E0","QM",INDEX(10_ASIL_Matrix!$D$4:$F$15,MATCH(J536&amp;"-"&amp;L536,10_ASIL_Matrix!$C$4:$C$15,0),MATCH(N536,10_ASIL_Matrix!$D$3:$F$3,0)))))</f>
        <v>A</v>
      </c>
      <c r="Q536" s="5" t="s">
        <v>448</v>
      </c>
    </row>
    <row r="537" customFormat="false" ht="46.25" hidden="false" customHeight="false" outlineLevel="0" collapsed="false">
      <c r="A537" s="6" t="s">
        <v>1670</v>
      </c>
      <c r="B537" s="6" t="s">
        <v>101</v>
      </c>
      <c r="C537" s="6" t="s">
        <v>102</v>
      </c>
      <c r="D537" s="6" t="s">
        <v>152</v>
      </c>
      <c r="E537" s="6" t="s">
        <v>153</v>
      </c>
      <c r="F537" s="6" t="s">
        <v>215</v>
      </c>
      <c r="G537" s="6" t="s">
        <v>711</v>
      </c>
      <c r="H537" s="6" t="s">
        <v>232</v>
      </c>
      <c r="I537" s="6" t="s">
        <v>1671</v>
      </c>
      <c r="J537" s="6" t="s">
        <v>250</v>
      </c>
      <c r="K537" s="6" t="s">
        <v>713</v>
      </c>
      <c r="L537" s="6" t="s">
        <v>233</v>
      </c>
      <c r="M537" s="6" t="s">
        <v>729</v>
      </c>
      <c r="N537" s="6" t="s">
        <v>282</v>
      </c>
      <c r="O537" s="6" t="s">
        <v>447</v>
      </c>
      <c r="P537" s="6" t="str">
        <f aca="false">IF(J537="S0","—",IF(K537="","",IF(L537="E0","QM",INDEX(10_ASIL_Matrix!$D$4:$F$15,MATCH(J537&amp;"-"&amp;L537,10_ASIL_Matrix!$C$4:$C$15,0),MATCH(N537,10_ASIL_Matrix!$D$3:$F$3,0)))))</f>
        <v>QM</v>
      </c>
      <c r="Q537" s="6" t="s">
        <v>448</v>
      </c>
    </row>
    <row r="538" customFormat="false" ht="35.05" hidden="false" customHeight="false" outlineLevel="0" collapsed="false">
      <c r="A538" s="5" t="s">
        <v>1672</v>
      </c>
      <c r="B538" s="5" t="s">
        <v>101</v>
      </c>
      <c r="C538" s="5" t="s">
        <v>102</v>
      </c>
      <c r="D538" s="5" t="s">
        <v>152</v>
      </c>
      <c r="E538" s="5" t="s">
        <v>153</v>
      </c>
      <c r="F538" s="5" t="s">
        <v>217</v>
      </c>
      <c r="G538" s="5" t="s">
        <v>488</v>
      </c>
      <c r="H538" s="5" t="s">
        <v>222</v>
      </c>
      <c r="I538" s="5" t="s">
        <v>1673</v>
      </c>
      <c r="J538" s="5" t="s">
        <v>250</v>
      </c>
      <c r="K538" s="5" t="s">
        <v>732</v>
      </c>
      <c r="L538" s="5" t="s">
        <v>190</v>
      </c>
      <c r="M538" s="5" t="s">
        <v>733</v>
      </c>
      <c r="N538" s="5" t="s">
        <v>286</v>
      </c>
      <c r="O538" s="5" t="s">
        <v>470</v>
      </c>
      <c r="P538" s="18" t="str">
        <f aca="false">IF(J538="S0","—",IF(K538="","",IF(L538="E0","QM",INDEX(10_ASIL_Matrix!$D$4:$F$15,MATCH(J538&amp;"-"&amp;L538,10_ASIL_Matrix!$C$4:$C$15,0),MATCH(N538,10_ASIL_Matrix!$D$3:$F$3,0)))))</f>
        <v>B</v>
      </c>
      <c r="Q538" s="5" t="s">
        <v>448</v>
      </c>
    </row>
    <row r="539" customFormat="false" ht="35.05" hidden="false" customHeight="false" outlineLevel="0" collapsed="false">
      <c r="A539" s="6" t="s">
        <v>1674</v>
      </c>
      <c r="B539" s="6" t="s">
        <v>101</v>
      </c>
      <c r="C539" s="6" t="s">
        <v>102</v>
      </c>
      <c r="D539" s="6" t="s">
        <v>152</v>
      </c>
      <c r="E539" s="6" t="s">
        <v>153</v>
      </c>
      <c r="F539" s="6" t="s">
        <v>217</v>
      </c>
      <c r="G539" s="6" t="s">
        <v>488</v>
      </c>
      <c r="H539" s="6" t="s">
        <v>224</v>
      </c>
      <c r="I539" s="6" t="s">
        <v>1675</v>
      </c>
      <c r="J539" s="6" t="s">
        <v>250</v>
      </c>
      <c r="K539" s="6" t="s">
        <v>732</v>
      </c>
      <c r="L539" s="6" t="s">
        <v>190</v>
      </c>
      <c r="M539" s="6" t="s">
        <v>736</v>
      </c>
      <c r="N539" s="6" t="s">
        <v>286</v>
      </c>
      <c r="O539" s="6" t="s">
        <v>470</v>
      </c>
      <c r="P539" s="18" t="str">
        <f aca="false">IF(J539="S0","—",IF(K539="","",IF(L539="E0","QM",INDEX(10_ASIL_Matrix!$D$4:$F$15,MATCH(J539&amp;"-"&amp;L539,10_ASIL_Matrix!$C$4:$C$15,0),MATCH(N539,10_ASIL_Matrix!$D$3:$F$3,0)))))</f>
        <v>B</v>
      </c>
      <c r="Q539" s="6" t="s">
        <v>448</v>
      </c>
    </row>
    <row r="540" customFormat="false" ht="35.05" hidden="false" customHeight="false" outlineLevel="0" collapsed="false">
      <c r="A540" s="5" t="s">
        <v>1676</v>
      </c>
      <c r="B540" s="5" t="s">
        <v>101</v>
      </c>
      <c r="C540" s="5" t="s">
        <v>102</v>
      </c>
      <c r="D540" s="5" t="s">
        <v>152</v>
      </c>
      <c r="E540" s="5" t="s">
        <v>153</v>
      </c>
      <c r="F540" s="5" t="s">
        <v>217</v>
      </c>
      <c r="G540" s="5" t="s">
        <v>488</v>
      </c>
      <c r="H540" s="5" t="s">
        <v>226</v>
      </c>
      <c r="I540" s="5" t="s">
        <v>1677</v>
      </c>
      <c r="J540" s="5" t="s">
        <v>250</v>
      </c>
      <c r="K540" s="5" t="s">
        <v>732</v>
      </c>
      <c r="L540" s="5" t="s">
        <v>190</v>
      </c>
      <c r="M540" s="5" t="s">
        <v>739</v>
      </c>
      <c r="N540" s="5" t="s">
        <v>286</v>
      </c>
      <c r="O540" s="5" t="s">
        <v>470</v>
      </c>
      <c r="P540" s="18" t="str">
        <f aca="false">IF(J540="S0","—",IF(K540="","",IF(L540="E0","QM",INDEX(10_ASIL_Matrix!$D$4:$F$15,MATCH(J540&amp;"-"&amp;L540,10_ASIL_Matrix!$C$4:$C$15,0),MATCH(N540,10_ASIL_Matrix!$D$3:$F$3,0)))))</f>
        <v>B</v>
      </c>
      <c r="Q540" s="5" t="s">
        <v>448</v>
      </c>
    </row>
    <row r="541" customFormat="false" ht="35.05" hidden="false" customHeight="false" outlineLevel="0" collapsed="false">
      <c r="A541" s="6" t="s">
        <v>1678</v>
      </c>
      <c r="B541" s="6" t="s">
        <v>101</v>
      </c>
      <c r="C541" s="6" t="s">
        <v>102</v>
      </c>
      <c r="D541" s="6" t="s">
        <v>152</v>
      </c>
      <c r="E541" s="6" t="s">
        <v>153</v>
      </c>
      <c r="F541" s="6" t="s">
        <v>217</v>
      </c>
      <c r="G541" s="6" t="s">
        <v>488</v>
      </c>
      <c r="H541" s="6" t="s">
        <v>228</v>
      </c>
      <c r="I541" s="6" t="s">
        <v>1679</v>
      </c>
      <c r="J541" s="6" t="s">
        <v>250</v>
      </c>
      <c r="K541" s="6" t="s">
        <v>732</v>
      </c>
      <c r="L541" s="6" t="s">
        <v>205</v>
      </c>
      <c r="M541" s="6" t="s">
        <v>742</v>
      </c>
      <c r="N541" s="6" t="s">
        <v>286</v>
      </c>
      <c r="O541" s="6" t="s">
        <v>470</v>
      </c>
      <c r="P541" s="19" t="str">
        <f aca="false">IF(J541="S0","—",IF(K541="","",IF(L541="E0","QM",INDEX(10_ASIL_Matrix!$D$4:$F$15,MATCH(J541&amp;"-"&amp;L541,10_ASIL_Matrix!$C$4:$C$15,0),MATCH(N541,10_ASIL_Matrix!$D$3:$F$3,0)))))</f>
        <v>A</v>
      </c>
      <c r="Q541" s="6" t="s">
        <v>448</v>
      </c>
    </row>
    <row r="542" customFormat="false" ht="46.25" hidden="false" customHeight="false" outlineLevel="0" collapsed="false">
      <c r="A542" s="5" t="s">
        <v>1680</v>
      </c>
      <c r="B542" s="5" t="s">
        <v>101</v>
      </c>
      <c r="C542" s="5" t="s">
        <v>102</v>
      </c>
      <c r="D542" s="5" t="s">
        <v>152</v>
      </c>
      <c r="E542" s="5" t="s">
        <v>153</v>
      </c>
      <c r="F542" s="5" t="s">
        <v>217</v>
      </c>
      <c r="G542" s="5" t="s">
        <v>488</v>
      </c>
      <c r="H542" s="5" t="s">
        <v>230</v>
      </c>
      <c r="I542" s="5" t="s">
        <v>1681</v>
      </c>
      <c r="J542" s="5" t="s">
        <v>250</v>
      </c>
      <c r="K542" s="5" t="s">
        <v>732</v>
      </c>
      <c r="L542" s="5" t="s">
        <v>205</v>
      </c>
      <c r="M542" s="5" t="s">
        <v>745</v>
      </c>
      <c r="N542" s="5" t="s">
        <v>290</v>
      </c>
      <c r="O542" s="5" t="s">
        <v>483</v>
      </c>
      <c r="P542" s="18" t="str">
        <f aca="false">IF(J542="S0","—",IF(K542="","",IF(L542="E0","QM",INDEX(10_ASIL_Matrix!$D$4:$F$15,MATCH(J542&amp;"-"&amp;L542,10_ASIL_Matrix!$C$4:$C$15,0),MATCH(N542,10_ASIL_Matrix!$D$3:$F$3,0)))))</f>
        <v>B</v>
      </c>
      <c r="Q542" s="5" t="s">
        <v>448</v>
      </c>
    </row>
    <row r="543" customFormat="false" ht="46.25" hidden="false" customHeight="false" outlineLevel="0" collapsed="false">
      <c r="A543" s="6" t="s">
        <v>1682</v>
      </c>
      <c r="B543" s="6" t="s">
        <v>101</v>
      </c>
      <c r="C543" s="6" t="s">
        <v>102</v>
      </c>
      <c r="D543" s="6" t="s">
        <v>152</v>
      </c>
      <c r="E543" s="6" t="s">
        <v>153</v>
      </c>
      <c r="F543" s="6" t="s">
        <v>217</v>
      </c>
      <c r="G543" s="6" t="s">
        <v>488</v>
      </c>
      <c r="H543" s="6" t="s">
        <v>232</v>
      </c>
      <c r="I543" s="6" t="s">
        <v>1683</v>
      </c>
      <c r="J543" s="6" t="s">
        <v>250</v>
      </c>
      <c r="K543" s="6" t="s">
        <v>732</v>
      </c>
      <c r="L543" s="6" t="s">
        <v>233</v>
      </c>
      <c r="M543" s="6" t="s">
        <v>748</v>
      </c>
      <c r="N543" s="6" t="s">
        <v>286</v>
      </c>
      <c r="O543" s="6" t="s">
        <v>470</v>
      </c>
      <c r="P543" s="6" t="str">
        <f aca="false">IF(J543="S0","—",IF(K543="","",IF(L543="E0","QM",INDEX(10_ASIL_Matrix!$D$4:$F$15,MATCH(J543&amp;"-"&amp;L543,10_ASIL_Matrix!$C$4:$C$15,0),MATCH(N543,10_ASIL_Matrix!$D$3:$F$3,0)))))</f>
        <v>QM</v>
      </c>
      <c r="Q543" s="6" t="s">
        <v>448</v>
      </c>
    </row>
    <row r="544" customFormat="false" ht="46.25" hidden="false" customHeight="false" outlineLevel="0" collapsed="false">
      <c r="A544" s="5" t="s">
        <v>1684</v>
      </c>
      <c r="B544" s="5" t="s">
        <v>101</v>
      </c>
      <c r="C544" s="5" t="s">
        <v>102</v>
      </c>
      <c r="D544" s="5" t="s">
        <v>155</v>
      </c>
      <c r="E544" s="5" t="s">
        <v>156</v>
      </c>
      <c r="F544" s="5" t="s">
        <v>186</v>
      </c>
      <c r="G544" s="5" t="s">
        <v>443</v>
      </c>
      <c r="H544" s="5" t="s">
        <v>222</v>
      </c>
      <c r="I544" s="5" t="s">
        <v>1685</v>
      </c>
      <c r="J544" s="5" t="s">
        <v>250</v>
      </c>
      <c r="K544" s="5" t="s">
        <v>932</v>
      </c>
      <c r="L544" s="5" t="s">
        <v>187</v>
      </c>
      <c r="M544" s="5" t="s">
        <v>446</v>
      </c>
      <c r="N544" s="5" t="s">
        <v>286</v>
      </c>
      <c r="O544" s="5" t="s">
        <v>933</v>
      </c>
      <c r="P544" s="20" t="str">
        <f aca="false">IF(J544="S0","—",IF(K544="","",IF(L544="E0","QM",INDEX(10_ASIL_Matrix!$D$4:$F$15,MATCH(J544&amp;"-"&amp;L544,10_ASIL_Matrix!$C$4:$C$15,0),MATCH(N544,10_ASIL_Matrix!$D$3:$F$3,0)))))</f>
        <v>C</v>
      </c>
      <c r="Q544" s="5" t="s">
        <v>448</v>
      </c>
    </row>
    <row r="545" customFormat="false" ht="46.25" hidden="false" customHeight="false" outlineLevel="0" collapsed="false">
      <c r="A545" s="6" t="s">
        <v>1686</v>
      </c>
      <c r="B545" s="6" t="s">
        <v>101</v>
      </c>
      <c r="C545" s="6" t="s">
        <v>102</v>
      </c>
      <c r="D545" s="6" t="s">
        <v>155</v>
      </c>
      <c r="E545" s="6" t="s">
        <v>156</v>
      </c>
      <c r="F545" s="6" t="s">
        <v>186</v>
      </c>
      <c r="G545" s="6" t="s">
        <v>443</v>
      </c>
      <c r="H545" s="6" t="s">
        <v>224</v>
      </c>
      <c r="I545" s="6" t="s">
        <v>1687</v>
      </c>
      <c r="J545" s="6" t="s">
        <v>250</v>
      </c>
      <c r="K545" s="6" t="s">
        <v>932</v>
      </c>
      <c r="L545" s="6" t="s">
        <v>190</v>
      </c>
      <c r="M545" s="6" t="s">
        <v>451</v>
      </c>
      <c r="N545" s="6" t="s">
        <v>286</v>
      </c>
      <c r="O545" s="6" t="s">
        <v>933</v>
      </c>
      <c r="P545" s="18" t="str">
        <f aca="false">IF(J545="S0","—",IF(K545="","",IF(L545="E0","QM",INDEX(10_ASIL_Matrix!$D$4:$F$15,MATCH(J545&amp;"-"&amp;L545,10_ASIL_Matrix!$C$4:$C$15,0),MATCH(N545,10_ASIL_Matrix!$D$3:$F$3,0)))))</f>
        <v>B</v>
      </c>
      <c r="Q545" s="6" t="s">
        <v>448</v>
      </c>
    </row>
    <row r="546" customFormat="false" ht="46.25" hidden="false" customHeight="false" outlineLevel="0" collapsed="false">
      <c r="A546" s="5" t="s">
        <v>1688</v>
      </c>
      <c r="B546" s="5" t="s">
        <v>101</v>
      </c>
      <c r="C546" s="5" t="s">
        <v>102</v>
      </c>
      <c r="D546" s="5" t="s">
        <v>155</v>
      </c>
      <c r="E546" s="5" t="s">
        <v>156</v>
      </c>
      <c r="F546" s="5" t="s">
        <v>186</v>
      </c>
      <c r="G546" s="5" t="s">
        <v>443</v>
      </c>
      <c r="H546" s="5" t="s">
        <v>226</v>
      </c>
      <c r="I546" s="5" t="s">
        <v>1689</v>
      </c>
      <c r="J546" s="5" t="s">
        <v>250</v>
      </c>
      <c r="K546" s="5" t="s">
        <v>932</v>
      </c>
      <c r="L546" s="5" t="s">
        <v>190</v>
      </c>
      <c r="M546" s="5" t="s">
        <v>454</v>
      </c>
      <c r="N546" s="5" t="s">
        <v>286</v>
      </c>
      <c r="O546" s="5" t="s">
        <v>933</v>
      </c>
      <c r="P546" s="18" t="str">
        <f aca="false">IF(J546="S0","—",IF(K546="","",IF(L546="E0","QM",INDEX(10_ASIL_Matrix!$D$4:$F$15,MATCH(J546&amp;"-"&amp;L546,10_ASIL_Matrix!$C$4:$C$15,0),MATCH(N546,10_ASIL_Matrix!$D$3:$F$3,0)))))</f>
        <v>B</v>
      </c>
      <c r="Q546" s="5" t="s">
        <v>448</v>
      </c>
    </row>
    <row r="547" customFormat="false" ht="46.25" hidden="false" customHeight="false" outlineLevel="0" collapsed="false">
      <c r="A547" s="6" t="s">
        <v>1690</v>
      </c>
      <c r="B547" s="6" t="s">
        <v>101</v>
      </c>
      <c r="C547" s="6" t="s">
        <v>102</v>
      </c>
      <c r="D547" s="6" t="s">
        <v>155</v>
      </c>
      <c r="E547" s="6" t="s">
        <v>156</v>
      </c>
      <c r="F547" s="6" t="s">
        <v>186</v>
      </c>
      <c r="G547" s="6" t="s">
        <v>443</v>
      </c>
      <c r="H547" s="6" t="s">
        <v>228</v>
      </c>
      <c r="I547" s="6" t="s">
        <v>1691</v>
      </c>
      <c r="J547" s="6" t="s">
        <v>250</v>
      </c>
      <c r="K547" s="6" t="s">
        <v>932</v>
      </c>
      <c r="L547" s="6" t="s">
        <v>205</v>
      </c>
      <c r="M547" s="6" t="s">
        <v>457</v>
      </c>
      <c r="N547" s="6" t="s">
        <v>286</v>
      </c>
      <c r="O547" s="6" t="s">
        <v>933</v>
      </c>
      <c r="P547" s="19" t="str">
        <f aca="false">IF(J547="S0","—",IF(K547="","",IF(L547="E0","QM",INDEX(10_ASIL_Matrix!$D$4:$F$15,MATCH(J547&amp;"-"&amp;L547,10_ASIL_Matrix!$C$4:$C$15,0),MATCH(N547,10_ASIL_Matrix!$D$3:$F$3,0)))))</f>
        <v>A</v>
      </c>
      <c r="Q547" s="6" t="s">
        <v>448</v>
      </c>
    </row>
    <row r="548" customFormat="false" ht="57.45" hidden="false" customHeight="false" outlineLevel="0" collapsed="false">
      <c r="A548" s="5" t="s">
        <v>1692</v>
      </c>
      <c r="B548" s="5" t="s">
        <v>101</v>
      </c>
      <c r="C548" s="5" t="s">
        <v>102</v>
      </c>
      <c r="D548" s="5" t="s">
        <v>155</v>
      </c>
      <c r="E548" s="5" t="s">
        <v>156</v>
      </c>
      <c r="F548" s="5" t="s">
        <v>186</v>
      </c>
      <c r="G548" s="5" t="s">
        <v>443</v>
      </c>
      <c r="H548" s="5" t="s">
        <v>230</v>
      </c>
      <c r="I548" s="5" t="s">
        <v>1693</v>
      </c>
      <c r="J548" s="5" t="s">
        <v>250</v>
      </c>
      <c r="K548" s="5" t="s">
        <v>932</v>
      </c>
      <c r="L548" s="5" t="s">
        <v>205</v>
      </c>
      <c r="M548" s="5" t="s">
        <v>460</v>
      </c>
      <c r="N548" s="5" t="s">
        <v>290</v>
      </c>
      <c r="O548" s="5" t="s">
        <v>942</v>
      </c>
      <c r="P548" s="18" t="str">
        <f aca="false">IF(J548="S0","—",IF(K548="","",IF(L548="E0","QM",INDEX(10_ASIL_Matrix!$D$4:$F$15,MATCH(J548&amp;"-"&amp;L548,10_ASIL_Matrix!$C$4:$C$15,0),MATCH(N548,10_ASIL_Matrix!$D$3:$F$3,0)))))</f>
        <v>B</v>
      </c>
      <c r="Q548" s="5" t="s">
        <v>448</v>
      </c>
    </row>
    <row r="549" customFormat="false" ht="46.25" hidden="false" customHeight="false" outlineLevel="0" collapsed="false">
      <c r="A549" s="6" t="s">
        <v>1694</v>
      </c>
      <c r="B549" s="6" t="s">
        <v>101</v>
      </c>
      <c r="C549" s="6" t="s">
        <v>102</v>
      </c>
      <c r="D549" s="6" t="s">
        <v>155</v>
      </c>
      <c r="E549" s="6" t="s">
        <v>156</v>
      </c>
      <c r="F549" s="6" t="s">
        <v>186</v>
      </c>
      <c r="G549" s="6" t="s">
        <v>443</v>
      </c>
      <c r="H549" s="6" t="s">
        <v>232</v>
      </c>
      <c r="I549" s="6" t="s">
        <v>1695</v>
      </c>
      <c r="J549" s="6" t="s">
        <v>250</v>
      </c>
      <c r="K549" s="6" t="s">
        <v>932</v>
      </c>
      <c r="L549" s="6" t="s">
        <v>233</v>
      </c>
      <c r="M549" s="6" t="s">
        <v>464</v>
      </c>
      <c r="N549" s="6" t="s">
        <v>286</v>
      </c>
      <c r="O549" s="6" t="s">
        <v>933</v>
      </c>
      <c r="P549" s="6" t="str">
        <f aca="false">IF(J549="S0","—",IF(K549="","",IF(L549="E0","QM",INDEX(10_ASIL_Matrix!$D$4:$F$15,MATCH(J549&amp;"-"&amp;L549,10_ASIL_Matrix!$C$4:$C$15,0),MATCH(N549,10_ASIL_Matrix!$D$3:$F$3,0)))))</f>
        <v>QM</v>
      </c>
      <c r="Q549" s="6" t="s">
        <v>448</v>
      </c>
    </row>
    <row r="550" customFormat="false" ht="46.25" hidden="false" customHeight="false" outlineLevel="0" collapsed="false">
      <c r="A550" s="5" t="s">
        <v>1696</v>
      </c>
      <c r="B550" s="5" t="s">
        <v>101</v>
      </c>
      <c r="C550" s="5" t="s">
        <v>102</v>
      </c>
      <c r="D550" s="5" t="s">
        <v>155</v>
      </c>
      <c r="E550" s="5" t="s">
        <v>156</v>
      </c>
      <c r="F550" s="5" t="s">
        <v>189</v>
      </c>
      <c r="G550" s="5" t="s">
        <v>466</v>
      </c>
      <c r="H550" s="5" t="s">
        <v>222</v>
      </c>
      <c r="I550" s="5" t="s">
        <v>1697</v>
      </c>
      <c r="J550" s="5" t="s">
        <v>250</v>
      </c>
      <c r="K550" s="5" t="s">
        <v>947</v>
      </c>
      <c r="L550" s="5" t="s">
        <v>190</v>
      </c>
      <c r="M550" s="5" t="s">
        <v>469</v>
      </c>
      <c r="N550" s="5" t="s">
        <v>286</v>
      </c>
      <c r="O550" s="5" t="s">
        <v>933</v>
      </c>
      <c r="P550" s="18" t="str">
        <f aca="false">IF(J550="S0","—",IF(K550="","",IF(L550="E0","QM",INDEX(10_ASIL_Matrix!$D$4:$F$15,MATCH(J550&amp;"-"&amp;L550,10_ASIL_Matrix!$C$4:$C$15,0),MATCH(N550,10_ASIL_Matrix!$D$3:$F$3,0)))))</f>
        <v>B</v>
      </c>
      <c r="Q550" s="5" t="s">
        <v>448</v>
      </c>
    </row>
    <row r="551" customFormat="false" ht="46.25" hidden="false" customHeight="false" outlineLevel="0" collapsed="false">
      <c r="A551" s="6" t="s">
        <v>1698</v>
      </c>
      <c r="B551" s="6" t="s">
        <v>101</v>
      </c>
      <c r="C551" s="6" t="s">
        <v>102</v>
      </c>
      <c r="D551" s="6" t="s">
        <v>155</v>
      </c>
      <c r="E551" s="6" t="s">
        <v>156</v>
      </c>
      <c r="F551" s="6" t="s">
        <v>189</v>
      </c>
      <c r="G551" s="6" t="s">
        <v>466</v>
      </c>
      <c r="H551" s="6" t="s">
        <v>224</v>
      </c>
      <c r="I551" s="6" t="s">
        <v>1699</v>
      </c>
      <c r="J551" s="6" t="s">
        <v>250</v>
      </c>
      <c r="K551" s="6" t="s">
        <v>947</v>
      </c>
      <c r="L551" s="6" t="s">
        <v>190</v>
      </c>
      <c r="M551" s="6" t="s">
        <v>473</v>
      </c>
      <c r="N551" s="6" t="s">
        <v>286</v>
      </c>
      <c r="O551" s="6" t="s">
        <v>933</v>
      </c>
      <c r="P551" s="18" t="str">
        <f aca="false">IF(J551="S0","—",IF(K551="","",IF(L551="E0","QM",INDEX(10_ASIL_Matrix!$D$4:$F$15,MATCH(J551&amp;"-"&amp;L551,10_ASIL_Matrix!$C$4:$C$15,0),MATCH(N551,10_ASIL_Matrix!$D$3:$F$3,0)))))</f>
        <v>B</v>
      </c>
      <c r="Q551" s="6" t="s">
        <v>448</v>
      </c>
    </row>
    <row r="552" customFormat="false" ht="46.25" hidden="false" customHeight="false" outlineLevel="0" collapsed="false">
      <c r="A552" s="5" t="s">
        <v>1700</v>
      </c>
      <c r="B552" s="5" t="s">
        <v>101</v>
      </c>
      <c r="C552" s="5" t="s">
        <v>102</v>
      </c>
      <c r="D552" s="5" t="s">
        <v>155</v>
      </c>
      <c r="E552" s="5" t="s">
        <v>156</v>
      </c>
      <c r="F552" s="5" t="s">
        <v>189</v>
      </c>
      <c r="G552" s="5" t="s">
        <v>466</v>
      </c>
      <c r="H552" s="5" t="s">
        <v>226</v>
      </c>
      <c r="I552" s="5" t="s">
        <v>1701</v>
      </c>
      <c r="J552" s="5" t="s">
        <v>250</v>
      </c>
      <c r="K552" s="5" t="s">
        <v>947</v>
      </c>
      <c r="L552" s="5" t="s">
        <v>190</v>
      </c>
      <c r="M552" s="5" t="s">
        <v>476</v>
      </c>
      <c r="N552" s="5" t="s">
        <v>286</v>
      </c>
      <c r="O552" s="5" t="s">
        <v>933</v>
      </c>
      <c r="P552" s="18" t="str">
        <f aca="false">IF(J552="S0","—",IF(K552="","",IF(L552="E0","QM",INDEX(10_ASIL_Matrix!$D$4:$F$15,MATCH(J552&amp;"-"&amp;L552,10_ASIL_Matrix!$C$4:$C$15,0),MATCH(N552,10_ASIL_Matrix!$D$3:$F$3,0)))))</f>
        <v>B</v>
      </c>
      <c r="Q552" s="5" t="s">
        <v>448</v>
      </c>
    </row>
    <row r="553" customFormat="false" ht="46.25" hidden="false" customHeight="false" outlineLevel="0" collapsed="false">
      <c r="A553" s="6" t="s">
        <v>1702</v>
      </c>
      <c r="B553" s="6" t="s">
        <v>101</v>
      </c>
      <c r="C553" s="6" t="s">
        <v>102</v>
      </c>
      <c r="D553" s="6" t="s">
        <v>155</v>
      </c>
      <c r="E553" s="6" t="s">
        <v>156</v>
      </c>
      <c r="F553" s="6" t="s">
        <v>189</v>
      </c>
      <c r="G553" s="6" t="s">
        <v>466</v>
      </c>
      <c r="H553" s="6" t="s">
        <v>228</v>
      </c>
      <c r="I553" s="6" t="s">
        <v>1703</v>
      </c>
      <c r="J553" s="6" t="s">
        <v>250</v>
      </c>
      <c r="K553" s="6" t="s">
        <v>947</v>
      </c>
      <c r="L553" s="6" t="s">
        <v>205</v>
      </c>
      <c r="M553" s="6" t="s">
        <v>479</v>
      </c>
      <c r="N553" s="6" t="s">
        <v>286</v>
      </c>
      <c r="O553" s="6" t="s">
        <v>933</v>
      </c>
      <c r="P553" s="19" t="str">
        <f aca="false">IF(J553="S0","—",IF(K553="","",IF(L553="E0","QM",INDEX(10_ASIL_Matrix!$D$4:$F$15,MATCH(J553&amp;"-"&amp;L553,10_ASIL_Matrix!$C$4:$C$15,0),MATCH(N553,10_ASIL_Matrix!$D$3:$F$3,0)))))</f>
        <v>A</v>
      </c>
      <c r="Q553" s="6" t="s">
        <v>448</v>
      </c>
    </row>
    <row r="554" customFormat="false" ht="57.45" hidden="false" customHeight="false" outlineLevel="0" collapsed="false">
      <c r="A554" s="5" t="s">
        <v>1704</v>
      </c>
      <c r="B554" s="5" t="s">
        <v>101</v>
      </c>
      <c r="C554" s="5" t="s">
        <v>102</v>
      </c>
      <c r="D554" s="5" t="s">
        <v>155</v>
      </c>
      <c r="E554" s="5" t="s">
        <v>156</v>
      </c>
      <c r="F554" s="5" t="s">
        <v>189</v>
      </c>
      <c r="G554" s="5" t="s">
        <v>466</v>
      </c>
      <c r="H554" s="5" t="s">
        <v>230</v>
      </c>
      <c r="I554" s="5" t="s">
        <v>1705</v>
      </c>
      <c r="J554" s="5" t="s">
        <v>250</v>
      </c>
      <c r="K554" s="5" t="s">
        <v>947</v>
      </c>
      <c r="L554" s="5" t="s">
        <v>205</v>
      </c>
      <c r="M554" s="5" t="s">
        <v>482</v>
      </c>
      <c r="N554" s="5" t="s">
        <v>290</v>
      </c>
      <c r="O554" s="5" t="s">
        <v>942</v>
      </c>
      <c r="P554" s="18" t="str">
        <f aca="false">IF(J554="S0","—",IF(K554="","",IF(L554="E0","QM",INDEX(10_ASIL_Matrix!$D$4:$F$15,MATCH(J554&amp;"-"&amp;L554,10_ASIL_Matrix!$C$4:$C$15,0),MATCH(N554,10_ASIL_Matrix!$D$3:$F$3,0)))))</f>
        <v>B</v>
      </c>
      <c r="Q554" s="5" t="s">
        <v>448</v>
      </c>
    </row>
    <row r="555" customFormat="false" ht="46.25" hidden="false" customHeight="false" outlineLevel="0" collapsed="false">
      <c r="A555" s="6" t="s">
        <v>1706</v>
      </c>
      <c r="B555" s="6" t="s">
        <v>101</v>
      </c>
      <c r="C555" s="6" t="s">
        <v>102</v>
      </c>
      <c r="D555" s="6" t="s">
        <v>155</v>
      </c>
      <c r="E555" s="6" t="s">
        <v>156</v>
      </c>
      <c r="F555" s="6" t="s">
        <v>189</v>
      </c>
      <c r="G555" s="6" t="s">
        <v>466</v>
      </c>
      <c r="H555" s="6" t="s">
        <v>232</v>
      </c>
      <c r="I555" s="6" t="s">
        <v>1707</v>
      </c>
      <c r="J555" s="6" t="s">
        <v>250</v>
      </c>
      <c r="K555" s="6" t="s">
        <v>947</v>
      </c>
      <c r="L555" s="6" t="s">
        <v>233</v>
      </c>
      <c r="M555" s="6" t="s">
        <v>486</v>
      </c>
      <c r="N555" s="6" t="s">
        <v>286</v>
      </c>
      <c r="O555" s="6" t="s">
        <v>933</v>
      </c>
      <c r="P555" s="6" t="str">
        <f aca="false">IF(J555="S0","—",IF(K555="","",IF(L555="E0","QM",INDEX(10_ASIL_Matrix!$D$4:$F$15,MATCH(J555&amp;"-"&amp;L555,10_ASIL_Matrix!$C$4:$C$15,0),MATCH(N555,10_ASIL_Matrix!$D$3:$F$3,0)))))</f>
        <v>QM</v>
      </c>
      <c r="Q555" s="6" t="s">
        <v>448</v>
      </c>
    </row>
    <row r="556" customFormat="false" ht="46.25" hidden="false" customHeight="false" outlineLevel="0" collapsed="false">
      <c r="A556" s="5" t="s">
        <v>1708</v>
      </c>
      <c r="B556" s="5" t="s">
        <v>101</v>
      </c>
      <c r="C556" s="5" t="s">
        <v>102</v>
      </c>
      <c r="D556" s="5" t="s">
        <v>155</v>
      </c>
      <c r="E556" s="5" t="s">
        <v>156</v>
      </c>
      <c r="F556" s="5" t="s">
        <v>192</v>
      </c>
      <c r="G556" s="5" t="s">
        <v>488</v>
      </c>
      <c r="H556" s="5" t="s">
        <v>222</v>
      </c>
      <c r="I556" s="5" t="s">
        <v>1709</v>
      </c>
      <c r="J556" s="5" t="s">
        <v>250</v>
      </c>
      <c r="K556" s="5" t="s">
        <v>960</v>
      </c>
      <c r="L556" s="5" t="s">
        <v>187</v>
      </c>
      <c r="M556" s="5" t="s">
        <v>491</v>
      </c>
      <c r="N556" s="5" t="s">
        <v>286</v>
      </c>
      <c r="O556" s="5" t="s">
        <v>933</v>
      </c>
      <c r="P556" s="20" t="str">
        <f aca="false">IF(J556="S0","—",IF(K556="","",IF(L556="E0","QM",INDEX(10_ASIL_Matrix!$D$4:$F$15,MATCH(J556&amp;"-"&amp;L556,10_ASIL_Matrix!$C$4:$C$15,0),MATCH(N556,10_ASIL_Matrix!$D$3:$F$3,0)))))</f>
        <v>C</v>
      </c>
      <c r="Q556" s="5" t="s">
        <v>448</v>
      </c>
    </row>
    <row r="557" customFormat="false" ht="46.25" hidden="false" customHeight="false" outlineLevel="0" collapsed="false">
      <c r="A557" s="6" t="s">
        <v>1710</v>
      </c>
      <c r="B557" s="6" t="s">
        <v>101</v>
      </c>
      <c r="C557" s="6" t="s">
        <v>102</v>
      </c>
      <c r="D557" s="6" t="s">
        <v>155</v>
      </c>
      <c r="E557" s="6" t="s">
        <v>156</v>
      </c>
      <c r="F557" s="6" t="s">
        <v>192</v>
      </c>
      <c r="G557" s="6" t="s">
        <v>488</v>
      </c>
      <c r="H557" s="6" t="s">
        <v>224</v>
      </c>
      <c r="I557" s="6" t="s">
        <v>1711</v>
      </c>
      <c r="J557" s="6" t="s">
        <v>250</v>
      </c>
      <c r="K557" s="6" t="s">
        <v>960</v>
      </c>
      <c r="L557" s="6" t="s">
        <v>190</v>
      </c>
      <c r="M557" s="6" t="s">
        <v>494</v>
      </c>
      <c r="N557" s="6" t="s">
        <v>286</v>
      </c>
      <c r="O557" s="6" t="s">
        <v>933</v>
      </c>
      <c r="P557" s="18" t="str">
        <f aca="false">IF(J557="S0","—",IF(K557="","",IF(L557="E0","QM",INDEX(10_ASIL_Matrix!$D$4:$F$15,MATCH(J557&amp;"-"&amp;L557,10_ASIL_Matrix!$C$4:$C$15,0),MATCH(N557,10_ASIL_Matrix!$D$3:$F$3,0)))))</f>
        <v>B</v>
      </c>
      <c r="Q557" s="6" t="s">
        <v>448</v>
      </c>
    </row>
    <row r="558" customFormat="false" ht="46.25" hidden="false" customHeight="false" outlineLevel="0" collapsed="false">
      <c r="A558" s="5" t="s">
        <v>1712</v>
      </c>
      <c r="B558" s="5" t="s">
        <v>101</v>
      </c>
      <c r="C558" s="5" t="s">
        <v>102</v>
      </c>
      <c r="D558" s="5" t="s">
        <v>155</v>
      </c>
      <c r="E558" s="5" t="s">
        <v>156</v>
      </c>
      <c r="F558" s="5" t="s">
        <v>192</v>
      </c>
      <c r="G558" s="5" t="s">
        <v>488</v>
      </c>
      <c r="H558" s="5" t="s">
        <v>226</v>
      </c>
      <c r="I558" s="5" t="s">
        <v>1713</v>
      </c>
      <c r="J558" s="5" t="s">
        <v>250</v>
      </c>
      <c r="K558" s="5" t="s">
        <v>960</v>
      </c>
      <c r="L558" s="5" t="s">
        <v>190</v>
      </c>
      <c r="M558" s="5" t="s">
        <v>497</v>
      </c>
      <c r="N558" s="5" t="s">
        <v>286</v>
      </c>
      <c r="O558" s="5" t="s">
        <v>933</v>
      </c>
      <c r="P558" s="18" t="str">
        <f aca="false">IF(J558="S0","—",IF(K558="","",IF(L558="E0","QM",INDEX(10_ASIL_Matrix!$D$4:$F$15,MATCH(J558&amp;"-"&amp;L558,10_ASIL_Matrix!$C$4:$C$15,0),MATCH(N558,10_ASIL_Matrix!$D$3:$F$3,0)))))</f>
        <v>B</v>
      </c>
      <c r="Q558" s="5" t="s">
        <v>448</v>
      </c>
    </row>
    <row r="559" customFormat="false" ht="46.25" hidden="false" customHeight="false" outlineLevel="0" collapsed="false">
      <c r="A559" s="6" t="s">
        <v>1714</v>
      </c>
      <c r="B559" s="6" t="s">
        <v>101</v>
      </c>
      <c r="C559" s="6" t="s">
        <v>102</v>
      </c>
      <c r="D559" s="6" t="s">
        <v>155</v>
      </c>
      <c r="E559" s="6" t="s">
        <v>156</v>
      </c>
      <c r="F559" s="6" t="s">
        <v>192</v>
      </c>
      <c r="G559" s="6" t="s">
        <v>488</v>
      </c>
      <c r="H559" s="6" t="s">
        <v>228</v>
      </c>
      <c r="I559" s="6" t="s">
        <v>1715</v>
      </c>
      <c r="J559" s="6" t="s">
        <v>250</v>
      </c>
      <c r="K559" s="6" t="s">
        <v>960</v>
      </c>
      <c r="L559" s="6" t="s">
        <v>205</v>
      </c>
      <c r="M559" s="6" t="s">
        <v>500</v>
      </c>
      <c r="N559" s="6" t="s">
        <v>286</v>
      </c>
      <c r="O559" s="6" t="s">
        <v>933</v>
      </c>
      <c r="P559" s="19" t="str">
        <f aca="false">IF(J559="S0","—",IF(K559="","",IF(L559="E0","QM",INDEX(10_ASIL_Matrix!$D$4:$F$15,MATCH(J559&amp;"-"&amp;L559,10_ASIL_Matrix!$C$4:$C$15,0),MATCH(N559,10_ASIL_Matrix!$D$3:$F$3,0)))))</f>
        <v>A</v>
      </c>
      <c r="Q559" s="6" t="s">
        <v>448</v>
      </c>
    </row>
    <row r="560" customFormat="false" ht="57.45" hidden="false" customHeight="false" outlineLevel="0" collapsed="false">
      <c r="A560" s="5" t="s">
        <v>1716</v>
      </c>
      <c r="B560" s="5" t="s">
        <v>101</v>
      </c>
      <c r="C560" s="5" t="s">
        <v>102</v>
      </c>
      <c r="D560" s="5" t="s">
        <v>155</v>
      </c>
      <c r="E560" s="5" t="s">
        <v>156</v>
      </c>
      <c r="F560" s="5" t="s">
        <v>192</v>
      </c>
      <c r="G560" s="5" t="s">
        <v>488</v>
      </c>
      <c r="H560" s="5" t="s">
        <v>230</v>
      </c>
      <c r="I560" s="5" t="s">
        <v>1717</v>
      </c>
      <c r="J560" s="5" t="s">
        <v>250</v>
      </c>
      <c r="K560" s="5" t="s">
        <v>960</v>
      </c>
      <c r="L560" s="5" t="s">
        <v>205</v>
      </c>
      <c r="M560" s="5" t="s">
        <v>503</v>
      </c>
      <c r="N560" s="5" t="s">
        <v>290</v>
      </c>
      <c r="O560" s="5" t="s">
        <v>942</v>
      </c>
      <c r="P560" s="18" t="str">
        <f aca="false">IF(J560="S0","—",IF(K560="","",IF(L560="E0","QM",INDEX(10_ASIL_Matrix!$D$4:$F$15,MATCH(J560&amp;"-"&amp;L560,10_ASIL_Matrix!$C$4:$C$15,0),MATCH(N560,10_ASIL_Matrix!$D$3:$F$3,0)))))</f>
        <v>B</v>
      </c>
      <c r="Q560" s="5" t="s">
        <v>448</v>
      </c>
    </row>
    <row r="561" customFormat="false" ht="46.25" hidden="false" customHeight="false" outlineLevel="0" collapsed="false">
      <c r="A561" s="6" t="s">
        <v>1718</v>
      </c>
      <c r="B561" s="6" t="s">
        <v>101</v>
      </c>
      <c r="C561" s="6" t="s">
        <v>102</v>
      </c>
      <c r="D561" s="6" t="s">
        <v>155</v>
      </c>
      <c r="E561" s="6" t="s">
        <v>156</v>
      </c>
      <c r="F561" s="6" t="s">
        <v>192</v>
      </c>
      <c r="G561" s="6" t="s">
        <v>488</v>
      </c>
      <c r="H561" s="6" t="s">
        <v>232</v>
      </c>
      <c r="I561" s="6" t="s">
        <v>1719</v>
      </c>
      <c r="J561" s="6" t="s">
        <v>250</v>
      </c>
      <c r="K561" s="6" t="s">
        <v>960</v>
      </c>
      <c r="L561" s="6" t="s">
        <v>233</v>
      </c>
      <c r="M561" s="6" t="s">
        <v>506</v>
      </c>
      <c r="N561" s="6" t="s">
        <v>286</v>
      </c>
      <c r="O561" s="6" t="s">
        <v>933</v>
      </c>
      <c r="P561" s="6" t="str">
        <f aca="false">IF(J561="S0","—",IF(K561="","",IF(L561="E0","QM",INDEX(10_ASIL_Matrix!$D$4:$F$15,MATCH(J561&amp;"-"&amp;L561,10_ASIL_Matrix!$C$4:$C$15,0),MATCH(N561,10_ASIL_Matrix!$D$3:$F$3,0)))))</f>
        <v>QM</v>
      </c>
      <c r="Q561" s="6" t="s">
        <v>448</v>
      </c>
    </row>
    <row r="562" customFormat="false" ht="46.25" hidden="false" customHeight="false" outlineLevel="0" collapsed="false">
      <c r="A562" s="5" t="s">
        <v>1720</v>
      </c>
      <c r="B562" s="5" t="s">
        <v>101</v>
      </c>
      <c r="C562" s="5" t="s">
        <v>102</v>
      </c>
      <c r="D562" s="5" t="s">
        <v>155</v>
      </c>
      <c r="E562" s="5" t="s">
        <v>156</v>
      </c>
      <c r="F562" s="5" t="s">
        <v>194</v>
      </c>
      <c r="G562" s="5" t="s">
        <v>508</v>
      </c>
      <c r="H562" s="5" t="s">
        <v>222</v>
      </c>
      <c r="I562" s="5" t="s">
        <v>1721</v>
      </c>
      <c r="J562" s="5" t="s">
        <v>250</v>
      </c>
      <c r="K562" s="5" t="s">
        <v>973</v>
      </c>
      <c r="L562" s="5" t="s">
        <v>190</v>
      </c>
      <c r="M562" s="5" t="s">
        <v>511</v>
      </c>
      <c r="N562" s="5" t="s">
        <v>286</v>
      </c>
      <c r="O562" s="5" t="s">
        <v>933</v>
      </c>
      <c r="P562" s="18" t="str">
        <f aca="false">IF(J562="S0","—",IF(K562="","",IF(L562="E0","QM",INDEX(10_ASIL_Matrix!$D$4:$F$15,MATCH(J562&amp;"-"&amp;L562,10_ASIL_Matrix!$C$4:$C$15,0),MATCH(N562,10_ASIL_Matrix!$D$3:$F$3,0)))))</f>
        <v>B</v>
      </c>
      <c r="Q562" s="5" t="s">
        <v>448</v>
      </c>
    </row>
    <row r="563" customFormat="false" ht="46.25" hidden="false" customHeight="false" outlineLevel="0" collapsed="false">
      <c r="A563" s="6" t="s">
        <v>1722</v>
      </c>
      <c r="B563" s="6" t="s">
        <v>101</v>
      </c>
      <c r="C563" s="6" t="s">
        <v>102</v>
      </c>
      <c r="D563" s="6" t="s">
        <v>155</v>
      </c>
      <c r="E563" s="6" t="s">
        <v>156</v>
      </c>
      <c r="F563" s="6" t="s">
        <v>194</v>
      </c>
      <c r="G563" s="6" t="s">
        <v>508</v>
      </c>
      <c r="H563" s="6" t="s">
        <v>224</v>
      </c>
      <c r="I563" s="6" t="s">
        <v>1723</v>
      </c>
      <c r="J563" s="6" t="s">
        <v>250</v>
      </c>
      <c r="K563" s="6" t="s">
        <v>973</v>
      </c>
      <c r="L563" s="6" t="s">
        <v>190</v>
      </c>
      <c r="M563" s="6" t="s">
        <v>514</v>
      </c>
      <c r="N563" s="6" t="s">
        <v>286</v>
      </c>
      <c r="O563" s="6" t="s">
        <v>933</v>
      </c>
      <c r="P563" s="18" t="str">
        <f aca="false">IF(J563="S0","—",IF(K563="","",IF(L563="E0","QM",INDEX(10_ASIL_Matrix!$D$4:$F$15,MATCH(J563&amp;"-"&amp;L563,10_ASIL_Matrix!$C$4:$C$15,0),MATCH(N563,10_ASIL_Matrix!$D$3:$F$3,0)))))</f>
        <v>B</v>
      </c>
      <c r="Q563" s="6" t="s">
        <v>448</v>
      </c>
    </row>
    <row r="564" customFormat="false" ht="46.25" hidden="false" customHeight="false" outlineLevel="0" collapsed="false">
      <c r="A564" s="5" t="s">
        <v>1724</v>
      </c>
      <c r="B564" s="5" t="s">
        <v>101</v>
      </c>
      <c r="C564" s="5" t="s">
        <v>102</v>
      </c>
      <c r="D564" s="5" t="s">
        <v>155</v>
      </c>
      <c r="E564" s="5" t="s">
        <v>156</v>
      </c>
      <c r="F564" s="5" t="s">
        <v>194</v>
      </c>
      <c r="G564" s="5" t="s">
        <v>508</v>
      </c>
      <c r="H564" s="5" t="s">
        <v>226</v>
      </c>
      <c r="I564" s="5" t="s">
        <v>1725</v>
      </c>
      <c r="J564" s="5" t="s">
        <v>250</v>
      </c>
      <c r="K564" s="5" t="s">
        <v>973</v>
      </c>
      <c r="L564" s="5" t="s">
        <v>190</v>
      </c>
      <c r="M564" s="5" t="s">
        <v>517</v>
      </c>
      <c r="N564" s="5" t="s">
        <v>286</v>
      </c>
      <c r="O564" s="5" t="s">
        <v>933</v>
      </c>
      <c r="P564" s="18" t="str">
        <f aca="false">IF(J564="S0","—",IF(K564="","",IF(L564="E0","QM",INDEX(10_ASIL_Matrix!$D$4:$F$15,MATCH(J564&amp;"-"&amp;L564,10_ASIL_Matrix!$C$4:$C$15,0),MATCH(N564,10_ASIL_Matrix!$D$3:$F$3,0)))))</f>
        <v>B</v>
      </c>
      <c r="Q564" s="5" t="s">
        <v>448</v>
      </c>
    </row>
    <row r="565" customFormat="false" ht="46.25" hidden="false" customHeight="false" outlineLevel="0" collapsed="false">
      <c r="A565" s="6" t="s">
        <v>1726</v>
      </c>
      <c r="B565" s="6" t="s">
        <v>101</v>
      </c>
      <c r="C565" s="6" t="s">
        <v>102</v>
      </c>
      <c r="D565" s="6" t="s">
        <v>155</v>
      </c>
      <c r="E565" s="6" t="s">
        <v>156</v>
      </c>
      <c r="F565" s="6" t="s">
        <v>194</v>
      </c>
      <c r="G565" s="6" t="s">
        <v>508</v>
      </c>
      <c r="H565" s="6" t="s">
        <v>228</v>
      </c>
      <c r="I565" s="6" t="s">
        <v>1727</v>
      </c>
      <c r="J565" s="6" t="s">
        <v>250</v>
      </c>
      <c r="K565" s="6" t="s">
        <v>973</v>
      </c>
      <c r="L565" s="6" t="s">
        <v>205</v>
      </c>
      <c r="M565" s="6" t="s">
        <v>520</v>
      </c>
      <c r="N565" s="6" t="s">
        <v>286</v>
      </c>
      <c r="O565" s="6" t="s">
        <v>933</v>
      </c>
      <c r="P565" s="19" t="str">
        <f aca="false">IF(J565="S0","—",IF(K565="","",IF(L565="E0","QM",INDEX(10_ASIL_Matrix!$D$4:$F$15,MATCH(J565&amp;"-"&amp;L565,10_ASIL_Matrix!$C$4:$C$15,0),MATCH(N565,10_ASIL_Matrix!$D$3:$F$3,0)))))</f>
        <v>A</v>
      </c>
      <c r="Q565" s="6" t="s">
        <v>448</v>
      </c>
    </row>
    <row r="566" customFormat="false" ht="57.45" hidden="false" customHeight="false" outlineLevel="0" collapsed="false">
      <c r="A566" s="5" t="s">
        <v>1728</v>
      </c>
      <c r="B566" s="5" t="s">
        <v>101</v>
      </c>
      <c r="C566" s="5" t="s">
        <v>102</v>
      </c>
      <c r="D566" s="5" t="s">
        <v>155</v>
      </c>
      <c r="E566" s="5" t="s">
        <v>156</v>
      </c>
      <c r="F566" s="5" t="s">
        <v>194</v>
      </c>
      <c r="G566" s="5" t="s">
        <v>508</v>
      </c>
      <c r="H566" s="5" t="s">
        <v>230</v>
      </c>
      <c r="I566" s="5" t="s">
        <v>1729</v>
      </c>
      <c r="J566" s="5" t="s">
        <v>250</v>
      </c>
      <c r="K566" s="5" t="s">
        <v>973</v>
      </c>
      <c r="L566" s="5" t="s">
        <v>205</v>
      </c>
      <c r="M566" s="5" t="s">
        <v>523</v>
      </c>
      <c r="N566" s="5" t="s">
        <v>290</v>
      </c>
      <c r="O566" s="5" t="s">
        <v>942</v>
      </c>
      <c r="P566" s="18" t="str">
        <f aca="false">IF(J566="S0","—",IF(K566="","",IF(L566="E0","QM",INDEX(10_ASIL_Matrix!$D$4:$F$15,MATCH(J566&amp;"-"&amp;L566,10_ASIL_Matrix!$C$4:$C$15,0),MATCH(N566,10_ASIL_Matrix!$D$3:$F$3,0)))))</f>
        <v>B</v>
      </c>
      <c r="Q566" s="5" t="s">
        <v>448</v>
      </c>
    </row>
    <row r="567" customFormat="false" ht="46.25" hidden="false" customHeight="false" outlineLevel="0" collapsed="false">
      <c r="A567" s="6" t="s">
        <v>1730</v>
      </c>
      <c r="B567" s="6" t="s">
        <v>101</v>
      </c>
      <c r="C567" s="6" t="s">
        <v>102</v>
      </c>
      <c r="D567" s="6" t="s">
        <v>155</v>
      </c>
      <c r="E567" s="6" t="s">
        <v>156</v>
      </c>
      <c r="F567" s="6" t="s">
        <v>194</v>
      </c>
      <c r="G567" s="6" t="s">
        <v>508</v>
      </c>
      <c r="H567" s="6" t="s">
        <v>232</v>
      </c>
      <c r="I567" s="6" t="s">
        <v>1731</v>
      </c>
      <c r="J567" s="6" t="s">
        <v>250</v>
      </c>
      <c r="K567" s="6" t="s">
        <v>973</v>
      </c>
      <c r="L567" s="6" t="s">
        <v>233</v>
      </c>
      <c r="M567" s="6" t="s">
        <v>526</v>
      </c>
      <c r="N567" s="6" t="s">
        <v>286</v>
      </c>
      <c r="O567" s="6" t="s">
        <v>933</v>
      </c>
      <c r="P567" s="6" t="str">
        <f aca="false">IF(J567="S0","—",IF(K567="","",IF(L567="E0","QM",INDEX(10_ASIL_Matrix!$D$4:$F$15,MATCH(J567&amp;"-"&amp;L567,10_ASIL_Matrix!$C$4:$C$15,0),MATCH(N567,10_ASIL_Matrix!$D$3:$F$3,0)))))</f>
        <v>QM</v>
      </c>
      <c r="Q567" s="6" t="s">
        <v>448</v>
      </c>
    </row>
    <row r="568" customFormat="false" ht="46.25" hidden="false" customHeight="false" outlineLevel="0" collapsed="false">
      <c r="A568" s="5" t="s">
        <v>1732</v>
      </c>
      <c r="B568" s="5" t="s">
        <v>101</v>
      </c>
      <c r="C568" s="5" t="s">
        <v>102</v>
      </c>
      <c r="D568" s="5" t="s">
        <v>155</v>
      </c>
      <c r="E568" s="5" t="s">
        <v>156</v>
      </c>
      <c r="F568" s="5" t="s">
        <v>196</v>
      </c>
      <c r="G568" s="5" t="s">
        <v>528</v>
      </c>
      <c r="H568" s="5" t="s">
        <v>222</v>
      </c>
      <c r="I568" s="5" t="s">
        <v>1733</v>
      </c>
      <c r="J568" s="5" t="s">
        <v>250</v>
      </c>
      <c r="K568" s="5" t="s">
        <v>986</v>
      </c>
      <c r="L568" s="5" t="s">
        <v>187</v>
      </c>
      <c r="M568" s="5" t="s">
        <v>531</v>
      </c>
      <c r="N568" s="5" t="s">
        <v>286</v>
      </c>
      <c r="O568" s="5" t="s">
        <v>933</v>
      </c>
      <c r="P568" s="20" t="str">
        <f aca="false">IF(J568="S0","—",IF(K568="","",IF(L568="E0","QM",INDEX(10_ASIL_Matrix!$D$4:$F$15,MATCH(J568&amp;"-"&amp;L568,10_ASIL_Matrix!$C$4:$C$15,0),MATCH(N568,10_ASIL_Matrix!$D$3:$F$3,0)))))</f>
        <v>C</v>
      </c>
      <c r="Q568" s="5" t="s">
        <v>448</v>
      </c>
    </row>
    <row r="569" customFormat="false" ht="46.25" hidden="false" customHeight="false" outlineLevel="0" collapsed="false">
      <c r="A569" s="6" t="s">
        <v>1734</v>
      </c>
      <c r="B569" s="6" t="s">
        <v>101</v>
      </c>
      <c r="C569" s="6" t="s">
        <v>102</v>
      </c>
      <c r="D569" s="6" t="s">
        <v>155</v>
      </c>
      <c r="E569" s="6" t="s">
        <v>156</v>
      </c>
      <c r="F569" s="6" t="s">
        <v>196</v>
      </c>
      <c r="G569" s="6" t="s">
        <v>528</v>
      </c>
      <c r="H569" s="6" t="s">
        <v>224</v>
      </c>
      <c r="I569" s="6" t="s">
        <v>1735</v>
      </c>
      <c r="J569" s="6" t="s">
        <v>250</v>
      </c>
      <c r="K569" s="6" t="s">
        <v>986</v>
      </c>
      <c r="L569" s="6" t="s">
        <v>190</v>
      </c>
      <c r="M569" s="6" t="s">
        <v>534</v>
      </c>
      <c r="N569" s="6" t="s">
        <v>286</v>
      </c>
      <c r="O569" s="6" t="s">
        <v>933</v>
      </c>
      <c r="P569" s="18" t="str">
        <f aca="false">IF(J569="S0","—",IF(K569="","",IF(L569="E0","QM",INDEX(10_ASIL_Matrix!$D$4:$F$15,MATCH(J569&amp;"-"&amp;L569,10_ASIL_Matrix!$C$4:$C$15,0),MATCH(N569,10_ASIL_Matrix!$D$3:$F$3,0)))))</f>
        <v>B</v>
      </c>
      <c r="Q569" s="6" t="s">
        <v>448</v>
      </c>
    </row>
    <row r="570" customFormat="false" ht="46.25" hidden="false" customHeight="false" outlineLevel="0" collapsed="false">
      <c r="A570" s="5" t="s">
        <v>1736</v>
      </c>
      <c r="B570" s="5" t="s">
        <v>101</v>
      </c>
      <c r="C570" s="5" t="s">
        <v>102</v>
      </c>
      <c r="D570" s="5" t="s">
        <v>155</v>
      </c>
      <c r="E570" s="5" t="s">
        <v>156</v>
      </c>
      <c r="F570" s="5" t="s">
        <v>196</v>
      </c>
      <c r="G570" s="5" t="s">
        <v>528</v>
      </c>
      <c r="H570" s="5" t="s">
        <v>226</v>
      </c>
      <c r="I570" s="5" t="s">
        <v>1737</v>
      </c>
      <c r="J570" s="5" t="s">
        <v>250</v>
      </c>
      <c r="K570" s="5" t="s">
        <v>986</v>
      </c>
      <c r="L570" s="5" t="s">
        <v>190</v>
      </c>
      <c r="M570" s="5" t="s">
        <v>537</v>
      </c>
      <c r="N570" s="5" t="s">
        <v>286</v>
      </c>
      <c r="O570" s="5" t="s">
        <v>933</v>
      </c>
      <c r="P570" s="18" t="str">
        <f aca="false">IF(J570="S0","—",IF(K570="","",IF(L570="E0","QM",INDEX(10_ASIL_Matrix!$D$4:$F$15,MATCH(J570&amp;"-"&amp;L570,10_ASIL_Matrix!$C$4:$C$15,0),MATCH(N570,10_ASIL_Matrix!$D$3:$F$3,0)))))</f>
        <v>B</v>
      </c>
      <c r="Q570" s="5" t="s">
        <v>448</v>
      </c>
    </row>
    <row r="571" customFormat="false" ht="46.25" hidden="false" customHeight="false" outlineLevel="0" collapsed="false">
      <c r="A571" s="6" t="s">
        <v>1738</v>
      </c>
      <c r="B571" s="6" t="s">
        <v>101</v>
      </c>
      <c r="C571" s="6" t="s">
        <v>102</v>
      </c>
      <c r="D571" s="6" t="s">
        <v>155</v>
      </c>
      <c r="E571" s="6" t="s">
        <v>156</v>
      </c>
      <c r="F571" s="6" t="s">
        <v>196</v>
      </c>
      <c r="G571" s="6" t="s">
        <v>528</v>
      </c>
      <c r="H571" s="6" t="s">
        <v>228</v>
      </c>
      <c r="I571" s="6" t="s">
        <v>1739</v>
      </c>
      <c r="J571" s="6" t="s">
        <v>250</v>
      </c>
      <c r="K571" s="6" t="s">
        <v>986</v>
      </c>
      <c r="L571" s="6" t="s">
        <v>205</v>
      </c>
      <c r="M571" s="6" t="s">
        <v>540</v>
      </c>
      <c r="N571" s="6" t="s">
        <v>286</v>
      </c>
      <c r="O571" s="6" t="s">
        <v>933</v>
      </c>
      <c r="P571" s="19" t="str">
        <f aca="false">IF(J571="S0","—",IF(K571="","",IF(L571="E0","QM",INDEX(10_ASIL_Matrix!$D$4:$F$15,MATCH(J571&amp;"-"&amp;L571,10_ASIL_Matrix!$C$4:$C$15,0),MATCH(N571,10_ASIL_Matrix!$D$3:$F$3,0)))))</f>
        <v>A</v>
      </c>
      <c r="Q571" s="6" t="s">
        <v>448</v>
      </c>
    </row>
    <row r="572" customFormat="false" ht="57.45" hidden="false" customHeight="false" outlineLevel="0" collapsed="false">
      <c r="A572" s="5" t="s">
        <v>1740</v>
      </c>
      <c r="B572" s="5" t="s">
        <v>101</v>
      </c>
      <c r="C572" s="5" t="s">
        <v>102</v>
      </c>
      <c r="D572" s="5" t="s">
        <v>155</v>
      </c>
      <c r="E572" s="5" t="s">
        <v>156</v>
      </c>
      <c r="F572" s="5" t="s">
        <v>196</v>
      </c>
      <c r="G572" s="5" t="s">
        <v>528</v>
      </c>
      <c r="H572" s="5" t="s">
        <v>230</v>
      </c>
      <c r="I572" s="5" t="s">
        <v>1741</v>
      </c>
      <c r="J572" s="5" t="s">
        <v>250</v>
      </c>
      <c r="K572" s="5" t="s">
        <v>986</v>
      </c>
      <c r="L572" s="5" t="s">
        <v>205</v>
      </c>
      <c r="M572" s="5" t="s">
        <v>543</v>
      </c>
      <c r="N572" s="5" t="s">
        <v>290</v>
      </c>
      <c r="O572" s="5" t="s">
        <v>942</v>
      </c>
      <c r="P572" s="18" t="str">
        <f aca="false">IF(J572="S0","—",IF(K572="","",IF(L572="E0","QM",INDEX(10_ASIL_Matrix!$D$4:$F$15,MATCH(J572&amp;"-"&amp;L572,10_ASIL_Matrix!$C$4:$C$15,0),MATCH(N572,10_ASIL_Matrix!$D$3:$F$3,0)))))</f>
        <v>B</v>
      </c>
      <c r="Q572" s="5" t="s">
        <v>448</v>
      </c>
    </row>
    <row r="573" customFormat="false" ht="46.25" hidden="false" customHeight="false" outlineLevel="0" collapsed="false">
      <c r="A573" s="6" t="s">
        <v>1742</v>
      </c>
      <c r="B573" s="6" t="s">
        <v>101</v>
      </c>
      <c r="C573" s="6" t="s">
        <v>102</v>
      </c>
      <c r="D573" s="6" t="s">
        <v>155</v>
      </c>
      <c r="E573" s="6" t="s">
        <v>156</v>
      </c>
      <c r="F573" s="6" t="s">
        <v>196</v>
      </c>
      <c r="G573" s="6" t="s">
        <v>528</v>
      </c>
      <c r="H573" s="6" t="s">
        <v>232</v>
      </c>
      <c r="I573" s="6" t="s">
        <v>1743</v>
      </c>
      <c r="J573" s="6" t="s">
        <v>250</v>
      </c>
      <c r="K573" s="6" t="s">
        <v>986</v>
      </c>
      <c r="L573" s="6" t="s">
        <v>233</v>
      </c>
      <c r="M573" s="6" t="s">
        <v>546</v>
      </c>
      <c r="N573" s="6" t="s">
        <v>286</v>
      </c>
      <c r="O573" s="6" t="s">
        <v>933</v>
      </c>
      <c r="P573" s="6" t="str">
        <f aca="false">IF(J573="S0","—",IF(K573="","",IF(L573="E0","QM",INDEX(10_ASIL_Matrix!$D$4:$F$15,MATCH(J573&amp;"-"&amp;L573,10_ASIL_Matrix!$C$4:$C$15,0),MATCH(N573,10_ASIL_Matrix!$D$3:$F$3,0)))))</f>
        <v>QM</v>
      </c>
      <c r="Q573" s="6" t="s">
        <v>448</v>
      </c>
    </row>
    <row r="574" customFormat="false" ht="35.05" hidden="false" customHeight="false" outlineLevel="0" collapsed="false">
      <c r="A574" s="5" t="s">
        <v>1744</v>
      </c>
      <c r="B574" s="5" t="s">
        <v>101</v>
      </c>
      <c r="C574" s="5" t="s">
        <v>102</v>
      </c>
      <c r="D574" s="5" t="s">
        <v>155</v>
      </c>
      <c r="E574" s="5" t="s">
        <v>156</v>
      </c>
      <c r="F574" s="5" t="s">
        <v>198</v>
      </c>
      <c r="G574" s="5" t="s">
        <v>548</v>
      </c>
      <c r="H574" s="5" t="s">
        <v>222</v>
      </c>
      <c r="I574" s="5" t="s">
        <v>1745</v>
      </c>
      <c r="J574" s="5" t="s">
        <v>242</v>
      </c>
      <c r="K574" s="5" t="s">
        <v>999</v>
      </c>
      <c r="L574" s="5" t="s">
        <v>190</v>
      </c>
      <c r="M574" s="5" t="s">
        <v>551</v>
      </c>
      <c r="N574" s="5" t="s">
        <v>282</v>
      </c>
      <c r="O574" s="5" t="s">
        <v>1000</v>
      </c>
      <c r="P574" s="5" t="str">
        <f aca="false">IF(J574="S0","—",IF(K574="","",IF(L574="E0","QM",INDEX(10_ASIL_Matrix!$D$4:$F$15,MATCH(J574&amp;"-"&amp;L574,10_ASIL_Matrix!$C$4:$C$15,0),MATCH(N574,10_ASIL_Matrix!$D$3:$F$3,0)))))</f>
        <v>QM</v>
      </c>
      <c r="Q574" s="5" t="s">
        <v>448</v>
      </c>
    </row>
    <row r="575" customFormat="false" ht="35.05" hidden="false" customHeight="false" outlineLevel="0" collapsed="false">
      <c r="A575" s="6" t="s">
        <v>1746</v>
      </c>
      <c r="B575" s="6" t="s">
        <v>101</v>
      </c>
      <c r="C575" s="6" t="s">
        <v>102</v>
      </c>
      <c r="D575" s="6" t="s">
        <v>155</v>
      </c>
      <c r="E575" s="6" t="s">
        <v>156</v>
      </c>
      <c r="F575" s="6" t="s">
        <v>198</v>
      </c>
      <c r="G575" s="6" t="s">
        <v>548</v>
      </c>
      <c r="H575" s="6" t="s">
        <v>224</v>
      </c>
      <c r="I575" s="6" t="s">
        <v>1747</v>
      </c>
      <c r="J575" s="6" t="s">
        <v>242</v>
      </c>
      <c r="K575" s="6" t="s">
        <v>999</v>
      </c>
      <c r="L575" s="6" t="s">
        <v>190</v>
      </c>
      <c r="M575" s="6" t="s">
        <v>555</v>
      </c>
      <c r="N575" s="6" t="s">
        <v>282</v>
      </c>
      <c r="O575" s="6" t="s">
        <v>1000</v>
      </c>
      <c r="P575" s="6" t="str">
        <f aca="false">IF(J575="S0","—",IF(K575="","",IF(L575="E0","QM",INDEX(10_ASIL_Matrix!$D$4:$F$15,MATCH(J575&amp;"-"&amp;L575,10_ASIL_Matrix!$C$4:$C$15,0),MATCH(N575,10_ASIL_Matrix!$D$3:$F$3,0)))))</f>
        <v>QM</v>
      </c>
      <c r="Q575" s="6" t="s">
        <v>448</v>
      </c>
    </row>
    <row r="576" customFormat="false" ht="35.05" hidden="false" customHeight="false" outlineLevel="0" collapsed="false">
      <c r="A576" s="5" t="s">
        <v>1748</v>
      </c>
      <c r="B576" s="5" t="s">
        <v>101</v>
      </c>
      <c r="C576" s="5" t="s">
        <v>102</v>
      </c>
      <c r="D576" s="5" t="s">
        <v>155</v>
      </c>
      <c r="E576" s="5" t="s">
        <v>156</v>
      </c>
      <c r="F576" s="5" t="s">
        <v>198</v>
      </c>
      <c r="G576" s="5" t="s">
        <v>548</v>
      </c>
      <c r="H576" s="5" t="s">
        <v>226</v>
      </c>
      <c r="I576" s="5" t="s">
        <v>1749</v>
      </c>
      <c r="J576" s="5" t="s">
        <v>242</v>
      </c>
      <c r="K576" s="5" t="s">
        <v>999</v>
      </c>
      <c r="L576" s="5" t="s">
        <v>190</v>
      </c>
      <c r="M576" s="5" t="s">
        <v>558</v>
      </c>
      <c r="N576" s="5" t="s">
        <v>282</v>
      </c>
      <c r="O576" s="5" t="s">
        <v>1000</v>
      </c>
      <c r="P576" s="5" t="str">
        <f aca="false">IF(J576="S0","—",IF(K576="","",IF(L576="E0","QM",INDEX(10_ASIL_Matrix!$D$4:$F$15,MATCH(J576&amp;"-"&amp;L576,10_ASIL_Matrix!$C$4:$C$15,0),MATCH(N576,10_ASIL_Matrix!$D$3:$F$3,0)))))</f>
        <v>QM</v>
      </c>
      <c r="Q576" s="5" t="s">
        <v>448</v>
      </c>
    </row>
    <row r="577" customFormat="false" ht="35.05" hidden="false" customHeight="false" outlineLevel="0" collapsed="false">
      <c r="A577" s="6" t="s">
        <v>1750</v>
      </c>
      <c r="B577" s="6" t="s">
        <v>101</v>
      </c>
      <c r="C577" s="6" t="s">
        <v>102</v>
      </c>
      <c r="D577" s="6" t="s">
        <v>155</v>
      </c>
      <c r="E577" s="6" t="s">
        <v>156</v>
      </c>
      <c r="F577" s="6" t="s">
        <v>198</v>
      </c>
      <c r="G577" s="6" t="s">
        <v>548</v>
      </c>
      <c r="H577" s="6" t="s">
        <v>228</v>
      </c>
      <c r="I577" s="6" t="s">
        <v>1751</v>
      </c>
      <c r="J577" s="6" t="s">
        <v>242</v>
      </c>
      <c r="K577" s="6" t="s">
        <v>999</v>
      </c>
      <c r="L577" s="6" t="s">
        <v>205</v>
      </c>
      <c r="M577" s="6" t="s">
        <v>561</v>
      </c>
      <c r="N577" s="6" t="s">
        <v>282</v>
      </c>
      <c r="O577" s="6" t="s">
        <v>1000</v>
      </c>
      <c r="P577" s="6" t="str">
        <f aca="false">IF(J577="S0","—",IF(K577="","",IF(L577="E0","QM",INDEX(10_ASIL_Matrix!$D$4:$F$15,MATCH(J577&amp;"-"&amp;L577,10_ASIL_Matrix!$C$4:$C$15,0),MATCH(N577,10_ASIL_Matrix!$D$3:$F$3,0)))))</f>
        <v>QM</v>
      </c>
      <c r="Q577" s="6" t="s">
        <v>448</v>
      </c>
    </row>
    <row r="578" customFormat="false" ht="35.05" hidden="false" customHeight="false" outlineLevel="0" collapsed="false">
      <c r="A578" s="5" t="s">
        <v>1752</v>
      </c>
      <c r="B578" s="5" t="s">
        <v>101</v>
      </c>
      <c r="C578" s="5" t="s">
        <v>102</v>
      </c>
      <c r="D578" s="5" t="s">
        <v>155</v>
      </c>
      <c r="E578" s="5" t="s">
        <v>156</v>
      </c>
      <c r="F578" s="5" t="s">
        <v>198</v>
      </c>
      <c r="G578" s="5" t="s">
        <v>548</v>
      </c>
      <c r="H578" s="5" t="s">
        <v>230</v>
      </c>
      <c r="I578" s="5" t="s">
        <v>1753</v>
      </c>
      <c r="J578" s="5" t="s">
        <v>242</v>
      </c>
      <c r="K578" s="5" t="s">
        <v>999</v>
      </c>
      <c r="L578" s="5" t="s">
        <v>205</v>
      </c>
      <c r="M578" s="5" t="s">
        <v>564</v>
      </c>
      <c r="N578" s="5" t="s">
        <v>286</v>
      </c>
      <c r="O578" s="5" t="s">
        <v>1009</v>
      </c>
      <c r="P578" s="5" t="str">
        <f aca="false">IF(J578="S0","—",IF(K578="","",IF(L578="E0","QM",INDEX(10_ASIL_Matrix!$D$4:$F$15,MATCH(J578&amp;"-"&amp;L578,10_ASIL_Matrix!$C$4:$C$15,0),MATCH(N578,10_ASIL_Matrix!$D$3:$F$3,0)))))</f>
        <v>QM</v>
      </c>
      <c r="Q578" s="5" t="s">
        <v>448</v>
      </c>
    </row>
    <row r="579" customFormat="false" ht="46.25" hidden="false" customHeight="false" outlineLevel="0" collapsed="false">
      <c r="A579" s="6" t="s">
        <v>1754</v>
      </c>
      <c r="B579" s="6" t="s">
        <v>101</v>
      </c>
      <c r="C579" s="6" t="s">
        <v>102</v>
      </c>
      <c r="D579" s="6" t="s">
        <v>155</v>
      </c>
      <c r="E579" s="6" t="s">
        <v>156</v>
      </c>
      <c r="F579" s="6" t="s">
        <v>198</v>
      </c>
      <c r="G579" s="6" t="s">
        <v>548</v>
      </c>
      <c r="H579" s="6" t="s">
        <v>232</v>
      </c>
      <c r="I579" s="6" t="s">
        <v>1755</v>
      </c>
      <c r="J579" s="6" t="s">
        <v>242</v>
      </c>
      <c r="K579" s="6" t="s">
        <v>999</v>
      </c>
      <c r="L579" s="6" t="s">
        <v>233</v>
      </c>
      <c r="M579" s="6" t="s">
        <v>568</v>
      </c>
      <c r="N579" s="6" t="s">
        <v>282</v>
      </c>
      <c r="O579" s="6" t="s">
        <v>1000</v>
      </c>
      <c r="P579" s="6" t="str">
        <f aca="false">IF(J579="S0","—",IF(K579="","",IF(L579="E0","QM",INDEX(10_ASIL_Matrix!$D$4:$F$15,MATCH(J579&amp;"-"&amp;L579,10_ASIL_Matrix!$C$4:$C$15,0),MATCH(N579,10_ASIL_Matrix!$D$3:$F$3,0)))))</f>
        <v>QM</v>
      </c>
      <c r="Q579" s="6" t="s">
        <v>448</v>
      </c>
    </row>
    <row r="580" customFormat="false" ht="46.25" hidden="false" customHeight="false" outlineLevel="0" collapsed="false">
      <c r="A580" s="5" t="s">
        <v>1756</v>
      </c>
      <c r="B580" s="5" t="s">
        <v>101</v>
      </c>
      <c r="C580" s="5" t="s">
        <v>102</v>
      </c>
      <c r="D580" s="5" t="s">
        <v>155</v>
      </c>
      <c r="E580" s="5" t="s">
        <v>156</v>
      </c>
      <c r="F580" s="5" t="s">
        <v>200</v>
      </c>
      <c r="G580" s="5" t="s">
        <v>570</v>
      </c>
      <c r="H580" s="5" t="s">
        <v>222</v>
      </c>
      <c r="I580" s="5" t="s">
        <v>1757</v>
      </c>
      <c r="J580" s="5" t="s">
        <v>250</v>
      </c>
      <c r="K580" s="5" t="s">
        <v>1014</v>
      </c>
      <c r="L580" s="5" t="s">
        <v>190</v>
      </c>
      <c r="M580" s="5" t="s">
        <v>573</v>
      </c>
      <c r="N580" s="5" t="s">
        <v>286</v>
      </c>
      <c r="O580" s="5" t="s">
        <v>933</v>
      </c>
      <c r="P580" s="18" t="str">
        <f aca="false">IF(J580="S0","—",IF(K580="","",IF(L580="E0","QM",INDEX(10_ASIL_Matrix!$D$4:$F$15,MATCH(J580&amp;"-"&amp;L580,10_ASIL_Matrix!$C$4:$C$15,0),MATCH(N580,10_ASIL_Matrix!$D$3:$F$3,0)))))</f>
        <v>B</v>
      </c>
      <c r="Q580" s="5" t="s">
        <v>448</v>
      </c>
    </row>
    <row r="581" customFormat="false" ht="46.25" hidden="false" customHeight="false" outlineLevel="0" collapsed="false">
      <c r="A581" s="6" t="s">
        <v>1758</v>
      </c>
      <c r="B581" s="6" t="s">
        <v>101</v>
      </c>
      <c r="C581" s="6" t="s">
        <v>102</v>
      </c>
      <c r="D581" s="6" t="s">
        <v>155</v>
      </c>
      <c r="E581" s="6" t="s">
        <v>156</v>
      </c>
      <c r="F581" s="6" t="s">
        <v>200</v>
      </c>
      <c r="G581" s="6" t="s">
        <v>570</v>
      </c>
      <c r="H581" s="6" t="s">
        <v>224</v>
      </c>
      <c r="I581" s="6" t="s">
        <v>1759</v>
      </c>
      <c r="J581" s="6" t="s">
        <v>250</v>
      </c>
      <c r="K581" s="6" t="s">
        <v>1014</v>
      </c>
      <c r="L581" s="6" t="s">
        <v>190</v>
      </c>
      <c r="M581" s="6" t="s">
        <v>576</v>
      </c>
      <c r="N581" s="6" t="s">
        <v>286</v>
      </c>
      <c r="O581" s="6" t="s">
        <v>933</v>
      </c>
      <c r="P581" s="18" t="str">
        <f aca="false">IF(J581="S0","—",IF(K581="","",IF(L581="E0","QM",INDEX(10_ASIL_Matrix!$D$4:$F$15,MATCH(J581&amp;"-"&amp;L581,10_ASIL_Matrix!$C$4:$C$15,0),MATCH(N581,10_ASIL_Matrix!$D$3:$F$3,0)))))</f>
        <v>B</v>
      </c>
      <c r="Q581" s="6" t="s">
        <v>448</v>
      </c>
    </row>
    <row r="582" customFormat="false" ht="46.25" hidden="false" customHeight="false" outlineLevel="0" collapsed="false">
      <c r="A582" s="5" t="s">
        <v>1760</v>
      </c>
      <c r="B582" s="5" t="s">
        <v>101</v>
      </c>
      <c r="C582" s="5" t="s">
        <v>102</v>
      </c>
      <c r="D582" s="5" t="s">
        <v>155</v>
      </c>
      <c r="E582" s="5" t="s">
        <v>156</v>
      </c>
      <c r="F582" s="5" t="s">
        <v>200</v>
      </c>
      <c r="G582" s="5" t="s">
        <v>570</v>
      </c>
      <c r="H582" s="5" t="s">
        <v>226</v>
      </c>
      <c r="I582" s="5" t="s">
        <v>1761</v>
      </c>
      <c r="J582" s="5" t="s">
        <v>250</v>
      </c>
      <c r="K582" s="5" t="s">
        <v>1014</v>
      </c>
      <c r="L582" s="5" t="s">
        <v>190</v>
      </c>
      <c r="M582" s="5" t="s">
        <v>579</v>
      </c>
      <c r="N582" s="5" t="s">
        <v>286</v>
      </c>
      <c r="O582" s="5" t="s">
        <v>933</v>
      </c>
      <c r="P582" s="18" t="str">
        <f aca="false">IF(J582="S0","—",IF(K582="","",IF(L582="E0","QM",INDEX(10_ASIL_Matrix!$D$4:$F$15,MATCH(J582&amp;"-"&amp;L582,10_ASIL_Matrix!$C$4:$C$15,0),MATCH(N582,10_ASIL_Matrix!$D$3:$F$3,0)))))</f>
        <v>B</v>
      </c>
      <c r="Q582" s="5" t="s">
        <v>448</v>
      </c>
    </row>
    <row r="583" customFormat="false" ht="46.25" hidden="false" customHeight="false" outlineLevel="0" collapsed="false">
      <c r="A583" s="6" t="s">
        <v>1762</v>
      </c>
      <c r="B583" s="6" t="s">
        <v>101</v>
      </c>
      <c r="C583" s="6" t="s">
        <v>102</v>
      </c>
      <c r="D583" s="6" t="s">
        <v>155</v>
      </c>
      <c r="E583" s="6" t="s">
        <v>156</v>
      </c>
      <c r="F583" s="6" t="s">
        <v>200</v>
      </c>
      <c r="G583" s="6" t="s">
        <v>570</v>
      </c>
      <c r="H583" s="6" t="s">
        <v>228</v>
      </c>
      <c r="I583" s="6" t="s">
        <v>1763</v>
      </c>
      <c r="J583" s="6" t="s">
        <v>250</v>
      </c>
      <c r="K583" s="6" t="s">
        <v>1014</v>
      </c>
      <c r="L583" s="6" t="s">
        <v>205</v>
      </c>
      <c r="M583" s="6" t="s">
        <v>582</v>
      </c>
      <c r="N583" s="6" t="s">
        <v>286</v>
      </c>
      <c r="O583" s="6" t="s">
        <v>933</v>
      </c>
      <c r="P583" s="19" t="str">
        <f aca="false">IF(J583="S0","—",IF(K583="","",IF(L583="E0","QM",INDEX(10_ASIL_Matrix!$D$4:$F$15,MATCH(J583&amp;"-"&amp;L583,10_ASIL_Matrix!$C$4:$C$15,0),MATCH(N583,10_ASIL_Matrix!$D$3:$F$3,0)))))</f>
        <v>A</v>
      </c>
      <c r="Q583" s="6" t="s">
        <v>448</v>
      </c>
    </row>
    <row r="584" customFormat="false" ht="57.45" hidden="false" customHeight="false" outlineLevel="0" collapsed="false">
      <c r="A584" s="5" t="s">
        <v>1764</v>
      </c>
      <c r="B584" s="5" t="s">
        <v>101</v>
      </c>
      <c r="C584" s="5" t="s">
        <v>102</v>
      </c>
      <c r="D584" s="5" t="s">
        <v>155</v>
      </c>
      <c r="E584" s="5" t="s">
        <v>156</v>
      </c>
      <c r="F584" s="5" t="s">
        <v>200</v>
      </c>
      <c r="G584" s="5" t="s">
        <v>570</v>
      </c>
      <c r="H584" s="5" t="s">
        <v>230</v>
      </c>
      <c r="I584" s="5" t="s">
        <v>1765</v>
      </c>
      <c r="J584" s="5" t="s">
        <v>250</v>
      </c>
      <c r="K584" s="5" t="s">
        <v>1014</v>
      </c>
      <c r="L584" s="5" t="s">
        <v>205</v>
      </c>
      <c r="M584" s="5" t="s">
        <v>585</v>
      </c>
      <c r="N584" s="5" t="s">
        <v>290</v>
      </c>
      <c r="O584" s="5" t="s">
        <v>942</v>
      </c>
      <c r="P584" s="18" t="str">
        <f aca="false">IF(J584="S0","—",IF(K584="","",IF(L584="E0","QM",INDEX(10_ASIL_Matrix!$D$4:$F$15,MATCH(J584&amp;"-"&amp;L584,10_ASIL_Matrix!$C$4:$C$15,0),MATCH(N584,10_ASIL_Matrix!$D$3:$F$3,0)))))</f>
        <v>B</v>
      </c>
      <c r="Q584" s="5" t="s">
        <v>448</v>
      </c>
    </row>
    <row r="585" customFormat="false" ht="46.25" hidden="false" customHeight="false" outlineLevel="0" collapsed="false">
      <c r="A585" s="6" t="s">
        <v>1766</v>
      </c>
      <c r="B585" s="6" t="s">
        <v>101</v>
      </c>
      <c r="C585" s="6" t="s">
        <v>102</v>
      </c>
      <c r="D585" s="6" t="s">
        <v>155</v>
      </c>
      <c r="E585" s="6" t="s">
        <v>156</v>
      </c>
      <c r="F585" s="6" t="s">
        <v>200</v>
      </c>
      <c r="G585" s="6" t="s">
        <v>570</v>
      </c>
      <c r="H585" s="6" t="s">
        <v>232</v>
      </c>
      <c r="I585" s="6" t="s">
        <v>1767</v>
      </c>
      <c r="J585" s="6" t="s">
        <v>250</v>
      </c>
      <c r="K585" s="6" t="s">
        <v>1014</v>
      </c>
      <c r="L585" s="6" t="s">
        <v>233</v>
      </c>
      <c r="M585" s="6" t="s">
        <v>588</v>
      </c>
      <c r="N585" s="6" t="s">
        <v>286</v>
      </c>
      <c r="O585" s="6" t="s">
        <v>933</v>
      </c>
      <c r="P585" s="6" t="str">
        <f aca="false">IF(J585="S0","—",IF(K585="","",IF(L585="E0","QM",INDEX(10_ASIL_Matrix!$D$4:$F$15,MATCH(J585&amp;"-"&amp;L585,10_ASIL_Matrix!$C$4:$C$15,0),MATCH(N585,10_ASIL_Matrix!$D$3:$F$3,0)))))</f>
        <v>QM</v>
      </c>
      <c r="Q585" s="6" t="s">
        <v>448</v>
      </c>
    </row>
    <row r="586" customFormat="false" ht="46.25" hidden="false" customHeight="false" outlineLevel="0" collapsed="false">
      <c r="A586" s="5" t="s">
        <v>1768</v>
      </c>
      <c r="B586" s="5" t="s">
        <v>101</v>
      </c>
      <c r="C586" s="5" t="s">
        <v>102</v>
      </c>
      <c r="D586" s="5" t="s">
        <v>155</v>
      </c>
      <c r="E586" s="5" t="s">
        <v>156</v>
      </c>
      <c r="F586" s="5" t="s">
        <v>202</v>
      </c>
      <c r="G586" s="5" t="s">
        <v>590</v>
      </c>
      <c r="H586" s="5" t="s">
        <v>222</v>
      </c>
      <c r="I586" s="5" t="s">
        <v>1769</v>
      </c>
      <c r="J586" s="5" t="s">
        <v>250</v>
      </c>
      <c r="K586" s="5" t="s">
        <v>1027</v>
      </c>
      <c r="L586" s="5" t="s">
        <v>187</v>
      </c>
      <c r="M586" s="5" t="s">
        <v>592</v>
      </c>
      <c r="N586" s="5" t="s">
        <v>286</v>
      </c>
      <c r="O586" s="5" t="s">
        <v>933</v>
      </c>
      <c r="P586" s="20" t="str">
        <f aca="false">IF(J586="S0","—",IF(K586="","",IF(L586="E0","QM",INDEX(10_ASIL_Matrix!$D$4:$F$15,MATCH(J586&amp;"-"&amp;L586,10_ASIL_Matrix!$C$4:$C$15,0),MATCH(N586,10_ASIL_Matrix!$D$3:$F$3,0)))))</f>
        <v>C</v>
      </c>
      <c r="Q586" s="5" t="s">
        <v>448</v>
      </c>
    </row>
    <row r="587" customFormat="false" ht="46.25" hidden="false" customHeight="false" outlineLevel="0" collapsed="false">
      <c r="A587" s="6" t="s">
        <v>1770</v>
      </c>
      <c r="B587" s="6" t="s">
        <v>101</v>
      </c>
      <c r="C587" s="6" t="s">
        <v>102</v>
      </c>
      <c r="D587" s="6" t="s">
        <v>155</v>
      </c>
      <c r="E587" s="6" t="s">
        <v>156</v>
      </c>
      <c r="F587" s="6" t="s">
        <v>202</v>
      </c>
      <c r="G587" s="6" t="s">
        <v>590</v>
      </c>
      <c r="H587" s="6" t="s">
        <v>224</v>
      </c>
      <c r="I587" s="6" t="s">
        <v>1771</v>
      </c>
      <c r="J587" s="6" t="s">
        <v>250</v>
      </c>
      <c r="K587" s="6" t="s">
        <v>1027</v>
      </c>
      <c r="L587" s="6" t="s">
        <v>190</v>
      </c>
      <c r="M587" s="6" t="s">
        <v>595</v>
      </c>
      <c r="N587" s="6" t="s">
        <v>286</v>
      </c>
      <c r="O587" s="6" t="s">
        <v>933</v>
      </c>
      <c r="P587" s="18" t="str">
        <f aca="false">IF(J587="S0","—",IF(K587="","",IF(L587="E0","QM",INDEX(10_ASIL_Matrix!$D$4:$F$15,MATCH(J587&amp;"-"&amp;L587,10_ASIL_Matrix!$C$4:$C$15,0),MATCH(N587,10_ASIL_Matrix!$D$3:$F$3,0)))))</f>
        <v>B</v>
      </c>
      <c r="Q587" s="6" t="s">
        <v>448</v>
      </c>
    </row>
    <row r="588" customFormat="false" ht="46.25" hidden="false" customHeight="false" outlineLevel="0" collapsed="false">
      <c r="A588" s="5" t="s">
        <v>1772</v>
      </c>
      <c r="B588" s="5" t="s">
        <v>101</v>
      </c>
      <c r="C588" s="5" t="s">
        <v>102</v>
      </c>
      <c r="D588" s="5" t="s">
        <v>155</v>
      </c>
      <c r="E588" s="5" t="s">
        <v>156</v>
      </c>
      <c r="F588" s="5" t="s">
        <v>202</v>
      </c>
      <c r="G588" s="5" t="s">
        <v>590</v>
      </c>
      <c r="H588" s="5" t="s">
        <v>226</v>
      </c>
      <c r="I588" s="5" t="s">
        <v>1773</v>
      </c>
      <c r="J588" s="5" t="s">
        <v>250</v>
      </c>
      <c r="K588" s="5" t="s">
        <v>1027</v>
      </c>
      <c r="L588" s="5" t="s">
        <v>190</v>
      </c>
      <c r="M588" s="5" t="s">
        <v>598</v>
      </c>
      <c r="N588" s="5" t="s">
        <v>286</v>
      </c>
      <c r="O588" s="5" t="s">
        <v>933</v>
      </c>
      <c r="P588" s="18" t="str">
        <f aca="false">IF(J588="S0","—",IF(K588="","",IF(L588="E0","QM",INDEX(10_ASIL_Matrix!$D$4:$F$15,MATCH(J588&amp;"-"&amp;L588,10_ASIL_Matrix!$C$4:$C$15,0),MATCH(N588,10_ASIL_Matrix!$D$3:$F$3,0)))))</f>
        <v>B</v>
      </c>
      <c r="Q588" s="5" t="s">
        <v>448</v>
      </c>
    </row>
    <row r="589" customFormat="false" ht="46.25" hidden="false" customHeight="false" outlineLevel="0" collapsed="false">
      <c r="A589" s="6" t="s">
        <v>1774</v>
      </c>
      <c r="B589" s="6" t="s">
        <v>101</v>
      </c>
      <c r="C589" s="6" t="s">
        <v>102</v>
      </c>
      <c r="D589" s="6" t="s">
        <v>155</v>
      </c>
      <c r="E589" s="6" t="s">
        <v>156</v>
      </c>
      <c r="F589" s="6" t="s">
        <v>202</v>
      </c>
      <c r="G589" s="6" t="s">
        <v>590</v>
      </c>
      <c r="H589" s="6" t="s">
        <v>228</v>
      </c>
      <c r="I589" s="6" t="s">
        <v>1775</v>
      </c>
      <c r="J589" s="6" t="s">
        <v>250</v>
      </c>
      <c r="K589" s="6" t="s">
        <v>1027</v>
      </c>
      <c r="L589" s="6" t="s">
        <v>205</v>
      </c>
      <c r="M589" s="6" t="s">
        <v>601</v>
      </c>
      <c r="N589" s="6" t="s">
        <v>286</v>
      </c>
      <c r="O589" s="6" t="s">
        <v>933</v>
      </c>
      <c r="P589" s="19" t="str">
        <f aca="false">IF(J589="S0","—",IF(K589="","",IF(L589="E0","QM",INDEX(10_ASIL_Matrix!$D$4:$F$15,MATCH(J589&amp;"-"&amp;L589,10_ASIL_Matrix!$C$4:$C$15,0),MATCH(N589,10_ASIL_Matrix!$D$3:$F$3,0)))))</f>
        <v>A</v>
      </c>
      <c r="Q589" s="6" t="s">
        <v>448</v>
      </c>
    </row>
    <row r="590" customFormat="false" ht="57.45" hidden="false" customHeight="false" outlineLevel="0" collapsed="false">
      <c r="A590" s="5" t="s">
        <v>1776</v>
      </c>
      <c r="B590" s="5" t="s">
        <v>101</v>
      </c>
      <c r="C590" s="5" t="s">
        <v>102</v>
      </c>
      <c r="D590" s="5" t="s">
        <v>155</v>
      </c>
      <c r="E590" s="5" t="s">
        <v>156</v>
      </c>
      <c r="F590" s="5" t="s">
        <v>202</v>
      </c>
      <c r="G590" s="5" t="s">
        <v>590</v>
      </c>
      <c r="H590" s="5" t="s">
        <v>230</v>
      </c>
      <c r="I590" s="5" t="s">
        <v>1777</v>
      </c>
      <c r="J590" s="5" t="s">
        <v>250</v>
      </c>
      <c r="K590" s="5" t="s">
        <v>1027</v>
      </c>
      <c r="L590" s="5" t="s">
        <v>205</v>
      </c>
      <c r="M590" s="5" t="s">
        <v>604</v>
      </c>
      <c r="N590" s="5" t="s">
        <v>290</v>
      </c>
      <c r="O590" s="5" t="s">
        <v>942</v>
      </c>
      <c r="P590" s="18" t="str">
        <f aca="false">IF(J590="S0","—",IF(K590="","",IF(L590="E0","QM",INDEX(10_ASIL_Matrix!$D$4:$F$15,MATCH(J590&amp;"-"&amp;L590,10_ASIL_Matrix!$C$4:$C$15,0),MATCH(N590,10_ASIL_Matrix!$D$3:$F$3,0)))))</f>
        <v>B</v>
      </c>
      <c r="Q590" s="5" t="s">
        <v>448</v>
      </c>
    </row>
    <row r="591" customFormat="false" ht="46.25" hidden="false" customHeight="false" outlineLevel="0" collapsed="false">
      <c r="A591" s="6" t="s">
        <v>1778</v>
      </c>
      <c r="B591" s="6" t="s">
        <v>101</v>
      </c>
      <c r="C591" s="6" t="s">
        <v>102</v>
      </c>
      <c r="D591" s="6" t="s">
        <v>155</v>
      </c>
      <c r="E591" s="6" t="s">
        <v>156</v>
      </c>
      <c r="F591" s="6" t="s">
        <v>202</v>
      </c>
      <c r="G591" s="6" t="s">
        <v>590</v>
      </c>
      <c r="H591" s="6" t="s">
        <v>232</v>
      </c>
      <c r="I591" s="6" t="s">
        <v>1779</v>
      </c>
      <c r="J591" s="6" t="s">
        <v>250</v>
      </c>
      <c r="K591" s="6" t="s">
        <v>1027</v>
      </c>
      <c r="L591" s="6" t="s">
        <v>233</v>
      </c>
      <c r="M591" s="6" t="s">
        <v>607</v>
      </c>
      <c r="N591" s="6" t="s">
        <v>286</v>
      </c>
      <c r="O591" s="6" t="s">
        <v>933</v>
      </c>
      <c r="P591" s="6" t="str">
        <f aca="false">IF(J591="S0","—",IF(K591="","",IF(L591="E0","QM",INDEX(10_ASIL_Matrix!$D$4:$F$15,MATCH(J591&amp;"-"&amp;L591,10_ASIL_Matrix!$C$4:$C$15,0),MATCH(N591,10_ASIL_Matrix!$D$3:$F$3,0)))))</f>
        <v>QM</v>
      </c>
      <c r="Q591" s="6" t="s">
        <v>448</v>
      </c>
    </row>
    <row r="592" customFormat="false" ht="46.25" hidden="false" customHeight="false" outlineLevel="0" collapsed="false">
      <c r="A592" s="5" t="s">
        <v>1780</v>
      </c>
      <c r="B592" s="5" t="s">
        <v>101</v>
      </c>
      <c r="C592" s="5" t="s">
        <v>102</v>
      </c>
      <c r="D592" s="5" t="s">
        <v>155</v>
      </c>
      <c r="E592" s="5" t="s">
        <v>156</v>
      </c>
      <c r="F592" s="5" t="s">
        <v>204</v>
      </c>
      <c r="G592" s="5" t="s">
        <v>609</v>
      </c>
      <c r="H592" s="5" t="s">
        <v>222</v>
      </c>
      <c r="I592" s="5" t="s">
        <v>1781</v>
      </c>
      <c r="J592" s="5" t="s">
        <v>250</v>
      </c>
      <c r="K592" s="5" t="s">
        <v>1040</v>
      </c>
      <c r="L592" s="5" t="s">
        <v>205</v>
      </c>
      <c r="M592" s="5" t="s">
        <v>612</v>
      </c>
      <c r="N592" s="5" t="s">
        <v>286</v>
      </c>
      <c r="O592" s="5" t="s">
        <v>933</v>
      </c>
      <c r="P592" s="19" t="str">
        <f aca="false">IF(J592="S0","—",IF(K592="","",IF(L592="E0","QM",INDEX(10_ASIL_Matrix!$D$4:$F$15,MATCH(J592&amp;"-"&amp;L592,10_ASIL_Matrix!$C$4:$C$15,0),MATCH(N592,10_ASIL_Matrix!$D$3:$F$3,0)))))</f>
        <v>A</v>
      </c>
      <c r="Q592" s="5" t="s">
        <v>448</v>
      </c>
    </row>
    <row r="593" customFormat="false" ht="46.25" hidden="false" customHeight="false" outlineLevel="0" collapsed="false">
      <c r="A593" s="6" t="s">
        <v>1782</v>
      </c>
      <c r="B593" s="6" t="s">
        <v>101</v>
      </c>
      <c r="C593" s="6" t="s">
        <v>102</v>
      </c>
      <c r="D593" s="6" t="s">
        <v>155</v>
      </c>
      <c r="E593" s="6" t="s">
        <v>156</v>
      </c>
      <c r="F593" s="6" t="s">
        <v>204</v>
      </c>
      <c r="G593" s="6" t="s">
        <v>609</v>
      </c>
      <c r="H593" s="6" t="s">
        <v>224</v>
      </c>
      <c r="I593" s="6" t="s">
        <v>1783</v>
      </c>
      <c r="J593" s="6" t="s">
        <v>250</v>
      </c>
      <c r="K593" s="6" t="s">
        <v>1040</v>
      </c>
      <c r="L593" s="6" t="s">
        <v>205</v>
      </c>
      <c r="M593" s="6" t="s">
        <v>616</v>
      </c>
      <c r="N593" s="6" t="s">
        <v>286</v>
      </c>
      <c r="O593" s="6" t="s">
        <v>933</v>
      </c>
      <c r="P593" s="19" t="str">
        <f aca="false">IF(J593="S0","—",IF(K593="","",IF(L593="E0","QM",INDEX(10_ASIL_Matrix!$D$4:$F$15,MATCH(J593&amp;"-"&amp;L593,10_ASIL_Matrix!$C$4:$C$15,0),MATCH(N593,10_ASIL_Matrix!$D$3:$F$3,0)))))</f>
        <v>A</v>
      </c>
      <c r="Q593" s="6" t="s">
        <v>448</v>
      </c>
    </row>
    <row r="594" customFormat="false" ht="46.25" hidden="false" customHeight="false" outlineLevel="0" collapsed="false">
      <c r="A594" s="5" t="s">
        <v>1784</v>
      </c>
      <c r="B594" s="5" t="s">
        <v>101</v>
      </c>
      <c r="C594" s="5" t="s">
        <v>102</v>
      </c>
      <c r="D594" s="5" t="s">
        <v>155</v>
      </c>
      <c r="E594" s="5" t="s">
        <v>156</v>
      </c>
      <c r="F594" s="5" t="s">
        <v>204</v>
      </c>
      <c r="G594" s="5" t="s">
        <v>609</v>
      </c>
      <c r="H594" s="5" t="s">
        <v>226</v>
      </c>
      <c r="I594" s="5" t="s">
        <v>1785</v>
      </c>
      <c r="J594" s="5" t="s">
        <v>250</v>
      </c>
      <c r="K594" s="5" t="s">
        <v>1040</v>
      </c>
      <c r="L594" s="5" t="s">
        <v>205</v>
      </c>
      <c r="M594" s="5" t="s">
        <v>619</v>
      </c>
      <c r="N594" s="5" t="s">
        <v>286</v>
      </c>
      <c r="O594" s="5" t="s">
        <v>933</v>
      </c>
      <c r="P594" s="19" t="str">
        <f aca="false">IF(J594="S0","—",IF(K594="","",IF(L594="E0","QM",INDEX(10_ASIL_Matrix!$D$4:$F$15,MATCH(J594&amp;"-"&amp;L594,10_ASIL_Matrix!$C$4:$C$15,0),MATCH(N594,10_ASIL_Matrix!$D$3:$F$3,0)))))</f>
        <v>A</v>
      </c>
      <c r="Q594" s="5" t="s">
        <v>448</v>
      </c>
    </row>
    <row r="595" customFormat="false" ht="46.25" hidden="false" customHeight="false" outlineLevel="0" collapsed="false">
      <c r="A595" s="6" t="s">
        <v>1786</v>
      </c>
      <c r="B595" s="6" t="s">
        <v>101</v>
      </c>
      <c r="C595" s="6" t="s">
        <v>102</v>
      </c>
      <c r="D595" s="6" t="s">
        <v>155</v>
      </c>
      <c r="E595" s="6" t="s">
        <v>156</v>
      </c>
      <c r="F595" s="6" t="s">
        <v>204</v>
      </c>
      <c r="G595" s="6" t="s">
        <v>609</v>
      </c>
      <c r="H595" s="6" t="s">
        <v>228</v>
      </c>
      <c r="I595" s="6" t="s">
        <v>1787</v>
      </c>
      <c r="J595" s="6" t="s">
        <v>250</v>
      </c>
      <c r="K595" s="6" t="s">
        <v>1040</v>
      </c>
      <c r="L595" s="6" t="s">
        <v>205</v>
      </c>
      <c r="M595" s="6" t="s">
        <v>622</v>
      </c>
      <c r="N595" s="6" t="s">
        <v>286</v>
      </c>
      <c r="O595" s="6" t="s">
        <v>933</v>
      </c>
      <c r="P595" s="19" t="str">
        <f aca="false">IF(J595="S0","—",IF(K595="","",IF(L595="E0","QM",INDEX(10_ASIL_Matrix!$D$4:$F$15,MATCH(J595&amp;"-"&amp;L595,10_ASIL_Matrix!$C$4:$C$15,0),MATCH(N595,10_ASIL_Matrix!$D$3:$F$3,0)))))</f>
        <v>A</v>
      </c>
      <c r="Q595" s="6" t="s">
        <v>448</v>
      </c>
    </row>
    <row r="596" customFormat="false" ht="57.45" hidden="false" customHeight="false" outlineLevel="0" collapsed="false">
      <c r="A596" s="5" t="s">
        <v>1788</v>
      </c>
      <c r="B596" s="5" t="s">
        <v>101</v>
      </c>
      <c r="C596" s="5" t="s">
        <v>102</v>
      </c>
      <c r="D596" s="5" t="s">
        <v>155</v>
      </c>
      <c r="E596" s="5" t="s">
        <v>156</v>
      </c>
      <c r="F596" s="5" t="s">
        <v>204</v>
      </c>
      <c r="G596" s="5" t="s">
        <v>609</v>
      </c>
      <c r="H596" s="5" t="s">
        <v>230</v>
      </c>
      <c r="I596" s="5" t="s">
        <v>1789</v>
      </c>
      <c r="J596" s="5" t="s">
        <v>250</v>
      </c>
      <c r="K596" s="5" t="s">
        <v>1040</v>
      </c>
      <c r="L596" s="5" t="s">
        <v>205</v>
      </c>
      <c r="M596" s="5" t="s">
        <v>625</v>
      </c>
      <c r="N596" s="5" t="s">
        <v>290</v>
      </c>
      <c r="O596" s="5" t="s">
        <v>942</v>
      </c>
      <c r="P596" s="18" t="str">
        <f aca="false">IF(J596="S0","—",IF(K596="","",IF(L596="E0","QM",INDEX(10_ASIL_Matrix!$D$4:$F$15,MATCH(J596&amp;"-"&amp;L596,10_ASIL_Matrix!$C$4:$C$15,0),MATCH(N596,10_ASIL_Matrix!$D$3:$F$3,0)))))</f>
        <v>B</v>
      </c>
      <c r="Q596" s="5" t="s">
        <v>448</v>
      </c>
    </row>
    <row r="597" customFormat="false" ht="46.25" hidden="false" customHeight="false" outlineLevel="0" collapsed="false">
      <c r="A597" s="6" t="s">
        <v>1790</v>
      </c>
      <c r="B597" s="6" t="s">
        <v>101</v>
      </c>
      <c r="C597" s="6" t="s">
        <v>102</v>
      </c>
      <c r="D597" s="6" t="s">
        <v>155</v>
      </c>
      <c r="E597" s="6" t="s">
        <v>156</v>
      </c>
      <c r="F597" s="6" t="s">
        <v>204</v>
      </c>
      <c r="G597" s="6" t="s">
        <v>609</v>
      </c>
      <c r="H597" s="6" t="s">
        <v>232</v>
      </c>
      <c r="I597" s="6" t="s">
        <v>1791</v>
      </c>
      <c r="J597" s="6" t="s">
        <v>250</v>
      </c>
      <c r="K597" s="6" t="s">
        <v>1040</v>
      </c>
      <c r="L597" s="6" t="s">
        <v>233</v>
      </c>
      <c r="M597" s="6" t="s">
        <v>629</v>
      </c>
      <c r="N597" s="6" t="s">
        <v>286</v>
      </c>
      <c r="O597" s="6" t="s">
        <v>933</v>
      </c>
      <c r="P597" s="6" t="str">
        <f aca="false">IF(J597="S0","—",IF(K597="","",IF(L597="E0","QM",INDEX(10_ASIL_Matrix!$D$4:$F$15,MATCH(J597&amp;"-"&amp;L597,10_ASIL_Matrix!$C$4:$C$15,0),MATCH(N597,10_ASIL_Matrix!$D$3:$F$3,0)))))</f>
        <v>QM</v>
      </c>
      <c r="Q597" s="6" t="s">
        <v>448</v>
      </c>
    </row>
    <row r="598" customFormat="false" ht="46.25" hidden="false" customHeight="false" outlineLevel="0" collapsed="false">
      <c r="A598" s="5" t="s">
        <v>1792</v>
      </c>
      <c r="B598" s="5" t="s">
        <v>101</v>
      </c>
      <c r="C598" s="5" t="s">
        <v>102</v>
      </c>
      <c r="D598" s="5" t="s">
        <v>155</v>
      </c>
      <c r="E598" s="5" t="s">
        <v>156</v>
      </c>
      <c r="F598" s="5" t="s">
        <v>207</v>
      </c>
      <c r="G598" s="5" t="s">
        <v>609</v>
      </c>
      <c r="H598" s="5" t="s">
        <v>222</v>
      </c>
      <c r="I598" s="5" t="s">
        <v>1793</v>
      </c>
      <c r="J598" s="5" t="s">
        <v>250</v>
      </c>
      <c r="K598" s="5" t="s">
        <v>1053</v>
      </c>
      <c r="L598" s="5" t="s">
        <v>190</v>
      </c>
      <c r="M598" s="5" t="s">
        <v>633</v>
      </c>
      <c r="N598" s="5" t="s">
        <v>286</v>
      </c>
      <c r="O598" s="5" t="s">
        <v>933</v>
      </c>
      <c r="P598" s="18" t="str">
        <f aca="false">IF(J598="S0","—",IF(K598="","",IF(L598="E0","QM",INDEX(10_ASIL_Matrix!$D$4:$F$15,MATCH(J598&amp;"-"&amp;L598,10_ASIL_Matrix!$C$4:$C$15,0),MATCH(N598,10_ASIL_Matrix!$D$3:$F$3,0)))))</f>
        <v>B</v>
      </c>
      <c r="Q598" s="5" t="s">
        <v>448</v>
      </c>
    </row>
    <row r="599" customFormat="false" ht="46.25" hidden="false" customHeight="false" outlineLevel="0" collapsed="false">
      <c r="A599" s="6" t="s">
        <v>1794</v>
      </c>
      <c r="B599" s="6" t="s">
        <v>101</v>
      </c>
      <c r="C599" s="6" t="s">
        <v>102</v>
      </c>
      <c r="D599" s="6" t="s">
        <v>155</v>
      </c>
      <c r="E599" s="6" t="s">
        <v>156</v>
      </c>
      <c r="F599" s="6" t="s">
        <v>207</v>
      </c>
      <c r="G599" s="6" t="s">
        <v>609</v>
      </c>
      <c r="H599" s="6" t="s">
        <v>224</v>
      </c>
      <c r="I599" s="6" t="s">
        <v>1795</v>
      </c>
      <c r="J599" s="6" t="s">
        <v>250</v>
      </c>
      <c r="K599" s="6" t="s">
        <v>1053</v>
      </c>
      <c r="L599" s="6" t="s">
        <v>190</v>
      </c>
      <c r="M599" s="6" t="s">
        <v>637</v>
      </c>
      <c r="N599" s="6" t="s">
        <v>286</v>
      </c>
      <c r="O599" s="6" t="s">
        <v>933</v>
      </c>
      <c r="P599" s="18" t="str">
        <f aca="false">IF(J599="S0","—",IF(K599="","",IF(L599="E0","QM",INDEX(10_ASIL_Matrix!$D$4:$F$15,MATCH(J599&amp;"-"&amp;L599,10_ASIL_Matrix!$C$4:$C$15,0),MATCH(N599,10_ASIL_Matrix!$D$3:$F$3,0)))))</f>
        <v>B</v>
      </c>
      <c r="Q599" s="6" t="s">
        <v>448</v>
      </c>
    </row>
    <row r="600" customFormat="false" ht="46.25" hidden="false" customHeight="false" outlineLevel="0" collapsed="false">
      <c r="A600" s="5" t="s">
        <v>1796</v>
      </c>
      <c r="B600" s="5" t="s">
        <v>101</v>
      </c>
      <c r="C600" s="5" t="s">
        <v>102</v>
      </c>
      <c r="D600" s="5" t="s">
        <v>155</v>
      </c>
      <c r="E600" s="5" t="s">
        <v>156</v>
      </c>
      <c r="F600" s="5" t="s">
        <v>207</v>
      </c>
      <c r="G600" s="5" t="s">
        <v>609</v>
      </c>
      <c r="H600" s="5" t="s">
        <v>226</v>
      </c>
      <c r="I600" s="5" t="s">
        <v>1797</v>
      </c>
      <c r="J600" s="5" t="s">
        <v>250</v>
      </c>
      <c r="K600" s="5" t="s">
        <v>1053</v>
      </c>
      <c r="L600" s="5" t="s">
        <v>190</v>
      </c>
      <c r="M600" s="5" t="s">
        <v>640</v>
      </c>
      <c r="N600" s="5" t="s">
        <v>286</v>
      </c>
      <c r="O600" s="5" t="s">
        <v>933</v>
      </c>
      <c r="P600" s="18" t="str">
        <f aca="false">IF(J600="S0","—",IF(K600="","",IF(L600="E0","QM",INDEX(10_ASIL_Matrix!$D$4:$F$15,MATCH(J600&amp;"-"&amp;L600,10_ASIL_Matrix!$C$4:$C$15,0),MATCH(N600,10_ASIL_Matrix!$D$3:$F$3,0)))))</f>
        <v>B</v>
      </c>
      <c r="Q600" s="5" t="s">
        <v>448</v>
      </c>
    </row>
    <row r="601" customFormat="false" ht="46.25" hidden="false" customHeight="false" outlineLevel="0" collapsed="false">
      <c r="A601" s="6" t="s">
        <v>1798</v>
      </c>
      <c r="B601" s="6" t="s">
        <v>101</v>
      </c>
      <c r="C601" s="6" t="s">
        <v>102</v>
      </c>
      <c r="D601" s="6" t="s">
        <v>155</v>
      </c>
      <c r="E601" s="6" t="s">
        <v>156</v>
      </c>
      <c r="F601" s="6" t="s">
        <v>207</v>
      </c>
      <c r="G601" s="6" t="s">
        <v>609</v>
      </c>
      <c r="H601" s="6" t="s">
        <v>228</v>
      </c>
      <c r="I601" s="6" t="s">
        <v>1799</v>
      </c>
      <c r="J601" s="6" t="s">
        <v>250</v>
      </c>
      <c r="K601" s="6" t="s">
        <v>1053</v>
      </c>
      <c r="L601" s="6" t="s">
        <v>205</v>
      </c>
      <c r="M601" s="6" t="s">
        <v>643</v>
      </c>
      <c r="N601" s="6" t="s">
        <v>286</v>
      </c>
      <c r="O601" s="6" t="s">
        <v>933</v>
      </c>
      <c r="P601" s="19" t="str">
        <f aca="false">IF(J601="S0","—",IF(K601="","",IF(L601="E0","QM",INDEX(10_ASIL_Matrix!$D$4:$F$15,MATCH(J601&amp;"-"&amp;L601,10_ASIL_Matrix!$C$4:$C$15,0),MATCH(N601,10_ASIL_Matrix!$D$3:$F$3,0)))))</f>
        <v>A</v>
      </c>
      <c r="Q601" s="6" t="s">
        <v>448</v>
      </c>
    </row>
    <row r="602" customFormat="false" ht="57.45" hidden="false" customHeight="false" outlineLevel="0" collapsed="false">
      <c r="A602" s="5" t="s">
        <v>1800</v>
      </c>
      <c r="B602" s="5" t="s">
        <v>101</v>
      </c>
      <c r="C602" s="5" t="s">
        <v>102</v>
      </c>
      <c r="D602" s="5" t="s">
        <v>155</v>
      </c>
      <c r="E602" s="5" t="s">
        <v>156</v>
      </c>
      <c r="F602" s="5" t="s">
        <v>207</v>
      </c>
      <c r="G602" s="5" t="s">
        <v>609</v>
      </c>
      <c r="H602" s="5" t="s">
        <v>230</v>
      </c>
      <c r="I602" s="5" t="s">
        <v>1801</v>
      </c>
      <c r="J602" s="5" t="s">
        <v>250</v>
      </c>
      <c r="K602" s="5" t="s">
        <v>1053</v>
      </c>
      <c r="L602" s="5" t="s">
        <v>205</v>
      </c>
      <c r="M602" s="5" t="s">
        <v>646</v>
      </c>
      <c r="N602" s="5" t="s">
        <v>290</v>
      </c>
      <c r="O602" s="5" t="s">
        <v>942</v>
      </c>
      <c r="P602" s="18" t="str">
        <f aca="false">IF(J602="S0","—",IF(K602="","",IF(L602="E0","QM",INDEX(10_ASIL_Matrix!$D$4:$F$15,MATCH(J602&amp;"-"&amp;L602,10_ASIL_Matrix!$C$4:$C$15,0),MATCH(N602,10_ASIL_Matrix!$D$3:$F$3,0)))))</f>
        <v>B</v>
      </c>
      <c r="Q602" s="5" t="s">
        <v>448</v>
      </c>
    </row>
    <row r="603" customFormat="false" ht="46.25" hidden="false" customHeight="false" outlineLevel="0" collapsed="false">
      <c r="A603" s="6" t="s">
        <v>1802</v>
      </c>
      <c r="B603" s="6" t="s">
        <v>101</v>
      </c>
      <c r="C603" s="6" t="s">
        <v>102</v>
      </c>
      <c r="D603" s="6" t="s">
        <v>155</v>
      </c>
      <c r="E603" s="6" t="s">
        <v>156</v>
      </c>
      <c r="F603" s="6" t="s">
        <v>207</v>
      </c>
      <c r="G603" s="6" t="s">
        <v>609</v>
      </c>
      <c r="H603" s="6" t="s">
        <v>232</v>
      </c>
      <c r="I603" s="6" t="s">
        <v>1803</v>
      </c>
      <c r="J603" s="6" t="s">
        <v>250</v>
      </c>
      <c r="K603" s="6" t="s">
        <v>1053</v>
      </c>
      <c r="L603" s="6" t="s">
        <v>233</v>
      </c>
      <c r="M603" s="6" t="s">
        <v>649</v>
      </c>
      <c r="N603" s="6" t="s">
        <v>286</v>
      </c>
      <c r="O603" s="6" t="s">
        <v>933</v>
      </c>
      <c r="P603" s="6" t="str">
        <f aca="false">IF(J603="S0","—",IF(K603="","",IF(L603="E0","QM",INDEX(10_ASIL_Matrix!$D$4:$F$15,MATCH(J603&amp;"-"&amp;L603,10_ASIL_Matrix!$C$4:$C$15,0),MATCH(N603,10_ASIL_Matrix!$D$3:$F$3,0)))))</f>
        <v>QM</v>
      </c>
      <c r="Q603" s="6" t="s">
        <v>448</v>
      </c>
    </row>
    <row r="604" customFormat="false" ht="46.25" hidden="false" customHeight="false" outlineLevel="0" collapsed="false">
      <c r="A604" s="5" t="s">
        <v>1804</v>
      </c>
      <c r="B604" s="5" t="s">
        <v>101</v>
      </c>
      <c r="C604" s="5" t="s">
        <v>102</v>
      </c>
      <c r="D604" s="5" t="s">
        <v>155</v>
      </c>
      <c r="E604" s="5" t="s">
        <v>156</v>
      </c>
      <c r="F604" s="5" t="s">
        <v>209</v>
      </c>
      <c r="G604" s="5" t="s">
        <v>570</v>
      </c>
      <c r="H604" s="5" t="s">
        <v>222</v>
      </c>
      <c r="I604" s="5" t="s">
        <v>1805</v>
      </c>
      <c r="J604" s="5" t="s">
        <v>250</v>
      </c>
      <c r="K604" s="5" t="s">
        <v>1066</v>
      </c>
      <c r="L604" s="5" t="s">
        <v>190</v>
      </c>
      <c r="M604" s="5" t="s">
        <v>653</v>
      </c>
      <c r="N604" s="5" t="s">
        <v>286</v>
      </c>
      <c r="O604" s="5" t="s">
        <v>933</v>
      </c>
      <c r="P604" s="18" t="str">
        <f aca="false">IF(J604="S0","—",IF(K604="","",IF(L604="E0","QM",INDEX(10_ASIL_Matrix!$D$4:$F$15,MATCH(J604&amp;"-"&amp;L604,10_ASIL_Matrix!$C$4:$C$15,0),MATCH(N604,10_ASIL_Matrix!$D$3:$F$3,0)))))</f>
        <v>B</v>
      </c>
      <c r="Q604" s="5" t="s">
        <v>448</v>
      </c>
    </row>
    <row r="605" customFormat="false" ht="46.25" hidden="false" customHeight="false" outlineLevel="0" collapsed="false">
      <c r="A605" s="6" t="s">
        <v>1806</v>
      </c>
      <c r="B605" s="6" t="s">
        <v>101</v>
      </c>
      <c r="C605" s="6" t="s">
        <v>102</v>
      </c>
      <c r="D605" s="6" t="s">
        <v>155</v>
      </c>
      <c r="E605" s="6" t="s">
        <v>156</v>
      </c>
      <c r="F605" s="6" t="s">
        <v>209</v>
      </c>
      <c r="G605" s="6" t="s">
        <v>570</v>
      </c>
      <c r="H605" s="6" t="s">
        <v>224</v>
      </c>
      <c r="I605" s="6" t="s">
        <v>1807</v>
      </c>
      <c r="J605" s="6" t="s">
        <v>250</v>
      </c>
      <c r="K605" s="6" t="s">
        <v>1066</v>
      </c>
      <c r="L605" s="6" t="s">
        <v>190</v>
      </c>
      <c r="M605" s="6" t="s">
        <v>656</v>
      </c>
      <c r="N605" s="6" t="s">
        <v>286</v>
      </c>
      <c r="O605" s="6" t="s">
        <v>933</v>
      </c>
      <c r="P605" s="18" t="str">
        <f aca="false">IF(J605="S0","—",IF(K605="","",IF(L605="E0","QM",INDEX(10_ASIL_Matrix!$D$4:$F$15,MATCH(J605&amp;"-"&amp;L605,10_ASIL_Matrix!$C$4:$C$15,0),MATCH(N605,10_ASIL_Matrix!$D$3:$F$3,0)))))</f>
        <v>B</v>
      </c>
      <c r="Q605" s="6" t="s">
        <v>448</v>
      </c>
    </row>
    <row r="606" customFormat="false" ht="46.25" hidden="false" customHeight="false" outlineLevel="0" collapsed="false">
      <c r="A606" s="5" t="s">
        <v>1808</v>
      </c>
      <c r="B606" s="5" t="s">
        <v>101</v>
      </c>
      <c r="C606" s="5" t="s">
        <v>102</v>
      </c>
      <c r="D606" s="5" t="s">
        <v>155</v>
      </c>
      <c r="E606" s="5" t="s">
        <v>156</v>
      </c>
      <c r="F606" s="5" t="s">
        <v>209</v>
      </c>
      <c r="G606" s="5" t="s">
        <v>570</v>
      </c>
      <c r="H606" s="5" t="s">
        <v>226</v>
      </c>
      <c r="I606" s="5" t="s">
        <v>1809</v>
      </c>
      <c r="J606" s="5" t="s">
        <v>250</v>
      </c>
      <c r="K606" s="5" t="s">
        <v>1066</v>
      </c>
      <c r="L606" s="5" t="s">
        <v>190</v>
      </c>
      <c r="M606" s="5" t="s">
        <v>659</v>
      </c>
      <c r="N606" s="5" t="s">
        <v>286</v>
      </c>
      <c r="O606" s="5" t="s">
        <v>933</v>
      </c>
      <c r="P606" s="18" t="str">
        <f aca="false">IF(J606="S0","—",IF(K606="","",IF(L606="E0","QM",INDEX(10_ASIL_Matrix!$D$4:$F$15,MATCH(J606&amp;"-"&amp;L606,10_ASIL_Matrix!$C$4:$C$15,0),MATCH(N606,10_ASIL_Matrix!$D$3:$F$3,0)))))</f>
        <v>B</v>
      </c>
      <c r="Q606" s="5" t="s">
        <v>448</v>
      </c>
    </row>
    <row r="607" customFormat="false" ht="46.25" hidden="false" customHeight="false" outlineLevel="0" collapsed="false">
      <c r="A607" s="6" t="s">
        <v>1810</v>
      </c>
      <c r="B607" s="6" t="s">
        <v>101</v>
      </c>
      <c r="C607" s="6" t="s">
        <v>102</v>
      </c>
      <c r="D607" s="6" t="s">
        <v>155</v>
      </c>
      <c r="E607" s="6" t="s">
        <v>156</v>
      </c>
      <c r="F607" s="6" t="s">
        <v>209</v>
      </c>
      <c r="G607" s="6" t="s">
        <v>570</v>
      </c>
      <c r="H607" s="6" t="s">
        <v>228</v>
      </c>
      <c r="I607" s="6" t="s">
        <v>1811</v>
      </c>
      <c r="J607" s="6" t="s">
        <v>250</v>
      </c>
      <c r="K607" s="6" t="s">
        <v>1066</v>
      </c>
      <c r="L607" s="6" t="s">
        <v>205</v>
      </c>
      <c r="M607" s="6" t="s">
        <v>662</v>
      </c>
      <c r="N607" s="6" t="s">
        <v>286</v>
      </c>
      <c r="O607" s="6" t="s">
        <v>933</v>
      </c>
      <c r="P607" s="19" t="str">
        <f aca="false">IF(J607="S0","—",IF(K607="","",IF(L607="E0","QM",INDEX(10_ASIL_Matrix!$D$4:$F$15,MATCH(J607&amp;"-"&amp;L607,10_ASIL_Matrix!$C$4:$C$15,0),MATCH(N607,10_ASIL_Matrix!$D$3:$F$3,0)))))</f>
        <v>A</v>
      </c>
      <c r="Q607" s="6" t="s">
        <v>448</v>
      </c>
    </row>
    <row r="608" customFormat="false" ht="57.45" hidden="false" customHeight="false" outlineLevel="0" collapsed="false">
      <c r="A608" s="5" t="s">
        <v>1812</v>
      </c>
      <c r="B608" s="5" t="s">
        <v>101</v>
      </c>
      <c r="C608" s="5" t="s">
        <v>102</v>
      </c>
      <c r="D608" s="5" t="s">
        <v>155</v>
      </c>
      <c r="E608" s="5" t="s">
        <v>156</v>
      </c>
      <c r="F608" s="5" t="s">
        <v>209</v>
      </c>
      <c r="G608" s="5" t="s">
        <v>570</v>
      </c>
      <c r="H608" s="5" t="s">
        <v>230</v>
      </c>
      <c r="I608" s="5" t="s">
        <v>1813</v>
      </c>
      <c r="J608" s="5" t="s">
        <v>250</v>
      </c>
      <c r="K608" s="5" t="s">
        <v>1066</v>
      </c>
      <c r="L608" s="5" t="s">
        <v>205</v>
      </c>
      <c r="M608" s="5" t="s">
        <v>665</v>
      </c>
      <c r="N608" s="5" t="s">
        <v>290</v>
      </c>
      <c r="O608" s="5" t="s">
        <v>942</v>
      </c>
      <c r="P608" s="18" t="str">
        <f aca="false">IF(J608="S0","—",IF(K608="","",IF(L608="E0","QM",INDEX(10_ASIL_Matrix!$D$4:$F$15,MATCH(J608&amp;"-"&amp;L608,10_ASIL_Matrix!$C$4:$C$15,0),MATCH(N608,10_ASIL_Matrix!$D$3:$F$3,0)))))</f>
        <v>B</v>
      </c>
      <c r="Q608" s="5" t="s">
        <v>448</v>
      </c>
    </row>
    <row r="609" customFormat="false" ht="46.25" hidden="false" customHeight="false" outlineLevel="0" collapsed="false">
      <c r="A609" s="6" t="s">
        <v>1814</v>
      </c>
      <c r="B609" s="6" t="s">
        <v>101</v>
      </c>
      <c r="C609" s="6" t="s">
        <v>102</v>
      </c>
      <c r="D609" s="6" t="s">
        <v>155</v>
      </c>
      <c r="E609" s="6" t="s">
        <v>156</v>
      </c>
      <c r="F609" s="6" t="s">
        <v>209</v>
      </c>
      <c r="G609" s="6" t="s">
        <v>570</v>
      </c>
      <c r="H609" s="6" t="s">
        <v>232</v>
      </c>
      <c r="I609" s="6" t="s">
        <v>1815</v>
      </c>
      <c r="J609" s="6" t="s">
        <v>250</v>
      </c>
      <c r="K609" s="6" t="s">
        <v>1066</v>
      </c>
      <c r="L609" s="6" t="s">
        <v>233</v>
      </c>
      <c r="M609" s="6" t="s">
        <v>668</v>
      </c>
      <c r="N609" s="6" t="s">
        <v>286</v>
      </c>
      <c r="O609" s="6" t="s">
        <v>933</v>
      </c>
      <c r="P609" s="6" t="str">
        <f aca="false">IF(J609="S0","—",IF(K609="","",IF(L609="E0","QM",INDEX(10_ASIL_Matrix!$D$4:$F$15,MATCH(J609&amp;"-"&amp;L609,10_ASIL_Matrix!$C$4:$C$15,0),MATCH(N609,10_ASIL_Matrix!$D$3:$F$3,0)))))</f>
        <v>QM</v>
      </c>
      <c r="Q609" s="6" t="s">
        <v>448</v>
      </c>
    </row>
    <row r="610" customFormat="false" ht="35.05" hidden="false" customHeight="false" outlineLevel="0" collapsed="false">
      <c r="A610" s="5" t="s">
        <v>1816</v>
      </c>
      <c r="B610" s="5" t="s">
        <v>101</v>
      </c>
      <c r="C610" s="5" t="s">
        <v>102</v>
      </c>
      <c r="D610" s="5" t="s">
        <v>155</v>
      </c>
      <c r="E610" s="5" t="s">
        <v>156</v>
      </c>
      <c r="F610" s="5" t="s">
        <v>211</v>
      </c>
      <c r="G610" s="5" t="s">
        <v>609</v>
      </c>
      <c r="H610" s="5" t="s">
        <v>222</v>
      </c>
      <c r="I610" s="5" t="s">
        <v>1817</v>
      </c>
      <c r="J610" s="5" t="s">
        <v>238</v>
      </c>
      <c r="K610" s="5" t="s">
        <v>1818</v>
      </c>
      <c r="L610" s="5" t="s">
        <v>187</v>
      </c>
      <c r="M610" s="5" t="s">
        <v>672</v>
      </c>
      <c r="N610" s="5" t="s">
        <v>278</v>
      </c>
      <c r="O610" s="5" t="s">
        <v>634</v>
      </c>
      <c r="P610" s="5" t="str">
        <f aca="false">IF(J610="S0","—",IF(K610="","",IF(L610="E0","QM",INDEX(10_ASIL_Matrix!$D$4:$F$15,MATCH(J610&amp;"-"&amp;L610,10_ASIL_Matrix!$C$4:$C$15,0),MATCH(N610,10_ASIL_Matrix!$D$3:$F$3,0)))))</f>
        <v>—</v>
      </c>
      <c r="Q610" s="5" t="s">
        <v>448</v>
      </c>
    </row>
    <row r="611" customFormat="false" ht="35.05" hidden="false" customHeight="false" outlineLevel="0" collapsed="false">
      <c r="A611" s="6" t="s">
        <v>1819</v>
      </c>
      <c r="B611" s="6" t="s">
        <v>101</v>
      </c>
      <c r="C611" s="6" t="s">
        <v>102</v>
      </c>
      <c r="D611" s="6" t="s">
        <v>155</v>
      </c>
      <c r="E611" s="6" t="s">
        <v>156</v>
      </c>
      <c r="F611" s="6" t="s">
        <v>211</v>
      </c>
      <c r="G611" s="6" t="s">
        <v>609</v>
      </c>
      <c r="H611" s="6" t="s">
        <v>224</v>
      </c>
      <c r="I611" s="6" t="s">
        <v>1820</v>
      </c>
      <c r="J611" s="6" t="s">
        <v>238</v>
      </c>
      <c r="K611" s="6" t="s">
        <v>1818</v>
      </c>
      <c r="L611" s="6" t="s">
        <v>190</v>
      </c>
      <c r="M611" s="6" t="s">
        <v>675</v>
      </c>
      <c r="N611" s="6" t="s">
        <v>278</v>
      </c>
      <c r="O611" s="6" t="s">
        <v>634</v>
      </c>
      <c r="P611" s="6" t="str">
        <f aca="false">IF(J611="S0","—",IF(K611="","",IF(L611="E0","QM",INDEX(10_ASIL_Matrix!$D$4:$F$15,MATCH(J611&amp;"-"&amp;L611,10_ASIL_Matrix!$C$4:$C$15,0),MATCH(N611,10_ASIL_Matrix!$D$3:$F$3,0)))))</f>
        <v>—</v>
      </c>
      <c r="Q611" s="6" t="s">
        <v>448</v>
      </c>
    </row>
    <row r="612" customFormat="false" ht="35.05" hidden="false" customHeight="false" outlineLevel="0" collapsed="false">
      <c r="A612" s="5" t="s">
        <v>1821</v>
      </c>
      <c r="B612" s="5" t="s">
        <v>101</v>
      </c>
      <c r="C612" s="5" t="s">
        <v>102</v>
      </c>
      <c r="D612" s="5" t="s">
        <v>155</v>
      </c>
      <c r="E612" s="5" t="s">
        <v>156</v>
      </c>
      <c r="F612" s="5" t="s">
        <v>211</v>
      </c>
      <c r="G612" s="5" t="s">
        <v>609</v>
      </c>
      <c r="H612" s="5" t="s">
        <v>226</v>
      </c>
      <c r="I612" s="5" t="s">
        <v>1822</v>
      </c>
      <c r="J612" s="5" t="s">
        <v>238</v>
      </c>
      <c r="K612" s="5" t="s">
        <v>1818</v>
      </c>
      <c r="L612" s="5" t="s">
        <v>190</v>
      </c>
      <c r="M612" s="5" t="s">
        <v>678</v>
      </c>
      <c r="N612" s="5" t="s">
        <v>278</v>
      </c>
      <c r="O612" s="5" t="s">
        <v>634</v>
      </c>
      <c r="P612" s="5" t="str">
        <f aca="false">IF(J612="S0","—",IF(K612="","",IF(L612="E0","QM",INDEX(10_ASIL_Matrix!$D$4:$F$15,MATCH(J612&amp;"-"&amp;L612,10_ASIL_Matrix!$C$4:$C$15,0),MATCH(N612,10_ASIL_Matrix!$D$3:$F$3,0)))))</f>
        <v>—</v>
      </c>
      <c r="Q612" s="5" t="s">
        <v>448</v>
      </c>
    </row>
    <row r="613" customFormat="false" ht="35.05" hidden="false" customHeight="false" outlineLevel="0" collapsed="false">
      <c r="A613" s="6" t="s">
        <v>1823</v>
      </c>
      <c r="B613" s="6" t="s">
        <v>101</v>
      </c>
      <c r="C613" s="6" t="s">
        <v>102</v>
      </c>
      <c r="D613" s="6" t="s">
        <v>155</v>
      </c>
      <c r="E613" s="6" t="s">
        <v>156</v>
      </c>
      <c r="F613" s="6" t="s">
        <v>211</v>
      </c>
      <c r="G613" s="6" t="s">
        <v>609</v>
      </c>
      <c r="H613" s="6" t="s">
        <v>228</v>
      </c>
      <c r="I613" s="6" t="s">
        <v>1824</v>
      </c>
      <c r="J613" s="6" t="s">
        <v>238</v>
      </c>
      <c r="K613" s="6" t="s">
        <v>1818</v>
      </c>
      <c r="L613" s="6" t="s">
        <v>205</v>
      </c>
      <c r="M613" s="6" t="s">
        <v>681</v>
      </c>
      <c r="N613" s="6" t="s">
        <v>278</v>
      </c>
      <c r="O613" s="6" t="s">
        <v>634</v>
      </c>
      <c r="P613" s="6" t="str">
        <f aca="false">IF(J613="S0","—",IF(K613="","",IF(L613="E0","QM",INDEX(10_ASIL_Matrix!$D$4:$F$15,MATCH(J613&amp;"-"&amp;L613,10_ASIL_Matrix!$C$4:$C$15,0),MATCH(N613,10_ASIL_Matrix!$D$3:$F$3,0)))))</f>
        <v>—</v>
      </c>
      <c r="Q613" s="6" t="s">
        <v>448</v>
      </c>
    </row>
    <row r="614" customFormat="false" ht="35.05" hidden="false" customHeight="false" outlineLevel="0" collapsed="false">
      <c r="A614" s="5" t="s">
        <v>1825</v>
      </c>
      <c r="B614" s="5" t="s">
        <v>101</v>
      </c>
      <c r="C614" s="5" t="s">
        <v>102</v>
      </c>
      <c r="D614" s="5" t="s">
        <v>155</v>
      </c>
      <c r="E614" s="5" t="s">
        <v>156</v>
      </c>
      <c r="F614" s="5" t="s">
        <v>211</v>
      </c>
      <c r="G614" s="5" t="s">
        <v>609</v>
      </c>
      <c r="H614" s="5" t="s">
        <v>230</v>
      </c>
      <c r="I614" s="5" t="s">
        <v>1826</v>
      </c>
      <c r="J614" s="5" t="s">
        <v>238</v>
      </c>
      <c r="K614" s="5" t="s">
        <v>1818</v>
      </c>
      <c r="L614" s="5" t="s">
        <v>205</v>
      </c>
      <c r="M614" s="5" t="s">
        <v>684</v>
      </c>
      <c r="N614" s="5" t="s">
        <v>278</v>
      </c>
      <c r="O614" s="5" t="s">
        <v>634</v>
      </c>
      <c r="P614" s="5" t="str">
        <f aca="false">IF(J614="S0","—",IF(K614="","",IF(L614="E0","QM",INDEX(10_ASIL_Matrix!$D$4:$F$15,MATCH(J614&amp;"-"&amp;L614,10_ASIL_Matrix!$C$4:$C$15,0),MATCH(N614,10_ASIL_Matrix!$D$3:$F$3,0)))))</f>
        <v>—</v>
      </c>
      <c r="Q614" s="5" t="s">
        <v>448</v>
      </c>
    </row>
    <row r="615" customFormat="false" ht="46.25" hidden="false" customHeight="false" outlineLevel="0" collapsed="false">
      <c r="A615" s="6" t="s">
        <v>1827</v>
      </c>
      <c r="B615" s="6" t="s">
        <v>101</v>
      </c>
      <c r="C615" s="6" t="s">
        <v>102</v>
      </c>
      <c r="D615" s="6" t="s">
        <v>155</v>
      </c>
      <c r="E615" s="6" t="s">
        <v>156</v>
      </c>
      <c r="F615" s="6" t="s">
        <v>211</v>
      </c>
      <c r="G615" s="6" t="s">
        <v>609</v>
      </c>
      <c r="H615" s="6" t="s">
        <v>232</v>
      </c>
      <c r="I615" s="6" t="s">
        <v>1828</v>
      </c>
      <c r="J615" s="6" t="s">
        <v>238</v>
      </c>
      <c r="K615" s="6" t="s">
        <v>1818</v>
      </c>
      <c r="L615" s="6" t="s">
        <v>233</v>
      </c>
      <c r="M615" s="6" t="s">
        <v>687</v>
      </c>
      <c r="N615" s="6" t="s">
        <v>278</v>
      </c>
      <c r="O615" s="6" t="s">
        <v>634</v>
      </c>
      <c r="P615" s="6" t="str">
        <f aca="false">IF(J615="S0","—",IF(K615="","",IF(L615="E0","QM",INDEX(10_ASIL_Matrix!$D$4:$F$15,MATCH(J615&amp;"-"&amp;L615,10_ASIL_Matrix!$C$4:$C$15,0),MATCH(N615,10_ASIL_Matrix!$D$3:$F$3,0)))))</f>
        <v>—</v>
      </c>
      <c r="Q615" s="6" t="s">
        <v>448</v>
      </c>
    </row>
    <row r="616" customFormat="false" ht="46.25" hidden="false" customHeight="false" outlineLevel="0" collapsed="false">
      <c r="A616" s="5" t="s">
        <v>1829</v>
      </c>
      <c r="B616" s="5" t="s">
        <v>101</v>
      </c>
      <c r="C616" s="5" t="s">
        <v>102</v>
      </c>
      <c r="D616" s="5" t="s">
        <v>155</v>
      </c>
      <c r="E616" s="5" t="s">
        <v>156</v>
      </c>
      <c r="F616" s="5" t="s">
        <v>213</v>
      </c>
      <c r="G616" s="5" t="s">
        <v>689</v>
      </c>
      <c r="H616" s="5" t="s">
        <v>222</v>
      </c>
      <c r="I616" s="5" t="s">
        <v>1830</v>
      </c>
      <c r="J616" s="5" t="s">
        <v>250</v>
      </c>
      <c r="K616" s="5" t="s">
        <v>1094</v>
      </c>
      <c r="L616" s="5" t="s">
        <v>205</v>
      </c>
      <c r="M616" s="5" t="s">
        <v>692</v>
      </c>
      <c r="N616" s="5" t="s">
        <v>286</v>
      </c>
      <c r="O616" s="5" t="s">
        <v>933</v>
      </c>
      <c r="P616" s="19" t="str">
        <f aca="false">IF(J616="S0","—",IF(K616="","",IF(L616="E0","QM",INDEX(10_ASIL_Matrix!$D$4:$F$15,MATCH(J616&amp;"-"&amp;L616,10_ASIL_Matrix!$C$4:$C$15,0),MATCH(N616,10_ASIL_Matrix!$D$3:$F$3,0)))))</f>
        <v>A</v>
      </c>
      <c r="Q616" s="5" t="s">
        <v>448</v>
      </c>
    </row>
    <row r="617" customFormat="false" ht="46.25" hidden="false" customHeight="false" outlineLevel="0" collapsed="false">
      <c r="A617" s="6" t="s">
        <v>1831</v>
      </c>
      <c r="B617" s="6" t="s">
        <v>101</v>
      </c>
      <c r="C617" s="6" t="s">
        <v>102</v>
      </c>
      <c r="D617" s="6" t="s">
        <v>155</v>
      </c>
      <c r="E617" s="6" t="s">
        <v>156</v>
      </c>
      <c r="F617" s="6" t="s">
        <v>213</v>
      </c>
      <c r="G617" s="6" t="s">
        <v>689</v>
      </c>
      <c r="H617" s="6" t="s">
        <v>224</v>
      </c>
      <c r="I617" s="6" t="s">
        <v>1832</v>
      </c>
      <c r="J617" s="6" t="s">
        <v>250</v>
      </c>
      <c r="K617" s="6" t="s">
        <v>1094</v>
      </c>
      <c r="L617" s="6" t="s">
        <v>205</v>
      </c>
      <c r="M617" s="6" t="s">
        <v>696</v>
      </c>
      <c r="N617" s="6" t="s">
        <v>286</v>
      </c>
      <c r="O617" s="6" t="s">
        <v>933</v>
      </c>
      <c r="P617" s="19" t="str">
        <f aca="false">IF(J617="S0","—",IF(K617="","",IF(L617="E0","QM",INDEX(10_ASIL_Matrix!$D$4:$F$15,MATCH(J617&amp;"-"&amp;L617,10_ASIL_Matrix!$C$4:$C$15,0),MATCH(N617,10_ASIL_Matrix!$D$3:$F$3,0)))))</f>
        <v>A</v>
      </c>
      <c r="Q617" s="6" t="s">
        <v>448</v>
      </c>
    </row>
    <row r="618" customFormat="false" ht="46.25" hidden="false" customHeight="false" outlineLevel="0" collapsed="false">
      <c r="A618" s="5" t="s">
        <v>1833</v>
      </c>
      <c r="B618" s="5" t="s">
        <v>101</v>
      </c>
      <c r="C618" s="5" t="s">
        <v>102</v>
      </c>
      <c r="D618" s="5" t="s">
        <v>155</v>
      </c>
      <c r="E618" s="5" t="s">
        <v>156</v>
      </c>
      <c r="F618" s="5" t="s">
        <v>213</v>
      </c>
      <c r="G618" s="5" t="s">
        <v>689</v>
      </c>
      <c r="H618" s="5" t="s">
        <v>226</v>
      </c>
      <c r="I618" s="5" t="s">
        <v>1834</v>
      </c>
      <c r="J618" s="5" t="s">
        <v>250</v>
      </c>
      <c r="K618" s="5" t="s">
        <v>1094</v>
      </c>
      <c r="L618" s="5" t="s">
        <v>205</v>
      </c>
      <c r="M618" s="5" t="s">
        <v>699</v>
      </c>
      <c r="N618" s="5" t="s">
        <v>286</v>
      </c>
      <c r="O618" s="5" t="s">
        <v>933</v>
      </c>
      <c r="P618" s="19" t="str">
        <f aca="false">IF(J618="S0","—",IF(K618="","",IF(L618="E0","QM",INDEX(10_ASIL_Matrix!$D$4:$F$15,MATCH(J618&amp;"-"&amp;L618,10_ASIL_Matrix!$C$4:$C$15,0),MATCH(N618,10_ASIL_Matrix!$D$3:$F$3,0)))))</f>
        <v>A</v>
      </c>
      <c r="Q618" s="5" t="s">
        <v>448</v>
      </c>
    </row>
    <row r="619" customFormat="false" ht="46.25" hidden="false" customHeight="false" outlineLevel="0" collapsed="false">
      <c r="A619" s="6" t="s">
        <v>1835</v>
      </c>
      <c r="B619" s="6" t="s">
        <v>101</v>
      </c>
      <c r="C619" s="6" t="s">
        <v>102</v>
      </c>
      <c r="D619" s="6" t="s">
        <v>155</v>
      </c>
      <c r="E619" s="6" t="s">
        <v>156</v>
      </c>
      <c r="F619" s="6" t="s">
        <v>213</v>
      </c>
      <c r="G619" s="6" t="s">
        <v>689</v>
      </c>
      <c r="H619" s="6" t="s">
        <v>228</v>
      </c>
      <c r="I619" s="6" t="s">
        <v>1836</v>
      </c>
      <c r="J619" s="6" t="s">
        <v>250</v>
      </c>
      <c r="K619" s="6" t="s">
        <v>1094</v>
      </c>
      <c r="L619" s="6" t="s">
        <v>205</v>
      </c>
      <c r="M619" s="6" t="s">
        <v>702</v>
      </c>
      <c r="N619" s="6" t="s">
        <v>286</v>
      </c>
      <c r="O619" s="6" t="s">
        <v>933</v>
      </c>
      <c r="P619" s="19" t="str">
        <f aca="false">IF(J619="S0","—",IF(K619="","",IF(L619="E0","QM",INDEX(10_ASIL_Matrix!$D$4:$F$15,MATCH(J619&amp;"-"&amp;L619,10_ASIL_Matrix!$C$4:$C$15,0),MATCH(N619,10_ASIL_Matrix!$D$3:$F$3,0)))))</f>
        <v>A</v>
      </c>
      <c r="Q619" s="6" t="s">
        <v>448</v>
      </c>
    </row>
    <row r="620" customFormat="false" ht="57.45" hidden="false" customHeight="false" outlineLevel="0" collapsed="false">
      <c r="A620" s="5" t="s">
        <v>1837</v>
      </c>
      <c r="B620" s="5" t="s">
        <v>101</v>
      </c>
      <c r="C620" s="5" t="s">
        <v>102</v>
      </c>
      <c r="D620" s="5" t="s">
        <v>155</v>
      </c>
      <c r="E620" s="5" t="s">
        <v>156</v>
      </c>
      <c r="F620" s="5" t="s">
        <v>213</v>
      </c>
      <c r="G620" s="5" t="s">
        <v>689</v>
      </c>
      <c r="H620" s="5" t="s">
        <v>230</v>
      </c>
      <c r="I620" s="5" t="s">
        <v>1838</v>
      </c>
      <c r="J620" s="5" t="s">
        <v>250</v>
      </c>
      <c r="K620" s="5" t="s">
        <v>1094</v>
      </c>
      <c r="L620" s="5" t="s">
        <v>205</v>
      </c>
      <c r="M620" s="5" t="s">
        <v>705</v>
      </c>
      <c r="N620" s="5" t="s">
        <v>290</v>
      </c>
      <c r="O620" s="5" t="s">
        <v>942</v>
      </c>
      <c r="P620" s="18" t="str">
        <f aca="false">IF(J620="S0","—",IF(K620="","",IF(L620="E0","QM",INDEX(10_ASIL_Matrix!$D$4:$F$15,MATCH(J620&amp;"-"&amp;L620,10_ASIL_Matrix!$C$4:$C$15,0),MATCH(N620,10_ASIL_Matrix!$D$3:$F$3,0)))))</f>
        <v>B</v>
      </c>
      <c r="Q620" s="5" t="s">
        <v>448</v>
      </c>
    </row>
    <row r="621" customFormat="false" ht="46.25" hidden="false" customHeight="false" outlineLevel="0" collapsed="false">
      <c r="A621" s="6" t="s">
        <v>1839</v>
      </c>
      <c r="B621" s="6" t="s">
        <v>101</v>
      </c>
      <c r="C621" s="6" t="s">
        <v>102</v>
      </c>
      <c r="D621" s="6" t="s">
        <v>155</v>
      </c>
      <c r="E621" s="6" t="s">
        <v>156</v>
      </c>
      <c r="F621" s="6" t="s">
        <v>213</v>
      </c>
      <c r="G621" s="6" t="s">
        <v>689</v>
      </c>
      <c r="H621" s="6" t="s">
        <v>232</v>
      </c>
      <c r="I621" s="6" t="s">
        <v>1840</v>
      </c>
      <c r="J621" s="6" t="s">
        <v>250</v>
      </c>
      <c r="K621" s="6" t="s">
        <v>1094</v>
      </c>
      <c r="L621" s="6" t="s">
        <v>233</v>
      </c>
      <c r="M621" s="6" t="s">
        <v>709</v>
      </c>
      <c r="N621" s="6" t="s">
        <v>286</v>
      </c>
      <c r="O621" s="6" t="s">
        <v>933</v>
      </c>
      <c r="P621" s="6" t="str">
        <f aca="false">IF(J621="S0","—",IF(K621="","",IF(L621="E0","QM",INDEX(10_ASIL_Matrix!$D$4:$F$15,MATCH(J621&amp;"-"&amp;L621,10_ASIL_Matrix!$C$4:$C$15,0),MATCH(N621,10_ASIL_Matrix!$D$3:$F$3,0)))))</f>
        <v>QM</v>
      </c>
      <c r="Q621" s="6" t="s">
        <v>448</v>
      </c>
    </row>
    <row r="622" customFormat="false" ht="46.25" hidden="false" customHeight="false" outlineLevel="0" collapsed="false">
      <c r="A622" s="5" t="s">
        <v>1841</v>
      </c>
      <c r="B622" s="5" t="s">
        <v>101</v>
      </c>
      <c r="C622" s="5" t="s">
        <v>102</v>
      </c>
      <c r="D622" s="5" t="s">
        <v>155</v>
      </c>
      <c r="E622" s="5" t="s">
        <v>156</v>
      </c>
      <c r="F622" s="5" t="s">
        <v>215</v>
      </c>
      <c r="G622" s="5" t="s">
        <v>711</v>
      </c>
      <c r="H622" s="5" t="s">
        <v>222</v>
      </c>
      <c r="I622" s="5" t="s">
        <v>1842</v>
      </c>
      <c r="J622" s="5" t="s">
        <v>250</v>
      </c>
      <c r="K622" s="5" t="s">
        <v>1107</v>
      </c>
      <c r="L622" s="5" t="s">
        <v>190</v>
      </c>
      <c r="M622" s="5" t="s">
        <v>714</v>
      </c>
      <c r="N622" s="5" t="s">
        <v>286</v>
      </c>
      <c r="O622" s="5" t="s">
        <v>933</v>
      </c>
      <c r="P622" s="18" t="str">
        <f aca="false">IF(J622="S0","—",IF(K622="","",IF(L622="E0","QM",INDEX(10_ASIL_Matrix!$D$4:$F$15,MATCH(J622&amp;"-"&amp;L622,10_ASIL_Matrix!$C$4:$C$15,0),MATCH(N622,10_ASIL_Matrix!$D$3:$F$3,0)))))</f>
        <v>B</v>
      </c>
      <c r="Q622" s="5" t="s">
        <v>448</v>
      </c>
    </row>
    <row r="623" customFormat="false" ht="46.25" hidden="false" customHeight="false" outlineLevel="0" collapsed="false">
      <c r="A623" s="6" t="s">
        <v>1843</v>
      </c>
      <c r="B623" s="6" t="s">
        <v>101</v>
      </c>
      <c r="C623" s="6" t="s">
        <v>102</v>
      </c>
      <c r="D623" s="6" t="s">
        <v>155</v>
      </c>
      <c r="E623" s="6" t="s">
        <v>156</v>
      </c>
      <c r="F623" s="6" t="s">
        <v>215</v>
      </c>
      <c r="G623" s="6" t="s">
        <v>711</v>
      </c>
      <c r="H623" s="6" t="s">
        <v>224</v>
      </c>
      <c r="I623" s="6" t="s">
        <v>1844</v>
      </c>
      <c r="J623" s="6" t="s">
        <v>250</v>
      </c>
      <c r="K623" s="6" t="s">
        <v>1107</v>
      </c>
      <c r="L623" s="6" t="s">
        <v>190</v>
      </c>
      <c r="M623" s="6" t="s">
        <v>717</v>
      </c>
      <c r="N623" s="6" t="s">
        <v>286</v>
      </c>
      <c r="O623" s="6" t="s">
        <v>933</v>
      </c>
      <c r="P623" s="18" t="str">
        <f aca="false">IF(J623="S0","—",IF(K623="","",IF(L623="E0","QM",INDEX(10_ASIL_Matrix!$D$4:$F$15,MATCH(J623&amp;"-"&amp;L623,10_ASIL_Matrix!$C$4:$C$15,0),MATCH(N623,10_ASIL_Matrix!$D$3:$F$3,0)))))</f>
        <v>B</v>
      </c>
      <c r="Q623" s="6" t="s">
        <v>448</v>
      </c>
    </row>
    <row r="624" customFormat="false" ht="46.25" hidden="false" customHeight="false" outlineLevel="0" collapsed="false">
      <c r="A624" s="5" t="s">
        <v>1845</v>
      </c>
      <c r="B624" s="5" t="s">
        <v>101</v>
      </c>
      <c r="C624" s="5" t="s">
        <v>102</v>
      </c>
      <c r="D624" s="5" t="s">
        <v>155</v>
      </c>
      <c r="E624" s="5" t="s">
        <v>156</v>
      </c>
      <c r="F624" s="5" t="s">
        <v>215</v>
      </c>
      <c r="G624" s="5" t="s">
        <v>711</v>
      </c>
      <c r="H624" s="5" t="s">
        <v>226</v>
      </c>
      <c r="I624" s="5" t="s">
        <v>1846</v>
      </c>
      <c r="J624" s="5" t="s">
        <v>250</v>
      </c>
      <c r="K624" s="5" t="s">
        <v>1107</v>
      </c>
      <c r="L624" s="5" t="s">
        <v>190</v>
      </c>
      <c r="M624" s="5" t="s">
        <v>720</v>
      </c>
      <c r="N624" s="5" t="s">
        <v>286</v>
      </c>
      <c r="O624" s="5" t="s">
        <v>933</v>
      </c>
      <c r="P624" s="18" t="str">
        <f aca="false">IF(J624="S0","—",IF(K624="","",IF(L624="E0","QM",INDEX(10_ASIL_Matrix!$D$4:$F$15,MATCH(J624&amp;"-"&amp;L624,10_ASIL_Matrix!$C$4:$C$15,0),MATCH(N624,10_ASIL_Matrix!$D$3:$F$3,0)))))</f>
        <v>B</v>
      </c>
      <c r="Q624" s="5" t="s">
        <v>448</v>
      </c>
    </row>
    <row r="625" customFormat="false" ht="46.25" hidden="false" customHeight="false" outlineLevel="0" collapsed="false">
      <c r="A625" s="6" t="s">
        <v>1847</v>
      </c>
      <c r="B625" s="6" t="s">
        <v>101</v>
      </c>
      <c r="C625" s="6" t="s">
        <v>102</v>
      </c>
      <c r="D625" s="6" t="s">
        <v>155</v>
      </c>
      <c r="E625" s="6" t="s">
        <v>156</v>
      </c>
      <c r="F625" s="6" t="s">
        <v>215</v>
      </c>
      <c r="G625" s="6" t="s">
        <v>711</v>
      </c>
      <c r="H625" s="6" t="s">
        <v>228</v>
      </c>
      <c r="I625" s="6" t="s">
        <v>1848</v>
      </c>
      <c r="J625" s="6" t="s">
        <v>250</v>
      </c>
      <c r="K625" s="6" t="s">
        <v>1107</v>
      </c>
      <c r="L625" s="6" t="s">
        <v>205</v>
      </c>
      <c r="M625" s="6" t="s">
        <v>723</v>
      </c>
      <c r="N625" s="6" t="s">
        <v>286</v>
      </c>
      <c r="O625" s="6" t="s">
        <v>933</v>
      </c>
      <c r="P625" s="19" t="str">
        <f aca="false">IF(J625="S0","—",IF(K625="","",IF(L625="E0","QM",INDEX(10_ASIL_Matrix!$D$4:$F$15,MATCH(J625&amp;"-"&amp;L625,10_ASIL_Matrix!$C$4:$C$15,0),MATCH(N625,10_ASIL_Matrix!$D$3:$F$3,0)))))</f>
        <v>A</v>
      </c>
      <c r="Q625" s="6" t="s">
        <v>448</v>
      </c>
    </row>
    <row r="626" customFormat="false" ht="57.45" hidden="false" customHeight="false" outlineLevel="0" collapsed="false">
      <c r="A626" s="5" t="s">
        <v>1849</v>
      </c>
      <c r="B626" s="5" t="s">
        <v>101</v>
      </c>
      <c r="C626" s="5" t="s">
        <v>102</v>
      </c>
      <c r="D626" s="5" t="s">
        <v>155</v>
      </c>
      <c r="E626" s="5" t="s">
        <v>156</v>
      </c>
      <c r="F626" s="5" t="s">
        <v>215</v>
      </c>
      <c r="G626" s="5" t="s">
        <v>711</v>
      </c>
      <c r="H626" s="5" t="s">
        <v>230</v>
      </c>
      <c r="I626" s="5" t="s">
        <v>1850</v>
      </c>
      <c r="J626" s="5" t="s">
        <v>250</v>
      </c>
      <c r="K626" s="5" t="s">
        <v>1107</v>
      </c>
      <c r="L626" s="5" t="s">
        <v>205</v>
      </c>
      <c r="M626" s="5" t="s">
        <v>726</v>
      </c>
      <c r="N626" s="5" t="s">
        <v>290</v>
      </c>
      <c r="O626" s="5" t="s">
        <v>942</v>
      </c>
      <c r="P626" s="18" t="str">
        <f aca="false">IF(J626="S0","—",IF(K626="","",IF(L626="E0","QM",INDEX(10_ASIL_Matrix!$D$4:$F$15,MATCH(J626&amp;"-"&amp;L626,10_ASIL_Matrix!$C$4:$C$15,0),MATCH(N626,10_ASIL_Matrix!$D$3:$F$3,0)))))</f>
        <v>B</v>
      </c>
      <c r="Q626" s="5" t="s">
        <v>448</v>
      </c>
    </row>
    <row r="627" customFormat="false" ht="46.25" hidden="false" customHeight="false" outlineLevel="0" collapsed="false">
      <c r="A627" s="6" t="s">
        <v>1851</v>
      </c>
      <c r="B627" s="6" t="s">
        <v>101</v>
      </c>
      <c r="C627" s="6" t="s">
        <v>102</v>
      </c>
      <c r="D627" s="6" t="s">
        <v>155</v>
      </c>
      <c r="E627" s="6" t="s">
        <v>156</v>
      </c>
      <c r="F627" s="6" t="s">
        <v>215</v>
      </c>
      <c r="G627" s="6" t="s">
        <v>711</v>
      </c>
      <c r="H627" s="6" t="s">
        <v>232</v>
      </c>
      <c r="I627" s="6" t="s">
        <v>1852</v>
      </c>
      <c r="J627" s="6" t="s">
        <v>250</v>
      </c>
      <c r="K627" s="6" t="s">
        <v>1107</v>
      </c>
      <c r="L627" s="6" t="s">
        <v>233</v>
      </c>
      <c r="M627" s="6" t="s">
        <v>729</v>
      </c>
      <c r="N627" s="6" t="s">
        <v>286</v>
      </c>
      <c r="O627" s="6" t="s">
        <v>933</v>
      </c>
      <c r="P627" s="6" t="str">
        <f aca="false">IF(J627="S0","—",IF(K627="","",IF(L627="E0","QM",INDEX(10_ASIL_Matrix!$D$4:$F$15,MATCH(J627&amp;"-"&amp;L627,10_ASIL_Matrix!$C$4:$C$15,0),MATCH(N627,10_ASIL_Matrix!$D$3:$F$3,0)))))</f>
        <v>QM</v>
      </c>
      <c r="Q627" s="6" t="s">
        <v>448</v>
      </c>
    </row>
    <row r="628" customFormat="false" ht="46.25" hidden="false" customHeight="false" outlineLevel="0" collapsed="false">
      <c r="A628" s="5" t="s">
        <v>1853</v>
      </c>
      <c r="B628" s="5" t="s">
        <v>101</v>
      </c>
      <c r="C628" s="5" t="s">
        <v>102</v>
      </c>
      <c r="D628" s="5" t="s">
        <v>155</v>
      </c>
      <c r="E628" s="5" t="s">
        <v>156</v>
      </c>
      <c r="F628" s="5" t="s">
        <v>217</v>
      </c>
      <c r="G628" s="5" t="s">
        <v>488</v>
      </c>
      <c r="H628" s="5" t="s">
        <v>222</v>
      </c>
      <c r="I628" s="5" t="s">
        <v>1854</v>
      </c>
      <c r="J628" s="5" t="s">
        <v>250</v>
      </c>
      <c r="K628" s="5" t="s">
        <v>1120</v>
      </c>
      <c r="L628" s="5" t="s">
        <v>190</v>
      </c>
      <c r="M628" s="5" t="s">
        <v>733</v>
      </c>
      <c r="N628" s="5" t="s">
        <v>286</v>
      </c>
      <c r="O628" s="5" t="s">
        <v>933</v>
      </c>
      <c r="P628" s="18" t="str">
        <f aca="false">IF(J628="S0","—",IF(K628="","",IF(L628="E0","QM",INDEX(10_ASIL_Matrix!$D$4:$F$15,MATCH(J628&amp;"-"&amp;L628,10_ASIL_Matrix!$C$4:$C$15,0),MATCH(N628,10_ASIL_Matrix!$D$3:$F$3,0)))))</f>
        <v>B</v>
      </c>
      <c r="Q628" s="5" t="s">
        <v>448</v>
      </c>
    </row>
    <row r="629" customFormat="false" ht="46.25" hidden="false" customHeight="false" outlineLevel="0" collapsed="false">
      <c r="A629" s="6" t="s">
        <v>1855</v>
      </c>
      <c r="B629" s="6" t="s">
        <v>101</v>
      </c>
      <c r="C629" s="6" t="s">
        <v>102</v>
      </c>
      <c r="D629" s="6" t="s">
        <v>155</v>
      </c>
      <c r="E629" s="6" t="s">
        <v>156</v>
      </c>
      <c r="F629" s="6" t="s">
        <v>217</v>
      </c>
      <c r="G629" s="6" t="s">
        <v>488</v>
      </c>
      <c r="H629" s="6" t="s">
        <v>224</v>
      </c>
      <c r="I629" s="6" t="s">
        <v>1856</v>
      </c>
      <c r="J629" s="6" t="s">
        <v>250</v>
      </c>
      <c r="K629" s="6" t="s">
        <v>1120</v>
      </c>
      <c r="L629" s="6" t="s">
        <v>190</v>
      </c>
      <c r="M629" s="6" t="s">
        <v>736</v>
      </c>
      <c r="N629" s="6" t="s">
        <v>286</v>
      </c>
      <c r="O629" s="6" t="s">
        <v>933</v>
      </c>
      <c r="P629" s="18" t="str">
        <f aca="false">IF(J629="S0","—",IF(K629="","",IF(L629="E0","QM",INDEX(10_ASIL_Matrix!$D$4:$F$15,MATCH(J629&amp;"-"&amp;L629,10_ASIL_Matrix!$C$4:$C$15,0),MATCH(N629,10_ASIL_Matrix!$D$3:$F$3,0)))))</f>
        <v>B</v>
      </c>
      <c r="Q629" s="6" t="s">
        <v>448</v>
      </c>
    </row>
    <row r="630" customFormat="false" ht="46.25" hidden="false" customHeight="false" outlineLevel="0" collapsed="false">
      <c r="A630" s="5" t="s">
        <v>1857</v>
      </c>
      <c r="B630" s="5" t="s">
        <v>101</v>
      </c>
      <c r="C630" s="5" t="s">
        <v>102</v>
      </c>
      <c r="D630" s="5" t="s">
        <v>155</v>
      </c>
      <c r="E630" s="5" t="s">
        <v>156</v>
      </c>
      <c r="F630" s="5" t="s">
        <v>217</v>
      </c>
      <c r="G630" s="5" t="s">
        <v>488</v>
      </c>
      <c r="H630" s="5" t="s">
        <v>226</v>
      </c>
      <c r="I630" s="5" t="s">
        <v>1858</v>
      </c>
      <c r="J630" s="5" t="s">
        <v>250</v>
      </c>
      <c r="K630" s="5" t="s">
        <v>1120</v>
      </c>
      <c r="L630" s="5" t="s">
        <v>190</v>
      </c>
      <c r="M630" s="5" t="s">
        <v>739</v>
      </c>
      <c r="N630" s="5" t="s">
        <v>286</v>
      </c>
      <c r="O630" s="5" t="s">
        <v>933</v>
      </c>
      <c r="P630" s="18" t="str">
        <f aca="false">IF(J630="S0","—",IF(K630="","",IF(L630="E0","QM",INDEX(10_ASIL_Matrix!$D$4:$F$15,MATCH(J630&amp;"-"&amp;L630,10_ASIL_Matrix!$C$4:$C$15,0),MATCH(N630,10_ASIL_Matrix!$D$3:$F$3,0)))))</f>
        <v>B</v>
      </c>
      <c r="Q630" s="5" t="s">
        <v>448</v>
      </c>
    </row>
    <row r="631" customFormat="false" ht="46.25" hidden="false" customHeight="false" outlineLevel="0" collapsed="false">
      <c r="A631" s="6" t="s">
        <v>1859</v>
      </c>
      <c r="B631" s="6" t="s">
        <v>101</v>
      </c>
      <c r="C631" s="6" t="s">
        <v>102</v>
      </c>
      <c r="D631" s="6" t="s">
        <v>155</v>
      </c>
      <c r="E631" s="6" t="s">
        <v>156</v>
      </c>
      <c r="F631" s="6" t="s">
        <v>217</v>
      </c>
      <c r="G631" s="6" t="s">
        <v>488</v>
      </c>
      <c r="H631" s="6" t="s">
        <v>228</v>
      </c>
      <c r="I631" s="6" t="s">
        <v>1860</v>
      </c>
      <c r="J631" s="6" t="s">
        <v>250</v>
      </c>
      <c r="K631" s="6" t="s">
        <v>1120</v>
      </c>
      <c r="L631" s="6" t="s">
        <v>205</v>
      </c>
      <c r="M631" s="6" t="s">
        <v>742</v>
      </c>
      <c r="N631" s="6" t="s">
        <v>286</v>
      </c>
      <c r="O631" s="6" t="s">
        <v>933</v>
      </c>
      <c r="P631" s="19" t="str">
        <f aca="false">IF(J631="S0","—",IF(K631="","",IF(L631="E0","QM",INDEX(10_ASIL_Matrix!$D$4:$F$15,MATCH(J631&amp;"-"&amp;L631,10_ASIL_Matrix!$C$4:$C$15,0),MATCH(N631,10_ASIL_Matrix!$D$3:$F$3,0)))))</f>
        <v>A</v>
      </c>
      <c r="Q631" s="6" t="s">
        <v>448</v>
      </c>
    </row>
    <row r="632" customFormat="false" ht="57.45" hidden="false" customHeight="false" outlineLevel="0" collapsed="false">
      <c r="A632" s="5" t="s">
        <v>1861</v>
      </c>
      <c r="B632" s="5" t="s">
        <v>101</v>
      </c>
      <c r="C632" s="5" t="s">
        <v>102</v>
      </c>
      <c r="D632" s="5" t="s">
        <v>155</v>
      </c>
      <c r="E632" s="5" t="s">
        <v>156</v>
      </c>
      <c r="F632" s="5" t="s">
        <v>217</v>
      </c>
      <c r="G632" s="5" t="s">
        <v>488</v>
      </c>
      <c r="H632" s="5" t="s">
        <v>230</v>
      </c>
      <c r="I632" s="5" t="s">
        <v>1862</v>
      </c>
      <c r="J632" s="5" t="s">
        <v>250</v>
      </c>
      <c r="K632" s="5" t="s">
        <v>1120</v>
      </c>
      <c r="L632" s="5" t="s">
        <v>205</v>
      </c>
      <c r="M632" s="5" t="s">
        <v>745</v>
      </c>
      <c r="N632" s="5" t="s">
        <v>290</v>
      </c>
      <c r="O632" s="5" t="s">
        <v>942</v>
      </c>
      <c r="P632" s="18" t="str">
        <f aca="false">IF(J632="S0","—",IF(K632="","",IF(L632="E0","QM",INDEX(10_ASIL_Matrix!$D$4:$F$15,MATCH(J632&amp;"-"&amp;L632,10_ASIL_Matrix!$C$4:$C$15,0),MATCH(N632,10_ASIL_Matrix!$D$3:$F$3,0)))))</f>
        <v>B</v>
      </c>
      <c r="Q632" s="5" t="s">
        <v>448</v>
      </c>
    </row>
    <row r="633" customFormat="false" ht="46.25" hidden="false" customHeight="false" outlineLevel="0" collapsed="false">
      <c r="A633" s="6" t="s">
        <v>1863</v>
      </c>
      <c r="B633" s="6" t="s">
        <v>101</v>
      </c>
      <c r="C633" s="6" t="s">
        <v>102</v>
      </c>
      <c r="D633" s="6" t="s">
        <v>155</v>
      </c>
      <c r="E633" s="6" t="s">
        <v>156</v>
      </c>
      <c r="F633" s="6" t="s">
        <v>217</v>
      </c>
      <c r="G633" s="6" t="s">
        <v>488</v>
      </c>
      <c r="H633" s="6" t="s">
        <v>232</v>
      </c>
      <c r="I633" s="6" t="s">
        <v>1864</v>
      </c>
      <c r="J633" s="6" t="s">
        <v>250</v>
      </c>
      <c r="K633" s="6" t="s">
        <v>1120</v>
      </c>
      <c r="L633" s="6" t="s">
        <v>233</v>
      </c>
      <c r="M633" s="6" t="s">
        <v>748</v>
      </c>
      <c r="N633" s="6" t="s">
        <v>286</v>
      </c>
      <c r="O633" s="6" t="s">
        <v>933</v>
      </c>
      <c r="P633" s="6" t="str">
        <f aca="false">IF(J633="S0","—",IF(K633="","",IF(L633="E0","QM",INDEX(10_ASIL_Matrix!$D$4:$F$15,MATCH(J633&amp;"-"&amp;L633,10_ASIL_Matrix!$C$4:$C$15,0),MATCH(N633,10_ASIL_Matrix!$D$3:$F$3,0)))))</f>
        <v>QM</v>
      </c>
      <c r="Q633" s="6" t="s">
        <v>448</v>
      </c>
    </row>
    <row r="634" customFormat="false" ht="35.05" hidden="false" customHeight="false" outlineLevel="0" collapsed="false">
      <c r="A634" s="5" t="s">
        <v>1865</v>
      </c>
      <c r="B634" s="5" t="s">
        <v>101</v>
      </c>
      <c r="C634" s="5" t="s">
        <v>102</v>
      </c>
      <c r="D634" s="5" t="s">
        <v>167</v>
      </c>
      <c r="E634" s="5" t="s">
        <v>168</v>
      </c>
      <c r="F634" s="5" t="s">
        <v>186</v>
      </c>
      <c r="G634" s="5" t="s">
        <v>443</v>
      </c>
      <c r="H634" s="5" t="s">
        <v>222</v>
      </c>
      <c r="I634" s="5" t="s">
        <v>1866</v>
      </c>
      <c r="J634" s="5" t="s">
        <v>250</v>
      </c>
      <c r="K634" s="5" t="s">
        <v>445</v>
      </c>
      <c r="L634" s="5" t="s">
        <v>187</v>
      </c>
      <c r="M634" s="5" t="s">
        <v>446</v>
      </c>
      <c r="N634" s="5" t="s">
        <v>282</v>
      </c>
      <c r="O634" s="5" t="s">
        <v>447</v>
      </c>
      <c r="P634" s="18" t="str">
        <f aca="false">IF(J634="S0","—",IF(K634="","",IF(L634="E0","QM",INDEX(10_ASIL_Matrix!$D$4:$F$15,MATCH(J634&amp;"-"&amp;L634,10_ASIL_Matrix!$C$4:$C$15,0),MATCH(N634,10_ASIL_Matrix!$D$3:$F$3,0)))))</f>
        <v>B</v>
      </c>
      <c r="Q634" s="5" t="s">
        <v>448</v>
      </c>
    </row>
    <row r="635" customFormat="false" ht="35.05" hidden="false" customHeight="false" outlineLevel="0" collapsed="false">
      <c r="A635" s="6" t="s">
        <v>1867</v>
      </c>
      <c r="B635" s="6" t="s">
        <v>101</v>
      </c>
      <c r="C635" s="6" t="s">
        <v>102</v>
      </c>
      <c r="D635" s="6" t="s">
        <v>167</v>
      </c>
      <c r="E635" s="6" t="s">
        <v>168</v>
      </c>
      <c r="F635" s="6" t="s">
        <v>186</v>
      </c>
      <c r="G635" s="6" t="s">
        <v>443</v>
      </c>
      <c r="H635" s="6" t="s">
        <v>224</v>
      </c>
      <c r="I635" s="6" t="s">
        <v>1868</v>
      </c>
      <c r="J635" s="6" t="s">
        <v>250</v>
      </c>
      <c r="K635" s="6" t="s">
        <v>445</v>
      </c>
      <c r="L635" s="6" t="s">
        <v>190</v>
      </c>
      <c r="M635" s="6" t="s">
        <v>451</v>
      </c>
      <c r="N635" s="6" t="s">
        <v>282</v>
      </c>
      <c r="O635" s="6" t="s">
        <v>447</v>
      </c>
      <c r="P635" s="19" t="str">
        <f aca="false">IF(J635="S0","—",IF(K635="","",IF(L635="E0","QM",INDEX(10_ASIL_Matrix!$D$4:$F$15,MATCH(J635&amp;"-"&amp;L635,10_ASIL_Matrix!$C$4:$C$15,0),MATCH(N635,10_ASIL_Matrix!$D$3:$F$3,0)))))</f>
        <v>A</v>
      </c>
      <c r="Q635" s="6" t="s">
        <v>448</v>
      </c>
    </row>
    <row r="636" customFormat="false" ht="35.05" hidden="false" customHeight="false" outlineLevel="0" collapsed="false">
      <c r="A636" s="5" t="s">
        <v>1869</v>
      </c>
      <c r="B636" s="5" t="s">
        <v>101</v>
      </c>
      <c r="C636" s="5" t="s">
        <v>102</v>
      </c>
      <c r="D636" s="5" t="s">
        <v>167</v>
      </c>
      <c r="E636" s="5" t="s">
        <v>168</v>
      </c>
      <c r="F636" s="5" t="s">
        <v>186</v>
      </c>
      <c r="G636" s="5" t="s">
        <v>443</v>
      </c>
      <c r="H636" s="5" t="s">
        <v>226</v>
      </c>
      <c r="I636" s="5" t="s">
        <v>1870</v>
      </c>
      <c r="J636" s="5" t="s">
        <v>250</v>
      </c>
      <c r="K636" s="5" t="s">
        <v>445</v>
      </c>
      <c r="L636" s="5" t="s">
        <v>190</v>
      </c>
      <c r="M636" s="5" t="s">
        <v>454</v>
      </c>
      <c r="N636" s="5" t="s">
        <v>282</v>
      </c>
      <c r="O636" s="5" t="s">
        <v>447</v>
      </c>
      <c r="P636" s="19" t="str">
        <f aca="false">IF(J636="S0","—",IF(K636="","",IF(L636="E0","QM",INDEX(10_ASIL_Matrix!$D$4:$F$15,MATCH(J636&amp;"-"&amp;L636,10_ASIL_Matrix!$C$4:$C$15,0),MATCH(N636,10_ASIL_Matrix!$D$3:$F$3,0)))))</f>
        <v>A</v>
      </c>
      <c r="Q636" s="5" t="s">
        <v>448</v>
      </c>
    </row>
    <row r="637" customFormat="false" ht="35.05" hidden="false" customHeight="false" outlineLevel="0" collapsed="false">
      <c r="A637" s="6" t="s">
        <v>1871</v>
      </c>
      <c r="B637" s="6" t="s">
        <v>101</v>
      </c>
      <c r="C637" s="6" t="s">
        <v>102</v>
      </c>
      <c r="D637" s="6" t="s">
        <v>167</v>
      </c>
      <c r="E637" s="6" t="s">
        <v>168</v>
      </c>
      <c r="F637" s="6" t="s">
        <v>186</v>
      </c>
      <c r="G637" s="6" t="s">
        <v>443</v>
      </c>
      <c r="H637" s="6" t="s">
        <v>228</v>
      </c>
      <c r="I637" s="6" t="s">
        <v>1872</v>
      </c>
      <c r="J637" s="6" t="s">
        <v>250</v>
      </c>
      <c r="K637" s="6" t="s">
        <v>445</v>
      </c>
      <c r="L637" s="6" t="s">
        <v>205</v>
      </c>
      <c r="M637" s="6" t="s">
        <v>457</v>
      </c>
      <c r="N637" s="6" t="s">
        <v>282</v>
      </c>
      <c r="O637" s="6" t="s">
        <v>447</v>
      </c>
      <c r="P637" s="6" t="str">
        <f aca="false">IF(J637="S0","—",IF(K637="","",IF(L637="E0","QM",INDEX(10_ASIL_Matrix!$D$4:$F$15,MATCH(J637&amp;"-"&amp;L637,10_ASIL_Matrix!$C$4:$C$15,0),MATCH(N637,10_ASIL_Matrix!$D$3:$F$3,0)))))</f>
        <v>QM</v>
      </c>
      <c r="Q637" s="6" t="s">
        <v>448</v>
      </c>
    </row>
    <row r="638" customFormat="false" ht="35.05" hidden="false" customHeight="false" outlineLevel="0" collapsed="false">
      <c r="A638" s="5" t="s">
        <v>1873</v>
      </c>
      <c r="B638" s="5" t="s">
        <v>101</v>
      </c>
      <c r="C638" s="5" t="s">
        <v>102</v>
      </c>
      <c r="D638" s="5" t="s">
        <v>167</v>
      </c>
      <c r="E638" s="5" t="s">
        <v>168</v>
      </c>
      <c r="F638" s="5" t="s">
        <v>186</v>
      </c>
      <c r="G638" s="5" t="s">
        <v>443</v>
      </c>
      <c r="H638" s="5" t="s">
        <v>230</v>
      </c>
      <c r="I638" s="5" t="s">
        <v>1874</v>
      </c>
      <c r="J638" s="5" t="s">
        <v>250</v>
      </c>
      <c r="K638" s="5" t="s">
        <v>445</v>
      </c>
      <c r="L638" s="5" t="s">
        <v>205</v>
      </c>
      <c r="M638" s="5" t="s">
        <v>460</v>
      </c>
      <c r="N638" s="5" t="s">
        <v>286</v>
      </c>
      <c r="O638" s="5" t="s">
        <v>461</v>
      </c>
      <c r="P638" s="19" t="str">
        <f aca="false">IF(J638="S0","—",IF(K638="","",IF(L638="E0","QM",INDEX(10_ASIL_Matrix!$D$4:$F$15,MATCH(J638&amp;"-"&amp;L638,10_ASIL_Matrix!$C$4:$C$15,0),MATCH(N638,10_ASIL_Matrix!$D$3:$F$3,0)))))</f>
        <v>A</v>
      </c>
      <c r="Q638" s="5" t="s">
        <v>448</v>
      </c>
    </row>
    <row r="639" customFormat="false" ht="46.25" hidden="false" customHeight="false" outlineLevel="0" collapsed="false">
      <c r="A639" s="6" t="s">
        <v>1875</v>
      </c>
      <c r="B639" s="6" t="s">
        <v>101</v>
      </c>
      <c r="C639" s="6" t="s">
        <v>102</v>
      </c>
      <c r="D639" s="6" t="s">
        <v>167</v>
      </c>
      <c r="E639" s="6" t="s">
        <v>168</v>
      </c>
      <c r="F639" s="6" t="s">
        <v>186</v>
      </c>
      <c r="G639" s="6" t="s">
        <v>443</v>
      </c>
      <c r="H639" s="6" t="s">
        <v>232</v>
      </c>
      <c r="I639" s="6" t="s">
        <v>1876</v>
      </c>
      <c r="J639" s="6" t="s">
        <v>250</v>
      </c>
      <c r="K639" s="6" t="s">
        <v>445</v>
      </c>
      <c r="L639" s="6" t="s">
        <v>233</v>
      </c>
      <c r="M639" s="6" t="s">
        <v>464</v>
      </c>
      <c r="N639" s="6" t="s">
        <v>282</v>
      </c>
      <c r="O639" s="6" t="s">
        <v>447</v>
      </c>
      <c r="P639" s="6" t="str">
        <f aca="false">IF(J639="S0","—",IF(K639="","",IF(L639="E0","QM",INDEX(10_ASIL_Matrix!$D$4:$F$15,MATCH(J639&amp;"-"&amp;L639,10_ASIL_Matrix!$C$4:$C$15,0),MATCH(N639,10_ASIL_Matrix!$D$3:$F$3,0)))))</f>
        <v>QM</v>
      </c>
      <c r="Q639" s="6" t="s">
        <v>448</v>
      </c>
    </row>
    <row r="640" customFormat="false" ht="35.05" hidden="false" customHeight="false" outlineLevel="0" collapsed="false">
      <c r="A640" s="5" t="s">
        <v>1877</v>
      </c>
      <c r="B640" s="5" t="s">
        <v>101</v>
      </c>
      <c r="C640" s="5" t="s">
        <v>102</v>
      </c>
      <c r="D640" s="5" t="s">
        <v>167</v>
      </c>
      <c r="E640" s="5" t="s">
        <v>168</v>
      </c>
      <c r="F640" s="5" t="s">
        <v>189</v>
      </c>
      <c r="G640" s="5" t="s">
        <v>466</v>
      </c>
      <c r="H640" s="5" t="s">
        <v>222</v>
      </c>
      <c r="I640" s="5" t="s">
        <v>1878</v>
      </c>
      <c r="J640" s="5" t="s">
        <v>250</v>
      </c>
      <c r="K640" s="5" t="s">
        <v>468</v>
      </c>
      <c r="L640" s="5" t="s">
        <v>190</v>
      </c>
      <c r="M640" s="5" t="s">
        <v>469</v>
      </c>
      <c r="N640" s="5" t="s">
        <v>286</v>
      </c>
      <c r="O640" s="5" t="s">
        <v>470</v>
      </c>
      <c r="P640" s="18" t="str">
        <f aca="false">IF(J640="S0","—",IF(K640="","",IF(L640="E0","QM",INDEX(10_ASIL_Matrix!$D$4:$F$15,MATCH(J640&amp;"-"&amp;L640,10_ASIL_Matrix!$C$4:$C$15,0),MATCH(N640,10_ASIL_Matrix!$D$3:$F$3,0)))))</f>
        <v>B</v>
      </c>
      <c r="Q640" s="5" t="s">
        <v>448</v>
      </c>
    </row>
    <row r="641" customFormat="false" ht="35.05" hidden="false" customHeight="false" outlineLevel="0" collapsed="false">
      <c r="A641" s="6" t="s">
        <v>1879</v>
      </c>
      <c r="B641" s="6" t="s">
        <v>101</v>
      </c>
      <c r="C641" s="6" t="s">
        <v>102</v>
      </c>
      <c r="D641" s="6" t="s">
        <v>167</v>
      </c>
      <c r="E641" s="6" t="s">
        <v>168</v>
      </c>
      <c r="F641" s="6" t="s">
        <v>189</v>
      </c>
      <c r="G641" s="6" t="s">
        <v>466</v>
      </c>
      <c r="H641" s="6" t="s">
        <v>224</v>
      </c>
      <c r="I641" s="6" t="s">
        <v>1880</v>
      </c>
      <c r="J641" s="6" t="s">
        <v>250</v>
      </c>
      <c r="K641" s="6" t="s">
        <v>468</v>
      </c>
      <c r="L641" s="6" t="s">
        <v>190</v>
      </c>
      <c r="M641" s="6" t="s">
        <v>473</v>
      </c>
      <c r="N641" s="6" t="s">
        <v>286</v>
      </c>
      <c r="O641" s="6" t="s">
        <v>470</v>
      </c>
      <c r="P641" s="18" t="str">
        <f aca="false">IF(J641="S0","—",IF(K641="","",IF(L641="E0","QM",INDEX(10_ASIL_Matrix!$D$4:$F$15,MATCH(J641&amp;"-"&amp;L641,10_ASIL_Matrix!$C$4:$C$15,0),MATCH(N641,10_ASIL_Matrix!$D$3:$F$3,0)))))</f>
        <v>B</v>
      </c>
      <c r="Q641" s="6" t="s">
        <v>448</v>
      </c>
    </row>
    <row r="642" customFormat="false" ht="35.05" hidden="false" customHeight="false" outlineLevel="0" collapsed="false">
      <c r="A642" s="5" t="s">
        <v>1881</v>
      </c>
      <c r="B642" s="5" t="s">
        <v>101</v>
      </c>
      <c r="C642" s="5" t="s">
        <v>102</v>
      </c>
      <c r="D642" s="5" t="s">
        <v>167</v>
      </c>
      <c r="E642" s="5" t="s">
        <v>168</v>
      </c>
      <c r="F642" s="5" t="s">
        <v>189</v>
      </c>
      <c r="G642" s="5" t="s">
        <v>466</v>
      </c>
      <c r="H642" s="5" t="s">
        <v>226</v>
      </c>
      <c r="I642" s="5" t="s">
        <v>1882</v>
      </c>
      <c r="J642" s="5" t="s">
        <v>250</v>
      </c>
      <c r="K642" s="5" t="s">
        <v>468</v>
      </c>
      <c r="L642" s="5" t="s">
        <v>190</v>
      </c>
      <c r="M642" s="5" t="s">
        <v>476</v>
      </c>
      <c r="N642" s="5" t="s">
        <v>286</v>
      </c>
      <c r="O642" s="5" t="s">
        <v>470</v>
      </c>
      <c r="P642" s="18" t="str">
        <f aca="false">IF(J642="S0","—",IF(K642="","",IF(L642="E0","QM",INDEX(10_ASIL_Matrix!$D$4:$F$15,MATCH(J642&amp;"-"&amp;L642,10_ASIL_Matrix!$C$4:$C$15,0),MATCH(N642,10_ASIL_Matrix!$D$3:$F$3,0)))))</f>
        <v>B</v>
      </c>
      <c r="Q642" s="5" t="s">
        <v>448</v>
      </c>
    </row>
    <row r="643" customFormat="false" ht="35.05" hidden="false" customHeight="false" outlineLevel="0" collapsed="false">
      <c r="A643" s="6" t="s">
        <v>1883</v>
      </c>
      <c r="B643" s="6" t="s">
        <v>101</v>
      </c>
      <c r="C643" s="6" t="s">
        <v>102</v>
      </c>
      <c r="D643" s="6" t="s">
        <v>167</v>
      </c>
      <c r="E643" s="6" t="s">
        <v>168</v>
      </c>
      <c r="F643" s="6" t="s">
        <v>189</v>
      </c>
      <c r="G643" s="6" t="s">
        <v>466</v>
      </c>
      <c r="H643" s="6" t="s">
        <v>228</v>
      </c>
      <c r="I643" s="6" t="s">
        <v>1884</v>
      </c>
      <c r="J643" s="6" t="s">
        <v>250</v>
      </c>
      <c r="K643" s="6" t="s">
        <v>468</v>
      </c>
      <c r="L643" s="6" t="s">
        <v>205</v>
      </c>
      <c r="M643" s="6" t="s">
        <v>479</v>
      </c>
      <c r="N643" s="6" t="s">
        <v>286</v>
      </c>
      <c r="O643" s="6" t="s">
        <v>470</v>
      </c>
      <c r="P643" s="19" t="str">
        <f aca="false">IF(J643="S0","—",IF(K643="","",IF(L643="E0","QM",INDEX(10_ASIL_Matrix!$D$4:$F$15,MATCH(J643&amp;"-"&amp;L643,10_ASIL_Matrix!$C$4:$C$15,0),MATCH(N643,10_ASIL_Matrix!$D$3:$F$3,0)))))</f>
        <v>A</v>
      </c>
      <c r="Q643" s="6" t="s">
        <v>448</v>
      </c>
    </row>
    <row r="644" customFormat="false" ht="46.25" hidden="false" customHeight="false" outlineLevel="0" collapsed="false">
      <c r="A644" s="5" t="s">
        <v>1885</v>
      </c>
      <c r="B644" s="5" t="s">
        <v>101</v>
      </c>
      <c r="C644" s="5" t="s">
        <v>102</v>
      </c>
      <c r="D644" s="5" t="s">
        <v>167</v>
      </c>
      <c r="E644" s="5" t="s">
        <v>168</v>
      </c>
      <c r="F644" s="5" t="s">
        <v>189</v>
      </c>
      <c r="G644" s="5" t="s">
        <v>466</v>
      </c>
      <c r="H644" s="5" t="s">
        <v>230</v>
      </c>
      <c r="I644" s="5" t="s">
        <v>1886</v>
      </c>
      <c r="J644" s="5" t="s">
        <v>250</v>
      </c>
      <c r="K644" s="5" t="s">
        <v>468</v>
      </c>
      <c r="L644" s="5" t="s">
        <v>205</v>
      </c>
      <c r="M644" s="5" t="s">
        <v>482</v>
      </c>
      <c r="N644" s="5" t="s">
        <v>290</v>
      </c>
      <c r="O644" s="5" t="s">
        <v>483</v>
      </c>
      <c r="P644" s="18" t="str">
        <f aca="false">IF(J644="S0","—",IF(K644="","",IF(L644="E0","QM",INDEX(10_ASIL_Matrix!$D$4:$F$15,MATCH(J644&amp;"-"&amp;L644,10_ASIL_Matrix!$C$4:$C$15,0),MATCH(N644,10_ASIL_Matrix!$D$3:$F$3,0)))))</f>
        <v>B</v>
      </c>
      <c r="Q644" s="5" t="s">
        <v>448</v>
      </c>
    </row>
    <row r="645" customFormat="false" ht="46.25" hidden="false" customHeight="false" outlineLevel="0" collapsed="false">
      <c r="A645" s="6" t="s">
        <v>1887</v>
      </c>
      <c r="B645" s="6" t="s">
        <v>101</v>
      </c>
      <c r="C645" s="6" t="s">
        <v>102</v>
      </c>
      <c r="D645" s="6" t="s">
        <v>167</v>
      </c>
      <c r="E645" s="6" t="s">
        <v>168</v>
      </c>
      <c r="F645" s="6" t="s">
        <v>189</v>
      </c>
      <c r="G645" s="6" t="s">
        <v>466</v>
      </c>
      <c r="H645" s="6" t="s">
        <v>232</v>
      </c>
      <c r="I645" s="6" t="s">
        <v>1888</v>
      </c>
      <c r="J645" s="6" t="s">
        <v>250</v>
      </c>
      <c r="K645" s="6" t="s">
        <v>468</v>
      </c>
      <c r="L645" s="6" t="s">
        <v>233</v>
      </c>
      <c r="M645" s="6" t="s">
        <v>486</v>
      </c>
      <c r="N645" s="6" t="s">
        <v>286</v>
      </c>
      <c r="O645" s="6" t="s">
        <v>470</v>
      </c>
      <c r="P645" s="6" t="str">
        <f aca="false">IF(J645="S0","—",IF(K645="","",IF(L645="E0","QM",INDEX(10_ASIL_Matrix!$D$4:$F$15,MATCH(J645&amp;"-"&amp;L645,10_ASIL_Matrix!$C$4:$C$15,0),MATCH(N645,10_ASIL_Matrix!$D$3:$F$3,0)))))</f>
        <v>QM</v>
      </c>
      <c r="Q645" s="6" t="s">
        <v>448</v>
      </c>
    </row>
    <row r="646" customFormat="false" ht="35.05" hidden="false" customHeight="false" outlineLevel="0" collapsed="false">
      <c r="A646" s="5" t="s">
        <v>1889</v>
      </c>
      <c r="B646" s="5" t="s">
        <v>101</v>
      </c>
      <c r="C646" s="5" t="s">
        <v>102</v>
      </c>
      <c r="D646" s="5" t="s">
        <v>167</v>
      </c>
      <c r="E646" s="5" t="s">
        <v>168</v>
      </c>
      <c r="F646" s="5" t="s">
        <v>192</v>
      </c>
      <c r="G646" s="5" t="s">
        <v>488</v>
      </c>
      <c r="H646" s="5" t="s">
        <v>222</v>
      </c>
      <c r="I646" s="5" t="s">
        <v>1890</v>
      </c>
      <c r="J646" s="5" t="s">
        <v>250</v>
      </c>
      <c r="K646" s="5" t="s">
        <v>490</v>
      </c>
      <c r="L646" s="5" t="s">
        <v>187</v>
      </c>
      <c r="M646" s="5" t="s">
        <v>491</v>
      </c>
      <c r="N646" s="5" t="s">
        <v>282</v>
      </c>
      <c r="O646" s="5" t="s">
        <v>447</v>
      </c>
      <c r="P646" s="18" t="str">
        <f aca="false">IF(J646="S0","—",IF(K646="","",IF(L646="E0","QM",INDEX(10_ASIL_Matrix!$D$4:$F$15,MATCH(J646&amp;"-"&amp;L646,10_ASIL_Matrix!$C$4:$C$15,0),MATCH(N646,10_ASIL_Matrix!$D$3:$F$3,0)))))</f>
        <v>B</v>
      </c>
      <c r="Q646" s="5" t="s">
        <v>448</v>
      </c>
    </row>
    <row r="647" customFormat="false" ht="35.05" hidden="false" customHeight="false" outlineLevel="0" collapsed="false">
      <c r="A647" s="6" t="s">
        <v>1891</v>
      </c>
      <c r="B647" s="6" t="s">
        <v>101</v>
      </c>
      <c r="C647" s="6" t="s">
        <v>102</v>
      </c>
      <c r="D647" s="6" t="s">
        <v>167</v>
      </c>
      <c r="E647" s="6" t="s">
        <v>168</v>
      </c>
      <c r="F647" s="6" t="s">
        <v>192</v>
      </c>
      <c r="G647" s="6" t="s">
        <v>488</v>
      </c>
      <c r="H647" s="6" t="s">
        <v>224</v>
      </c>
      <c r="I647" s="6" t="s">
        <v>1892</v>
      </c>
      <c r="J647" s="6" t="s">
        <v>250</v>
      </c>
      <c r="K647" s="6" t="s">
        <v>490</v>
      </c>
      <c r="L647" s="6" t="s">
        <v>190</v>
      </c>
      <c r="M647" s="6" t="s">
        <v>494</v>
      </c>
      <c r="N647" s="6" t="s">
        <v>282</v>
      </c>
      <c r="O647" s="6" t="s">
        <v>447</v>
      </c>
      <c r="P647" s="19" t="str">
        <f aca="false">IF(J647="S0","—",IF(K647="","",IF(L647="E0","QM",INDEX(10_ASIL_Matrix!$D$4:$F$15,MATCH(J647&amp;"-"&amp;L647,10_ASIL_Matrix!$C$4:$C$15,0),MATCH(N647,10_ASIL_Matrix!$D$3:$F$3,0)))))</f>
        <v>A</v>
      </c>
      <c r="Q647" s="6" t="s">
        <v>448</v>
      </c>
    </row>
    <row r="648" customFormat="false" ht="35.05" hidden="false" customHeight="false" outlineLevel="0" collapsed="false">
      <c r="A648" s="5" t="s">
        <v>1893</v>
      </c>
      <c r="B648" s="5" t="s">
        <v>101</v>
      </c>
      <c r="C648" s="5" t="s">
        <v>102</v>
      </c>
      <c r="D648" s="5" t="s">
        <v>167</v>
      </c>
      <c r="E648" s="5" t="s">
        <v>168</v>
      </c>
      <c r="F648" s="5" t="s">
        <v>192</v>
      </c>
      <c r="G648" s="5" t="s">
        <v>488</v>
      </c>
      <c r="H648" s="5" t="s">
        <v>226</v>
      </c>
      <c r="I648" s="5" t="s">
        <v>1894</v>
      </c>
      <c r="J648" s="5" t="s">
        <v>250</v>
      </c>
      <c r="K648" s="5" t="s">
        <v>490</v>
      </c>
      <c r="L648" s="5" t="s">
        <v>190</v>
      </c>
      <c r="M648" s="5" t="s">
        <v>497</v>
      </c>
      <c r="N648" s="5" t="s">
        <v>282</v>
      </c>
      <c r="O648" s="5" t="s">
        <v>447</v>
      </c>
      <c r="P648" s="19" t="str">
        <f aca="false">IF(J648="S0","—",IF(K648="","",IF(L648="E0","QM",INDEX(10_ASIL_Matrix!$D$4:$F$15,MATCH(J648&amp;"-"&amp;L648,10_ASIL_Matrix!$C$4:$C$15,0),MATCH(N648,10_ASIL_Matrix!$D$3:$F$3,0)))))</f>
        <v>A</v>
      </c>
      <c r="Q648" s="5" t="s">
        <v>448</v>
      </c>
    </row>
    <row r="649" customFormat="false" ht="35.05" hidden="false" customHeight="false" outlineLevel="0" collapsed="false">
      <c r="A649" s="6" t="s">
        <v>1895</v>
      </c>
      <c r="B649" s="6" t="s">
        <v>101</v>
      </c>
      <c r="C649" s="6" t="s">
        <v>102</v>
      </c>
      <c r="D649" s="6" t="s">
        <v>167</v>
      </c>
      <c r="E649" s="6" t="s">
        <v>168</v>
      </c>
      <c r="F649" s="6" t="s">
        <v>192</v>
      </c>
      <c r="G649" s="6" t="s">
        <v>488</v>
      </c>
      <c r="H649" s="6" t="s">
        <v>228</v>
      </c>
      <c r="I649" s="6" t="s">
        <v>1896</v>
      </c>
      <c r="J649" s="6" t="s">
        <v>250</v>
      </c>
      <c r="K649" s="6" t="s">
        <v>490</v>
      </c>
      <c r="L649" s="6" t="s">
        <v>205</v>
      </c>
      <c r="M649" s="6" t="s">
        <v>500</v>
      </c>
      <c r="N649" s="6" t="s">
        <v>282</v>
      </c>
      <c r="O649" s="6" t="s">
        <v>447</v>
      </c>
      <c r="P649" s="6" t="str">
        <f aca="false">IF(J649="S0","—",IF(K649="","",IF(L649="E0","QM",INDEX(10_ASIL_Matrix!$D$4:$F$15,MATCH(J649&amp;"-"&amp;L649,10_ASIL_Matrix!$C$4:$C$15,0),MATCH(N649,10_ASIL_Matrix!$D$3:$F$3,0)))))</f>
        <v>QM</v>
      </c>
      <c r="Q649" s="6" t="s">
        <v>448</v>
      </c>
    </row>
    <row r="650" customFormat="false" ht="35.05" hidden="false" customHeight="false" outlineLevel="0" collapsed="false">
      <c r="A650" s="5" t="s">
        <v>1897</v>
      </c>
      <c r="B650" s="5" t="s">
        <v>101</v>
      </c>
      <c r="C650" s="5" t="s">
        <v>102</v>
      </c>
      <c r="D650" s="5" t="s">
        <v>167</v>
      </c>
      <c r="E650" s="5" t="s">
        <v>168</v>
      </c>
      <c r="F650" s="5" t="s">
        <v>192</v>
      </c>
      <c r="G650" s="5" t="s">
        <v>488</v>
      </c>
      <c r="H650" s="5" t="s">
        <v>230</v>
      </c>
      <c r="I650" s="5" t="s">
        <v>1898</v>
      </c>
      <c r="J650" s="5" t="s">
        <v>250</v>
      </c>
      <c r="K650" s="5" t="s">
        <v>490</v>
      </c>
      <c r="L650" s="5" t="s">
        <v>205</v>
      </c>
      <c r="M650" s="5" t="s">
        <v>503</v>
      </c>
      <c r="N650" s="5" t="s">
        <v>286</v>
      </c>
      <c r="O650" s="5" t="s">
        <v>461</v>
      </c>
      <c r="P650" s="19" t="str">
        <f aca="false">IF(J650="S0","—",IF(K650="","",IF(L650="E0","QM",INDEX(10_ASIL_Matrix!$D$4:$F$15,MATCH(J650&amp;"-"&amp;L650,10_ASIL_Matrix!$C$4:$C$15,0),MATCH(N650,10_ASIL_Matrix!$D$3:$F$3,0)))))</f>
        <v>A</v>
      </c>
      <c r="Q650" s="5" t="s">
        <v>448</v>
      </c>
    </row>
    <row r="651" customFormat="false" ht="46.25" hidden="false" customHeight="false" outlineLevel="0" collapsed="false">
      <c r="A651" s="6" t="s">
        <v>1899</v>
      </c>
      <c r="B651" s="6" t="s">
        <v>101</v>
      </c>
      <c r="C651" s="6" t="s">
        <v>102</v>
      </c>
      <c r="D651" s="6" t="s">
        <v>167</v>
      </c>
      <c r="E651" s="6" t="s">
        <v>168</v>
      </c>
      <c r="F651" s="6" t="s">
        <v>192</v>
      </c>
      <c r="G651" s="6" t="s">
        <v>488</v>
      </c>
      <c r="H651" s="6" t="s">
        <v>232</v>
      </c>
      <c r="I651" s="6" t="s">
        <v>1900</v>
      </c>
      <c r="J651" s="6" t="s">
        <v>250</v>
      </c>
      <c r="K651" s="6" t="s">
        <v>490</v>
      </c>
      <c r="L651" s="6" t="s">
        <v>233</v>
      </c>
      <c r="M651" s="6" t="s">
        <v>506</v>
      </c>
      <c r="N651" s="6" t="s">
        <v>282</v>
      </c>
      <c r="O651" s="6" t="s">
        <v>447</v>
      </c>
      <c r="P651" s="6" t="str">
        <f aca="false">IF(J651="S0","—",IF(K651="","",IF(L651="E0","QM",INDEX(10_ASIL_Matrix!$D$4:$F$15,MATCH(J651&amp;"-"&amp;L651,10_ASIL_Matrix!$C$4:$C$15,0),MATCH(N651,10_ASIL_Matrix!$D$3:$F$3,0)))))</f>
        <v>QM</v>
      </c>
      <c r="Q651" s="6" t="s">
        <v>448</v>
      </c>
    </row>
    <row r="652" customFormat="false" ht="35.05" hidden="false" customHeight="false" outlineLevel="0" collapsed="false">
      <c r="A652" s="5" t="s">
        <v>1901</v>
      </c>
      <c r="B652" s="5" t="s">
        <v>101</v>
      </c>
      <c r="C652" s="5" t="s">
        <v>102</v>
      </c>
      <c r="D652" s="5" t="s">
        <v>167</v>
      </c>
      <c r="E652" s="5" t="s">
        <v>168</v>
      </c>
      <c r="F652" s="5" t="s">
        <v>194</v>
      </c>
      <c r="G652" s="5" t="s">
        <v>508</v>
      </c>
      <c r="H652" s="5" t="s">
        <v>222</v>
      </c>
      <c r="I652" s="5" t="s">
        <v>1902</v>
      </c>
      <c r="J652" s="5" t="s">
        <v>250</v>
      </c>
      <c r="K652" s="5" t="s">
        <v>510</v>
      </c>
      <c r="L652" s="5" t="s">
        <v>190</v>
      </c>
      <c r="M652" s="5" t="s">
        <v>511</v>
      </c>
      <c r="N652" s="5" t="s">
        <v>282</v>
      </c>
      <c r="O652" s="5" t="s">
        <v>447</v>
      </c>
      <c r="P652" s="19" t="str">
        <f aca="false">IF(J652="S0","—",IF(K652="","",IF(L652="E0","QM",INDEX(10_ASIL_Matrix!$D$4:$F$15,MATCH(J652&amp;"-"&amp;L652,10_ASIL_Matrix!$C$4:$C$15,0),MATCH(N652,10_ASIL_Matrix!$D$3:$F$3,0)))))</f>
        <v>A</v>
      </c>
      <c r="Q652" s="5" t="s">
        <v>448</v>
      </c>
    </row>
    <row r="653" customFormat="false" ht="35.05" hidden="false" customHeight="false" outlineLevel="0" collapsed="false">
      <c r="A653" s="6" t="s">
        <v>1903</v>
      </c>
      <c r="B653" s="6" t="s">
        <v>101</v>
      </c>
      <c r="C653" s="6" t="s">
        <v>102</v>
      </c>
      <c r="D653" s="6" t="s">
        <v>167</v>
      </c>
      <c r="E653" s="6" t="s">
        <v>168</v>
      </c>
      <c r="F653" s="6" t="s">
        <v>194</v>
      </c>
      <c r="G653" s="6" t="s">
        <v>508</v>
      </c>
      <c r="H653" s="6" t="s">
        <v>224</v>
      </c>
      <c r="I653" s="6" t="s">
        <v>1904</v>
      </c>
      <c r="J653" s="6" t="s">
        <v>250</v>
      </c>
      <c r="K653" s="6" t="s">
        <v>510</v>
      </c>
      <c r="L653" s="6" t="s">
        <v>190</v>
      </c>
      <c r="M653" s="6" t="s">
        <v>514</v>
      </c>
      <c r="N653" s="6" t="s">
        <v>282</v>
      </c>
      <c r="O653" s="6" t="s">
        <v>447</v>
      </c>
      <c r="P653" s="19" t="str">
        <f aca="false">IF(J653="S0","—",IF(K653="","",IF(L653="E0","QM",INDEX(10_ASIL_Matrix!$D$4:$F$15,MATCH(J653&amp;"-"&amp;L653,10_ASIL_Matrix!$C$4:$C$15,0),MATCH(N653,10_ASIL_Matrix!$D$3:$F$3,0)))))</f>
        <v>A</v>
      </c>
      <c r="Q653" s="6" t="s">
        <v>448</v>
      </c>
    </row>
    <row r="654" customFormat="false" ht="35.05" hidden="false" customHeight="false" outlineLevel="0" collapsed="false">
      <c r="A654" s="5" t="s">
        <v>1905</v>
      </c>
      <c r="B654" s="5" t="s">
        <v>101</v>
      </c>
      <c r="C654" s="5" t="s">
        <v>102</v>
      </c>
      <c r="D654" s="5" t="s">
        <v>167</v>
      </c>
      <c r="E654" s="5" t="s">
        <v>168</v>
      </c>
      <c r="F654" s="5" t="s">
        <v>194</v>
      </c>
      <c r="G654" s="5" t="s">
        <v>508</v>
      </c>
      <c r="H654" s="5" t="s">
        <v>226</v>
      </c>
      <c r="I654" s="5" t="s">
        <v>1906</v>
      </c>
      <c r="J654" s="5" t="s">
        <v>250</v>
      </c>
      <c r="K654" s="5" t="s">
        <v>510</v>
      </c>
      <c r="L654" s="5" t="s">
        <v>190</v>
      </c>
      <c r="M654" s="5" t="s">
        <v>517</v>
      </c>
      <c r="N654" s="5" t="s">
        <v>282</v>
      </c>
      <c r="O654" s="5" t="s">
        <v>447</v>
      </c>
      <c r="P654" s="19" t="str">
        <f aca="false">IF(J654="S0","—",IF(K654="","",IF(L654="E0","QM",INDEX(10_ASIL_Matrix!$D$4:$F$15,MATCH(J654&amp;"-"&amp;L654,10_ASIL_Matrix!$C$4:$C$15,0),MATCH(N654,10_ASIL_Matrix!$D$3:$F$3,0)))))</f>
        <v>A</v>
      </c>
      <c r="Q654" s="5" t="s">
        <v>448</v>
      </c>
    </row>
    <row r="655" customFormat="false" ht="35.05" hidden="false" customHeight="false" outlineLevel="0" collapsed="false">
      <c r="A655" s="6" t="s">
        <v>1907</v>
      </c>
      <c r="B655" s="6" t="s">
        <v>101</v>
      </c>
      <c r="C655" s="6" t="s">
        <v>102</v>
      </c>
      <c r="D655" s="6" t="s">
        <v>167</v>
      </c>
      <c r="E655" s="6" t="s">
        <v>168</v>
      </c>
      <c r="F655" s="6" t="s">
        <v>194</v>
      </c>
      <c r="G655" s="6" t="s">
        <v>508</v>
      </c>
      <c r="H655" s="6" t="s">
        <v>228</v>
      </c>
      <c r="I655" s="6" t="s">
        <v>1908</v>
      </c>
      <c r="J655" s="6" t="s">
        <v>250</v>
      </c>
      <c r="K655" s="6" t="s">
        <v>510</v>
      </c>
      <c r="L655" s="6" t="s">
        <v>205</v>
      </c>
      <c r="M655" s="6" t="s">
        <v>520</v>
      </c>
      <c r="N655" s="6" t="s">
        <v>282</v>
      </c>
      <c r="O655" s="6" t="s">
        <v>447</v>
      </c>
      <c r="P655" s="6" t="str">
        <f aca="false">IF(J655="S0","—",IF(K655="","",IF(L655="E0","QM",INDEX(10_ASIL_Matrix!$D$4:$F$15,MATCH(J655&amp;"-"&amp;L655,10_ASIL_Matrix!$C$4:$C$15,0),MATCH(N655,10_ASIL_Matrix!$D$3:$F$3,0)))))</f>
        <v>QM</v>
      </c>
      <c r="Q655" s="6" t="s">
        <v>448</v>
      </c>
    </row>
    <row r="656" customFormat="false" ht="35.05" hidden="false" customHeight="false" outlineLevel="0" collapsed="false">
      <c r="A656" s="5" t="s">
        <v>1909</v>
      </c>
      <c r="B656" s="5" t="s">
        <v>101</v>
      </c>
      <c r="C656" s="5" t="s">
        <v>102</v>
      </c>
      <c r="D656" s="5" t="s">
        <v>167</v>
      </c>
      <c r="E656" s="5" t="s">
        <v>168</v>
      </c>
      <c r="F656" s="5" t="s">
        <v>194</v>
      </c>
      <c r="G656" s="5" t="s">
        <v>508</v>
      </c>
      <c r="H656" s="5" t="s">
        <v>230</v>
      </c>
      <c r="I656" s="5" t="s">
        <v>1910</v>
      </c>
      <c r="J656" s="5" t="s">
        <v>250</v>
      </c>
      <c r="K656" s="5" t="s">
        <v>510</v>
      </c>
      <c r="L656" s="5" t="s">
        <v>205</v>
      </c>
      <c r="M656" s="5" t="s">
        <v>523</v>
      </c>
      <c r="N656" s="5" t="s">
        <v>286</v>
      </c>
      <c r="O656" s="5" t="s">
        <v>461</v>
      </c>
      <c r="P656" s="19" t="str">
        <f aca="false">IF(J656="S0","—",IF(K656="","",IF(L656="E0","QM",INDEX(10_ASIL_Matrix!$D$4:$F$15,MATCH(J656&amp;"-"&amp;L656,10_ASIL_Matrix!$C$4:$C$15,0),MATCH(N656,10_ASIL_Matrix!$D$3:$F$3,0)))))</f>
        <v>A</v>
      </c>
      <c r="Q656" s="5" t="s">
        <v>448</v>
      </c>
    </row>
    <row r="657" customFormat="false" ht="46.25" hidden="false" customHeight="false" outlineLevel="0" collapsed="false">
      <c r="A657" s="6" t="s">
        <v>1911</v>
      </c>
      <c r="B657" s="6" t="s">
        <v>101</v>
      </c>
      <c r="C657" s="6" t="s">
        <v>102</v>
      </c>
      <c r="D657" s="6" t="s">
        <v>167</v>
      </c>
      <c r="E657" s="6" t="s">
        <v>168</v>
      </c>
      <c r="F657" s="6" t="s">
        <v>194</v>
      </c>
      <c r="G657" s="6" t="s">
        <v>508</v>
      </c>
      <c r="H657" s="6" t="s">
        <v>232</v>
      </c>
      <c r="I657" s="6" t="s">
        <v>1912</v>
      </c>
      <c r="J657" s="6" t="s">
        <v>250</v>
      </c>
      <c r="K657" s="6" t="s">
        <v>510</v>
      </c>
      <c r="L657" s="6" t="s">
        <v>233</v>
      </c>
      <c r="M657" s="6" t="s">
        <v>526</v>
      </c>
      <c r="N657" s="6" t="s">
        <v>282</v>
      </c>
      <c r="O657" s="6" t="s">
        <v>447</v>
      </c>
      <c r="P657" s="6" t="str">
        <f aca="false">IF(J657="S0","—",IF(K657="","",IF(L657="E0","QM",INDEX(10_ASIL_Matrix!$D$4:$F$15,MATCH(J657&amp;"-"&amp;L657,10_ASIL_Matrix!$C$4:$C$15,0),MATCH(N657,10_ASIL_Matrix!$D$3:$F$3,0)))))</f>
        <v>QM</v>
      </c>
      <c r="Q657" s="6" t="s">
        <v>448</v>
      </c>
    </row>
    <row r="658" customFormat="false" ht="35.05" hidden="false" customHeight="false" outlineLevel="0" collapsed="false">
      <c r="A658" s="5" t="s">
        <v>1913</v>
      </c>
      <c r="B658" s="5" t="s">
        <v>101</v>
      </c>
      <c r="C658" s="5" t="s">
        <v>102</v>
      </c>
      <c r="D658" s="5" t="s">
        <v>167</v>
      </c>
      <c r="E658" s="5" t="s">
        <v>168</v>
      </c>
      <c r="F658" s="5" t="s">
        <v>196</v>
      </c>
      <c r="G658" s="5" t="s">
        <v>528</v>
      </c>
      <c r="H658" s="5" t="s">
        <v>222</v>
      </c>
      <c r="I658" s="5" t="s">
        <v>1914</v>
      </c>
      <c r="J658" s="5" t="s">
        <v>250</v>
      </c>
      <c r="K658" s="5" t="s">
        <v>530</v>
      </c>
      <c r="L658" s="5" t="s">
        <v>187</v>
      </c>
      <c r="M658" s="5" t="s">
        <v>531</v>
      </c>
      <c r="N658" s="5" t="s">
        <v>282</v>
      </c>
      <c r="O658" s="5" t="s">
        <v>447</v>
      </c>
      <c r="P658" s="18" t="str">
        <f aca="false">IF(J658="S0","—",IF(K658="","",IF(L658="E0","QM",INDEX(10_ASIL_Matrix!$D$4:$F$15,MATCH(J658&amp;"-"&amp;L658,10_ASIL_Matrix!$C$4:$C$15,0),MATCH(N658,10_ASIL_Matrix!$D$3:$F$3,0)))))</f>
        <v>B</v>
      </c>
      <c r="Q658" s="5" t="s">
        <v>448</v>
      </c>
    </row>
    <row r="659" customFormat="false" ht="35.05" hidden="false" customHeight="false" outlineLevel="0" collapsed="false">
      <c r="A659" s="6" t="s">
        <v>1915</v>
      </c>
      <c r="B659" s="6" t="s">
        <v>101</v>
      </c>
      <c r="C659" s="6" t="s">
        <v>102</v>
      </c>
      <c r="D659" s="6" t="s">
        <v>167</v>
      </c>
      <c r="E659" s="6" t="s">
        <v>168</v>
      </c>
      <c r="F659" s="6" t="s">
        <v>196</v>
      </c>
      <c r="G659" s="6" t="s">
        <v>528</v>
      </c>
      <c r="H659" s="6" t="s">
        <v>224</v>
      </c>
      <c r="I659" s="6" t="s">
        <v>1916</v>
      </c>
      <c r="J659" s="6" t="s">
        <v>250</v>
      </c>
      <c r="K659" s="6" t="s">
        <v>530</v>
      </c>
      <c r="L659" s="6" t="s">
        <v>190</v>
      </c>
      <c r="M659" s="6" t="s">
        <v>534</v>
      </c>
      <c r="N659" s="6" t="s">
        <v>282</v>
      </c>
      <c r="O659" s="6" t="s">
        <v>447</v>
      </c>
      <c r="P659" s="19" t="str">
        <f aca="false">IF(J659="S0","—",IF(K659="","",IF(L659="E0","QM",INDEX(10_ASIL_Matrix!$D$4:$F$15,MATCH(J659&amp;"-"&amp;L659,10_ASIL_Matrix!$C$4:$C$15,0),MATCH(N659,10_ASIL_Matrix!$D$3:$F$3,0)))))</f>
        <v>A</v>
      </c>
      <c r="Q659" s="6" t="s">
        <v>448</v>
      </c>
    </row>
    <row r="660" customFormat="false" ht="35.05" hidden="false" customHeight="false" outlineLevel="0" collapsed="false">
      <c r="A660" s="5" t="s">
        <v>1917</v>
      </c>
      <c r="B660" s="5" t="s">
        <v>101</v>
      </c>
      <c r="C660" s="5" t="s">
        <v>102</v>
      </c>
      <c r="D660" s="5" t="s">
        <v>167</v>
      </c>
      <c r="E660" s="5" t="s">
        <v>168</v>
      </c>
      <c r="F660" s="5" t="s">
        <v>196</v>
      </c>
      <c r="G660" s="5" t="s">
        <v>528</v>
      </c>
      <c r="H660" s="5" t="s">
        <v>226</v>
      </c>
      <c r="I660" s="5" t="s">
        <v>1918</v>
      </c>
      <c r="J660" s="5" t="s">
        <v>250</v>
      </c>
      <c r="K660" s="5" t="s">
        <v>530</v>
      </c>
      <c r="L660" s="5" t="s">
        <v>190</v>
      </c>
      <c r="M660" s="5" t="s">
        <v>537</v>
      </c>
      <c r="N660" s="5" t="s">
        <v>282</v>
      </c>
      <c r="O660" s="5" t="s">
        <v>447</v>
      </c>
      <c r="P660" s="19" t="str">
        <f aca="false">IF(J660="S0","—",IF(K660="","",IF(L660="E0","QM",INDEX(10_ASIL_Matrix!$D$4:$F$15,MATCH(J660&amp;"-"&amp;L660,10_ASIL_Matrix!$C$4:$C$15,0),MATCH(N660,10_ASIL_Matrix!$D$3:$F$3,0)))))</f>
        <v>A</v>
      </c>
      <c r="Q660" s="5" t="s">
        <v>448</v>
      </c>
    </row>
    <row r="661" customFormat="false" ht="35.05" hidden="false" customHeight="false" outlineLevel="0" collapsed="false">
      <c r="A661" s="6" t="s">
        <v>1919</v>
      </c>
      <c r="B661" s="6" t="s">
        <v>101</v>
      </c>
      <c r="C661" s="6" t="s">
        <v>102</v>
      </c>
      <c r="D661" s="6" t="s">
        <v>167</v>
      </c>
      <c r="E661" s="6" t="s">
        <v>168</v>
      </c>
      <c r="F661" s="6" t="s">
        <v>196</v>
      </c>
      <c r="G661" s="6" t="s">
        <v>528</v>
      </c>
      <c r="H661" s="6" t="s">
        <v>228</v>
      </c>
      <c r="I661" s="6" t="s">
        <v>1920</v>
      </c>
      <c r="J661" s="6" t="s">
        <v>250</v>
      </c>
      <c r="K661" s="6" t="s">
        <v>530</v>
      </c>
      <c r="L661" s="6" t="s">
        <v>205</v>
      </c>
      <c r="M661" s="6" t="s">
        <v>540</v>
      </c>
      <c r="N661" s="6" t="s">
        <v>282</v>
      </c>
      <c r="O661" s="6" t="s">
        <v>447</v>
      </c>
      <c r="P661" s="6" t="str">
        <f aca="false">IF(J661="S0","—",IF(K661="","",IF(L661="E0","QM",INDEX(10_ASIL_Matrix!$D$4:$F$15,MATCH(J661&amp;"-"&amp;L661,10_ASIL_Matrix!$C$4:$C$15,0),MATCH(N661,10_ASIL_Matrix!$D$3:$F$3,0)))))</f>
        <v>QM</v>
      </c>
      <c r="Q661" s="6" t="s">
        <v>448</v>
      </c>
    </row>
    <row r="662" customFormat="false" ht="35.05" hidden="false" customHeight="false" outlineLevel="0" collapsed="false">
      <c r="A662" s="5" t="s">
        <v>1921</v>
      </c>
      <c r="B662" s="5" t="s">
        <v>101</v>
      </c>
      <c r="C662" s="5" t="s">
        <v>102</v>
      </c>
      <c r="D662" s="5" t="s">
        <v>167</v>
      </c>
      <c r="E662" s="5" t="s">
        <v>168</v>
      </c>
      <c r="F662" s="5" t="s">
        <v>196</v>
      </c>
      <c r="G662" s="5" t="s">
        <v>528</v>
      </c>
      <c r="H662" s="5" t="s">
        <v>230</v>
      </c>
      <c r="I662" s="5" t="s">
        <v>1922</v>
      </c>
      <c r="J662" s="5" t="s">
        <v>250</v>
      </c>
      <c r="K662" s="5" t="s">
        <v>530</v>
      </c>
      <c r="L662" s="5" t="s">
        <v>205</v>
      </c>
      <c r="M662" s="5" t="s">
        <v>543</v>
      </c>
      <c r="N662" s="5" t="s">
        <v>286</v>
      </c>
      <c r="O662" s="5" t="s">
        <v>461</v>
      </c>
      <c r="P662" s="19" t="str">
        <f aca="false">IF(J662="S0","—",IF(K662="","",IF(L662="E0","QM",INDEX(10_ASIL_Matrix!$D$4:$F$15,MATCH(J662&amp;"-"&amp;L662,10_ASIL_Matrix!$C$4:$C$15,0),MATCH(N662,10_ASIL_Matrix!$D$3:$F$3,0)))))</f>
        <v>A</v>
      </c>
      <c r="Q662" s="5" t="s">
        <v>448</v>
      </c>
    </row>
    <row r="663" customFormat="false" ht="46.25" hidden="false" customHeight="false" outlineLevel="0" collapsed="false">
      <c r="A663" s="6" t="s">
        <v>1923</v>
      </c>
      <c r="B663" s="6" t="s">
        <v>101</v>
      </c>
      <c r="C663" s="6" t="s">
        <v>102</v>
      </c>
      <c r="D663" s="6" t="s">
        <v>167</v>
      </c>
      <c r="E663" s="6" t="s">
        <v>168</v>
      </c>
      <c r="F663" s="6" t="s">
        <v>196</v>
      </c>
      <c r="G663" s="6" t="s">
        <v>528</v>
      </c>
      <c r="H663" s="6" t="s">
        <v>232</v>
      </c>
      <c r="I663" s="6" t="s">
        <v>1924</v>
      </c>
      <c r="J663" s="6" t="s">
        <v>250</v>
      </c>
      <c r="K663" s="6" t="s">
        <v>530</v>
      </c>
      <c r="L663" s="6" t="s">
        <v>233</v>
      </c>
      <c r="M663" s="6" t="s">
        <v>546</v>
      </c>
      <c r="N663" s="6" t="s">
        <v>282</v>
      </c>
      <c r="O663" s="6" t="s">
        <v>447</v>
      </c>
      <c r="P663" s="6" t="str">
        <f aca="false">IF(J663="S0","—",IF(K663="","",IF(L663="E0","QM",INDEX(10_ASIL_Matrix!$D$4:$F$15,MATCH(J663&amp;"-"&amp;L663,10_ASIL_Matrix!$C$4:$C$15,0),MATCH(N663,10_ASIL_Matrix!$D$3:$F$3,0)))))</f>
        <v>QM</v>
      </c>
      <c r="Q663" s="6" t="s">
        <v>448</v>
      </c>
    </row>
    <row r="664" customFormat="false" ht="35.05" hidden="false" customHeight="false" outlineLevel="0" collapsed="false">
      <c r="A664" s="5" t="s">
        <v>1925</v>
      </c>
      <c r="B664" s="5" t="s">
        <v>101</v>
      </c>
      <c r="C664" s="5" t="s">
        <v>102</v>
      </c>
      <c r="D664" s="5" t="s">
        <v>167</v>
      </c>
      <c r="E664" s="5" t="s">
        <v>168</v>
      </c>
      <c r="F664" s="5" t="s">
        <v>198</v>
      </c>
      <c r="G664" s="5" t="s">
        <v>548</v>
      </c>
      <c r="H664" s="5" t="s">
        <v>222</v>
      </c>
      <c r="I664" s="5" t="s">
        <v>1926</v>
      </c>
      <c r="J664" s="5" t="s">
        <v>242</v>
      </c>
      <c r="K664" s="5" t="s">
        <v>550</v>
      </c>
      <c r="L664" s="5" t="s">
        <v>190</v>
      </c>
      <c r="M664" s="5" t="s">
        <v>551</v>
      </c>
      <c r="N664" s="5" t="s">
        <v>282</v>
      </c>
      <c r="O664" s="5" t="s">
        <v>552</v>
      </c>
      <c r="P664" s="5" t="str">
        <f aca="false">IF(J664="S0","—",IF(K664="","",IF(L664="E0","QM",INDEX(10_ASIL_Matrix!$D$4:$F$15,MATCH(J664&amp;"-"&amp;L664,10_ASIL_Matrix!$C$4:$C$15,0),MATCH(N664,10_ASIL_Matrix!$D$3:$F$3,0)))))</f>
        <v>QM</v>
      </c>
      <c r="Q664" s="5" t="s">
        <v>448</v>
      </c>
    </row>
    <row r="665" customFormat="false" ht="35.05" hidden="false" customHeight="false" outlineLevel="0" collapsed="false">
      <c r="A665" s="6" t="s">
        <v>1927</v>
      </c>
      <c r="B665" s="6" t="s">
        <v>101</v>
      </c>
      <c r="C665" s="6" t="s">
        <v>102</v>
      </c>
      <c r="D665" s="6" t="s">
        <v>167</v>
      </c>
      <c r="E665" s="6" t="s">
        <v>168</v>
      </c>
      <c r="F665" s="6" t="s">
        <v>198</v>
      </c>
      <c r="G665" s="6" t="s">
        <v>548</v>
      </c>
      <c r="H665" s="6" t="s">
        <v>224</v>
      </c>
      <c r="I665" s="6" t="s">
        <v>1928</v>
      </c>
      <c r="J665" s="6" t="s">
        <v>242</v>
      </c>
      <c r="K665" s="6" t="s">
        <v>550</v>
      </c>
      <c r="L665" s="6" t="s">
        <v>190</v>
      </c>
      <c r="M665" s="6" t="s">
        <v>555</v>
      </c>
      <c r="N665" s="6" t="s">
        <v>282</v>
      </c>
      <c r="O665" s="6" t="s">
        <v>552</v>
      </c>
      <c r="P665" s="6" t="str">
        <f aca="false">IF(J665="S0","—",IF(K665="","",IF(L665="E0","QM",INDEX(10_ASIL_Matrix!$D$4:$F$15,MATCH(J665&amp;"-"&amp;L665,10_ASIL_Matrix!$C$4:$C$15,0),MATCH(N665,10_ASIL_Matrix!$D$3:$F$3,0)))))</f>
        <v>QM</v>
      </c>
      <c r="Q665" s="6" t="s">
        <v>448</v>
      </c>
    </row>
    <row r="666" customFormat="false" ht="35.05" hidden="false" customHeight="false" outlineLevel="0" collapsed="false">
      <c r="A666" s="5" t="s">
        <v>1929</v>
      </c>
      <c r="B666" s="5" t="s">
        <v>101</v>
      </c>
      <c r="C666" s="5" t="s">
        <v>102</v>
      </c>
      <c r="D666" s="5" t="s">
        <v>167</v>
      </c>
      <c r="E666" s="5" t="s">
        <v>168</v>
      </c>
      <c r="F666" s="5" t="s">
        <v>198</v>
      </c>
      <c r="G666" s="5" t="s">
        <v>548</v>
      </c>
      <c r="H666" s="5" t="s">
        <v>226</v>
      </c>
      <c r="I666" s="5" t="s">
        <v>1930</v>
      </c>
      <c r="J666" s="5" t="s">
        <v>242</v>
      </c>
      <c r="K666" s="5" t="s">
        <v>550</v>
      </c>
      <c r="L666" s="5" t="s">
        <v>190</v>
      </c>
      <c r="M666" s="5" t="s">
        <v>558</v>
      </c>
      <c r="N666" s="5" t="s">
        <v>282</v>
      </c>
      <c r="O666" s="5" t="s">
        <v>552</v>
      </c>
      <c r="P666" s="5" t="str">
        <f aca="false">IF(J666="S0","—",IF(K666="","",IF(L666="E0","QM",INDEX(10_ASIL_Matrix!$D$4:$F$15,MATCH(J666&amp;"-"&amp;L666,10_ASIL_Matrix!$C$4:$C$15,0),MATCH(N666,10_ASIL_Matrix!$D$3:$F$3,0)))))</f>
        <v>QM</v>
      </c>
      <c r="Q666" s="5" t="s">
        <v>448</v>
      </c>
    </row>
    <row r="667" customFormat="false" ht="46.25" hidden="false" customHeight="false" outlineLevel="0" collapsed="false">
      <c r="A667" s="6" t="s">
        <v>1931</v>
      </c>
      <c r="B667" s="6" t="s">
        <v>101</v>
      </c>
      <c r="C667" s="6" t="s">
        <v>102</v>
      </c>
      <c r="D667" s="6" t="s">
        <v>167</v>
      </c>
      <c r="E667" s="6" t="s">
        <v>168</v>
      </c>
      <c r="F667" s="6" t="s">
        <v>198</v>
      </c>
      <c r="G667" s="6" t="s">
        <v>548</v>
      </c>
      <c r="H667" s="6" t="s">
        <v>228</v>
      </c>
      <c r="I667" s="6" t="s">
        <v>1932</v>
      </c>
      <c r="J667" s="6" t="s">
        <v>242</v>
      </c>
      <c r="K667" s="6" t="s">
        <v>550</v>
      </c>
      <c r="L667" s="6" t="s">
        <v>205</v>
      </c>
      <c r="M667" s="6" t="s">
        <v>561</v>
      </c>
      <c r="N667" s="6" t="s">
        <v>282</v>
      </c>
      <c r="O667" s="6" t="s">
        <v>552</v>
      </c>
      <c r="P667" s="6" t="str">
        <f aca="false">IF(J667="S0","—",IF(K667="","",IF(L667="E0","QM",INDEX(10_ASIL_Matrix!$D$4:$F$15,MATCH(J667&amp;"-"&amp;L667,10_ASIL_Matrix!$C$4:$C$15,0),MATCH(N667,10_ASIL_Matrix!$D$3:$F$3,0)))))</f>
        <v>QM</v>
      </c>
      <c r="Q667" s="6" t="s">
        <v>448</v>
      </c>
    </row>
    <row r="668" customFormat="false" ht="35.05" hidden="false" customHeight="false" outlineLevel="0" collapsed="false">
      <c r="A668" s="5" t="s">
        <v>1933</v>
      </c>
      <c r="B668" s="5" t="s">
        <v>101</v>
      </c>
      <c r="C668" s="5" t="s">
        <v>102</v>
      </c>
      <c r="D668" s="5" t="s">
        <v>167</v>
      </c>
      <c r="E668" s="5" t="s">
        <v>168</v>
      </c>
      <c r="F668" s="5" t="s">
        <v>198</v>
      </c>
      <c r="G668" s="5" t="s">
        <v>548</v>
      </c>
      <c r="H668" s="5" t="s">
        <v>230</v>
      </c>
      <c r="I668" s="5" t="s">
        <v>1934</v>
      </c>
      <c r="J668" s="5" t="s">
        <v>242</v>
      </c>
      <c r="K668" s="5" t="s">
        <v>550</v>
      </c>
      <c r="L668" s="5" t="s">
        <v>205</v>
      </c>
      <c r="M668" s="5" t="s">
        <v>564</v>
      </c>
      <c r="N668" s="5" t="s">
        <v>286</v>
      </c>
      <c r="O668" s="5" t="s">
        <v>565</v>
      </c>
      <c r="P668" s="5" t="str">
        <f aca="false">IF(J668="S0","—",IF(K668="","",IF(L668="E0","QM",INDEX(10_ASIL_Matrix!$D$4:$F$15,MATCH(J668&amp;"-"&amp;L668,10_ASIL_Matrix!$C$4:$C$15,0),MATCH(N668,10_ASIL_Matrix!$D$3:$F$3,0)))))</f>
        <v>QM</v>
      </c>
      <c r="Q668" s="5" t="s">
        <v>448</v>
      </c>
    </row>
    <row r="669" customFormat="false" ht="46.25" hidden="false" customHeight="false" outlineLevel="0" collapsed="false">
      <c r="A669" s="6" t="s">
        <v>1935</v>
      </c>
      <c r="B669" s="6" t="s">
        <v>101</v>
      </c>
      <c r="C669" s="6" t="s">
        <v>102</v>
      </c>
      <c r="D669" s="6" t="s">
        <v>167</v>
      </c>
      <c r="E669" s="6" t="s">
        <v>168</v>
      </c>
      <c r="F669" s="6" t="s">
        <v>198</v>
      </c>
      <c r="G669" s="6" t="s">
        <v>548</v>
      </c>
      <c r="H669" s="6" t="s">
        <v>232</v>
      </c>
      <c r="I669" s="6" t="s">
        <v>1936</v>
      </c>
      <c r="J669" s="6" t="s">
        <v>242</v>
      </c>
      <c r="K669" s="6" t="s">
        <v>550</v>
      </c>
      <c r="L669" s="6" t="s">
        <v>233</v>
      </c>
      <c r="M669" s="6" t="s">
        <v>568</v>
      </c>
      <c r="N669" s="6" t="s">
        <v>282</v>
      </c>
      <c r="O669" s="6" t="s">
        <v>552</v>
      </c>
      <c r="P669" s="6" t="str">
        <f aca="false">IF(J669="S0","—",IF(K669="","",IF(L669="E0","QM",INDEX(10_ASIL_Matrix!$D$4:$F$15,MATCH(J669&amp;"-"&amp;L669,10_ASIL_Matrix!$C$4:$C$15,0),MATCH(N669,10_ASIL_Matrix!$D$3:$F$3,0)))))</f>
        <v>QM</v>
      </c>
      <c r="Q669" s="6" t="s">
        <v>448</v>
      </c>
    </row>
    <row r="670" customFormat="false" ht="35.05" hidden="false" customHeight="false" outlineLevel="0" collapsed="false">
      <c r="A670" s="5" t="s">
        <v>1937</v>
      </c>
      <c r="B670" s="5" t="s">
        <v>101</v>
      </c>
      <c r="C670" s="5" t="s">
        <v>102</v>
      </c>
      <c r="D670" s="5" t="s">
        <v>167</v>
      </c>
      <c r="E670" s="5" t="s">
        <v>168</v>
      </c>
      <c r="F670" s="5" t="s">
        <v>200</v>
      </c>
      <c r="G670" s="5" t="s">
        <v>570</v>
      </c>
      <c r="H670" s="5" t="s">
        <v>222</v>
      </c>
      <c r="I670" s="5" t="s">
        <v>1938</v>
      </c>
      <c r="J670" s="5" t="s">
        <v>250</v>
      </c>
      <c r="K670" s="5" t="s">
        <v>572</v>
      </c>
      <c r="L670" s="5" t="s">
        <v>190</v>
      </c>
      <c r="M670" s="5" t="s">
        <v>573</v>
      </c>
      <c r="N670" s="5" t="s">
        <v>282</v>
      </c>
      <c r="O670" s="5" t="s">
        <v>447</v>
      </c>
      <c r="P670" s="19" t="str">
        <f aca="false">IF(J670="S0","—",IF(K670="","",IF(L670="E0","QM",INDEX(10_ASIL_Matrix!$D$4:$F$15,MATCH(J670&amp;"-"&amp;L670,10_ASIL_Matrix!$C$4:$C$15,0),MATCH(N670,10_ASIL_Matrix!$D$3:$F$3,0)))))</f>
        <v>A</v>
      </c>
      <c r="Q670" s="5" t="s">
        <v>448</v>
      </c>
    </row>
    <row r="671" customFormat="false" ht="35.05" hidden="false" customHeight="false" outlineLevel="0" collapsed="false">
      <c r="A671" s="6" t="s">
        <v>1939</v>
      </c>
      <c r="B671" s="6" t="s">
        <v>101</v>
      </c>
      <c r="C671" s="6" t="s">
        <v>102</v>
      </c>
      <c r="D671" s="6" t="s">
        <v>167</v>
      </c>
      <c r="E671" s="6" t="s">
        <v>168</v>
      </c>
      <c r="F671" s="6" t="s">
        <v>200</v>
      </c>
      <c r="G671" s="6" t="s">
        <v>570</v>
      </c>
      <c r="H671" s="6" t="s">
        <v>224</v>
      </c>
      <c r="I671" s="6" t="s">
        <v>1940</v>
      </c>
      <c r="J671" s="6" t="s">
        <v>250</v>
      </c>
      <c r="K671" s="6" t="s">
        <v>572</v>
      </c>
      <c r="L671" s="6" t="s">
        <v>190</v>
      </c>
      <c r="M671" s="6" t="s">
        <v>576</v>
      </c>
      <c r="N671" s="6" t="s">
        <v>282</v>
      </c>
      <c r="O671" s="6" t="s">
        <v>447</v>
      </c>
      <c r="P671" s="19" t="str">
        <f aca="false">IF(J671="S0","—",IF(K671="","",IF(L671="E0","QM",INDEX(10_ASIL_Matrix!$D$4:$F$15,MATCH(J671&amp;"-"&amp;L671,10_ASIL_Matrix!$C$4:$C$15,0),MATCH(N671,10_ASIL_Matrix!$D$3:$F$3,0)))))</f>
        <v>A</v>
      </c>
      <c r="Q671" s="6" t="s">
        <v>448</v>
      </c>
    </row>
    <row r="672" customFormat="false" ht="35.05" hidden="false" customHeight="false" outlineLevel="0" collapsed="false">
      <c r="A672" s="5" t="s">
        <v>1941</v>
      </c>
      <c r="B672" s="5" t="s">
        <v>101</v>
      </c>
      <c r="C672" s="5" t="s">
        <v>102</v>
      </c>
      <c r="D672" s="5" t="s">
        <v>167</v>
      </c>
      <c r="E672" s="5" t="s">
        <v>168</v>
      </c>
      <c r="F672" s="5" t="s">
        <v>200</v>
      </c>
      <c r="G672" s="5" t="s">
        <v>570</v>
      </c>
      <c r="H672" s="5" t="s">
        <v>226</v>
      </c>
      <c r="I672" s="5" t="s">
        <v>1942</v>
      </c>
      <c r="J672" s="5" t="s">
        <v>250</v>
      </c>
      <c r="K672" s="5" t="s">
        <v>572</v>
      </c>
      <c r="L672" s="5" t="s">
        <v>190</v>
      </c>
      <c r="M672" s="5" t="s">
        <v>579</v>
      </c>
      <c r="N672" s="5" t="s">
        <v>282</v>
      </c>
      <c r="O672" s="5" t="s">
        <v>447</v>
      </c>
      <c r="P672" s="19" t="str">
        <f aca="false">IF(J672="S0","—",IF(K672="","",IF(L672="E0","QM",INDEX(10_ASIL_Matrix!$D$4:$F$15,MATCH(J672&amp;"-"&amp;L672,10_ASIL_Matrix!$C$4:$C$15,0),MATCH(N672,10_ASIL_Matrix!$D$3:$F$3,0)))))</f>
        <v>A</v>
      </c>
      <c r="Q672" s="5" t="s">
        <v>448</v>
      </c>
    </row>
    <row r="673" customFormat="false" ht="35.05" hidden="false" customHeight="false" outlineLevel="0" collapsed="false">
      <c r="A673" s="6" t="s">
        <v>1943</v>
      </c>
      <c r="B673" s="6" t="s">
        <v>101</v>
      </c>
      <c r="C673" s="6" t="s">
        <v>102</v>
      </c>
      <c r="D673" s="6" t="s">
        <v>167</v>
      </c>
      <c r="E673" s="6" t="s">
        <v>168</v>
      </c>
      <c r="F673" s="6" t="s">
        <v>200</v>
      </c>
      <c r="G673" s="6" t="s">
        <v>570</v>
      </c>
      <c r="H673" s="6" t="s">
        <v>228</v>
      </c>
      <c r="I673" s="6" t="s">
        <v>1944</v>
      </c>
      <c r="J673" s="6" t="s">
        <v>250</v>
      </c>
      <c r="K673" s="6" t="s">
        <v>572</v>
      </c>
      <c r="L673" s="6" t="s">
        <v>205</v>
      </c>
      <c r="M673" s="6" t="s">
        <v>582</v>
      </c>
      <c r="N673" s="6" t="s">
        <v>282</v>
      </c>
      <c r="O673" s="6" t="s">
        <v>447</v>
      </c>
      <c r="P673" s="6" t="str">
        <f aca="false">IF(J673="S0","—",IF(K673="","",IF(L673="E0","QM",INDEX(10_ASIL_Matrix!$D$4:$F$15,MATCH(J673&amp;"-"&amp;L673,10_ASIL_Matrix!$C$4:$C$15,0),MATCH(N673,10_ASIL_Matrix!$D$3:$F$3,0)))))</f>
        <v>QM</v>
      </c>
      <c r="Q673" s="6" t="s">
        <v>448</v>
      </c>
    </row>
    <row r="674" customFormat="false" ht="35.05" hidden="false" customHeight="false" outlineLevel="0" collapsed="false">
      <c r="A674" s="5" t="s">
        <v>1945</v>
      </c>
      <c r="B674" s="5" t="s">
        <v>101</v>
      </c>
      <c r="C674" s="5" t="s">
        <v>102</v>
      </c>
      <c r="D674" s="5" t="s">
        <v>167</v>
      </c>
      <c r="E674" s="5" t="s">
        <v>168</v>
      </c>
      <c r="F674" s="5" t="s">
        <v>200</v>
      </c>
      <c r="G674" s="5" t="s">
        <v>570</v>
      </c>
      <c r="H674" s="5" t="s">
        <v>230</v>
      </c>
      <c r="I674" s="5" t="s">
        <v>1946</v>
      </c>
      <c r="J674" s="5" t="s">
        <v>250</v>
      </c>
      <c r="K674" s="5" t="s">
        <v>572</v>
      </c>
      <c r="L674" s="5" t="s">
        <v>205</v>
      </c>
      <c r="M674" s="5" t="s">
        <v>585</v>
      </c>
      <c r="N674" s="5" t="s">
        <v>286</v>
      </c>
      <c r="O674" s="5" t="s">
        <v>461</v>
      </c>
      <c r="P674" s="19" t="str">
        <f aca="false">IF(J674="S0","—",IF(K674="","",IF(L674="E0","QM",INDEX(10_ASIL_Matrix!$D$4:$F$15,MATCH(J674&amp;"-"&amp;L674,10_ASIL_Matrix!$C$4:$C$15,0),MATCH(N674,10_ASIL_Matrix!$D$3:$F$3,0)))))</f>
        <v>A</v>
      </c>
      <c r="Q674" s="5" t="s">
        <v>448</v>
      </c>
    </row>
    <row r="675" customFormat="false" ht="46.25" hidden="false" customHeight="false" outlineLevel="0" collapsed="false">
      <c r="A675" s="6" t="s">
        <v>1947</v>
      </c>
      <c r="B675" s="6" t="s">
        <v>101</v>
      </c>
      <c r="C675" s="6" t="s">
        <v>102</v>
      </c>
      <c r="D675" s="6" t="s">
        <v>167</v>
      </c>
      <c r="E675" s="6" t="s">
        <v>168</v>
      </c>
      <c r="F675" s="6" t="s">
        <v>200</v>
      </c>
      <c r="G675" s="6" t="s">
        <v>570</v>
      </c>
      <c r="H675" s="6" t="s">
        <v>232</v>
      </c>
      <c r="I675" s="6" t="s">
        <v>1948</v>
      </c>
      <c r="J675" s="6" t="s">
        <v>250</v>
      </c>
      <c r="K675" s="6" t="s">
        <v>572</v>
      </c>
      <c r="L675" s="6" t="s">
        <v>233</v>
      </c>
      <c r="M675" s="6" t="s">
        <v>588</v>
      </c>
      <c r="N675" s="6" t="s">
        <v>282</v>
      </c>
      <c r="O675" s="6" t="s">
        <v>447</v>
      </c>
      <c r="P675" s="6" t="str">
        <f aca="false">IF(J675="S0","—",IF(K675="","",IF(L675="E0","QM",INDEX(10_ASIL_Matrix!$D$4:$F$15,MATCH(J675&amp;"-"&amp;L675,10_ASIL_Matrix!$C$4:$C$15,0),MATCH(N675,10_ASIL_Matrix!$D$3:$F$3,0)))))</f>
        <v>QM</v>
      </c>
      <c r="Q675" s="6" t="s">
        <v>448</v>
      </c>
    </row>
    <row r="676" customFormat="false" ht="35.05" hidden="false" customHeight="false" outlineLevel="0" collapsed="false">
      <c r="A676" s="5" t="s">
        <v>1949</v>
      </c>
      <c r="B676" s="5" t="s">
        <v>101</v>
      </c>
      <c r="C676" s="5" t="s">
        <v>102</v>
      </c>
      <c r="D676" s="5" t="s">
        <v>167</v>
      </c>
      <c r="E676" s="5" t="s">
        <v>168</v>
      </c>
      <c r="F676" s="5" t="s">
        <v>202</v>
      </c>
      <c r="G676" s="5" t="s">
        <v>590</v>
      </c>
      <c r="H676" s="5" t="s">
        <v>222</v>
      </c>
      <c r="I676" s="5" t="s">
        <v>1950</v>
      </c>
      <c r="J676" s="5" t="s">
        <v>250</v>
      </c>
      <c r="K676" s="5" t="s">
        <v>572</v>
      </c>
      <c r="L676" s="5" t="s">
        <v>187</v>
      </c>
      <c r="M676" s="5" t="s">
        <v>592</v>
      </c>
      <c r="N676" s="5" t="s">
        <v>282</v>
      </c>
      <c r="O676" s="5" t="s">
        <v>447</v>
      </c>
      <c r="P676" s="18" t="str">
        <f aca="false">IF(J676="S0","—",IF(K676="","",IF(L676="E0","QM",INDEX(10_ASIL_Matrix!$D$4:$F$15,MATCH(J676&amp;"-"&amp;L676,10_ASIL_Matrix!$C$4:$C$15,0),MATCH(N676,10_ASIL_Matrix!$D$3:$F$3,0)))))</f>
        <v>B</v>
      </c>
      <c r="Q676" s="5" t="s">
        <v>448</v>
      </c>
    </row>
    <row r="677" customFormat="false" ht="35.05" hidden="false" customHeight="false" outlineLevel="0" collapsed="false">
      <c r="A677" s="6" t="s">
        <v>1951</v>
      </c>
      <c r="B677" s="6" t="s">
        <v>101</v>
      </c>
      <c r="C677" s="6" t="s">
        <v>102</v>
      </c>
      <c r="D677" s="6" t="s">
        <v>167</v>
      </c>
      <c r="E677" s="6" t="s">
        <v>168</v>
      </c>
      <c r="F677" s="6" t="s">
        <v>202</v>
      </c>
      <c r="G677" s="6" t="s">
        <v>590</v>
      </c>
      <c r="H677" s="6" t="s">
        <v>224</v>
      </c>
      <c r="I677" s="6" t="s">
        <v>1952</v>
      </c>
      <c r="J677" s="6" t="s">
        <v>250</v>
      </c>
      <c r="K677" s="6" t="s">
        <v>572</v>
      </c>
      <c r="L677" s="6" t="s">
        <v>190</v>
      </c>
      <c r="M677" s="6" t="s">
        <v>595</v>
      </c>
      <c r="N677" s="6" t="s">
        <v>282</v>
      </c>
      <c r="O677" s="6" t="s">
        <v>447</v>
      </c>
      <c r="P677" s="19" t="str">
        <f aca="false">IF(J677="S0","—",IF(K677="","",IF(L677="E0","QM",INDEX(10_ASIL_Matrix!$D$4:$F$15,MATCH(J677&amp;"-"&amp;L677,10_ASIL_Matrix!$C$4:$C$15,0),MATCH(N677,10_ASIL_Matrix!$D$3:$F$3,0)))))</f>
        <v>A</v>
      </c>
      <c r="Q677" s="6" t="s">
        <v>448</v>
      </c>
    </row>
    <row r="678" customFormat="false" ht="35.05" hidden="false" customHeight="false" outlineLevel="0" collapsed="false">
      <c r="A678" s="5" t="s">
        <v>1953</v>
      </c>
      <c r="B678" s="5" t="s">
        <v>101</v>
      </c>
      <c r="C678" s="5" t="s">
        <v>102</v>
      </c>
      <c r="D678" s="5" t="s">
        <v>167</v>
      </c>
      <c r="E678" s="5" t="s">
        <v>168</v>
      </c>
      <c r="F678" s="5" t="s">
        <v>202</v>
      </c>
      <c r="G678" s="5" t="s">
        <v>590</v>
      </c>
      <c r="H678" s="5" t="s">
        <v>226</v>
      </c>
      <c r="I678" s="5" t="s">
        <v>1954</v>
      </c>
      <c r="J678" s="5" t="s">
        <v>250</v>
      </c>
      <c r="K678" s="5" t="s">
        <v>572</v>
      </c>
      <c r="L678" s="5" t="s">
        <v>190</v>
      </c>
      <c r="M678" s="5" t="s">
        <v>598</v>
      </c>
      <c r="N678" s="5" t="s">
        <v>282</v>
      </c>
      <c r="O678" s="5" t="s">
        <v>447</v>
      </c>
      <c r="P678" s="19" t="str">
        <f aca="false">IF(J678="S0","—",IF(K678="","",IF(L678="E0","QM",INDEX(10_ASIL_Matrix!$D$4:$F$15,MATCH(J678&amp;"-"&amp;L678,10_ASIL_Matrix!$C$4:$C$15,0),MATCH(N678,10_ASIL_Matrix!$D$3:$F$3,0)))))</f>
        <v>A</v>
      </c>
      <c r="Q678" s="5" t="s">
        <v>448</v>
      </c>
    </row>
    <row r="679" customFormat="false" ht="35.05" hidden="false" customHeight="false" outlineLevel="0" collapsed="false">
      <c r="A679" s="6" t="s">
        <v>1955</v>
      </c>
      <c r="B679" s="6" t="s">
        <v>101</v>
      </c>
      <c r="C679" s="6" t="s">
        <v>102</v>
      </c>
      <c r="D679" s="6" t="s">
        <v>167</v>
      </c>
      <c r="E679" s="6" t="s">
        <v>168</v>
      </c>
      <c r="F679" s="6" t="s">
        <v>202</v>
      </c>
      <c r="G679" s="6" t="s">
        <v>590</v>
      </c>
      <c r="H679" s="6" t="s">
        <v>228</v>
      </c>
      <c r="I679" s="6" t="s">
        <v>1956</v>
      </c>
      <c r="J679" s="6" t="s">
        <v>250</v>
      </c>
      <c r="K679" s="6" t="s">
        <v>572</v>
      </c>
      <c r="L679" s="6" t="s">
        <v>205</v>
      </c>
      <c r="M679" s="6" t="s">
        <v>601</v>
      </c>
      <c r="N679" s="6" t="s">
        <v>282</v>
      </c>
      <c r="O679" s="6" t="s">
        <v>447</v>
      </c>
      <c r="P679" s="6" t="str">
        <f aca="false">IF(J679="S0","—",IF(K679="","",IF(L679="E0","QM",INDEX(10_ASIL_Matrix!$D$4:$F$15,MATCH(J679&amp;"-"&amp;L679,10_ASIL_Matrix!$C$4:$C$15,0),MATCH(N679,10_ASIL_Matrix!$D$3:$F$3,0)))))</f>
        <v>QM</v>
      </c>
      <c r="Q679" s="6" t="s">
        <v>448</v>
      </c>
    </row>
    <row r="680" customFormat="false" ht="35.05" hidden="false" customHeight="false" outlineLevel="0" collapsed="false">
      <c r="A680" s="5" t="s">
        <v>1957</v>
      </c>
      <c r="B680" s="5" t="s">
        <v>101</v>
      </c>
      <c r="C680" s="5" t="s">
        <v>102</v>
      </c>
      <c r="D680" s="5" t="s">
        <v>167</v>
      </c>
      <c r="E680" s="5" t="s">
        <v>168</v>
      </c>
      <c r="F680" s="5" t="s">
        <v>202</v>
      </c>
      <c r="G680" s="5" t="s">
        <v>590</v>
      </c>
      <c r="H680" s="5" t="s">
        <v>230</v>
      </c>
      <c r="I680" s="5" t="s">
        <v>1958</v>
      </c>
      <c r="J680" s="5" t="s">
        <v>250</v>
      </c>
      <c r="K680" s="5" t="s">
        <v>572</v>
      </c>
      <c r="L680" s="5" t="s">
        <v>205</v>
      </c>
      <c r="M680" s="5" t="s">
        <v>604</v>
      </c>
      <c r="N680" s="5" t="s">
        <v>286</v>
      </c>
      <c r="O680" s="5" t="s">
        <v>461</v>
      </c>
      <c r="P680" s="19" t="str">
        <f aca="false">IF(J680="S0","—",IF(K680="","",IF(L680="E0","QM",INDEX(10_ASIL_Matrix!$D$4:$F$15,MATCH(J680&amp;"-"&amp;L680,10_ASIL_Matrix!$C$4:$C$15,0),MATCH(N680,10_ASIL_Matrix!$D$3:$F$3,0)))))</f>
        <v>A</v>
      </c>
      <c r="Q680" s="5" t="s">
        <v>448</v>
      </c>
    </row>
    <row r="681" customFormat="false" ht="46.25" hidden="false" customHeight="false" outlineLevel="0" collapsed="false">
      <c r="A681" s="6" t="s">
        <v>1959</v>
      </c>
      <c r="B681" s="6" t="s">
        <v>101</v>
      </c>
      <c r="C681" s="6" t="s">
        <v>102</v>
      </c>
      <c r="D681" s="6" t="s">
        <v>167</v>
      </c>
      <c r="E681" s="6" t="s">
        <v>168</v>
      </c>
      <c r="F681" s="6" t="s">
        <v>202</v>
      </c>
      <c r="G681" s="6" t="s">
        <v>590</v>
      </c>
      <c r="H681" s="6" t="s">
        <v>232</v>
      </c>
      <c r="I681" s="6" t="s">
        <v>1960</v>
      </c>
      <c r="J681" s="6" t="s">
        <v>250</v>
      </c>
      <c r="K681" s="6" t="s">
        <v>572</v>
      </c>
      <c r="L681" s="6" t="s">
        <v>233</v>
      </c>
      <c r="M681" s="6" t="s">
        <v>607</v>
      </c>
      <c r="N681" s="6" t="s">
        <v>282</v>
      </c>
      <c r="O681" s="6" t="s">
        <v>447</v>
      </c>
      <c r="P681" s="6" t="str">
        <f aca="false">IF(J681="S0","—",IF(K681="","",IF(L681="E0","QM",INDEX(10_ASIL_Matrix!$D$4:$F$15,MATCH(J681&amp;"-"&amp;L681,10_ASIL_Matrix!$C$4:$C$15,0),MATCH(N681,10_ASIL_Matrix!$D$3:$F$3,0)))))</f>
        <v>QM</v>
      </c>
      <c r="Q681" s="6" t="s">
        <v>448</v>
      </c>
    </row>
    <row r="682" customFormat="false" ht="35.05" hidden="false" customHeight="false" outlineLevel="0" collapsed="false">
      <c r="A682" s="5" t="s">
        <v>1961</v>
      </c>
      <c r="B682" s="5" t="s">
        <v>101</v>
      </c>
      <c r="C682" s="5" t="s">
        <v>102</v>
      </c>
      <c r="D682" s="5" t="s">
        <v>167</v>
      </c>
      <c r="E682" s="5" t="s">
        <v>168</v>
      </c>
      <c r="F682" s="5" t="s">
        <v>204</v>
      </c>
      <c r="G682" s="5" t="s">
        <v>609</v>
      </c>
      <c r="H682" s="5" t="s">
        <v>222</v>
      </c>
      <c r="I682" s="5" t="s">
        <v>1962</v>
      </c>
      <c r="J682" s="5" t="s">
        <v>250</v>
      </c>
      <c r="K682" s="5" t="s">
        <v>611</v>
      </c>
      <c r="L682" s="5" t="s">
        <v>205</v>
      </c>
      <c r="M682" s="5" t="s">
        <v>612</v>
      </c>
      <c r="N682" s="5" t="s">
        <v>282</v>
      </c>
      <c r="O682" s="5" t="s">
        <v>613</v>
      </c>
      <c r="P682" s="5" t="str">
        <f aca="false">IF(J682="S0","—",IF(K682="","",IF(L682="E0","QM",INDEX(10_ASIL_Matrix!$D$4:$F$15,MATCH(J682&amp;"-"&amp;L682,10_ASIL_Matrix!$C$4:$C$15,0),MATCH(N682,10_ASIL_Matrix!$D$3:$F$3,0)))))</f>
        <v>QM</v>
      </c>
      <c r="Q682" s="5" t="s">
        <v>448</v>
      </c>
    </row>
    <row r="683" customFormat="false" ht="35.05" hidden="false" customHeight="false" outlineLevel="0" collapsed="false">
      <c r="A683" s="6" t="s">
        <v>1963</v>
      </c>
      <c r="B683" s="6" t="s">
        <v>101</v>
      </c>
      <c r="C683" s="6" t="s">
        <v>102</v>
      </c>
      <c r="D683" s="6" t="s">
        <v>167</v>
      </c>
      <c r="E683" s="6" t="s">
        <v>168</v>
      </c>
      <c r="F683" s="6" t="s">
        <v>204</v>
      </c>
      <c r="G683" s="6" t="s">
        <v>609</v>
      </c>
      <c r="H683" s="6" t="s">
        <v>224</v>
      </c>
      <c r="I683" s="6" t="s">
        <v>1964</v>
      </c>
      <c r="J683" s="6" t="s">
        <v>250</v>
      </c>
      <c r="K683" s="6" t="s">
        <v>611</v>
      </c>
      <c r="L683" s="6" t="s">
        <v>205</v>
      </c>
      <c r="M683" s="6" t="s">
        <v>616</v>
      </c>
      <c r="N683" s="6" t="s">
        <v>282</v>
      </c>
      <c r="O683" s="6" t="s">
        <v>613</v>
      </c>
      <c r="P683" s="6" t="str">
        <f aca="false">IF(J683="S0","—",IF(K683="","",IF(L683="E0","QM",INDEX(10_ASIL_Matrix!$D$4:$F$15,MATCH(J683&amp;"-"&amp;L683,10_ASIL_Matrix!$C$4:$C$15,0),MATCH(N683,10_ASIL_Matrix!$D$3:$F$3,0)))))</f>
        <v>QM</v>
      </c>
      <c r="Q683" s="6" t="s">
        <v>448</v>
      </c>
    </row>
    <row r="684" customFormat="false" ht="35.05" hidden="false" customHeight="false" outlineLevel="0" collapsed="false">
      <c r="A684" s="5" t="s">
        <v>1965</v>
      </c>
      <c r="B684" s="5" t="s">
        <v>101</v>
      </c>
      <c r="C684" s="5" t="s">
        <v>102</v>
      </c>
      <c r="D684" s="5" t="s">
        <v>167</v>
      </c>
      <c r="E684" s="5" t="s">
        <v>168</v>
      </c>
      <c r="F684" s="5" t="s">
        <v>204</v>
      </c>
      <c r="G684" s="5" t="s">
        <v>609</v>
      </c>
      <c r="H684" s="5" t="s">
        <v>226</v>
      </c>
      <c r="I684" s="5" t="s">
        <v>1966</v>
      </c>
      <c r="J684" s="5" t="s">
        <v>250</v>
      </c>
      <c r="K684" s="5" t="s">
        <v>611</v>
      </c>
      <c r="L684" s="5" t="s">
        <v>205</v>
      </c>
      <c r="M684" s="5" t="s">
        <v>619</v>
      </c>
      <c r="N684" s="5" t="s">
        <v>282</v>
      </c>
      <c r="O684" s="5" t="s">
        <v>613</v>
      </c>
      <c r="P684" s="5" t="str">
        <f aca="false">IF(J684="S0","—",IF(K684="","",IF(L684="E0","QM",INDEX(10_ASIL_Matrix!$D$4:$F$15,MATCH(J684&amp;"-"&amp;L684,10_ASIL_Matrix!$C$4:$C$15,0),MATCH(N684,10_ASIL_Matrix!$D$3:$F$3,0)))))</f>
        <v>QM</v>
      </c>
      <c r="Q684" s="5" t="s">
        <v>448</v>
      </c>
    </row>
    <row r="685" customFormat="false" ht="35.05" hidden="false" customHeight="false" outlineLevel="0" collapsed="false">
      <c r="A685" s="6" t="s">
        <v>1967</v>
      </c>
      <c r="B685" s="6" t="s">
        <v>101</v>
      </c>
      <c r="C685" s="6" t="s">
        <v>102</v>
      </c>
      <c r="D685" s="6" t="s">
        <v>167</v>
      </c>
      <c r="E685" s="6" t="s">
        <v>168</v>
      </c>
      <c r="F685" s="6" t="s">
        <v>204</v>
      </c>
      <c r="G685" s="6" t="s">
        <v>609</v>
      </c>
      <c r="H685" s="6" t="s">
        <v>228</v>
      </c>
      <c r="I685" s="6" t="s">
        <v>1968</v>
      </c>
      <c r="J685" s="6" t="s">
        <v>250</v>
      </c>
      <c r="K685" s="6" t="s">
        <v>611</v>
      </c>
      <c r="L685" s="6" t="s">
        <v>205</v>
      </c>
      <c r="M685" s="6" t="s">
        <v>622</v>
      </c>
      <c r="N685" s="6" t="s">
        <v>282</v>
      </c>
      <c r="O685" s="6" t="s">
        <v>613</v>
      </c>
      <c r="P685" s="6" t="str">
        <f aca="false">IF(J685="S0","—",IF(K685="","",IF(L685="E0","QM",INDEX(10_ASIL_Matrix!$D$4:$F$15,MATCH(J685&amp;"-"&amp;L685,10_ASIL_Matrix!$C$4:$C$15,0),MATCH(N685,10_ASIL_Matrix!$D$3:$F$3,0)))))</f>
        <v>QM</v>
      </c>
      <c r="Q685" s="6" t="s">
        <v>448</v>
      </c>
    </row>
    <row r="686" customFormat="false" ht="35.05" hidden="false" customHeight="false" outlineLevel="0" collapsed="false">
      <c r="A686" s="5" t="s">
        <v>1969</v>
      </c>
      <c r="B686" s="5" t="s">
        <v>101</v>
      </c>
      <c r="C686" s="5" t="s">
        <v>102</v>
      </c>
      <c r="D686" s="5" t="s">
        <v>167</v>
      </c>
      <c r="E686" s="5" t="s">
        <v>168</v>
      </c>
      <c r="F686" s="5" t="s">
        <v>204</v>
      </c>
      <c r="G686" s="5" t="s">
        <v>609</v>
      </c>
      <c r="H686" s="5" t="s">
        <v>230</v>
      </c>
      <c r="I686" s="5" t="s">
        <v>1970</v>
      </c>
      <c r="J686" s="5" t="s">
        <v>250</v>
      </c>
      <c r="K686" s="5" t="s">
        <v>611</v>
      </c>
      <c r="L686" s="5" t="s">
        <v>205</v>
      </c>
      <c r="M686" s="5" t="s">
        <v>625</v>
      </c>
      <c r="N686" s="5" t="s">
        <v>286</v>
      </c>
      <c r="O686" s="5" t="s">
        <v>626</v>
      </c>
      <c r="P686" s="19" t="str">
        <f aca="false">IF(J686="S0","—",IF(K686="","",IF(L686="E0","QM",INDEX(10_ASIL_Matrix!$D$4:$F$15,MATCH(J686&amp;"-"&amp;L686,10_ASIL_Matrix!$C$4:$C$15,0),MATCH(N686,10_ASIL_Matrix!$D$3:$F$3,0)))))</f>
        <v>A</v>
      </c>
      <c r="Q686" s="5" t="s">
        <v>448</v>
      </c>
    </row>
    <row r="687" customFormat="false" ht="46.25" hidden="false" customHeight="false" outlineLevel="0" collapsed="false">
      <c r="A687" s="6" t="s">
        <v>1971</v>
      </c>
      <c r="B687" s="6" t="s">
        <v>101</v>
      </c>
      <c r="C687" s="6" t="s">
        <v>102</v>
      </c>
      <c r="D687" s="6" t="s">
        <v>167</v>
      </c>
      <c r="E687" s="6" t="s">
        <v>168</v>
      </c>
      <c r="F687" s="6" t="s">
        <v>204</v>
      </c>
      <c r="G687" s="6" t="s">
        <v>609</v>
      </c>
      <c r="H687" s="6" t="s">
        <v>232</v>
      </c>
      <c r="I687" s="6" t="s">
        <v>1972</v>
      </c>
      <c r="J687" s="6" t="s">
        <v>250</v>
      </c>
      <c r="K687" s="6" t="s">
        <v>611</v>
      </c>
      <c r="L687" s="6" t="s">
        <v>233</v>
      </c>
      <c r="M687" s="6" t="s">
        <v>629</v>
      </c>
      <c r="N687" s="6" t="s">
        <v>282</v>
      </c>
      <c r="O687" s="6" t="s">
        <v>613</v>
      </c>
      <c r="P687" s="6" t="str">
        <f aca="false">IF(J687="S0","—",IF(K687="","",IF(L687="E0","QM",INDEX(10_ASIL_Matrix!$D$4:$F$15,MATCH(J687&amp;"-"&amp;L687,10_ASIL_Matrix!$C$4:$C$15,0),MATCH(N687,10_ASIL_Matrix!$D$3:$F$3,0)))))</f>
        <v>QM</v>
      </c>
      <c r="Q687" s="6" t="s">
        <v>448</v>
      </c>
    </row>
    <row r="688" customFormat="false" ht="35.05" hidden="false" customHeight="false" outlineLevel="0" collapsed="false">
      <c r="A688" s="5" t="s">
        <v>1973</v>
      </c>
      <c r="B688" s="5" t="s">
        <v>101</v>
      </c>
      <c r="C688" s="5" t="s">
        <v>102</v>
      </c>
      <c r="D688" s="5" t="s">
        <v>167</v>
      </c>
      <c r="E688" s="5" t="s">
        <v>168</v>
      </c>
      <c r="F688" s="5" t="s">
        <v>207</v>
      </c>
      <c r="G688" s="5" t="s">
        <v>609</v>
      </c>
      <c r="H688" s="5" t="s">
        <v>222</v>
      </c>
      <c r="I688" s="5" t="s">
        <v>1974</v>
      </c>
      <c r="J688" s="5" t="s">
        <v>238</v>
      </c>
      <c r="K688" s="5" t="s">
        <v>632</v>
      </c>
      <c r="L688" s="5" t="s">
        <v>190</v>
      </c>
      <c r="M688" s="5" t="s">
        <v>633</v>
      </c>
      <c r="N688" s="5" t="s">
        <v>278</v>
      </c>
      <c r="O688" s="5" t="s">
        <v>634</v>
      </c>
      <c r="P688" s="5" t="str">
        <f aca="false">IF(J688="S0","—",IF(K688="","",IF(L688="E0","QM",INDEX(10_ASIL_Matrix!$D$4:$F$15,MATCH(J688&amp;"-"&amp;L688,10_ASIL_Matrix!$C$4:$C$15,0),MATCH(N688,10_ASIL_Matrix!$D$3:$F$3,0)))))</f>
        <v>—</v>
      </c>
      <c r="Q688" s="5" t="s">
        <v>448</v>
      </c>
    </row>
    <row r="689" customFormat="false" ht="35.05" hidden="false" customHeight="false" outlineLevel="0" collapsed="false">
      <c r="A689" s="6" t="s">
        <v>1975</v>
      </c>
      <c r="B689" s="6" t="s">
        <v>101</v>
      </c>
      <c r="C689" s="6" t="s">
        <v>102</v>
      </c>
      <c r="D689" s="6" t="s">
        <v>167</v>
      </c>
      <c r="E689" s="6" t="s">
        <v>168</v>
      </c>
      <c r="F689" s="6" t="s">
        <v>207</v>
      </c>
      <c r="G689" s="6" t="s">
        <v>609</v>
      </c>
      <c r="H689" s="6" t="s">
        <v>224</v>
      </c>
      <c r="I689" s="6" t="s">
        <v>1976</v>
      </c>
      <c r="J689" s="6" t="s">
        <v>238</v>
      </c>
      <c r="K689" s="6" t="s">
        <v>632</v>
      </c>
      <c r="L689" s="6" t="s">
        <v>190</v>
      </c>
      <c r="M689" s="6" t="s">
        <v>637</v>
      </c>
      <c r="N689" s="6" t="s">
        <v>278</v>
      </c>
      <c r="O689" s="6" t="s">
        <v>634</v>
      </c>
      <c r="P689" s="6" t="str">
        <f aca="false">IF(J689="S0","—",IF(K689="","",IF(L689="E0","QM",INDEX(10_ASIL_Matrix!$D$4:$F$15,MATCH(J689&amp;"-"&amp;L689,10_ASIL_Matrix!$C$4:$C$15,0),MATCH(N689,10_ASIL_Matrix!$D$3:$F$3,0)))))</f>
        <v>—</v>
      </c>
      <c r="Q689" s="6" t="s">
        <v>448</v>
      </c>
    </row>
    <row r="690" customFormat="false" ht="35.05" hidden="false" customHeight="false" outlineLevel="0" collapsed="false">
      <c r="A690" s="5" t="s">
        <v>1977</v>
      </c>
      <c r="B690" s="5" t="s">
        <v>101</v>
      </c>
      <c r="C690" s="5" t="s">
        <v>102</v>
      </c>
      <c r="D690" s="5" t="s">
        <v>167</v>
      </c>
      <c r="E690" s="5" t="s">
        <v>168</v>
      </c>
      <c r="F690" s="5" t="s">
        <v>207</v>
      </c>
      <c r="G690" s="5" t="s">
        <v>609</v>
      </c>
      <c r="H690" s="5" t="s">
        <v>226</v>
      </c>
      <c r="I690" s="5" t="s">
        <v>1978</v>
      </c>
      <c r="J690" s="5" t="s">
        <v>238</v>
      </c>
      <c r="K690" s="5" t="s">
        <v>632</v>
      </c>
      <c r="L690" s="5" t="s">
        <v>190</v>
      </c>
      <c r="M690" s="5" t="s">
        <v>640</v>
      </c>
      <c r="N690" s="5" t="s">
        <v>278</v>
      </c>
      <c r="O690" s="5" t="s">
        <v>634</v>
      </c>
      <c r="P690" s="5" t="str">
        <f aca="false">IF(J690="S0","—",IF(K690="","",IF(L690="E0","QM",INDEX(10_ASIL_Matrix!$D$4:$F$15,MATCH(J690&amp;"-"&amp;L690,10_ASIL_Matrix!$C$4:$C$15,0),MATCH(N690,10_ASIL_Matrix!$D$3:$F$3,0)))))</f>
        <v>—</v>
      </c>
      <c r="Q690" s="5" t="s">
        <v>448</v>
      </c>
    </row>
    <row r="691" customFormat="false" ht="35.05" hidden="false" customHeight="false" outlineLevel="0" collapsed="false">
      <c r="A691" s="6" t="s">
        <v>1979</v>
      </c>
      <c r="B691" s="6" t="s">
        <v>101</v>
      </c>
      <c r="C691" s="6" t="s">
        <v>102</v>
      </c>
      <c r="D691" s="6" t="s">
        <v>167</v>
      </c>
      <c r="E691" s="6" t="s">
        <v>168</v>
      </c>
      <c r="F691" s="6" t="s">
        <v>207</v>
      </c>
      <c r="G691" s="6" t="s">
        <v>609</v>
      </c>
      <c r="H691" s="6" t="s">
        <v>228</v>
      </c>
      <c r="I691" s="6" t="s">
        <v>1980</v>
      </c>
      <c r="J691" s="6" t="s">
        <v>238</v>
      </c>
      <c r="K691" s="6" t="s">
        <v>632</v>
      </c>
      <c r="L691" s="6" t="s">
        <v>205</v>
      </c>
      <c r="M691" s="6" t="s">
        <v>643</v>
      </c>
      <c r="N691" s="6" t="s">
        <v>278</v>
      </c>
      <c r="O691" s="6" t="s">
        <v>634</v>
      </c>
      <c r="P691" s="6" t="str">
        <f aca="false">IF(J691="S0","—",IF(K691="","",IF(L691="E0","QM",INDEX(10_ASIL_Matrix!$D$4:$F$15,MATCH(J691&amp;"-"&amp;L691,10_ASIL_Matrix!$C$4:$C$15,0),MATCH(N691,10_ASIL_Matrix!$D$3:$F$3,0)))))</f>
        <v>—</v>
      </c>
      <c r="Q691" s="6" t="s">
        <v>448</v>
      </c>
    </row>
    <row r="692" customFormat="false" ht="35.05" hidden="false" customHeight="false" outlineLevel="0" collapsed="false">
      <c r="A692" s="5" t="s">
        <v>1981</v>
      </c>
      <c r="B692" s="5" t="s">
        <v>101</v>
      </c>
      <c r="C692" s="5" t="s">
        <v>102</v>
      </c>
      <c r="D692" s="5" t="s">
        <v>167</v>
      </c>
      <c r="E692" s="5" t="s">
        <v>168</v>
      </c>
      <c r="F692" s="5" t="s">
        <v>207</v>
      </c>
      <c r="G692" s="5" t="s">
        <v>609</v>
      </c>
      <c r="H692" s="5" t="s">
        <v>230</v>
      </c>
      <c r="I692" s="5" t="s">
        <v>1982</v>
      </c>
      <c r="J692" s="5" t="s">
        <v>238</v>
      </c>
      <c r="K692" s="5" t="s">
        <v>632</v>
      </c>
      <c r="L692" s="5" t="s">
        <v>205</v>
      </c>
      <c r="M692" s="5" t="s">
        <v>646</v>
      </c>
      <c r="N692" s="5" t="s">
        <v>278</v>
      </c>
      <c r="O692" s="5" t="s">
        <v>634</v>
      </c>
      <c r="P692" s="5" t="str">
        <f aca="false">IF(J692="S0","—",IF(K692="","",IF(L692="E0","QM",INDEX(10_ASIL_Matrix!$D$4:$F$15,MATCH(J692&amp;"-"&amp;L692,10_ASIL_Matrix!$C$4:$C$15,0),MATCH(N692,10_ASIL_Matrix!$D$3:$F$3,0)))))</f>
        <v>—</v>
      </c>
      <c r="Q692" s="5" t="s">
        <v>448</v>
      </c>
    </row>
    <row r="693" customFormat="false" ht="46.25" hidden="false" customHeight="false" outlineLevel="0" collapsed="false">
      <c r="A693" s="6" t="s">
        <v>1983</v>
      </c>
      <c r="B693" s="6" t="s">
        <v>101</v>
      </c>
      <c r="C693" s="6" t="s">
        <v>102</v>
      </c>
      <c r="D693" s="6" t="s">
        <v>167</v>
      </c>
      <c r="E693" s="6" t="s">
        <v>168</v>
      </c>
      <c r="F693" s="6" t="s">
        <v>207</v>
      </c>
      <c r="G693" s="6" t="s">
        <v>609</v>
      </c>
      <c r="H693" s="6" t="s">
        <v>232</v>
      </c>
      <c r="I693" s="6" t="s">
        <v>1984</v>
      </c>
      <c r="J693" s="6" t="s">
        <v>238</v>
      </c>
      <c r="K693" s="6" t="s">
        <v>632</v>
      </c>
      <c r="L693" s="6" t="s">
        <v>233</v>
      </c>
      <c r="M693" s="6" t="s">
        <v>649</v>
      </c>
      <c r="N693" s="6" t="s">
        <v>278</v>
      </c>
      <c r="O693" s="6" t="s">
        <v>634</v>
      </c>
      <c r="P693" s="6" t="str">
        <f aca="false">IF(J693="S0","—",IF(K693="","",IF(L693="E0","QM",INDEX(10_ASIL_Matrix!$D$4:$F$15,MATCH(J693&amp;"-"&amp;L693,10_ASIL_Matrix!$C$4:$C$15,0),MATCH(N693,10_ASIL_Matrix!$D$3:$F$3,0)))))</f>
        <v>—</v>
      </c>
      <c r="Q693" s="6" t="s">
        <v>448</v>
      </c>
    </row>
    <row r="694" customFormat="false" ht="35.05" hidden="false" customHeight="false" outlineLevel="0" collapsed="false">
      <c r="A694" s="5" t="s">
        <v>1985</v>
      </c>
      <c r="B694" s="5" t="s">
        <v>101</v>
      </c>
      <c r="C694" s="5" t="s">
        <v>102</v>
      </c>
      <c r="D694" s="5" t="s">
        <v>167</v>
      </c>
      <c r="E694" s="5" t="s">
        <v>168</v>
      </c>
      <c r="F694" s="5" t="s">
        <v>209</v>
      </c>
      <c r="G694" s="5" t="s">
        <v>570</v>
      </c>
      <c r="H694" s="5" t="s">
        <v>222</v>
      </c>
      <c r="I694" s="5" t="s">
        <v>1986</v>
      </c>
      <c r="J694" s="5" t="s">
        <v>250</v>
      </c>
      <c r="K694" s="5" t="s">
        <v>652</v>
      </c>
      <c r="L694" s="5" t="s">
        <v>190</v>
      </c>
      <c r="M694" s="5" t="s">
        <v>653</v>
      </c>
      <c r="N694" s="5" t="s">
        <v>286</v>
      </c>
      <c r="O694" s="5" t="s">
        <v>470</v>
      </c>
      <c r="P694" s="18" t="str">
        <f aca="false">IF(J694="S0","—",IF(K694="","",IF(L694="E0","QM",INDEX(10_ASIL_Matrix!$D$4:$F$15,MATCH(J694&amp;"-"&amp;L694,10_ASIL_Matrix!$C$4:$C$15,0),MATCH(N694,10_ASIL_Matrix!$D$3:$F$3,0)))))</f>
        <v>B</v>
      </c>
      <c r="Q694" s="5" t="s">
        <v>448</v>
      </c>
    </row>
    <row r="695" customFormat="false" ht="35.05" hidden="false" customHeight="false" outlineLevel="0" collapsed="false">
      <c r="A695" s="6" t="s">
        <v>1987</v>
      </c>
      <c r="B695" s="6" t="s">
        <v>101</v>
      </c>
      <c r="C695" s="6" t="s">
        <v>102</v>
      </c>
      <c r="D695" s="6" t="s">
        <v>167</v>
      </c>
      <c r="E695" s="6" t="s">
        <v>168</v>
      </c>
      <c r="F695" s="6" t="s">
        <v>209</v>
      </c>
      <c r="G695" s="6" t="s">
        <v>570</v>
      </c>
      <c r="H695" s="6" t="s">
        <v>224</v>
      </c>
      <c r="I695" s="6" t="s">
        <v>1988</v>
      </c>
      <c r="J695" s="6" t="s">
        <v>250</v>
      </c>
      <c r="K695" s="6" t="s">
        <v>652</v>
      </c>
      <c r="L695" s="6" t="s">
        <v>190</v>
      </c>
      <c r="M695" s="6" t="s">
        <v>656</v>
      </c>
      <c r="N695" s="6" t="s">
        <v>286</v>
      </c>
      <c r="O695" s="6" t="s">
        <v>470</v>
      </c>
      <c r="P695" s="18" t="str">
        <f aca="false">IF(J695="S0","—",IF(K695="","",IF(L695="E0","QM",INDEX(10_ASIL_Matrix!$D$4:$F$15,MATCH(J695&amp;"-"&amp;L695,10_ASIL_Matrix!$C$4:$C$15,0),MATCH(N695,10_ASIL_Matrix!$D$3:$F$3,0)))))</f>
        <v>B</v>
      </c>
      <c r="Q695" s="6" t="s">
        <v>448</v>
      </c>
    </row>
    <row r="696" customFormat="false" ht="35.05" hidden="false" customHeight="false" outlineLevel="0" collapsed="false">
      <c r="A696" s="5" t="s">
        <v>1989</v>
      </c>
      <c r="B696" s="5" t="s">
        <v>101</v>
      </c>
      <c r="C696" s="5" t="s">
        <v>102</v>
      </c>
      <c r="D696" s="5" t="s">
        <v>167</v>
      </c>
      <c r="E696" s="5" t="s">
        <v>168</v>
      </c>
      <c r="F696" s="5" t="s">
        <v>209</v>
      </c>
      <c r="G696" s="5" t="s">
        <v>570</v>
      </c>
      <c r="H696" s="5" t="s">
        <v>226</v>
      </c>
      <c r="I696" s="5" t="s">
        <v>1990</v>
      </c>
      <c r="J696" s="5" t="s">
        <v>250</v>
      </c>
      <c r="K696" s="5" t="s">
        <v>652</v>
      </c>
      <c r="L696" s="5" t="s">
        <v>190</v>
      </c>
      <c r="M696" s="5" t="s">
        <v>659</v>
      </c>
      <c r="N696" s="5" t="s">
        <v>286</v>
      </c>
      <c r="O696" s="5" t="s">
        <v>470</v>
      </c>
      <c r="P696" s="18" t="str">
        <f aca="false">IF(J696="S0","—",IF(K696="","",IF(L696="E0","QM",INDEX(10_ASIL_Matrix!$D$4:$F$15,MATCH(J696&amp;"-"&amp;L696,10_ASIL_Matrix!$C$4:$C$15,0),MATCH(N696,10_ASIL_Matrix!$D$3:$F$3,0)))))</f>
        <v>B</v>
      </c>
      <c r="Q696" s="5" t="s">
        <v>448</v>
      </c>
    </row>
    <row r="697" customFormat="false" ht="35.05" hidden="false" customHeight="false" outlineLevel="0" collapsed="false">
      <c r="A697" s="6" t="s">
        <v>1991</v>
      </c>
      <c r="B697" s="6" t="s">
        <v>101</v>
      </c>
      <c r="C697" s="6" t="s">
        <v>102</v>
      </c>
      <c r="D697" s="6" t="s">
        <v>167</v>
      </c>
      <c r="E697" s="6" t="s">
        <v>168</v>
      </c>
      <c r="F697" s="6" t="s">
        <v>209</v>
      </c>
      <c r="G697" s="6" t="s">
        <v>570</v>
      </c>
      <c r="H697" s="6" t="s">
        <v>228</v>
      </c>
      <c r="I697" s="6" t="s">
        <v>1992</v>
      </c>
      <c r="J697" s="6" t="s">
        <v>250</v>
      </c>
      <c r="K697" s="6" t="s">
        <v>652</v>
      </c>
      <c r="L697" s="6" t="s">
        <v>205</v>
      </c>
      <c r="M697" s="6" t="s">
        <v>662</v>
      </c>
      <c r="N697" s="6" t="s">
        <v>286</v>
      </c>
      <c r="O697" s="6" t="s">
        <v>470</v>
      </c>
      <c r="P697" s="19" t="str">
        <f aca="false">IF(J697="S0","—",IF(K697="","",IF(L697="E0","QM",INDEX(10_ASIL_Matrix!$D$4:$F$15,MATCH(J697&amp;"-"&amp;L697,10_ASIL_Matrix!$C$4:$C$15,0),MATCH(N697,10_ASIL_Matrix!$D$3:$F$3,0)))))</f>
        <v>A</v>
      </c>
      <c r="Q697" s="6" t="s">
        <v>448</v>
      </c>
    </row>
    <row r="698" customFormat="false" ht="46.25" hidden="false" customHeight="false" outlineLevel="0" collapsed="false">
      <c r="A698" s="5" t="s">
        <v>1993</v>
      </c>
      <c r="B698" s="5" t="s">
        <v>101</v>
      </c>
      <c r="C698" s="5" t="s">
        <v>102</v>
      </c>
      <c r="D698" s="5" t="s">
        <v>167</v>
      </c>
      <c r="E698" s="5" t="s">
        <v>168</v>
      </c>
      <c r="F698" s="5" t="s">
        <v>209</v>
      </c>
      <c r="G698" s="5" t="s">
        <v>570</v>
      </c>
      <c r="H698" s="5" t="s">
        <v>230</v>
      </c>
      <c r="I698" s="5" t="s">
        <v>1994</v>
      </c>
      <c r="J698" s="5" t="s">
        <v>250</v>
      </c>
      <c r="K698" s="5" t="s">
        <v>652</v>
      </c>
      <c r="L698" s="5" t="s">
        <v>205</v>
      </c>
      <c r="M698" s="5" t="s">
        <v>665</v>
      </c>
      <c r="N698" s="5" t="s">
        <v>290</v>
      </c>
      <c r="O698" s="5" t="s">
        <v>483</v>
      </c>
      <c r="P698" s="18" t="str">
        <f aca="false">IF(J698="S0","—",IF(K698="","",IF(L698="E0","QM",INDEX(10_ASIL_Matrix!$D$4:$F$15,MATCH(J698&amp;"-"&amp;L698,10_ASIL_Matrix!$C$4:$C$15,0),MATCH(N698,10_ASIL_Matrix!$D$3:$F$3,0)))))</f>
        <v>B</v>
      </c>
      <c r="Q698" s="5" t="s">
        <v>448</v>
      </c>
    </row>
    <row r="699" customFormat="false" ht="46.25" hidden="false" customHeight="false" outlineLevel="0" collapsed="false">
      <c r="A699" s="6" t="s">
        <v>1995</v>
      </c>
      <c r="B699" s="6" t="s">
        <v>101</v>
      </c>
      <c r="C699" s="6" t="s">
        <v>102</v>
      </c>
      <c r="D699" s="6" t="s">
        <v>167</v>
      </c>
      <c r="E699" s="6" t="s">
        <v>168</v>
      </c>
      <c r="F699" s="6" t="s">
        <v>209</v>
      </c>
      <c r="G699" s="6" t="s">
        <v>570</v>
      </c>
      <c r="H699" s="6" t="s">
        <v>232</v>
      </c>
      <c r="I699" s="6" t="s">
        <v>1996</v>
      </c>
      <c r="J699" s="6" t="s">
        <v>250</v>
      </c>
      <c r="K699" s="6" t="s">
        <v>652</v>
      </c>
      <c r="L699" s="6" t="s">
        <v>233</v>
      </c>
      <c r="M699" s="6" t="s">
        <v>668</v>
      </c>
      <c r="N699" s="6" t="s">
        <v>286</v>
      </c>
      <c r="O699" s="6" t="s">
        <v>470</v>
      </c>
      <c r="P699" s="6" t="str">
        <f aca="false">IF(J699="S0","—",IF(K699="","",IF(L699="E0","QM",INDEX(10_ASIL_Matrix!$D$4:$F$15,MATCH(J699&amp;"-"&amp;L699,10_ASIL_Matrix!$C$4:$C$15,0),MATCH(N699,10_ASIL_Matrix!$D$3:$F$3,0)))))</f>
        <v>QM</v>
      </c>
      <c r="Q699" s="6" t="s">
        <v>448</v>
      </c>
    </row>
    <row r="700" customFormat="false" ht="35.05" hidden="false" customHeight="false" outlineLevel="0" collapsed="false">
      <c r="A700" s="5" t="s">
        <v>1997</v>
      </c>
      <c r="B700" s="5" t="s">
        <v>101</v>
      </c>
      <c r="C700" s="5" t="s">
        <v>102</v>
      </c>
      <c r="D700" s="5" t="s">
        <v>167</v>
      </c>
      <c r="E700" s="5" t="s">
        <v>168</v>
      </c>
      <c r="F700" s="5" t="s">
        <v>211</v>
      </c>
      <c r="G700" s="5" t="s">
        <v>609</v>
      </c>
      <c r="H700" s="5" t="s">
        <v>222</v>
      </c>
      <c r="I700" s="5" t="s">
        <v>1998</v>
      </c>
      <c r="J700" s="5" t="s">
        <v>238</v>
      </c>
      <c r="K700" s="5" t="s">
        <v>1999</v>
      </c>
      <c r="L700" s="5" t="s">
        <v>187</v>
      </c>
      <c r="M700" s="5" t="s">
        <v>672</v>
      </c>
      <c r="N700" s="5" t="s">
        <v>278</v>
      </c>
      <c r="O700" s="5" t="s">
        <v>634</v>
      </c>
      <c r="P700" s="5" t="str">
        <f aca="false">IF(J700="S0","—",IF(K700="","",IF(L700="E0","QM",INDEX(10_ASIL_Matrix!$D$4:$F$15,MATCH(J700&amp;"-"&amp;L700,10_ASIL_Matrix!$C$4:$C$15,0),MATCH(N700,10_ASIL_Matrix!$D$3:$F$3,0)))))</f>
        <v>—</v>
      </c>
      <c r="Q700" s="5" t="s">
        <v>448</v>
      </c>
    </row>
    <row r="701" customFormat="false" ht="35.05" hidden="false" customHeight="false" outlineLevel="0" collapsed="false">
      <c r="A701" s="6" t="s">
        <v>2000</v>
      </c>
      <c r="B701" s="6" t="s">
        <v>101</v>
      </c>
      <c r="C701" s="6" t="s">
        <v>102</v>
      </c>
      <c r="D701" s="6" t="s">
        <v>167</v>
      </c>
      <c r="E701" s="6" t="s">
        <v>168</v>
      </c>
      <c r="F701" s="6" t="s">
        <v>211</v>
      </c>
      <c r="G701" s="6" t="s">
        <v>609</v>
      </c>
      <c r="H701" s="6" t="s">
        <v>224</v>
      </c>
      <c r="I701" s="6" t="s">
        <v>2001</v>
      </c>
      <c r="J701" s="6" t="s">
        <v>238</v>
      </c>
      <c r="K701" s="6" t="s">
        <v>1999</v>
      </c>
      <c r="L701" s="6" t="s">
        <v>190</v>
      </c>
      <c r="M701" s="6" t="s">
        <v>675</v>
      </c>
      <c r="N701" s="6" t="s">
        <v>278</v>
      </c>
      <c r="O701" s="6" t="s">
        <v>634</v>
      </c>
      <c r="P701" s="6" t="str">
        <f aca="false">IF(J701="S0","—",IF(K701="","",IF(L701="E0","QM",INDEX(10_ASIL_Matrix!$D$4:$F$15,MATCH(J701&amp;"-"&amp;L701,10_ASIL_Matrix!$C$4:$C$15,0),MATCH(N701,10_ASIL_Matrix!$D$3:$F$3,0)))))</f>
        <v>—</v>
      </c>
      <c r="Q701" s="6" t="s">
        <v>448</v>
      </c>
    </row>
    <row r="702" customFormat="false" ht="35.05" hidden="false" customHeight="false" outlineLevel="0" collapsed="false">
      <c r="A702" s="5" t="s">
        <v>2002</v>
      </c>
      <c r="B702" s="5" t="s">
        <v>101</v>
      </c>
      <c r="C702" s="5" t="s">
        <v>102</v>
      </c>
      <c r="D702" s="5" t="s">
        <v>167</v>
      </c>
      <c r="E702" s="5" t="s">
        <v>168</v>
      </c>
      <c r="F702" s="5" t="s">
        <v>211</v>
      </c>
      <c r="G702" s="5" t="s">
        <v>609</v>
      </c>
      <c r="H702" s="5" t="s">
        <v>226</v>
      </c>
      <c r="I702" s="5" t="s">
        <v>2003</v>
      </c>
      <c r="J702" s="5" t="s">
        <v>238</v>
      </c>
      <c r="K702" s="5" t="s">
        <v>1999</v>
      </c>
      <c r="L702" s="5" t="s">
        <v>190</v>
      </c>
      <c r="M702" s="5" t="s">
        <v>678</v>
      </c>
      <c r="N702" s="5" t="s">
        <v>278</v>
      </c>
      <c r="O702" s="5" t="s">
        <v>634</v>
      </c>
      <c r="P702" s="5" t="str">
        <f aca="false">IF(J702="S0","—",IF(K702="","",IF(L702="E0","QM",INDEX(10_ASIL_Matrix!$D$4:$F$15,MATCH(J702&amp;"-"&amp;L702,10_ASIL_Matrix!$C$4:$C$15,0),MATCH(N702,10_ASIL_Matrix!$D$3:$F$3,0)))))</f>
        <v>—</v>
      </c>
      <c r="Q702" s="5" t="s">
        <v>448</v>
      </c>
    </row>
    <row r="703" customFormat="false" ht="35.05" hidden="false" customHeight="false" outlineLevel="0" collapsed="false">
      <c r="A703" s="6" t="s">
        <v>2004</v>
      </c>
      <c r="B703" s="6" t="s">
        <v>101</v>
      </c>
      <c r="C703" s="6" t="s">
        <v>102</v>
      </c>
      <c r="D703" s="6" t="s">
        <v>167</v>
      </c>
      <c r="E703" s="6" t="s">
        <v>168</v>
      </c>
      <c r="F703" s="6" t="s">
        <v>211</v>
      </c>
      <c r="G703" s="6" t="s">
        <v>609</v>
      </c>
      <c r="H703" s="6" t="s">
        <v>228</v>
      </c>
      <c r="I703" s="6" t="s">
        <v>2005</v>
      </c>
      <c r="J703" s="6" t="s">
        <v>238</v>
      </c>
      <c r="K703" s="6" t="s">
        <v>1999</v>
      </c>
      <c r="L703" s="6" t="s">
        <v>205</v>
      </c>
      <c r="M703" s="6" t="s">
        <v>681</v>
      </c>
      <c r="N703" s="6" t="s">
        <v>278</v>
      </c>
      <c r="O703" s="6" t="s">
        <v>634</v>
      </c>
      <c r="P703" s="6" t="str">
        <f aca="false">IF(J703="S0","—",IF(K703="","",IF(L703="E0","QM",INDEX(10_ASIL_Matrix!$D$4:$F$15,MATCH(J703&amp;"-"&amp;L703,10_ASIL_Matrix!$C$4:$C$15,0),MATCH(N703,10_ASIL_Matrix!$D$3:$F$3,0)))))</f>
        <v>—</v>
      </c>
      <c r="Q703" s="6" t="s">
        <v>448</v>
      </c>
    </row>
    <row r="704" customFormat="false" ht="35.05" hidden="false" customHeight="false" outlineLevel="0" collapsed="false">
      <c r="A704" s="5" t="s">
        <v>2006</v>
      </c>
      <c r="B704" s="5" t="s">
        <v>101</v>
      </c>
      <c r="C704" s="5" t="s">
        <v>102</v>
      </c>
      <c r="D704" s="5" t="s">
        <v>167</v>
      </c>
      <c r="E704" s="5" t="s">
        <v>168</v>
      </c>
      <c r="F704" s="5" t="s">
        <v>211</v>
      </c>
      <c r="G704" s="5" t="s">
        <v>609</v>
      </c>
      <c r="H704" s="5" t="s">
        <v>230</v>
      </c>
      <c r="I704" s="5" t="s">
        <v>2007</v>
      </c>
      <c r="J704" s="5" t="s">
        <v>238</v>
      </c>
      <c r="K704" s="5" t="s">
        <v>1999</v>
      </c>
      <c r="L704" s="5" t="s">
        <v>205</v>
      </c>
      <c r="M704" s="5" t="s">
        <v>684</v>
      </c>
      <c r="N704" s="5" t="s">
        <v>278</v>
      </c>
      <c r="O704" s="5" t="s">
        <v>634</v>
      </c>
      <c r="P704" s="5" t="str">
        <f aca="false">IF(J704="S0","—",IF(K704="","",IF(L704="E0","QM",INDEX(10_ASIL_Matrix!$D$4:$F$15,MATCH(J704&amp;"-"&amp;L704,10_ASIL_Matrix!$C$4:$C$15,0),MATCH(N704,10_ASIL_Matrix!$D$3:$F$3,0)))))</f>
        <v>—</v>
      </c>
      <c r="Q704" s="5" t="s">
        <v>448</v>
      </c>
    </row>
    <row r="705" customFormat="false" ht="46.25" hidden="false" customHeight="false" outlineLevel="0" collapsed="false">
      <c r="A705" s="6" t="s">
        <v>2008</v>
      </c>
      <c r="B705" s="6" t="s">
        <v>101</v>
      </c>
      <c r="C705" s="6" t="s">
        <v>102</v>
      </c>
      <c r="D705" s="6" t="s">
        <v>167</v>
      </c>
      <c r="E705" s="6" t="s">
        <v>168</v>
      </c>
      <c r="F705" s="6" t="s">
        <v>211</v>
      </c>
      <c r="G705" s="6" t="s">
        <v>609</v>
      </c>
      <c r="H705" s="6" t="s">
        <v>232</v>
      </c>
      <c r="I705" s="6" t="s">
        <v>2009</v>
      </c>
      <c r="J705" s="6" t="s">
        <v>238</v>
      </c>
      <c r="K705" s="6" t="s">
        <v>1999</v>
      </c>
      <c r="L705" s="6" t="s">
        <v>233</v>
      </c>
      <c r="M705" s="6" t="s">
        <v>687</v>
      </c>
      <c r="N705" s="6" t="s">
        <v>278</v>
      </c>
      <c r="O705" s="6" t="s">
        <v>634</v>
      </c>
      <c r="P705" s="6" t="str">
        <f aca="false">IF(J705="S0","—",IF(K705="","",IF(L705="E0","QM",INDEX(10_ASIL_Matrix!$D$4:$F$15,MATCH(J705&amp;"-"&amp;L705,10_ASIL_Matrix!$C$4:$C$15,0),MATCH(N705,10_ASIL_Matrix!$D$3:$F$3,0)))))</f>
        <v>—</v>
      </c>
      <c r="Q705" s="6" t="s">
        <v>448</v>
      </c>
    </row>
    <row r="706" customFormat="false" ht="46.25" hidden="false" customHeight="false" outlineLevel="0" collapsed="false">
      <c r="A706" s="5" t="s">
        <v>2010</v>
      </c>
      <c r="B706" s="5" t="s">
        <v>101</v>
      </c>
      <c r="C706" s="5" t="s">
        <v>102</v>
      </c>
      <c r="D706" s="5" t="s">
        <v>167</v>
      </c>
      <c r="E706" s="5" t="s">
        <v>168</v>
      </c>
      <c r="F706" s="5" t="s">
        <v>213</v>
      </c>
      <c r="G706" s="5" t="s">
        <v>689</v>
      </c>
      <c r="H706" s="5" t="s">
        <v>222</v>
      </c>
      <c r="I706" s="5" t="s">
        <v>2011</v>
      </c>
      <c r="J706" s="5" t="s">
        <v>250</v>
      </c>
      <c r="K706" s="5" t="s">
        <v>691</v>
      </c>
      <c r="L706" s="5" t="s">
        <v>205</v>
      </c>
      <c r="M706" s="5" t="s">
        <v>692</v>
      </c>
      <c r="N706" s="5" t="s">
        <v>290</v>
      </c>
      <c r="O706" s="5" t="s">
        <v>693</v>
      </c>
      <c r="P706" s="18" t="str">
        <f aca="false">IF(J706="S0","—",IF(K706="","",IF(L706="E0","QM",INDEX(10_ASIL_Matrix!$D$4:$F$15,MATCH(J706&amp;"-"&amp;L706,10_ASIL_Matrix!$C$4:$C$15,0),MATCH(N706,10_ASIL_Matrix!$D$3:$F$3,0)))))</f>
        <v>B</v>
      </c>
      <c r="Q706" s="5" t="s">
        <v>448</v>
      </c>
    </row>
    <row r="707" customFormat="false" ht="46.25" hidden="false" customHeight="false" outlineLevel="0" collapsed="false">
      <c r="A707" s="6" t="s">
        <v>2012</v>
      </c>
      <c r="B707" s="6" t="s">
        <v>101</v>
      </c>
      <c r="C707" s="6" t="s">
        <v>102</v>
      </c>
      <c r="D707" s="6" t="s">
        <v>167</v>
      </c>
      <c r="E707" s="6" t="s">
        <v>168</v>
      </c>
      <c r="F707" s="6" t="s">
        <v>213</v>
      </c>
      <c r="G707" s="6" t="s">
        <v>689</v>
      </c>
      <c r="H707" s="6" t="s">
        <v>224</v>
      </c>
      <c r="I707" s="6" t="s">
        <v>2013</v>
      </c>
      <c r="J707" s="6" t="s">
        <v>250</v>
      </c>
      <c r="K707" s="6" t="s">
        <v>691</v>
      </c>
      <c r="L707" s="6" t="s">
        <v>205</v>
      </c>
      <c r="M707" s="6" t="s">
        <v>696</v>
      </c>
      <c r="N707" s="6" t="s">
        <v>290</v>
      </c>
      <c r="O707" s="6" t="s">
        <v>693</v>
      </c>
      <c r="P707" s="18" t="str">
        <f aca="false">IF(J707="S0","—",IF(K707="","",IF(L707="E0","QM",INDEX(10_ASIL_Matrix!$D$4:$F$15,MATCH(J707&amp;"-"&amp;L707,10_ASIL_Matrix!$C$4:$C$15,0),MATCH(N707,10_ASIL_Matrix!$D$3:$F$3,0)))))</f>
        <v>B</v>
      </c>
      <c r="Q707" s="6" t="s">
        <v>448</v>
      </c>
    </row>
    <row r="708" customFormat="false" ht="46.25" hidden="false" customHeight="false" outlineLevel="0" collapsed="false">
      <c r="A708" s="5" t="s">
        <v>2014</v>
      </c>
      <c r="B708" s="5" t="s">
        <v>101</v>
      </c>
      <c r="C708" s="5" t="s">
        <v>102</v>
      </c>
      <c r="D708" s="5" t="s">
        <v>167</v>
      </c>
      <c r="E708" s="5" t="s">
        <v>168</v>
      </c>
      <c r="F708" s="5" t="s">
        <v>213</v>
      </c>
      <c r="G708" s="5" t="s">
        <v>689</v>
      </c>
      <c r="H708" s="5" t="s">
        <v>226</v>
      </c>
      <c r="I708" s="5" t="s">
        <v>2015</v>
      </c>
      <c r="J708" s="5" t="s">
        <v>250</v>
      </c>
      <c r="K708" s="5" t="s">
        <v>691</v>
      </c>
      <c r="L708" s="5" t="s">
        <v>205</v>
      </c>
      <c r="M708" s="5" t="s">
        <v>699</v>
      </c>
      <c r="N708" s="5" t="s">
        <v>290</v>
      </c>
      <c r="O708" s="5" t="s">
        <v>693</v>
      </c>
      <c r="P708" s="18" t="str">
        <f aca="false">IF(J708="S0","—",IF(K708="","",IF(L708="E0","QM",INDEX(10_ASIL_Matrix!$D$4:$F$15,MATCH(J708&amp;"-"&amp;L708,10_ASIL_Matrix!$C$4:$C$15,0),MATCH(N708,10_ASIL_Matrix!$D$3:$F$3,0)))))</f>
        <v>B</v>
      </c>
      <c r="Q708" s="5" t="s">
        <v>448</v>
      </c>
    </row>
    <row r="709" customFormat="false" ht="46.25" hidden="false" customHeight="false" outlineLevel="0" collapsed="false">
      <c r="A709" s="6" t="s">
        <v>2016</v>
      </c>
      <c r="B709" s="6" t="s">
        <v>101</v>
      </c>
      <c r="C709" s="6" t="s">
        <v>102</v>
      </c>
      <c r="D709" s="6" t="s">
        <v>167</v>
      </c>
      <c r="E709" s="6" t="s">
        <v>168</v>
      </c>
      <c r="F709" s="6" t="s">
        <v>213</v>
      </c>
      <c r="G709" s="6" t="s">
        <v>689</v>
      </c>
      <c r="H709" s="6" t="s">
        <v>228</v>
      </c>
      <c r="I709" s="6" t="s">
        <v>2017</v>
      </c>
      <c r="J709" s="6" t="s">
        <v>250</v>
      </c>
      <c r="K709" s="6" t="s">
        <v>691</v>
      </c>
      <c r="L709" s="6" t="s">
        <v>205</v>
      </c>
      <c r="M709" s="6" t="s">
        <v>702</v>
      </c>
      <c r="N709" s="6" t="s">
        <v>290</v>
      </c>
      <c r="O709" s="6" t="s">
        <v>693</v>
      </c>
      <c r="P709" s="18" t="str">
        <f aca="false">IF(J709="S0","—",IF(K709="","",IF(L709="E0","QM",INDEX(10_ASIL_Matrix!$D$4:$F$15,MATCH(J709&amp;"-"&amp;L709,10_ASIL_Matrix!$C$4:$C$15,0),MATCH(N709,10_ASIL_Matrix!$D$3:$F$3,0)))))</f>
        <v>B</v>
      </c>
      <c r="Q709" s="6" t="s">
        <v>448</v>
      </c>
    </row>
    <row r="710" customFormat="false" ht="46.25" hidden="false" customHeight="false" outlineLevel="0" collapsed="false">
      <c r="A710" s="5" t="s">
        <v>2018</v>
      </c>
      <c r="B710" s="5" t="s">
        <v>101</v>
      </c>
      <c r="C710" s="5" t="s">
        <v>102</v>
      </c>
      <c r="D710" s="5" t="s">
        <v>167</v>
      </c>
      <c r="E710" s="5" t="s">
        <v>168</v>
      </c>
      <c r="F710" s="5" t="s">
        <v>213</v>
      </c>
      <c r="G710" s="5" t="s">
        <v>689</v>
      </c>
      <c r="H710" s="5" t="s">
        <v>230</v>
      </c>
      <c r="I710" s="5" t="s">
        <v>2019</v>
      </c>
      <c r="J710" s="5" t="s">
        <v>250</v>
      </c>
      <c r="K710" s="5" t="s">
        <v>691</v>
      </c>
      <c r="L710" s="5" t="s">
        <v>205</v>
      </c>
      <c r="M710" s="5" t="s">
        <v>705</v>
      </c>
      <c r="N710" s="5" t="s">
        <v>290</v>
      </c>
      <c r="O710" s="5" t="s">
        <v>706</v>
      </c>
      <c r="P710" s="18" t="str">
        <f aca="false">IF(J710="S0","—",IF(K710="","",IF(L710="E0","QM",INDEX(10_ASIL_Matrix!$D$4:$F$15,MATCH(J710&amp;"-"&amp;L710,10_ASIL_Matrix!$C$4:$C$15,0),MATCH(N710,10_ASIL_Matrix!$D$3:$F$3,0)))))</f>
        <v>B</v>
      </c>
      <c r="Q710" s="5" t="s">
        <v>448</v>
      </c>
    </row>
    <row r="711" customFormat="false" ht="46.25" hidden="false" customHeight="false" outlineLevel="0" collapsed="false">
      <c r="A711" s="6" t="s">
        <v>2020</v>
      </c>
      <c r="B711" s="6" t="s">
        <v>101</v>
      </c>
      <c r="C711" s="6" t="s">
        <v>102</v>
      </c>
      <c r="D711" s="6" t="s">
        <v>167</v>
      </c>
      <c r="E711" s="6" t="s">
        <v>168</v>
      </c>
      <c r="F711" s="6" t="s">
        <v>213</v>
      </c>
      <c r="G711" s="6" t="s">
        <v>689</v>
      </c>
      <c r="H711" s="6" t="s">
        <v>232</v>
      </c>
      <c r="I711" s="6" t="s">
        <v>2021</v>
      </c>
      <c r="J711" s="6" t="s">
        <v>250</v>
      </c>
      <c r="K711" s="6" t="s">
        <v>691</v>
      </c>
      <c r="L711" s="6" t="s">
        <v>233</v>
      </c>
      <c r="M711" s="6" t="s">
        <v>709</v>
      </c>
      <c r="N711" s="6" t="s">
        <v>290</v>
      </c>
      <c r="O711" s="6" t="s">
        <v>693</v>
      </c>
      <c r="P711" s="19" t="str">
        <f aca="false">IF(J711="S0","—",IF(K711="","",IF(L711="E0","QM",INDEX(10_ASIL_Matrix!$D$4:$F$15,MATCH(J711&amp;"-"&amp;L711,10_ASIL_Matrix!$C$4:$C$15,0),MATCH(N711,10_ASIL_Matrix!$D$3:$F$3,0)))))</f>
        <v>A</v>
      </c>
      <c r="Q711" s="6" t="s">
        <v>448</v>
      </c>
    </row>
    <row r="712" customFormat="false" ht="35.05" hidden="false" customHeight="false" outlineLevel="0" collapsed="false">
      <c r="A712" s="5" t="s">
        <v>2022</v>
      </c>
      <c r="B712" s="5" t="s">
        <v>101</v>
      </c>
      <c r="C712" s="5" t="s">
        <v>102</v>
      </c>
      <c r="D712" s="5" t="s">
        <v>167</v>
      </c>
      <c r="E712" s="5" t="s">
        <v>168</v>
      </c>
      <c r="F712" s="5" t="s">
        <v>215</v>
      </c>
      <c r="G712" s="5" t="s">
        <v>711</v>
      </c>
      <c r="H712" s="5" t="s">
        <v>222</v>
      </c>
      <c r="I712" s="5" t="s">
        <v>2023</v>
      </c>
      <c r="J712" s="5" t="s">
        <v>250</v>
      </c>
      <c r="K712" s="5" t="s">
        <v>713</v>
      </c>
      <c r="L712" s="5" t="s">
        <v>190</v>
      </c>
      <c r="M712" s="5" t="s">
        <v>714</v>
      </c>
      <c r="N712" s="5" t="s">
        <v>282</v>
      </c>
      <c r="O712" s="5" t="s">
        <v>447</v>
      </c>
      <c r="P712" s="19" t="str">
        <f aca="false">IF(J712="S0","—",IF(K712="","",IF(L712="E0","QM",INDEX(10_ASIL_Matrix!$D$4:$F$15,MATCH(J712&amp;"-"&amp;L712,10_ASIL_Matrix!$C$4:$C$15,0),MATCH(N712,10_ASIL_Matrix!$D$3:$F$3,0)))))</f>
        <v>A</v>
      </c>
      <c r="Q712" s="5" t="s">
        <v>448</v>
      </c>
    </row>
    <row r="713" customFormat="false" ht="35.05" hidden="false" customHeight="false" outlineLevel="0" collapsed="false">
      <c r="A713" s="6" t="s">
        <v>2024</v>
      </c>
      <c r="B713" s="6" t="s">
        <v>101</v>
      </c>
      <c r="C713" s="6" t="s">
        <v>102</v>
      </c>
      <c r="D713" s="6" t="s">
        <v>167</v>
      </c>
      <c r="E713" s="6" t="s">
        <v>168</v>
      </c>
      <c r="F713" s="6" t="s">
        <v>215</v>
      </c>
      <c r="G713" s="6" t="s">
        <v>711</v>
      </c>
      <c r="H713" s="6" t="s">
        <v>224</v>
      </c>
      <c r="I713" s="6" t="s">
        <v>2025</v>
      </c>
      <c r="J713" s="6" t="s">
        <v>250</v>
      </c>
      <c r="K713" s="6" t="s">
        <v>713</v>
      </c>
      <c r="L713" s="6" t="s">
        <v>190</v>
      </c>
      <c r="M713" s="6" t="s">
        <v>717</v>
      </c>
      <c r="N713" s="6" t="s">
        <v>282</v>
      </c>
      <c r="O713" s="6" t="s">
        <v>447</v>
      </c>
      <c r="P713" s="19" t="str">
        <f aca="false">IF(J713="S0","—",IF(K713="","",IF(L713="E0","QM",INDEX(10_ASIL_Matrix!$D$4:$F$15,MATCH(J713&amp;"-"&amp;L713,10_ASIL_Matrix!$C$4:$C$15,0),MATCH(N713,10_ASIL_Matrix!$D$3:$F$3,0)))))</f>
        <v>A</v>
      </c>
      <c r="Q713" s="6" t="s">
        <v>448</v>
      </c>
    </row>
    <row r="714" customFormat="false" ht="35.05" hidden="false" customHeight="false" outlineLevel="0" collapsed="false">
      <c r="A714" s="5" t="s">
        <v>2026</v>
      </c>
      <c r="B714" s="5" t="s">
        <v>101</v>
      </c>
      <c r="C714" s="5" t="s">
        <v>102</v>
      </c>
      <c r="D714" s="5" t="s">
        <v>167</v>
      </c>
      <c r="E714" s="5" t="s">
        <v>168</v>
      </c>
      <c r="F714" s="5" t="s">
        <v>215</v>
      </c>
      <c r="G714" s="5" t="s">
        <v>711</v>
      </c>
      <c r="H714" s="5" t="s">
        <v>226</v>
      </c>
      <c r="I714" s="5" t="s">
        <v>2027</v>
      </c>
      <c r="J714" s="5" t="s">
        <v>250</v>
      </c>
      <c r="K714" s="5" t="s">
        <v>713</v>
      </c>
      <c r="L714" s="5" t="s">
        <v>190</v>
      </c>
      <c r="M714" s="5" t="s">
        <v>720</v>
      </c>
      <c r="N714" s="5" t="s">
        <v>282</v>
      </c>
      <c r="O714" s="5" t="s">
        <v>447</v>
      </c>
      <c r="P714" s="19" t="str">
        <f aca="false">IF(J714="S0","—",IF(K714="","",IF(L714="E0","QM",INDEX(10_ASIL_Matrix!$D$4:$F$15,MATCH(J714&amp;"-"&amp;L714,10_ASIL_Matrix!$C$4:$C$15,0),MATCH(N714,10_ASIL_Matrix!$D$3:$F$3,0)))))</f>
        <v>A</v>
      </c>
      <c r="Q714" s="5" t="s">
        <v>448</v>
      </c>
    </row>
    <row r="715" customFormat="false" ht="35.05" hidden="false" customHeight="false" outlineLevel="0" collapsed="false">
      <c r="A715" s="6" t="s">
        <v>2028</v>
      </c>
      <c r="B715" s="6" t="s">
        <v>101</v>
      </c>
      <c r="C715" s="6" t="s">
        <v>102</v>
      </c>
      <c r="D715" s="6" t="s">
        <v>167</v>
      </c>
      <c r="E715" s="6" t="s">
        <v>168</v>
      </c>
      <c r="F715" s="6" t="s">
        <v>215</v>
      </c>
      <c r="G715" s="6" t="s">
        <v>711</v>
      </c>
      <c r="H715" s="6" t="s">
        <v>228</v>
      </c>
      <c r="I715" s="6" t="s">
        <v>2029</v>
      </c>
      <c r="J715" s="6" t="s">
        <v>250</v>
      </c>
      <c r="K715" s="6" t="s">
        <v>713</v>
      </c>
      <c r="L715" s="6" t="s">
        <v>205</v>
      </c>
      <c r="M715" s="6" t="s">
        <v>723</v>
      </c>
      <c r="N715" s="6" t="s">
        <v>282</v>
      </c>
      <c r="O715" s="6" t="s">
        <v>447</v>
      </c>
      <c r="P715" s="6" t="str">
        <f aca="false">IF(J715="S0","—",IF(K715="","",IF(L715="E0","QM",INDEX(10_ASIL_Matrix!$D$4:$F$15,MATCH(J715&amp;"-"&amp;L715,10_ASIL_Matrix!$C$4:$C$15,0),MATCH(N715,10_ASIL_Matrix!$D$3:$F$3,0)))))</f>
        <v>QM</v>
      </c>
      <c r="Q715" s="6" t="s">
        <v>448</v>
      </c>
    </row>
    <row r="716" customFormat="false" ht="35.05" hidden="false" customHeight="false" outlineLevel="0" collapsed="false">
      <c r="A716" s="5" t="s">
        <v>2030</v>
      </c>
      <c r="B716" s="5" t="s">
        <v>101</v>
      </c>
      <c r="C716" s="5" t="s">
        <v>102</v>
      </c>
      <c r="D716" s="5" t="s">
        <v>167</v>
      </c>
      <c r="E716" s="5" t="s">
        <v>168</v>
      </c>
      <c r="F716" s="5" t="s">
        <v>215</v>
      </c>
      <c r="G716" s="5" t="s">
        <v>711</v>
      </c>
      <c r="H716" s="5" t="s">
        <v>230</v>
      </c>
      <c r="I716" s="5" t="s">
        <v>2031</v>
      </c>
      <c r="J716" s="5" t="s">
        <v>250</v>
      </c>
      <c r="K716" s="5" t="s">
        <v>713</v>
      </c>
      <c r="L716" s="5" t="s">
        <v>205</v>
      </c>
      <c r="M716" s="5" t="s">
        <v>726</v>
      </c>
      <c r="N716" s="5" t="s">
        <v>286</v>
      </c>
      <c r="O716" s="5" t="s">
        <v>461</v>
      </c>
      <c r="P716" s="19" t="str">
        <f aca="false">IF(J716="S0","—",IF(K716="","",IF(L716="E0","QM",INDEX(10_ASIL_Matrix!$D$4:$F$15,MATCH(J716&amp;"-"&amp;L716,10_ASIL_Matrix!$C$4:$C$15,0),MATCH(N716,10_ASIL_Matrix!$D$3:$F$3,0)))))</f>
        <v>A</v>
      </c>
      <c r="Q716" s="5" t="s">
        <v>448</v>
      </c>
    </row>
    <row r="717" customFormat="false" ht="46.25" hidden="false" customHeight="false" outlineLevel="0" collapsed="false">
      <c r="A717" s="6" t="s">
        <v>2032</v>
      </c>
      <c r="B717" s="6" t="s">
        <v>101</v>
      </c>
      <c r="C717" s="6" t="s">
        <v>102</v>
      </c>
      <c r="D717" s="6" t="s">
        <v>167</v>
      </c>
      <c r="E717" s="6" t="s">
        <v>168</v>
      </c>
      <c r="F717" s="6" t="s">
        <v>215</v>
      </c>
      <c r="G717" s="6" t="s">
        <v>711</v>
      </c>
      <c r="H717" s="6" t="s">
        <v>232</v>
      </c>
      <c r="I717" s="6" t="s">
        <v>2033</v>
      </c>
      <c r="J717" s="6" t="s">
        <v>250</v>
      </c>
      <c r="K717" s="6" t="s">
        <v>713</v>
      </c>
      <c r="L717" s="6" t="s">
        <v>233</v>
      </c>
      <c r="M717" s="6" t="s">
        <v>729</v>
      </c>
      <c r="N717" s="6" t="s">
        <v>282</v>
      </c>
      <c r="O717" s="6" t="s">
        <v>447</v>
      </c>
      <c r="P717" s="6" t="str">
        <f aca="false">IF(J717="S0","—",IF(K717="","",IF(L717="E0","QM",INDEX(10_ASIL_Matrix!$D$4:$F$15,MATCH(J717&amp;"-"&amp;L717,10_ASIL_Matrix!$C$4:$C$15,0),MATCH(N717,10_ASIL_Matrix!$D$3:$F$3,0)))))</f>
        <v>QM</v>
      </c>
      <c r="Q717" s="6" t="s">
        <v>448</v>
      </c>
    </row>
    <row r="718" customFormat="false" ht="35.05" hidden="false" customHeight="false" outlineLevel="0" collapsed="false">
      <c r="A718" s="5" t="s">
        <v>2034</v>
      </c>
      <c r="B718" s="5" t="s">
        <v>101</v>
      </c>
      <c r="C718" s="5" t="s">
        <v>102</v>
      </c>
      <c r="D718" s="5" t="s">
        <v>167</v>
      </c>
      <c r="E718" s="5" t="s">
        <v>168</v>
      </c>
      <c r="F718" s="5" t="s">
        <v>217</v>
      </c>
      <c r="G718" s="5" t="s">
        <v>488</v>
      </c>
      <c r="H718" s="5" t="s">
        <v>222</v>
      </c>
      <c r="I718" s="5" t="s">
        <v>2035</v>
      </c>
      <c r="J718" s="5" t="s">
        <v>250</v>
      </c>
      <c r="K718" s="5" t="s">
        <v>732</v>
      </c>
      <c r="L718" s="5" t="s">
        <v>190</v>
      </c>
      <c r="M718" s="5" t="s">
        <v>733</v>
      </c>
      <c r="N718" s="5" t="s">
        <v>286</v>
      </c>
      <c r="O718" s="5" t="s">
        <v>470</v>
      </c>
      <c r="P718" s="18" t="str">
        <f aca="false">IF(J718="S0","—",IF(K718="","",IF(L718="E0","QM",INDEX(10_ASIL_Matrix!$D$4:$F$15,MATCH(J718&amp;"-"&amp;L718,10_ASIL_Matrix!$C$4:$C$15,0),MATCH(N718,10_ASIL_Matrix!$D$3:$F$3,0)))))</f>
        <v>B</v>
      </c>
      <c r="Q718" s="5" t="s">
        <v>448</v>
      </c>
    </row>
    <row r="719" customFormat="false" ht="35.05" hidden="false" customHeight="false" outlineLevel="0" collapsed="false">
      <c r="A719" s="6" t="s">
        <v>2036</v>
      </c>
      <c r="B719" s="6" t="s">
        <v>101</v>
      </c>
      <c r="C719" s="6" t="s">
        <v>102</v>
      </c>
      <c r="D719" s="6" t="s">
        <v>167</v>
      </c>
      <c r="E719" s="6" t="s">
        <v>168</v>
      </c>
      <c r="F719" s="6" t="s">
        <v>217</v>
      </c>
      <c r="G719" s="6" t="s">
        <v>488</v>
      </c>
      <c r="H719" s="6" t="s">
        <v>224</v>
      </c>
      <c r="I719" s="6" t="s">
        <v>2037</v>
      </c>
      <c r="J719" s="6" t="s">
        <v>250</v>
      </c>
      <c r="K719" s="6" t="s">
        <v>732</v>
      </c>
      <c r="L719" s="6" t="s">
        <v>190</v>
      </c>
      <c r="M719" s="6" t="s">
        <v>736</v>
      </c>
      <c r="N719" s="6" t="s">
        <v>286</v>
      </c>
      <c r="O719" s="6" t="s">
        <v>470</v>
      </c>
      <c r="P719" s="18" t="str">
        <f aca="false">IF(J719="S0","—",IF(K719="","",IF(L719="E0","QM",INDEX(10_ASIL_Matrix!$D$4:$F$15,MATCH(J719&amp;"-"&amp;L719,10_ASIL_Matrix!$C$4:$C$15,0),MATCH(N719,10_ASIL_Matrix!$D$3:$F$3,0)))))</f>
        <v>B</v>
      </c>
      <c r="Q719" s="6" t="s">
        <v>448</v>
      </c>
    </row>
    <row r="720" customFormat="false" ht="35.05" hidden="false" customHeight="false" outlineLevel="0" collapsed="false">
      <c r="A720" s="5" t="s">
        <v>2038</v>
      </c>
      <c r="B720" s="5" t="s">
        <v>101</v>
      </c>
      <c r="C720" s="5" t="s">
        <v>102</v>
      </c>
      <c r="D720" s="5" t="s">
        <v>167</v>
      </c>
      <c r="E720" s="5" t="s">
        <v>168</v>
      </c>
      <c r="F720" s="5" t="s">
        <v>217</v>
      </c>
      <c r="G720" s="5" t="s">
        <v>488</v>
      </c>
      <c r="H720" s="5" t="s">
        <v>226</v>
      </c>
      <c r="I720" s="5" t="s">
        <v>2039</v>
      </c>
      <c r="J720" s="5" t="s">
        <v>250</v>
      </c>
      <c r="K720" s="5" t="s">
        <v>732</v>
      </c>
      <c r="L720" s="5" t="s">
        <v>190</v>
      </c>
      <c r="M720" s="5" t="s">
        <v>739</v>
      </c>
      <c r="N720" s="5" t="s">
        <v>286</v>
      </c>
      <c r="O720" s="5" t="s">
        <v>470</v>
      </c>
      <c r="P720" s="18" t="str">
        <f aca="false">IF(J720="S0","—",IF(K720="","",IF(L720="E0","QM",INDEX(10_ASIL_Matrix!$D$4:$F$15,MATCH(J720&amp;"-"&amp;L720,10_ASIL_Matrix!$C$4:$C$15,0),MATCH(N720,10_ASIL_Matrix!$D$3:$F$3,0)))))</f>
        <v>B</v>
      </c>
      <c r="Q720" s="5" t="s">
        <v>448</v>
      </c>
    </row>
    <row r="721" customFormat="false" ht="35.05" hidden="false" customHeight="false" outlineLevel="0" collapsed="false">
      <c r="A721" s="6" t="s">
        <v>2040</v>
      </c>
      <c r="B721" s="6" t="s">
        <v>101</v>
      </c>
      <c r="C721" s="6" t="s">
        <v>102</v>
      </c>
      <c r="D721" s="6" t="s">
        <v>167</v>
      </c>
      <c r="E721" s="6" t="s">
        <v>168</v>
      </c>
      <c r="F721" s="6" t="s">
        <v>217</v>
      </c>
      <c r="G721" s="6" t="s">
        <v>488</v>
      </c>
      <c r="H721" s="6" t="s">
        <v>228</v>
      </c>
      <c r="I721" s="6" t="s">
        <v>2041</v>
      </c>
      <c r="J721" s="6" t="s">
        <v>250</v>
      </c>
      <c r="K721" s="6" t="s">
        <v>732</v>
      </c>
      <c r="L721" s="6" t="s">
        <v>205</v>
      </c>
      <c r="M721" s="6" t="s">
        <v>742</v>
      </c>
      <c r="N721" s="6" t="s">
        <v>286</v>
      </c>
      <c r="O721" s="6" t="s">
        <v>470</v>
      </c>
      <c r="P721" s="19" t="str">
        <f aca="false">IF(J721="S0","—",IF(K721="","",IF(L721="E0","QM",INDEX(10_ASIL_Matrix!$D$4:$F$15,MATCH(J721&amp;"-"&amp;L721,10_ASIL_Matrix!$C$4:$C$15,0),MATCH(N721,10_ASIL_Matrix!$D$3:$F$3,0)))))</f>
        <v>A</v>
      </c>
      <c r="Q721" s="6" t="s">
        <v>448</v>
      </c>
    </row>
    <row r="722" customFormat="false" ht="46.25" hidden="false" customHeight="false" outlineLevel="0" collapsed="false">
      <c r="A722" s="5" t="s">
        <v>2042</v>
      </c>
      <c r="B722" s="5" t="s">
        <v>101</v>
      </c>
      <c r="C722" s="5" t="s">
        <v>102</v>
      </c>
      <c r="D722" s="5" t="s">
        <v>167</v>
      </c>
      <c r="E722" s="5" t="s">
        <v>168</v>
      </c>
      <c r="F722" s="5" t="s">
        <v>217</v>
      </c>
      <c r="G722" s="5" t="s">
        <v>488</v>
      </c>
      <c r="H722" s="5" t="s">
        <v>230</v>
      </c>
      <c r="I722" s="5" t="s">
        <v>2043</v>
      </c>
      <c r="J722" s="5" t="s">
        <v>250</v>
      </c>
      <c r="K722" s="5" t="s">
        <v>732</v>
      </c>
      <c r="L722" s="5" t="s">
        <v>205</v>
      </c>
      <c r="M722" s="5" t="s">
        <v>745</v>
      </c>
      <c r="N722" s="5" t="s">
        <v>290</v>
      </c>
      <c r="O722" s="5" t="s">
        <v>483</v>
      </c>
      <c r="P722" s="18" t="str">
        <f aca="false">IF(J722="S0","—",IF(K722="","",IF(L722="E0","QM",INDEX(10_ASIL_Matrix!$D$4:$F$15,MATCH(J722&amp;"-"&amp;L722,10_ASIL_Matrix!$C$4:$C$15,0),MATCH(N722,10_ASIL_Matrix!$D$3:$F$3,0)))))</f>
        <v>B</v>
      </c>
      <c r="Q722" s="5" t="s">
        <v>448</v>
      </c>
    </row>
    <row r="723" customFormat="false" ht="46.25" hidden="false" customHeight="false" outlineLevel="0" collapsed="false">
      <c r="A723" s="6" t="s">
        <v>2044</v>
      </c>
      <c r="B723" s="6" t="s">
        <v>101</v>
      </c>
      <c r="C723" s="6" t="s">
        <v>102</v>
      </c>
      <c r="D723" s="6" t="s">
        <v>167</v>
      </c>
      <c r="E723" s="6" t="s">
        <v>168</v>
      </c>
      <c r="F723" s="6" t="s">
        <v>217</v>
      </c>
      <c r="G723" s="6" t="s">
        <v>488</v>
      </c>
      <c r="H723" s="6" t="s">
        <v>232</v>
      </c>
      <c r="I723" s="6" t="s">
        <v>2045</v>
      </c>
      <c r="J723" s="6" t="s">
        <v>250</v>
      </c>
      <c r="K723" s="6" t="s">
        <v>732</v>
      </c>
      <c r="L723" s="6" t="s">
        <v>233</v>
      </c>
      <c r="M723" s="6" t="s">
        <v>748</v>
      </c>
      <c r="N723" s="6" t="s">
        <v>286</v>
      </c>
      <c r="O723" s="6" t="s">
        <v>470</v>
      </c>
      <c r="P723" s="6" t="str">
        <f aca="false">IF(J723="S0","—",IF(K723="","",IF(L723="E0","QM",INDEX(10_ASIL_Matrix!$D$4:$F$15,MATCH(J723&amp;"-"&amp;L723,10_ASIL_Matrix!$C$4:$C$15,0),MATCH(N723,10_ASIL_Matrix!$D$3:$F$3,0)))))</f>
        <v>QM</v>
      </c>
      <c r="Q723" s="6" t="s">
        <v>448</v>
      </c>
    </row>
    <row r="724" customFormat="false" ht="46.25" hidden="false" customHeight="false" outlineLevel="0" collapsed="false">
      <c r="A724" s="5" t="s">
        <v>2046</v>
      </c>
      <c r="B724" s="5" t="s">
        <v>101</v>
      </c>
      <c r="C724" s="5" t="s">
        <v>102</v>
      </c>
      <c r="D724" s="5" t="s">
        <v>170</v>
      </c>
      <c r="E724" s="5" t="s">
        <v>171</v>
      </c>
      <c r="F724" s="5" t="s">
        <v>186</v>
      </c>
      <c r="G724" s="5" t="s">
        <v>443</v>
      </c>
      <c r="H724" s="5" t="s">
        <v>222</v>
      </c>
      <c r="I724" s="5" t="s">
        <v>2047</v>
      </c>
      <c r="J724" s="5" t="s">
        <v>250</v>
      </c>
      <c r="K724" s="5" t="s">
        <v>932</v>
      </c>
      <c r="L724" s="5" t="s">
        <v>187</v>
      </c>
      <c r="M724" s="5" t="s">
        <v>446</v>
      </c>
      <c r="N724" s="5" t="s">
        <v>286</v>
      </c>
      <c r="O724" s="5" t="s">
        <v>933</v>
      </c>
      <c r="P724" s="20" t="str">
        <f aca="false">IF(J724="S0","—",IF(K724="","",IF(L724="E0","QM",INDEX(10_ASIL_Matrix!$D$4:$F$15,MATCH(J724&amp;"-"&amp;L724,10_ASIL_Matrix!$C$4:$C$15,0),MATCH(N724,10_ASIL_Matrix!$D$3:$F$3,0)))))</f>
        <v>C</v>
      </c>
      <c r="Q724" s="5" t="s">
        <v>448</v>
      </c>
    </row>
    <row r="725" customFormat="false" ht="46.25" hidden="false" customHeight="false" outlineLevel="0" collapsed="false">
      <c r="A725" s="6" t="s">
        <v>2048</v>
      </c>
      <c r="B725" s="6" t="s">
        <v>101</v>
      </c>
      <c r="C725" s="6" t="s">
        <v>102</v>
      </c>
      <c r="D725" s="6" t="s">
        <v>170</v>
      </c>
      <c r="E725" s="6" t="s">
        <v>171</v>
      </c>
      <c r="F725" s="6" t="s">
        <v>186</v>
      </c>
      <c r="G725" s="6" t="s">
        <v>443</v>
      </c>
      <c r="H725" s="6" t="s">
        <v>224</v>
      </c>
      <c r="I725" s="6" t="s">
        <v>2049</v>
      </c>
      <c r="J725" s="6" t="s">
        <v>250</v>
      </c>
      <c r="K725" s="6" t="s">
        <v>932</v>
      </c>
      <c r="L725" s="6" t="s">
        <v>190</v>
      </c>
      <c r="M725" s="6" t="s">
        <v>451</v>
      </c>
      <c r="N725" s="6" t="s">
        <v>286</v>
      </c>
      <c r="O725" s="6" t="s">
        <v>933</v>
      </c>
      <c r="P725" s="18" t="str">
        <f aca="false">IF(J725="S0","—",IF(K725="","",IF(L725="E0","QM",INDEX(10_ASIL_Matrix!$D$4:$F$15,MATCH(J725&amp;"-"&amp;L725,10_ASIL_Matrix!$C$4:$C$15,0),MATCH(N725,10_ASIL_Matrix!$D$3:$F$3,0)))))</f>
        <v>B</v>
      </c>
      <c r="Q725" s="6" t="s">
        <v>448</v>
      </c>
    </row>
    <row r="726" customFormat="false" ht="46.25" hidden="false" customHeight="false" outlineLevel="0" collapsed="false">
      <c r="A726" s="5" t="s">
        <v>2050</v>
      </c>
      <c r="B726" s="5" t="s">
        <v>101</v>
      </c>
      <c r="C726" s="5" t="s">
        <v>102</v>
      </c>
      <c r="D726" s="5" t="s">
        <v>170</v>
      </c>
      <c r="E726" s="5" t="s">
        <v>171</v>
      </c>
      <c r="F726" s="5" t="s">
        <v>186</v>
      </c>
      <c r="G726" s="5" t="s">
        <v>443</v>
      </c>
      <c r="H726" s="5" t="s">
        <v>226</v>
      </c>
      <c r="I726" s="5" t="s">
        <v>2051</v>
      </c>
      <c r="J726" s="5" t="s">
        <v>250</v>
      </c>
      <c r="K726" s="5" t="s">
        <v>932</v>
      </c>
      <c r="L726" s="5" t="s">
        <v>190</v>
      </c>
      <c r="M726" s="5" t="s">
        <v>454</v>
      </c>
      <c r="N726" s="5" t="s">
        <v>286</v>
      </c>
      <c r="O726" s="5" t="s">
        <v>933</v>
      </c>
      <c r="P726" s="18" t="str">
        <f aca="false">IF(J726="S0","—",IF(K726="","",IF(L726="E0","QM",INDEX(10_ASIL_Matrix!$D$4:$F$15,MATCH(J726&amp;"-"&amp;L726,10_ASIL_Matrix!$C$4:$C$15,0),MATCH(N726,10_ASIL_Matrix!$D$3:$F$3,0)))))</f>
        <v>B</v>
      </c>
      <c r="Q726" s="5" t="s">
        <v>448</v>
      </c>
    </row>
    <row r="727" customFormat="false" ht="46.25" hidden="false" customHeight="false" outlineLevel="0" collapsed="false">
      <c r="A727" s="6" t="s">
        <v>2052</v>
      </c>
      <c r="B727" s="6" t="s">
        <v>101</v>
      </c>
      <c r="C727" s="6" t="s">
        <v>102</v>
      </c>
      <c r="D727" s="6" t="s">
        <v>170</v>
      </c>
      <c r="E727" s="6" t="s">
        <v>171</v>
      </c>
      <c r="F727" s="6" t="s">
        <v>186</v>
      </c>
      <c r="G727" s="6" t="s">
        <v>443</v>
      </c>
      <c r="H727" s="6" t="s">
        <v>228</v>
      </c>
      <c r="I727" s="6" t="s">
        <v>2053</v>
      </c>
      <c r="J727" s="6" t="s">
        <v>250</v>
      </c>
      <c r="K727" s="6" t="s">
        <v>932</v>
      </c>
      <c r="L727" s="6" t="s">
        <v>205</v>
      </c>
      <c r="M727" s="6" t="s">
        <v>457</v>
      </c>
      <c r="N727" s="6" t="s">
        <v>286</v>
      </c>
      <c r="O727" s="6" t="s">
        <v>933</v>
      </c>
      <c r="P727" s="19" t="str">
        <f aca="false">IF(J727="S0","—",IF(K727="","",IF(L727="E0","QM",INDEX(10_ASIL_Matrix!$D$4:$F$15,MATCH(J727&amp;"-"&amp;L727,10_ASIL_Matrix!$C$4:$C$15,0),MATCH(N727,10_ASIL_Matrix!$D$3:$F$3,0)))))</f>
        <v>A</v>
      </c>
      <c r="Q727" s="6" t="s">
        <v>448</v>
      </c>
    </row>
    <row r="728" customFormat="false" ht="57.45" hidden="false" customHeight="false" outlineLevel="0" collapsed="false">
      <c r="A728" s="5" t="s">
        <v>2054</v>
      </c>
      <c r="B728" s="5" t="s">
        <v>101</v>
      </c>
      <c r="C728" s="5" t="s">
        <v>102</v>
      </c>
      <c r="D728" s="5" t="s">
        <v>170</v>
      </c>
      <c r="E728" s="5" t="s">
        <v>171</v>
      </c>
      <c r="F728" s="5" t="s">
        <v>186</v>
      </c>
      <c r="G728" s="5" t="s">
        <v>443</v>
      </c>
      <c r="H728" s="5" t="s">
        <v>230</v>
      </c>
      <c r="I728" s="5" t="s">
        <v>2055</v>
      </c>
      <c r="J728" s="5" t="s">
        <v>250</v>
      </c>
      <c r="K728" s="5" t="s">
        <v>932</v>
      </c>
      <c r="L728" s="5" t="s">
        <v>205</v>
      </c>
      <c r="M728" s="5" t="s">
        <v>460</v>
      </c>
      <c r="N728" s="5" t="s">
        <v>290</v>
      </c>
      <c r="O728" s="5" t="s">
        <v>942</v>
      </c>
      <c r="P728" s="18" t="str">
        <f aca="false">IF(J728="S0","—",IF(K728="","",IF(L728="E0","QM",INDEX(10_ASIL_Matrix!$D$4:$F$15,MATCH(J728&amp;"-"&amp;L728,10_ASIL_Matrix!$C$4:$C$15,0),MATCH(N728,10_ASIL_Matrix!$D$3:$F$3,0)))))</f>
        <v>B</v>
      </c>
      <c r="Q728" s="5" t="s">
        <v>448</v>
      </c>
    </row>
    <row r="729" customFormat="false" ht="46.25" hidden="false" customHeight="false" outlineLevel="0" collapsed="false">
      <c r="A729" s="6" t="s">
        <v>2056</v>
      </c>
      <c r="B729" s="6" t="s">
        <v>101</v>
      </c>
      <c r="C729" s="6" t="s">
        <v>102</v>
      </c>
      <c r="D729" s="6" t="s">
        <v>170</v>
      </c>
      <c r="E729" s="6" t="s">
        <v>171</v>
      </c>
      <c r="F729" s="6" t="s">
        <v>186</v>
      </c>
      <c r="G729" s="6" t="s">
        <v>443</v>
      </c>
      <c r="H729" s="6" t="s">
        <v>232</v>
      </c>
      <c r="I729" s="6" t="s">
        <v>2057</v>
      </c>
      <c r="J729" s="6" t="s">
        <v>250</v>
      </c>
      <c r="K729" s="6" t="s">
        <v>932</v>
      </c>
      <c r="L729" s="6" t="s">
        <v>233</v>
      </c>
      <c r="M729" s="6" t="s">
        <v>464</v>
      </c>
      <c r="N729" s="6" t="s">
        <v>286</v>
      </c>
      <c r="O729" s="6" t="s">
        <v>933</v>
      </c>
      <c r="P729" s="6" t="str">
        <f aca="false">IF(J729="S0","—",IF(K729="","",IF(L729="E0","QM",INDEX(10_ASIL_Matrix!$D$4:$F$15,MATCH(J729&amp;"-"&amp;L729,10_ASIL_Matrix!$C$4:$C$15,0),MATCH(N729,10_ASIL_Matrix!$D$3:$F$3,0)))))</f>
        <v>QM</v>
      </c>
      <c r="Q729" s="6" t="s">
        <v>448</v>
      </c>
    </row>
    <row r="730" customFormat="false" ht="46.25" hidden="false" customHeight="false" outlineLevel="0" collapsed="false">
      <c r="A730" s="5" t="s">
        <v>2058</v>
      </c>
      <c r="B730" s="5" t="s">
        <v>101</v>
      </c>
      <c r="C730" s="5" t="s">
        <v>102</v>
      </c>
      <c r="D730" s="5" t="s">
        <v>170</v>
      </c>
      <c r="E730" s="5" t="s">
        <v>171</v>
      </c>
      <c r="F730" s="5" t="s">
        <v>189</v>
      </c>
      <c r="G730" s="5" t="s">
        <v>466</v>
      </c>
      <c r="H730" s="5" t="s">
        <v>222</v>
      </c>
      <c r="I730" s="5" t="s">
        <v>2059</v>
      </c>
      <c r="J730" s="5" t="s">
        <v>250</v>
      </c>
      <c r="K730" s="5" t="s">
        <v>947</v>
      </c>
      <c r="L730" s="5" t="s">
        <v>190</v>
      </c>
      <c r="M730" s="5" t="s">
        <v>469</v>
      </c>
      <c r="N730" s="5" t="s">
        <v>286</v>
      </c>
      <c r="O730" s="5" t="s">
        <v>933</v>
      </c>
      <c r="P730" s="18" t="str">
        <f aca="false">IF(J730="S0","—",IF(K730="","",IF(L730="E0","QM",INDEX(10_ASIL_Matrix!$D$4:$F$15,MATCH(J730&amp;"-"&amp;L730,10_ASIL_Matrix!$C$4:$C$15,0),MATCH(N730,10_ASIL_Matrix!$D$3:$F$3,0)))))</f>
        <v>B</v>
      </c>
      <c r="Q730" s="5" t="s">
        <v>448</v>
      </c>
    </row>
    <row r="731" customFormat="false" ht="46.25" hidden="false" customHeight="false" outlineLevel="0" collapsed="false">
      <c r="A731" s="6" t="s">
        <v>2060</v>
      </c>
      <c r="B731" s="6" t="s">
        <v>101</v>
      </c>
      <c r="C731" s="6" t="s">
        <v>102</v>
      </c>
      <c r="D731" s="6" t="s">
        <v>170</v>
      </c>
      <c r="E731" s="6" t="s">
        <v>171</v>
      </c>
      <c r="F731" s="6" t="s">
        <v>189</v>
      </c>
      <c r="G731" s="6" t="s">
        <v>466</v>
      </c>
      <c r="H731" s="6" t="s">
        <v>224</v>
      </c>
      <c r="I731" s="6" t="s">
        <v>2061</v>
      </c>
      <c r="J731" s="6" t="s">
        <v>250</v>
      </c>
      <c r="K731" s="6" t="s">
        <v>947</v>
      </c>
      <c r="L731" s="6" t="s">
        <v>190</v>
      </c>
      <c r="M731" s="6" t="s">
        <v>473</v>
      </c>
      <c r="N731" s="6" t="s">
        <v>286</v>
      </c>
      <c r="O731" s="6" t="s">
        <v>933</v>
      </c>
      <c r="P731" s="18" t="str">
        <f aca="false">IF(J731="S0","—",IF(K731="","",IF(L731="E0","QM",INDEX(10_ASIL_Matrix!$D$4:$F$15,MATCH(J731&amp;"-"&amp;L731,10_ASIL_Matrix!$C$4:$C$15,0),MATCH(N731,10_ASIL_Matrix!$D$3:$F$3,0)))))</f>
        <v>B</v>
      </c>
      <c r="Q731" s="6" t="s">
        <v>448</v>
      </c>
    </row>
    <row r="732" customFormat="false" ht="46.25" hidden="false" customHeight="false" outlineLevel="0" collapsed="false">
      <c r="A732" s="5" t="s">
        <v>2062</v>
      </c>
      <c r="B732" s="5" t="s">
        <v>101</v>
      </c>
      <c r="C732" s="5" t="s">
        <v>102</v>
      </c>
      <c r="D732" s="5" t="s">
        <v>170</v>
      </c>
      <c r="E732" s="5" t="s">
        <v>171</v>
      </c>
      <c r="F732" s="5" t="s">
        <v>189</v>
      </c>
      <c r="G732" s="5" t="s">
        <v>466</v>
      </c>
      <c r="H732" s="5" t="s">
        <v>226</v>
      </c>
      <c r="I732" s="5" t="s">
        <v>2063</v>
      </c>
      <c r="J732" s="5" t="s">
        <v>250</v>
      </c>
      <c r="K732" s="5" t="s">
        <v>947</v>
      </c>
      <c r="L732" s="5" t="s">
        <v>190</v>
      </c>
      <c r="M732" s="5" t="s">
        <v>476</v>
      </c>
      <c r="N732" s="5" t="s">
        <v>286</v>
      </c>
      <c r="O732" s="5" t="s">
        <v>933</v>
      </c>
      <c r="P732" s="18" t="str">
        <f aca="false">IF(J732="S0","—",IF(K732="","",IF(L732="E0","QM",INDEX(10_ASIL_Matrix!$D$4:$F$15,MATCH(J732&amp;"-"&amp;L732,10_ASIL_Matrix!$C$4:$C$15,0),MATCH(N732,10_ASIL_Matrix!$D$3:$F$3,0)))))</f>
        <v>B</v>
      </c>
      <c r="Q732" s="5" t="s">
        <v>448</v>
      </c>
    </row>
    <row r="733" customFormat="false" ht="46.25" hidden="false" customHeight="false" outlineLevel="0" collapsed="false">
      <c r="A733" s="6" t="s">
        <v>2064</v>
      </c>
      <c r="B733" s="6" t="s">
        <v>101</v>
      </c>
      <c r="C733" s="6" t="s">
        <v>102</v>
      </c>
      <c r="D733" s="6" t="s">
        <v>170</v>
      </c>
      <c r="E733" s="6" t="s">
        <v>171</v>
      </c>
      <c r="F733" s="6" t="s">
        <v>189</v>
      </c>
      <c r="G733" s="6" t="s">
        <v>466</v>
      </c>
      <c r="H733" s="6" t="s">
        <v>228</v>
      </c>
      <c r="I733" s="6" t="s">
        <v>2065</v>
      </c>
      <c r="J733" s="6" t="s">
        <v>250</v>
      </c>
      <c r="K733" s="6" t="s">
        <v>947</v>
      </c>
      <c r="L733" s="6" t="s">
        <v>205</v>
      </c>
      <c r="M733" s="6" t="s">
        <v>479</v>
      </c>
      <c r="N733" s="6" t="s">
        <v>286</v>
      </c>
      <c r="O733" s="6" t="s">
        <v>933</v>
      </c>
      <c r="P733" s="19" t="str">
        <f aca="false">IF(J733="S0","—",IF(K733="","",IF(L733="E0","QM",INDEX(10_ASIL_Matrix!$D$4:$F$15,MATCH(J733&amp;"-"&amp;L733,10_ASIL_Matrix!$C$4:$C$15,0),MATCH(N733,10_ASIL_Matrix!$D$3:$F$3,0)))))</f>
        <v>A</v>
      </c>
      <c r="Q733" s="6" t="s">
        <v>448</v>
      </c>
    </row>
    <row r="734" customFormat="false" ht="57.45" hidden="false" customHeight="false" outlineLevel="0" collapsed="false">
      <c r="A734" s="5" t="s">
        <v>2066</v>
      </c>
      <c r="B734" s="5" t="s">
        <v>101</v>
      </c>
      <c r="C734" s="5" t="s">
        <v>102</v>
      </c>
      <c r="D734" s="5" t="s">
        <v>170</v>
      </c>
      <c r="E734" s="5" t="s">
        <v>171</v>
      </c>
      <c r="F734" s="5" t="s">
        <v>189</v>
      </c>
      <c r="G734" s="5" t="s">
        <v>466</v>
      </c>
      <c r="H734" s="5" t="s">
        <v>230</v>
      </c>
      <c r="I734" s="5" t="s">
        <v>2067</v>
      </c>
      <c r="J734" s="5" t="s">
        <v>250</v>
      </c>
      <c r="K734" s="5" t="s">
        <v>947</v>
      </c>
      <c r="L734" s="5" t="s">
        <v>205</v>
      </c>
      <c r="M734" s="5" t="s">
        <v>482</v>
      </c>
      <c r="N734" s="5" t="s">
        <v>290</v>
      </c>
      <c r="O734" s="5" t="s">
        <v>942</v>
      </c>
      <c r="P734" s="18" t="str">
        <f aca="false">IF(J734="S0","—",IF(K734="","",IF(L734="E0","QM",INDEX(10_ASIL_Matrix!$D$4:$F$15,MATCH(J734&amp;"-"&amp;L734,10_ASIL_Matrix!$C$4:$C$15,0),MATCH(N734,10_ASIL_Matrix!$D$3:$F$3,0)))))</f>
        <v>B</v>
      </c>
      <c r="Q734" s="5" t="s">
        <v>448</v>
      </c>
    </row>
    <row r="735" customFormat="false" ht="46.25" hidden="false" customHeight="false" outlineLevel="0" collapsed="false">
      <c r="A735" s="6" t="s">
        <v>2068</v>
      </c>
      <c r="B735" s="6" t="s">
        <v>101</v>
      </c>
      <c r="C735" s="6" t="s">
        <v>102</v>
      </c>
      <c r="D735" s="6" t="s">
        <v>170</v>
      </c>
      <c r="E735" s="6" t="s">
        <v>171</v>
      </c>
      <c r="F735" s="6" t="s">
        <v>189</v>
      </c>
      <c r="G735" s="6" t="s">
        <v>466</v>
      </c>
      <c r="H735" s="6" t="s">
        <v>232</v>
      </c>
      <c r="I735" s="6" t="s">
        <v>2069</v>
      </c>
      <c r="J735" s="6" t="s">
        <v>250</v>
      </c>
      <c r="K735" s="6" t="s">
        <v>947</v>
      </c>
      <c r="L735" s="6" t="s">
        <v>233</v>
      </c>
      <c r="M735" s="6" t="s">
        <v>486</v>
      </c>
      <c r="N735" s="6" t="s">
        <v>286</v>
      </c>
      <c r="O735" s="6" t="s">
        <v>933</v>
      </c>
      <c r="P735" s="6" t="str">
        <f aca="false">IF(J735="S0","—",IF(K735="","",IF(L735="E0","QM",INDEX(10_ASIL_Matrix!$D$4:$F$15,MATCH(J735&amp;"-"&amp;L735,10_ASIL_Matrix!$C$4:$C$15,0),MATCH(N735,10_ASIL_Matrix!$D$3:$F$3,0)))))</f>
        <v>QM</v>
      </c>
      <c r="Q735" s="6" t="s">
        <v>448</v>
      </c>
    </row>
    <row r="736" customFormat="false" ht="46.25" hidden="false" customHeight="false" outlineLevel="0" collapsed="false">
      <c r="A736" s="5" t="s">
        <v>2070</v>
      </c>
      <c r="B736" s="5" t="s">
        <v>101</v>
      </c>
      <c r="C736" s="5" t="s">
        <v>102</v>
      </c>
      <c r="D736" s="5" t="s">
        <v>170</v>
      </c>
      <c r="E736" s="5" t="s">
        <v>171</v>
      </c>
      <c r="F736" s="5" t="s">
        <v>192</v>
      </c>
      <c r="G736" s="5" t="s">
        <v>488</v>
      </c>
      <c r="H736" s="5" t="s">
        <v>222</v>
      </c>
      <c r="I736" s="5" t="s">
        <v>2071</v>
      </c>
      <c r="J736" s="5" t="s">
        <v>250</v>
      </c>
      <c r="K736" s="5" t="s">
        <v>960</v>
      </c>
      <c r="L736" s="5" t="s">
        <v>187</v>
      </c>
      <c r="M736" s="5" t="s">
        <v>491</v>
      </c>
      <c r="N736" s="5" t="s">
        <v>286</v>
      </c>
      <c r="O736" s="5" t="s">
        <v>933</v>
      </c>
      <c r="P736" s="20" t="str">
        <f aca="false">IF(J736="S0","—",IF(K736="","",IF(L736="E0","QM",INDEX(10_ASIL_Matrix!$D$4:$F$15,MATCH(J736&amp;"-"&amp;L736,10_ASIL_Matrix!$C$4:$C$15,0),MATCH(N736,10_ASIL_Matrix!$D$3:$F$3,0)))))</f>
        <v>C</v>
      </c>
      <c r="Q736" s="5" t="s">
        <v>448</v>
      </c>
    </row>
    <row r="737" customFormat="false" ht="46.25" hidden="false" customHeight="false" outlineLevel="0" collapsed="false">
      <c r="A737" s="6" t="s">
        <v>2072</v>
      </c>
      <c r="B737" s="6" t="s">
        <v>101</v>
      </c>
      <c r="C737" s="6" t="s">
        <v>102</v>
      </c>
      <c r="D737" s="6" t="s">
        <v>170</v>
      </c>
      <c r="E737" s="6" t="s">
        <v>171</v>
      </c>
      <c r="F737" s="6" t="s">
        <v>192</v>
      </c>
      <c r="G737" s="6" t="s">
        <v>488</v>
      </c>
      <c r="H737" s="6" t="s">
        <v>224</v>
      </c>
      <c r="I737" s="6" t="s">
        <v>2073</v>
      </c>
      <c r="J737" s="6" t="s">
        <v>250</v>
      </c>
      <c r="K737" s="6" t="s">
        <v>960</v>
      </c>
      <c r="L737" s="6" t="s">
        <v>190</v>
      </c>
      <c r="M737" s="6" t="s">
        <v>494</v>
      </c>
      <c r="N737" s="6" t="s">
        <v>286</v>
      </c>
      <c r="O737" s="6" t="s">
        <v>933</v>
      </c>
      <c r="P737" s="18" t="str">
        <f aca="false">IF(J737="S0","—",IF(K737="","",IF(L737="E0","QM",INDEX(10_ASIL_Matrix!$D$4:$F$15,MATCH(J737&amp;"-"&amp;L737,10_ASIL_Matrix!$C$4:$C$15,0),MATCH(N737,10_ASIL_Matrix!$D$3:$F$3,0)))))</f>
        <v>B</v>
      </c>
      <c r="Q737" s="6" t="s">
        <v>448</v>
      </c>
    </row>
    <row r="738" customFormat="false" ht="46.25" hidden="false" customHeight="false" outlineLevel="0" collapsed="false">
      <c r="A738" s="5" t="s">
        <v>2074</v>
      </c>
      <c r="B738" s="5" t="s">
        <v>101</v>
      </c>
      <c r="C738" s="5" t="s">
        <v>102</v>
      </c>
      <c r="D738" s="5" t="s">
        <v>170</v>
      </c>
      <c r="E738" s="5" t="s">
        <v>171</v>
      </c>
      <c r="F738" s="5" t="s">
        <v>192</v>
      </c>
      <c r="G738" s="5" t="s">
        <v>488</v>
      </c>
      <c r="H738" s="5" t="s">
        <v>226</v>
      </c>
      <c r="I738" s="5" t="s">
        <v>2075</v>
      </c>
      <c r="J738" s="5" t="s">
        <v>250</v>
      </c>
      <c r="K738" s="5" t="s">
        <v>960</v>
      </c>
      <c r="L738" s="5" t="s">
        <v>190</v>
      </c>
      <c r="M738" s="5" t="s">
        <v>497</v>
      </c>
      <c r="N738" s="5" t="s">
        <v>286</v>
      </c>
      <c r="O738" s="5" t="s">
        <v>933</v>
      </c>
      <c r="P738" s="18" t="str">
        <f aca="false">IF(J738="S0","—",IF(K738="","",IF(L738="E0","QM",INDEX(10_ASIL_Matrix!$D$4:$F$15,MATCH(J738&amp;"-"&amp;L738,10_ASIL_Matrix!$C$4:$C$15,0),MATCH(N738,10_ASIL_Matrix!$D$3:$F$3,0)))))</f>
        <v>B</v>
      </c>
      <c r="Q738" s="5" t="s">
        <v>448</v>
      </c>
    </row>
    <row r="739" customFormat="false" ht="46.25" hidden="false" customHeight="false" outlineLevel="0" collapsed="false">
      <c r="A739" s="6" t="s">
        <v>2076</v>
      </c>
      <c r="B739" s="6" t="s">
        <v>101</v>
      </c>
      <c r="C739" s="6" t="s">
        <v>102</v>
      </c>
      <c r="D739" s="6" t="s">
        <v>170</v>
      </c>
      <c r="E739" s="6" t="s">
        <v>171</v>
      </c>
      <c r="F739" s="6" t="s">
        <v>192</v>
      </c>
      <c r="G739" s="6" t="s">
        <v>488</v>
      </c>
      <c r="H739" s="6" t="s">
        <v>228</v>
      </c>
      <c r="I739" s="6" t="s">
        <v>2077</v>
      </c>
      <c r="J739" s="6" t="s">
        <v>250</v>
      </c>
      <c r="K739" s="6" t="s">
        <v>960</v>
      </c>
      <c r="L739" s="6" t="s">
        <v>205</v>
      </c>
      <c r="M739" s="6" t="s">
        <v>500</v>
      </c>
      <c r="N739" s="6" t="s">
        <v>286</v>
      </c>
      <c r="O739" s="6" t="s">
        <v>933</v>
      </c>
      <c r="P739" s="19" t="str">
        <f aca="false">IF(J739="S0","—",IF(K739="","",IF(L739="E0","QM",INDEX(10_ASIL_Matrix!$D$4:$F$15,MATCH(J739&amp;"-"&amp;L739,10_ASIL_Matrix!$C$4:$C$15,0),MATCH(N739,10_ASIL_Matrix!$D$3:$F$3,0)))))</f>
        <v>A</v>
      </c>
      <c r="Q739" s="6" t="s">
        <v>448</v>
      </c>
    </row>
    <row r="740" customFormat="false" ht="57.45" hidden="false" customHeight="false" outlineLevel="0" collapsed="false">
      <c r="A740" s="5" t="s">
        <v>2078</v>
      </c>
      <c r="B740" s="5" t="s">
        <v>101</v>
      </c>
      <c r="C740" s="5" t="s">
        <v>102</v>
      </c>
      <c r="D740" s="5" t="s">
        <v>170</v>
      </c>
      <c r="E740" s="5" t="s">
        <v>171</v>
      </c>
      <c r="F740" s="5" t="s">
        <v>192</v>
      </c>
      <c r="G740" s="5" t="s">
        <v>488</v>
      </c>
      <c r="H740" s="5" t="s">
        <v>230</v>
      </c>
      <c r="I740" s="5" t="s">
        <v>2079</v>
      </c>
      <c r="J740" s="5" t="s">
        <v>250</v>
      </c>
      <c r="K740" s="5" t="s">
        <v>960</v>
      </c>
      <c r="L740" s="5" t="s">
        <v>205</v>
      </c>
      <c r="M740" s="5" t="s">
        <v>503</v>
      </c>
      <c r="N740" s="5" t="s">
        <v>290</v>
      </c>
      <c r="O740" s="5" t="s">
        <v>942</v>
      </c>
      <c r="P740" s="18" t="str">
        <f aca="false">IF(J740="S0","—",IF(K740="","",IF(L740="E0","QM",INDEX(10_ASIL_Matrix!$D$4:$F$15,MATCH(J740&amp;"-"&amp;L740,10_ASIL_Matrix!$C$4:$C$15,0),MATCH(N740,10_ASIL_Matrix!$D$3:$F$3,0)))))</f>
        <v>B</v>
      </c>
      <c r="Q740" s="5" t="s">
        <v>448</v>
      </c>
    </row>
    <row r="741" customFormat="false" ht="46.25" hidden="false" customHeight="false" outlineLevel="0" collapsed="false">
      <c r="A741" s="6" t="s">
        <v>2080</v>
      </c>
      <c r="B741" s="6" t="s">
        <v>101</v>
      </c>
      <c r="C741" s="6" t="s">
        <v>102</v>
      </c>
      <c r="D741" s="6" t="s">
        <v>170</v>
      </c>
      <c r="E741" s="6" t="s">
        <v>171</v>
      </c>
      <c r="F741" s="6" t="s">
        <v>192</v>
      </c>
      <c r="G741" s="6" t="s">
        <v>488</v>
      </c>
      <c r="H741" s="6" t="s">
        <v>232</v>
      </c>
      <c r="I741" s="6" t="s">
        <v>2081</v>
      </c>
      <c r="J741" s="6" t="s">
        <v>250</v>
      </c>
      <c r="K741" s="6" t="s">
        <v>960</v>
      </c>
      <c r="L741" s="6" t="s">
        <v>233</v>
      </c>
      <c r="M741" s="6" t="s">
        <v>506</v>
      </c>
      <c r="N741" s="6" t="s">
        <v>286</v>
      </c>
      <c r="O741" s="6" t="s">
        <v>933</v>
      </c>
      <c r="P741" s="6" t="str">
        <f aca="false">IF(J741="S0","—",IF(K741="","",IF(L741="E0","QM",INDEX(10_ASIL_Matrix!$D$4:$F$15,MATCH(J741&amp;"-"&amp;L741,10_ASIL_Matrix!$C$4:$C$15,0),MATCH(N741,10_ASIL_Matrix!$D$3:$F$3,0)))))</f>
        <v>QM</v>
      </c>
      <c r="Q741" s="6" t="s">
        <v>448</v>
      </c>
    </row>
    <row r="742" customFormat="false" ht="46.25" hidden="false" customHeight="false" outlineLevel="0" collapsed="false">
      <c r="A742" s="5" t="s">
        <v>2082</v>
      </c>
      <c r="B742" s="5" t="s">
        <v>101</v>
      </c>
      <c r="C742" s="5" t="s">
        <v>102</v>
      </c>
      <c r="D742" s="5" t="s">
        <v>170</v>
      </c>
      <c r="E742" s="5" t="s">
        <v>171</v>
      </c>
      <c r="F742" s="5" t="s">
        <v>194</v>
      </c>
      <c r="G742" s="5" t="s">
        <v>508</v>
      </c>
      <c r="H742" s="5" t="s">
        <v>222</v>
      </c>
      <c r="I742" s="5" t="s">
        <v>2083</v>
      </c>
      <c r="J742" s="5" t="s">
        <v>250</v>
      </c>
      <c r="K742" s="5" t="s">
        <v>973</v>
      </c>
      <c r="L742" s="5" t="s">
        <v>190</v>
      </c>
      <c r="M742" s="5" t="s">
        <v>511</v>
      </c>
      <c r="N742" s="5" t="s">
        <v>286</v>
      </c>
      <c r="O742" s="5" t="s">
        <v>933</v>
      </c>
      <c r="P742" s="18" t="str">
        <f aca="false">IF(J742="S0","—",IF(K742="","",IF(L742="E0","QM",INDEX(10_ASIL_Matrix!$D$4:$F$15,MATCH(J742&amp;"-"&amp;L742,10_ASIL_Matrix!$C$4:$C$15,0),MATCH(N742,10_ASIL_Matrix!$D$3:$F$3,0)))))</f>
        <v>B</v>
      </c>
      <c r="Q742" s="5" t="s">
        <v>448</v>
      </c>
    </row>
    <row r="743" customFormat="false" ht="46.25" hidden="false" customHeight="false" outlineLevel="0" collapsed="false">
      <c r="A743" s="6" t="s">
        <v>2084</v>
      </c>
      <c r="B743" s="6" t="s">
        <v>101</v>
      </c>
      <c r="C743" s="6" t="s">
        <v>102</v>
      </c>
      <c r="D743" s="6" t="s">
        <v>170</v>
      </c>
      <c r="E743" s="6" t="s">
        <v>171</v>
      </c>
      <c r="F743" s="6" t="s">
        <v>194</v>
      </c>
      <c r="G743" s="6" t="s">
        <v>508</v>
      </c>
      <c r="H743" s="6" t="s">
        <v>224</v>
      </c>
      <c r="I743" s="6" t="s">
        <v>2085</v>
      </c>
      <c r="J743" s="6" t="s">
        <v>250</v>
      </c>
      <c r="K743" s="6" t="s">
        <v>973</v>
      </c>
      <c r="L743" s="6" t="s">
        <v>190</v>
      </c>
      <c r="M743" s="6" t="s">
        <v>514</v>
      </c>
      <c r="N743" s="6" t="s">
        <v>286</v>
      </c>
      <c r="O743" s="6" t="s">
        <v>933</v>
      </c>
      <c r="P743" s="18" t="str">
        <f aca="false">IF(J743="S0","—",IF(K743="","",IF(L743="E0","QM",INDEX(10_ASIL_Matrix!$D$4:$F$15,MATCH(J743&amp;"-"&amp;L743,10_ASIL_Matrix!$C$4:$C$15,0),MATCH(N743,10_ASIL_Matrix!$D$3:$F$3,0)))))</f>
        <v>B</v>
      </c>
      <c r="Q743" s="6" t="s">
        <v>448</v>
      </c>
    </row>
    <row r="744" customFormat="false" ht="46.25" hidden="false" customHeight="false" outlineLevel="0" collapsed="false">
      <c r="A744" s="5" t="s">
        <v>2086</v>
      </c>
      <c r="B744" s="5" t="s">
        <v>101</v>
      </c>
      <c r="C744" s="5" t="s">
        <v>102</v>
      </c>
      <c r="D744" s="5" t="s">
        <v>170</v>
      </c>
      <c r="E744" s="5" t="s">
        <v>171</v>
      </c>
      <c r="F744" s="5" t="s">
        <v>194</v>
      </c>
      <c r="G744" s="5" t="s">
        <v>508</v>
      </c>
      <c r="H744" s="5" t="s">
        <v>226</v>
      </c>
      <c r="I744" s="5" t="s">
        <v>2087</v>
      </c>
      <c r="J744" s="5" t="s">
        <v>250</v>
      </c>
      <c r="K744" s="5" t="s">
        <v>973</v>
      </c>
      <c r="L744" s="5" t="s">
        <v>190</v>
      </c>
      <c r="M744" s="5" t="s">
        <v>517</v>
      </c>
      <c r="N744" s="5" t="s">
        <v>286</v>
      </c>
      <c r="O744" s="5" t="s">
        <v>933</v>
      </c>
      <c r="P744" s="18" t="str">
        <f aca="false">IF(J744="S0","—",IF(K744="","",IF(L744="E0","QM",INDEX(10_ASIL_Matrix!$D$4:$F$15,MATCH(J744&amp;"-"&amp;L744,10_ASIL_Matrix!$C$4:$C$15,0),MATCH(N744,10_ASIL_Matrix!$D$3:$F$3,0)))))</f>
        <v>B</v>
      </c>
      <c r="Q744" s="5" t="s">
        <v>448</v>
      </c>
    </row>
    <row r="745" customFormat="false" ht="46.25" hidden="false" customHeight="false" outlineLevel="0" collapsed="false">
      <c r="A745" s="6" t="s">
        <v>2088</v>
      </c>
      <c r="B745" s="6" t="s">
        <v>101</v>
      </c>
      <c r="C745" s="6" t="s">
        <v>102</v>
      </c>
      <c r="D745" s="6" t="s">
        <v>170</v>
      </c>
      <c r="E745" s="6" t="s">
        <v>171</v>
      </c>
      <c r="F745" s="6" t="s">
        <v>194</v>
      </c>
      <c r="G745" s="6" t="s">
        <v>508</v>
      </c>
      <c r="H745" s="6" t="s">
        <v>228</v>
      </c>
      <c r="I745" s="6" t="s">
        <v>2089</v>
      </c>
      <c r="J745" s="6" t="s">
        <v>250</v>
      </c>
      <c r="K745" s="6" t="s">
        <v>973</v>
      </c>
      <c r="L745" s="6" t="s">
        <v>205</v>
      </c>
      <c r="M745" s="6" t="s">
        <v>520</v>
      </c>
      <c r="N745" s="6" t="s">
        <v>286</v>
      </c>
      <c r="O745" s="6" t="s">
        <v>933</v>
      </c>
      <c r="P745" s="19" t="str">
        <f aca="false">IF(J745="S0","—",IF(K745="","",IF(L745="E0","QM",INDEX(10_ASIL_Matrix!$D$4:$F$15,MATCH(J745&amp;"-"&amp;L745,10_ASIL_Matrix!$C$4:$C$15,0),MATCH(N745,10_ASIL_Matrix!$D$3:$F$3,0)))))</f>
        <v>A</v>
      </c>
      <c r="Q745" s="6" t="s">
        <v>448</v>
      </c>
    </row>
    <row r="746" customFormat="false" ht="57.45" hidden="false" customHeight="false" outlineLevel="0" collapsed="false">
      <c r="A746" s="5" t="s">
        <v>2090</v>
      </c>
      <c r="B746" s="5" t="s">
        <v>101</v>
      </c>
      <c r="C746" s="5" t="s">
        <v>102</v>
      </c>
      <c r="D746" s="5" t="s">
        <v>170</v>
      </c>
      <c r="E746" s="5" t="s">
        <v>171</v>
      </c>
      <c r="F746" s="5" t="s">
        <v>194</v>
      </c>
      <c r="G746" s="5" t="s">
        <v>508</v>
      </c>
      <c r="H746" s="5" t="s">
        <v>230</v>
      </c>
      <c r="I746" s="5" t="s">
        <v>2091</v>
      </c>
      <c r="J746" s="5" t="s">
        <v>250</v>
      </c>
      <c r="K746" s="5" t="s">
        <v>973</v>
      </c>
      <c r="L746" s="5" t="s">
        <v>205</v>
      </c>
      <c r="M746" s="5" t="s">
        <v>523</v>
      </c>
      <c r="N746" s="5" t="s">
        <v>290</v>
      </c>
      <c r="O746" s="5" t="s">
        <v>942</v>
      </c>
      <c r="P746" s="18" t="str">
        <f aca="false">IF(J746="S0","—",IF(K746="","",IF(L746="E0","QM",INDEX(10_ASIL_Matrix!$D$4:$F$15,MATCH(J746&amp;"-"&amp;L746,10_ASIL_Matrix!$C$4:$C$15,0),MATCH(N746,10_ASIL_Matrix!$D$3:$F$3,0)))))</f>
        <v>B</v>
      </c>
      <c r="Q746" s="5" t="s">
        <v>448</v>
      </c>
    </row>
    <row r="747" customFormat="false" ht="46.25" hidden="false" customHeight="false" outlineLevel="0" collapsed="false">
      <c r="A747" s="6" t="s">
        <v>2092</v>
      </c>
      <c r="B747" s="6" t="s">
        <v>101</v>
      </c>
      <c r="C747" s="6" t="s">
        <v>102</v>
      </c>
      <c r="D747" s="6" t="s">
        <v>170</v>
      </c>
      <c r="E747" s="6" t="s">
        <v>171</v>
      </c>
      <c r="F747" s="6" t="s">
        <v>194</v>
      </c>
      <c r="G747" s="6" t="s">
        <v>508</v>
      </c>
      <c r="H747" s="6" t="s">
        <v>232</v>
      </c>
      <c r="I747" s="6" t="s">
        <v>2093</v>
      </c>
      <c r="J747" s="6" t="s">
        <v>250</v>
      </c>
      <c r="K747" s="6" t="s">
        <v>973</v>
      </c>
      <c r="L747" s="6" t="s">
        <v>233</v>
      </c>
      <c r="M747" s="6" t="s">
        <v>526</v>
      </c>
      <c r="N747" s="6" t="s">
        <v>286</v>
      </c>
      <c r="O747" s="6" t="s">
        <v>933</v>
      </c>
      <c r="P747" s="6" t="str">
        <f aca="false">IF(J747="S0","—",IF(K747="","",IF(L747="E0","QM",INDEX(10_ASIL_Matrix!$D$4:$F$15,MATCH(J747&amp;"-"&amp;L747,10_ASIL_Matrix!$C$4:$C$15,0),MATCH(N747,10_ASIL_Matrix!$D$3:$F$3,0)))))</f>
        <v>QM</v>
      </c>
      <c r="Q747" s="6" t="s">
        <v>448</v>
      </c>
    </row>
    <row r="748" customFormat="false" ht="46.25" hidden="false" customHeight="false" outlineLevel="0" collapsed="false">
      <c r="A748" s="5" t="s">
        <v>2094</v>
      </c>
      <c r="B748" s="5" t="s">
        <v>101</v>
      </c>
      <c r="C748" s="5" t="s">
        <v>102</v>
      </c>
      <c r="D748" s="5" t="s">
        <v>170</v>
      </c>
      <c r="E748" s="5" t="s">
        <v>171</v>
      </c>
      <c r="F748" s="5" t="s">
        <v>196</v>
      </c>
      <c r="G748" s="5" t="s">
        <v>528</v>
      </c>
      <c r="H748" s="5" t="s">
        <v>222</v>
      </c>
      <c r="I748" s="5" t="s">
        <v>2095</v>
      </c>
      <c r="J748" s="5" t="s">
        <v>250</v>
      </c>
      <c r="K748" s="5" t="s">
        <v>986</v>
      </c>
      <c r="L748" s="5" t="s">
        <v>187</v>
      </c>
      <c r="M748" s="5" t="s">
        <v>531</v>
      </c>
      <c r="N748" s="5" t="s">
        <v>286</v>
      </c>
      <c r="O748" s="5" t="s">
        <v>933</v>
      </c>
      <c r="P748" s="20" t="str">
        <f aca="false">IF(J748="S0","—",IF(K748="","",IF(L748="E0","QM",INDEX(10_ASIL_Matrix!$D$4:$F$15,MATCH(J748&amp;"-"&amp;L748,10_ASIL_Matrix!$C$4:$C$15,0),MATCH(N748,10_ASIL_Matrix!$D$3:$F$3,0)))))</f>
        <v>C</v>
      </c>
      <c r="Q748" s="5" t="s">
        <v>448</v>
      </c>
    </row>
    <row r="749" customFormat="false" ht="46.25" hidden="false" customHeight="false" outlineLevel="0" collapsed="false">
      <c r="A749" s="6" t="s">
        <v>2096</v>
      </c>
      <c r="B749" s="6" t="s">
        <v>101</v>
      </c>
      <c r="C749" s="6" t="s">
        <v>102</v>
      </c>
      <c r="D749" s="6" t="s">
        <v>170</v>
      </c>
      <c r="E749" s="6" t="s">
        <v>171</v>
      </c>
      <c r="F749" s="6" t="s">
        <v>196</v>
      </c>
      <c r="G749" s="6" t="s">
        <v>528</v>
      </c>
      <c r="H749" s="6" t="s">
        <v>224</v>
      </c>
      <c r="I749" s="6" t="s">
        <v>2097</v>
      </c>
      <c r="J749" s="6" t="s">
        <v>250</v>
      </c>
      <c r="K749" s="6" t="s">
        <v>986</v>
      </c>
      <c r="L749" s="6" t="s">
        <v>190</v>
      </c>
      <c r="M749" s="6" t="s">
        <v>534</v>
      </c>
      <c r="N749" s="6" t="s">
        <v>286</v>
      </c>
      <c r="O749" s="6" t="s">
        <v>933</v>
      </c>
      <c r="P749" s="18" t="str">
        <f aca="false">IF(J749="S0","—",IF(K749="","",IF(L749="E0","QM",INDEX(10_ASIL_Matrix!$D$4:$F$15,MATCH(J749&amp;"-"&amp;L749,10_ASIL_Matrix!$C$4:$C$15,0),MATCH(N749,10_ASIL_Matrix!$D$3:$F$3,0)))))</f>
        <v>B</v>
      </c>
      <c r="Q749" s="6" t="s">
        <v>448</v>
      </c>
    </row>
    <row r="750" customFormat="false" ht="46.25" hidden="false" customHeight="false" outlineLevel="0" collapsed="false">
      <c r="A750" s="5" t="s">
        <v>2098</v>
      </c>
      <c r="B750" s="5" t="s">
        <v>101</v>
      </c>
      <c r="C750" s="5" t="s">
        <v>102</v>
      </c>
      <c r="D750" s="5" t="s">
        <v>170</v>
      </c>
      <c r="E750" s="5" t="s">
        <v>171</v>
      </c>
      <c r="F750" s="5" t="s">
        <v>196</v>
      </c>
      <c r="G750" s="5" t="s">
        <v>528</v>
      </c>
      <c r="H750" s="5" t="s">
        <v>226</v>
      </c>
      <c r="I750" s="5" t="s">
        <v>2099</v>
      </c>
      <c r="J750" s="5" t="s">
        <v>250</v>
      </c>
      <c r="K750" s="5" t="s">
        <v>986</v>
      </c>
      <c r="L750" s="5" t="s">
        <v>190</v>
      </c>
      <c r="M750" s="5" t="s">
        <v>537</v>
      </c>
      <c r="N750" s="5" t="s">
        <v>286</v>
      </c>
      <c r="O750" s="5" t="s">
        <v>933</v>
      </c>
      <c r="P750" s="18" t="str">
        <f aca="false">IF(J750="S0","—",IF(K750="","",IF(L750="E0","QM",INDEX(10_ASIL_Matrix!$D$4:$F$15,MATCH(J750&amp;"-"&amp;L750,10_ASIL_Matrix!$C$4:$C$15,0),MATCH(N750,10_ASIL_Matrix!$D$3:$F$3,0)))))</f>
        <v>B</v>
      </c>
      <c r="Q750" s="5" t="s">
        <v>448</v>
      </c>
    </row>
    <row r="751" customFormat="false" ht="46.25" hidden="false" customHeight="false" outlineLevel="0" collapsed="false">
      <c r="A751" s="6" t="s">
        <v>2100</v>
      </c>
      <c r="B751" s="6" t="s">
        <v>101</v>
      </c>
      <c r="C751" s="6" t="s">
        <v>102</v>
      </c>
      <c r="D751" s="6" t="s">
        <v>170</v>
      </c>
      <c r="E751" s="6" t="s">
        <v>171</v>
      </c>
      <c r="F751" s="6" t="s">
        <v>196</v>
      </c>
      <c r="G751" s="6" t="s">
        <v>528</v>
      </c>
      <c r="H751" s="6" t="s">
        <v>228</v>
      </c>
      <c r="I751" s="6" t="s">
        <v>2101</v>
      </c>
      <c r="J751" s="6" t="s">
        <v>250</v>
      </c>
      <c r="K751" s="6" t="s">
        <v>986</v>
      </c>
      <c r="L751" s="6" t="s">
        <v>205</v>
      </c>
      <c r="M751" s="6" t="s">
        <v>540</v>
      </c>
      <c r="N751" s="6" t="s">
        <v>286</v>
      </c>
      <c r="O751" s="6" t="s">
        <v>933</v>
      </c>
      <c r="P751" s="19" t="str">
        <f aca="false">IF(J751="S0","—",IF(K751="","",IF(L751="E0","QM",INDEX(10_ASIL_Matrix!$D$4:$F$15,MATCH(J751&amp;"-"&amp;L751,10_ASIL_Matrix!$C$4:$C$15,0),MATCH(N751,10_ASIL_Matrix!$D$3:$F$3,0)))))</f>
        <v>A</v>
      </c>
      <c r="Q751" s="6" t="s">
        <v>448</v>
      </c>
    </row>
    <row r="752" customFormat="false" ht="57.45" hidden="false" customHeight="false" outlineLevel="0" collapsed="false">
      <c r="A752" s="5" t="s">
        <v>2102</v>
      </c>
      <c r="B752" s="5" t="s">
        <v>101</v>
      </c>
      <c r="C752" s="5" t="s">
        <v>102</v>
      </c>
      <c r="D752" s="5" t="s">
        <v>170</v>
      </c>
      <c r="E752" s="5" t="s">
        <v>171</v>
      </c>
      <c r="F752" s="5" t="s">
        <v>196</v>
      </c>
      <c r="G752" s="5" t="s">
        <v>528</v>
      </c>
      <c r="H752" s="5" t="s">
        <v>230</v>
      </c>
      <c r="I752" s="5" t="s">
        <v>2103</v>
      </c>
      <c r="J752" s="5" t="s">
        <v>250</v>
      </c>
      <c r="K752" s="5" t="s">
        <v>986</v>
      </c>
      <c r="L752" s="5" t="s">
        <v>205</v>
      </c>
      <c r="M752" s="5" t="s">
        <v>543</v>
      </c>
      <c r="N752" s="5" t="s">
        <v>290</v>
      </c>
      <c r="O752" s="5" t="s">
        <v>942</v>
      </c>
      <c r="P752" s="18" t="str">
        <f aca="false">IF(J752="S0","—",IF(K752="","",IF(L752="E0","QM",INDEX(10_ASIL_Matrix!$D$4:$F$15,MATCH(J752&amp;"-"&amp;L752,10_ASIL_Matrix!$C$4:$C$15,0),MATCH(N752,10_ASIL_Matrix!$D$3:$F$3,0)))))</f>
        <v>B</v>
      </c>
      <c r="Q752" s="5" t="s">
        <v>448</v>
      </c>
    </row>
    <row r="753" customFormat="false" ht="46.25" hidden="false" customHeight="false" outlineLevel="0" collapsed="false">
      <c r="A753" s="6" t="s">
        <v>2104</v>
      </c>
      <c r="B753" s="6" t="s">
        <v>101</v>
      </c>
      <c r="C753" s="6" t="s">
        <v>102</v>
      </c>
      <c r="D753" s="6" t="s">
        <v>170</v>
      </c>
      <c r="E753" s="6" t="s">
        <v>171</v>
      </c>
      <c r="F753" s="6" t="s">
        <v>196</v>
      </c>
      <c r="G753" s="6" t="s">
        <v>528</v>
      </c>
      <c r="H753" s="6" t="s">
        <v>232</v>
      </c>
      <c r="I753" s="6" t="s">
        <v>2105</v>
      </c>
      <c r="J753" s="6" t="s">
        <v>250</v>
      </c>
      <c r="K753" s="6" t="s">
        <v>986</v>
      </c>
      <c r="L753" s="6" t="s">
        <v>233</v>
      </c>
      <c r="M753" s="6" t="s">
        <v>546</v>
      </c>
      <c r="N753" s="6" t="s">
        <v>286</v>
      </c>
      <c r="O753" s="6" t="s">
        <v>933</v>
      </c>
      <c r="P753" s="6" t="str">
        <f aca="false">IF(J753="S0","—",IF(K753="","",IF(L753="E0","QM",INDEX(10_ASIL_Matrix!$D$4:$F$15,MATCH(J753&amp;"-"&amp;L753,10_ASIL_Matrix!$C$4:$C$15,0),MATCH(N753,10_ASIL_Matrix!$D$3:$F$3,0)))))</f>
        <v>QM</v>
      </c>
      <c r="Q753" s="6" t="s">
        <v>448</v>
      </c>
    </row>
    <row r="754" customFormat="false" ht="35.05" hidden="false" customHeight="false" outlineLevel="0" collapsed="false">
      <c r="A754" s="5" t="s">
        <v>2106</v>
      </c>
      <c r="B754" s="5" t="s">
        <v>101</v>
      </c>
      <c r="C754" s="5" t="s">
        <v>102</v>
      </c>
      <c r="D754" s="5" t="s">
        <v>170</v>
      </c>
      <c r="E754" s="5" t="s">
        <v>171</v>
      </c>
      <c r="F754" s="5" t="s">
        <v>198</v>
      </c>
      <c r="G754" s="5" t="s">
        <v>548</v>
      </c>
      <c r="H754" s="5" t="s">
        <v>222</v>
      </c>
      <c r="I754" s="5" t="s">
        <v>2107</v>
      </c>
      <c r="J754" s="5" t="s">
        <v>242</v>
      </c>
      <c r="K754" s="5" t="s">
        <v>999</v>
      </c>
      <c r="L754" s="5" t="s">
        <v>190</v>
      </c>
      <c r="M754" s="5" t="s">
        <v>551</v>
      </c>
      <c r="N754" s="5" t="s">
        <v>282</v>
      </c>
      <c r="O754" s="5" t="s">
        <v>1000</v>
      </c>
      <c r="P754" s="5" t="str">
        <f aca="false">IF(J754="S0","—",IF(K754="","",IF(L754="E0","QM",INDEX(10_ASIL_Matrix!$D$4:$F$15,MATCH(J754&amp;"-"&amp;L754,10_ASIL_Matrix!$C$4:$C$15,0),MATCH(N754,10_ASIL_Matrix!$D$3:$F$3,0)))))</f>
        <v>QM</v>
      </c>
      <c r="Q754" s="5" t="s">
        <v>448</v>
      </c>
    </row>
    <row r="755" customFormat="false" ht="35.05" hidden="false" customHeight="false" outlineLevel="0" collapsed="false">
      <c r="A755" s="6" t="s">
        <v>2108</v>
      </c>
      <c r="B755" s="6" t="s">
        <v>101</v>
      </c>
      <c r="C755" s="6" t="s">
        <v>102</v>
      </c>
      <c r="D755" s="6" t="s">
        <v>170</v>
      </c>
      <c r="E755" s="6" t="s">
        <v>171</v>
      </c>
      <c r="F755" s="6" t="s">
        <v>198</v>
      </c>
      <c r="G755" s="6" t="s">
        <v>548</v>
      </c>
      <c r="H755" s="6" t="s">
        <v>224</v>
      </c>
      <c r="I755" s="6" t="s">
        <v>2109</v>
      </c>
      <c r="J755" s="6" t="s">
        <v>242</v>
      </c>
      <c r="K755" s="6" t="s">
        <v>999</v>
      </c>
      <c r="L755" s="6" t="s">
        <v>190</v>
      </c>
      <c r="M755" s="6" t="s">
        <v>555</v>
      </c>
      <c r="N755" s="6" t="s">
        <v>282</v>
      </c>
      <c r="O755" s="6" t="s">
        <v>1000</v>
      </c>
      <c r="P755" s="6" t="str">
        <f aca="false">IF(J755="S0","—",IF(K755="","",IF(L755="E0","QM",INDEX(10_ASIL_Matrix!$D$4:$F$15,MATCH(J755&amp;"-"&amp;L755,10_ASIL_Matrix!$C$4:$C$15,0),MATCH(N755,10_ASIL_Matrix!$D$3:$F$3,0)))))</f>
        <v>QM</v>
      </c>
      <c r="Q755" s="6" t="s">
        <v>448</v>
      </c>
    </row>
    <row r="756" customFormat="false" ht="35.05" hidden="false" customHeight="false" outlineLevel="0" collapsed="false">
      <c r="A756" s="5" t="s">
        <v>2110</v>
      </c>
      <c r="B756" s="5" t="s">
        <v>101</v>
      </c>
      <c r="C756" s="5" t="s">
        <v>102</v>
      </c>
      <c r="D756" s="5" t="s">
        <v>170</v>
      </c>
      <c r="E756" s="5" t="s">
        <v>171</v>
      </c>
      <c r="F756" s="5" t="s">
        <v>198</v>
      </c>
      <c r="G756" s="5" t="s">
        <v>548</v>
      </c>
      <c r="H756" s="5" t="s">
        <v>226</v>
      </c>
      <c r="I756" s="5" t="s">
        <v>2111</v>
      </c>
      <c r="J756" s="5" t="s">
        <v>242</v>
      </c>
      <c r="K756" s="5" t="s">
        <v>999</v>
      </c>
      <c r="L756" s="5" t="s">
        <v>190</v>
      </c>
      <c r="M756" s="5" t="s">
        <v>558</v>
      </c>
      <c r="N756" s="5" t="s">
        <v>282</v>
      </c>
      <c r="O756" s="5" t="s">
        <v>1000</v>
      </c>
      <c r="P756" s="5" t="str">
        <f aca="false">IF(J756="S0","—",IF(K756="","",IF(L756="E0","QM",INDEX(10_ASIL_Matrix!$D$4:$F$15,MATCH(J756&amp;"-"&amp;L756,10_ASIL_Matrix!$C$4:$C$15,0),MATCH(N756,10_ASIL_Matrix!$D$3:$F$3,0)))))</f>
        <v>QM</v>
      </c>
      <c r="Q756" s="5" t="s">
        <v>448</v>
      </c>
    </row>
    <row r="757" customFormat="false" ht="35.05" hidden="false" customHeight="false" outlineLevel="0" collapsed="false">
      <c r="A757" s="6" t="s">
        <v>2112</v>
      </c>
      <c r="B757" s="6" t="s">
        <v>101</v>
      </c>
      <c r="C757" s="6" t="s">
        <v>102</v>
      </c>
      <c r="D757" s="6" t="s">
        <v>170</v>
      </c>
      <c r="E757" s="6" t="s">
        <v>171</v>
      </c>
      <c r="F757" s="6" t="s">
        <v>198</v>
      </c>
      <c r="G757" s="6" t="s">
        <v>548</v>
      </c>
      <c r="H757" s="6" t="s">
        <v>228</v>
      </c>
      <c r="I757" s="6" t="s">
        <v>2113</v>
      </c>
      <c r="J757" s="6" t="s">
        <v>242</v>
      </c>
      <c r="K757" s="6" t="s">
        <v>999</v>
      </c>
      <c r="L757" s="6" t="s">
        <v>205</v>
      </c>
      <c r="M757" s="6" t="s">
        <v>561</v>
      </c>
      <c r="N757" s="6" t="s">
        <v>282</v>
      </c>
      <c r="O757" s="6" t="s">
        <v>1000</v>
      </c>
      <c r="P757" s="6" t="str">
        <f aca="false">IF(J757="S0","—",IF(K757="","",IF(L757="E0","QM",INDEX(10_ASIL_Matrix!$D$4:$F$15,MATCH(J757&amp;"-"&amp;L757,10_ASIL_Matrix!$C$4:$C$15,0),MATCH(N757,10_ASIL_Matrix!$D$3:$F$3,0)))))</f>
        <v>QM</v>
      </c>
      <c r="Q757" s="6" t="s">
        <v>448</v>
      </c>
    </row>
    <row r="758" customFormat="false" ht="35.05" hidden="false" customHeight="false" outlineLevel="0" collapsed="false">
      <c r="A758" s="5" t="s">
        <v>2114</v>
      </c>
      <c r="B758" s="5" t="s">
        <v>101</v>
      </c>
      <c r="C758" s="5" t="s">
        <v>102</v>
      </c>
      <c r="D758" s="5" t="s">
        <v>170</v>
      </c>
      <c r="E758" s="5" t="s">
        <v>171</v>
      </c>
      <c r="F758" s="5" t="s">
        <v>198</v>
      </c>
      <c r="G758" s="5" t="s">
        <v>548</v>
      </c>
      <c r="H758" s="5" t="s">
        <v>230</v>
      </c>
      <c r="I758" s="5" t="s">
        <v>2115</v>
      </c>
      <c r="J758" s="5" t="s">
        <v>242</v>
      </c>
      <c r="K758" s="5" t="s">
        <v>999</v>
      </c>
      <c r="L758" s="5" t="s">
        <v>205</v>
      </c>
      <c r="M758" s="5" t="s">
        <v>564</v>
      </c>
      <c r="N758" s="5" t="s">
        <v>286</v>
      </c>
      <c r="O758" s="5" t="s">
        <v>1009</v>
      </c>
      <c r="P758" s="5" t="str">
        <f aca="false">IF(J758="S0","—",IF(K758="","",IF(L758="E0","QM",INDEX(10_ASIL_Matrix!$D$4:$F$15,MATCH(J758&amp;"-"&amp;L758,10_ASIL_Matrix!$C$4:$C$15,0),MATCH(N758,10_ASIL_Matrix!$D$3:$F$3,0)))))</f>
        <v>QM</v>
      </c>
      <c r="Q758" s="5" t="s">
        <v>448</v>
      </c>
    </row>
    <row r="759" customFormat="false" ht="46.25" hidden="false" customHeight="false" outlineLevel="0" collapsed="false">
      <c r="A759" s="6" t="s">
        <v>2116</v>
      </c>
      <c r="B759" s="6" t="s">
        <v>101</v>
      </c>
      <c r="C759" s="6" t="s">
        <v>102</v>
      </c>
      <c r="D759" s="6" t="s">
        <v>170</v>
      </c>
      <c r="E759" s="6" t="s">
        <v>171</v>
      </c>
      <c r="F759" s="6" t="s">
        <v>198</v>
      </c>
      <c r="G759" s="6" t="s">
        <v>548</v>
      </c>
      <c r="H759" s="6" t="s">
        <v>232</v>
      </c>
      <c r="I759" s="6" t="s">
        <v>2117</v>
      </c>
      <c r="J759" s="6" t="s">
        <v>242</v>
      </c>
      <c r="K759" s="6" t="s">
        <v>999</v>
      </c>
      <c r="L759" s="6" t="s">
        <v>233</v>
      </c>
      <c r="M759" s="6" t="s">
        <v>568</v>
      </c>
      <c r="N759" s="6" t="s">
        <v>282</v>
      </c>
      <c r="O759" s="6" t="s">
        <v>1000</v>
      </c>
      <c r="P759" s="6" t="str">
        <f aca="false">IF(J759="S0","—",IF(K759="","",IF(L759="E0","QM",INDEX(10_ASIL_Matrix!$D$4:$F$15,MATCH(J759&amp;"-"&amp;L759,10_ASIL_Matrix!$C$4:$C$15,0),MATCH(N759,10_ASIL_Matrix!$D$3:$F$3,0)))))</f>
        <v>QM</v>
      </c>
      <c r="Q759" s="6" t="s">
        <v>448</v>
      </c>
    </row>
    <row r="760" customFormat="false" ht="46.25" hidden="false" customHeight="false" outlineLevel="0" collapsed="false">
      <c r="A760" s="5" t="s">
        <v>2118</v>
      </c>
      <c r="B760" s="5" t="s">
        <v>101</v>
      </c>
      <c r="C760" s="5" t="s">
        <v>102</v>
      </c>
      <c r="D760" s="5" t="s">
        <v>170</v>
      </c>
      <c r="E760" s="5" t="s">
        <v>171</v>
      </c>
      <c r="F760" s="5" t="s">
        <v>200</v>
      </c>
      <c r="G760" s="5" t="s">
        <v>570</v>
      </c>
      <c r="H760" s="5" t="s">
        <v>222</v>
      </c>
      <c r="I760" s="5" t="s">
        <v>2119</v>
      </c>
      <c r="J760" s="5" t="s">
        <v>250</v>
      </c>
      <c r="K760" s="5" t="s">
        <v>1014</v>
      </c>
      <c r="L760" s="5" t="s">
        <v>190</v>
      </c>
      <c r="M760" s="5" t="s">
        <v>573</v>
      </c>
      <c r="N760" s="5" t="s">
        <v>286</v>
      </c>
      <c r="O760" s="5" t="s">
        <v>933</v>
      </c>
      <c r="P760" s="18" t="str">
        <f aca="false">IF(J760="S0","—",IF(K760="","",IF(L760="E0","QM",INDEX(10_ASIL_Matrix!$D$4:$F$15,MATCH(J760&amp;"-"&amp;L760,10_ASIL_Matrix!$C$4:$C$15,0),MATCH(N760,10_ASIL_Matrix!$D$3:$F$3,0)))))</f>
        <v>B</v>
      </c>
      <c r="Q760" s="5" t="s">
        <v>448</v>
      </c>
    </row>
    <row r="761" customFormat="false" ht="46.25" hidden="false" customHeight="false" outlineLevel="0" collapsed="false">
      <c r="A761" s="6" t="s">
        <v>2120</v>
      </c>
      <c r="B761" s="6" t="s">
        <v>101</v>
      </c>
      <c r="C761" s="6" t="s">
        <v>102</v>
      </c>
      <c r="D761" s="6" t="s">
        <v>170</v>
      </c>
      <c r="E761" s="6" t="s">
        <v>171</v>
      </c>
      <c r="F761" s="6" t="s">
        <v>200</v>
      </c>
      <c r="G761" s="6" t="s">
        <v>570</v>
      </c>
      <c r="H761" s="6" t="s">
        <v>224</v>
      </c>
      <c r="I761" s="6" t="s">
        <v>2121</v>
      </c>
      <c r="J761" s="6" t="s">
        <v>250</v>
      </c>
      <c r="K761" s="6" t="s">
        <v>1014</v>
      </c>
      <c r="L761" s="6" t="s">
        <v>190</v>
      </c>
      <c r="M761" s="6" t="s">
        <v>576</v>
      </c>
      <c r="N761" s="6" t="s">
        <v>286</v>
      </c>
      <c r="O761" s="6" t="s">
        <v>933</v>
      </c>
      <c r="P761" s="18" t="str">
        <f aca="false">IF(J761="S0","—",IF(K761="","",IF(L761="E0","QM",INDEX(10_ASIL_Matrix!$D$4:$F$15,MATCH(J761&amp;"-"&amp;L761,10_ASIL_Matrix!$C$4:$C$15,0),MATCH(N761,10_ASIL_Matrix!$D$3:$F$3,0)))))</f>
        <v>B</v>
      </c>
      <c r="Q761" s="6" t="s">
        <v>448</v>
      </c>
    </row>
    <row r="762" customFormat="false" ht="46.25" hidden="false" customHeight="false" outlineLevel="0" collapsed="false">
      <c r="A762" s="5" t="s">
        <v>2122</v>
      </c>
      <c r="B762" s="5" t="s">
        <v>101</v>
      </c>
      <c r="C762" s="5" t="s">
        <v>102</v>
      </c>
      <c r="D762" s="5" t="s">
        <v>170</v>
      </c>
      <c r="E762" s="5" t="s">
        <v>171</v>
      </c>
      <c r="F762" s="5" t="s">
        <v>200</v>
      </c>
      <c r="G762" s="5" t="s">
        <v>570</v>
      </c>
      <c r="H762" s="5" t="s">
        <v>226</v>
      </c>
      <c r="I762" s="5" t="s">
        <v>2123</v>
      </c>
      <c r="J762" s="5" t="s">
        <v>250</v>
      </c>
      <c r="K762" s="5" t="s">
        <v>1014</v>
      </c>
      <c r="L762" s="5" t="s">
        <v>190</v>
      </c>
      <c r="M762" s="5" t="s">
        <v>579</v>
      </c>
      <c r="N762" s="5" t="s">
        <v>286</v>
      </c>
      <c r="O762" s="5" t="s">
        <v>933</v>
      </c>
      <c r="P762" s="18" t="str">
        <f aca="false">IF(J762="S0","—",IF(K762="","",IF(L762="E0","QM",INDEX(10_ASIL_Matrix!$D$4:$F$15,MATCH(J762&amp;"-"&amp;L762,10_ASIL_Matrix!$C$4:$C$15,0),MATCH(N762,10_ASIL_Matrix!$D$3:$F$3,0)))))</f>
        <v>B</v>
      </c>
      <c r="Q762" s="5" t="s">
        <v>448</v>
      </c>
    </row>
    <row r="763" customFormat="false" ht="46.25" hidden="false" customHeight="false" outlineLevel="0" collapsed="false">
      <c r="A763" s="6" t="s">
        <v>2124</v>
      </c>
      <c r="B763" s="6" t="s">
        <v>101</v>
      </c>
      <c r="C763" s="6" t="s">
        <v>102</v>
      </c>
      <c r="D763" s="6" t="s">
        <v>170</v>
      </c>
      <c r="E763" s="6" t="s">
        <v>171</v>
      </c>
      <c r="F763" s="6" t="s">
        <v>200</v>
      </c>
      <c r="G763" s="6" t="s">
        <v>570</v>
      </c>
      <c r="H763" s="6" t="s">
        <v>228</v>
      </c>
      <c r="I763" s="6" t="s">
        <v>2125</v>
      </c>
      <c r="J763" s="6" t="s">
        <v>250</v>
      </c>
      <c r="K763" s="6" t="s">
        <v>1014</v>
      </c>
      <c r="L763" s="6" t="s">
        <v>205</v>
      </c>
      <c r="M763" s="6" t="s">
        <v>582</v>
      </c>
      <c r="N763" s="6" t="s">
        <v>286</v>
      </c>
      <c r="O763" s="6" t="s">
        <v>933</v>
      </c>
      <c r="P763" s="19" t="str">
        <f aca="false">IF(J763="S0","—",IF(K763="","",IF(L763="E0","QM",INDEX(10_ASIL_Matrix!$D$4:$F$15,MATCH(J763&amp;"-"&amp;L763,10_ASIL_Matrix!$C$4:$C$15,0),MATCH(N763,10_ASIL_Matrix!$D$3:$F$3,0)))))</f>
        <v>A</v>
      </c>
      <c r="Q763" s="6" t="s">
        <v>448</v>
      </c>
    </row>
    <row r="764" customFormat="false" ht="57.45" hidden="false" customHeight="false" outlineLevel="0" collapsed="false">
      <c r="A764" s="5" t="s">
        <v>2126</v>
      </c>
      <c r="B764" s="5" t="s">
        <v>101</v>
      </c>
      <c r="C764" s="5" t="s">
        <v>102</v>
      </c>
      <c r="D764" s="5" t="s">
        <v>170</v>
      </c>
      <c r="E764" s="5" t="s">
        <v>171</v>
      </c>
      <c r="F764" s="5" t="s">
        <v>200</v>
      </c>
      <c r="G764" s="5" t="s">
        <v>570</v>
      </c>
      <c r="H764" s="5" t="s">
        <v>230</v>
      </c>
      <c r="I764" s="5" t="s">
        <v>2127</v>
      </c>
      <c r="J764" s="5" t="s">
        <v>250</v>
      </c>
      <c r="K764" s="5" t="s">
        <v>1014</v>
      </c>
      <c r="L764" s="5" t="s">
        <v>205</v>
      </c>
      <c r="M764" s="5" t="s">
        <v>585</v>
      </c>
      <c r="N764" s="5" t="s">
        <v>290</v>
      </c>
      <c r="O764" s="5" t="s">
        <v>942</v>
      </c>
      <c r="P764" s="18" t="str">
        <f aca="false">IF(J764="S0","—",IF(K764="","",IF(L764="E0","QM",INDEX(10_ASIL_Matrix!$D$4:$F$15,MATCH(J764&amp;"-"&amp;L764,10_ASIL_Matrix!$C$4:$C$15,0),MATCH(N764,10_ASIL_Matrix!$D$3:$F$3,0)))))</f>
        <v>B</v>
      </c>
      <c r="Q764" s="5" t="s">
        <v>448</v>
      </c>
    </row>
    <row r="765" customFormat="false" ht="46.25" hidden="false" customHeight="false" outlineLevel="0" collapsed="false">
      <c r="A765" s="6" t="s">
        <v>2128</v>
      </c>
      <c r="B765" s="6" t="s">
        <v>101</v>
      </c>
      <c r="C765" s="6" t="s">
        <v>102</v>
      </c>
      <c r="D765" s="6" t="s">
        <v>170</v>
      </c>
      <c r="E765" s="6" t="s">
        <v>171</v>
      </c>
      <c r="F765" s="6" t="s">
        <v>200</v>
      </c>
      <c r="G765" s="6" t="s">
        <v>570</v>
      </c>
      <c r="H765" s="6" t="s">
        <v>232</v>
      </c>
      <c r="I765" s="6" t="s">
        <v>2129</v>
      </c>
      <c r="J765" s="6" t="s">
        <v>250</v>
      </c>
      <c r="K765" s="6" t="s">
        <v>1014</v>
      </c>
      <c r="L765" s="6" t="s">
        <v>233</v>
      </c>
      <c r="M765" s="6" t="s">
        <v>588</v>
      </c>
      <c r="N765" s="6" t="s">
        <v>286</v>
      </c>
      <c r="O765" s="6" t="s">
        <v>933</v>
      </c>
      <c r="P765" s="6" t="str">
        <f aca="false">IF(J765="S0","—",IF(K765="","",IF(L765="E0","QM",INDEX(10_ASIL_Matrix!$D$4:$F$15,MATCH(J765&amp;"-"&amp;L765,10_ASIL_Matrix!$C$4:$C$15,0),MATCH(N765,10_ASIL_Matrix!$D$3:$F$3,0)))))</f>
        <v>QM</v>
      </c>
      <c r="Q765" s="6" t="s">
        <v>448</v>
      </c>
    </row>
    <row r="766" customFormat="false" ht="46.25" hidden="false" customHeight="false" outlineLevel="0" collapsed="false">
      <c r="A766" s="5" t="s">
        <v>2130</v>
      </c>
      <c r="B766" s="5" t="s">
        <v>101</v>
      </c>
      <c r="C766" s="5" t="s">
        <v>102</v>
      </c>
      <c r="D766" s="5" t="s">
        <v>170</v>
      </c>
      <c r="E766" s="5" t="s">
        <v>171</v>
      </c>
      <c r="F766" s="5" t="s">
        <v>202</v>
      </c>
      <c r="G766" s="5" t="s">
        <v>590</v>
      </c>
      <c r="H766" s="5" t="s">
        <v>222</v>
      </c>
      <c r="I766" s="5" t="s">
        <v>2131</v>
      </c>
      <c r="J766" s="5" t="s">
        <v>250</v>
      </c>
      <c r="K766" s="5" t="s">
        <v>1027</v>
      </c>
      <c r="L766" s="5" t="s">
        <v>187</v>
      </c>
      <c r="M766" s="5" t="s">
        <v>592</v>
      </c>
      <c r="N766" s="5" t="s">
        <v>286</v>
      </c>
      <c r="O766" s="5" t="s">
        <v>933</v>
      </c>
      <c r="P766" s="20" t="str">
        <f aca="false">IF(J766="S0","—",IF(K766="","",IF(L766="E0","QM",INDEX(10_ASIL_Matrix!$D$4:$F$15,MATCH(J766&amp;"-"&amp;L766,10_ASIL_Matrix!$C$4:$C$15,0),MATCH(N766,10_ASIL_Matrix!$D$3:$F$3,0)))))</f>
        <v>C</v>
      </c>
      <c r="Q766" s="5" t="s">
        <v>448</v>
      </c>
    </row>
    <row r="767" customFormat="false" ht="46.25" hidden="false" customHeight="false" outlineLevel="0" collapsed="false">
      <c r="A767" s="6" t="s">
        <v>2132</v>
      </c>
      <c r="B767" s="6" t="s">
        <v>101</v>
      </c>
      <c r="C767" s="6" t="s">
        <v>102</v>
      </c>
      <c r="D767" s="6" t="s">
        <v>170</v>
      </c>
      <c r="E767" s="6" t="s">
        <v>171</v>
      </c>
      <c r="F767" s="6" t="s">
        <v>202</v>
      </c>
      <c r="G767" s="6" t="s">
        <v>590</v>
      </c>
      <c r="H767" s="6" t="s">
        <v>224</v>
      </c>
      <c r="I767" s="6" t="s">
        <v>2133</v>
      </c>
      <c r="J767" s="6" t="s">
        <v>250</v>
      </c>
      <c r="K767" s="6" t="s">
        <v>1027</v>
      </c>
      <c r="L767" s="6" t="s">
        <v>190</v>
      </c>
      <c r="M767" s="6" t="s">
        <v>595</v>
      </c>
      <c r="N767" s="6" t="s">
        <v>286</v>
      </c>
      <c r="O767" s="6" t="s">
        <v>933</v>
      </c>
      <c r="P767" s="18" t="str">
        <f aca="false">IF(J767="S0","—",IF(K767="","",IF(L767="E0","QM",INDEX(10_ASIL_Matrix!$D$4:$F$15,MATCH(J767&amp;"-"&amp;L767,10_ASIL_Matrix!$C$4:$C$15,0),MATCH(N767,10_ASIL_Matrix!$D$3:$F$3,0)))))</f>
        <v>B</v>
      </c>
      <c r="Q767" s="6" t="s">
        <v>448</v>
      </c>
    </row>
    <row r="768" customFormat="false" ht="46.25" hidden="false" customHeight="false" outlineLevel="0" collapsed="false">
      <c r="A768" s="5" t="s">
        <v>2134</v>
      </c>
      <c r="B768" s="5" t="s">
        <v>101</v>
      </c>
      <c r="C768" s="5" t="s">
        <v>102</v>
      </c>
      <c r="D768" s="5" t="s">
        <v>170</v>
      </c>
      <c r="E768" s="5" t="s">
        <v>171</v>
      </c>
      <c r="F768" s="5" t="s">
        <v>202</v>
      </c>
      <c r="G768" s="5" t="s">
        <v>590</v>
      </c>
      <c r="H768" s="5" t="s">
        <v>226</v>
      </c>
      <c r="I768" s="5" t="s">
        <v>2135</v>
      </c>
      <c r="J768" s="5" t="s">
        <v>250</v>
      </c>
      <c r="K768" s="5" t="s">
        <v>1027</v>
      </c>
      <c r="L768" s="5" t="s">
        <v>190</v>
      </c>
      <c r="M768" s="5" t="s">
        <v>598</v>
      </c>
      <c r="N768" s="5" t="s">
        <v>286</v>
      </c>
      <c r="O768" s="5" t="s">
        <v>933</v>
      </c>
      <c r="P768" s="18" t="str">
        <f aca="false">IF(J768="S0","—",IF(K768="","",IF(L768="E0","QM",INDEX(10_ASIL_Matrix!$D$4:$F$15,MATCH(J768&amp;"-"&amp;L768,10_ASIL_Matrix!$C$4:$C$15,0),MATCH(N768,10_ASIL_Matrix!$D$3:$F$3,0)))))</f>
        <v>B</v>
      </c>
      <c r="Q768" s="5" t="s">
        <v>448</v>
      </c>
    </row>
    <row r="769" customFormat="false" ht="46.25" hidden="false" customHeight="false" outlineLevel="0" collapsed="false">
      <c r="A769" s="6" t="s">
        <v>2136</v>
      </c>
      <c r="B769" s="6" t="s">
        <v>101</v>
      </c>
      <c r="C769" s="6" t="s">
        <v>102</v>
      </c>
      <c r="D769" s="6" t="s">
        <v>170</v>
      </c>
      <c r="E769" s="6" t="s">
        <v>171</v>
      </c>
      <c r="F769" s="6" t="s">
        <v>202</v>
      </c>
      <c r="G769" s="6" t="s">
        <v>590</v>
      </c>
      <c r="H769" s="6" t="s">
        <v>228</v>
      </c>
      <c r="I769" s="6" t="s">
        <v>2137</v>
      </c>
      <c r="J769" s="6" t="s">
        <v>250</v>
      </c>
      <c r="K769" s="6" t="s">
        <v>1027</v>
      </c>
      <c r="L769" s="6" t="s">
        <v>205</v>
      </c>
      <c r="M769" s="6" t="s">
        <v>601</v>
      </c>
      <c r="N769" s="6" t="s">
        <v>286</v>
      </c>
      <c r="O769" s="6" t="s">
        <v>933</v>
      </c>
      <c r="P769" s="19" t="str">
        <f aca="false">IF(J769="S0","—",IF(K769="","",IF(L769="E0","QM",INDEX(10_ASIL_Matrix!$D$4:$F$15,MATCH(J769&amp;"-"&amp;L769,10_ASIL_Matrix!$C$4:$C$15,0),MATCH(N769,10_ASIL_Matrix!$D$3:$F$3,0)))))</f>
        <v>A</v>
      </c>
      <c r="Q769" s="6" t="s">
        <v>448</v>
      </c>
    </row>
    <row r="770" customFormat="false" ht="57.45" hidden="false" customHeight="false" outlineLevel="0" collapsed="false">
      <c r="A770" s="5" t="s">
        <v>2138</v>
      </c>
      <c r="B770" s="5" t="s">
        <v>101</v>
      </c>
      <c r="C770" s="5" t="s">
        <v>102</v>
      </c>
      <c r="D770" s="5" t="s">
        <v>170</v>
      </c>
      <c r="E770" s="5" t="s">
        <v>171</v>
      </c>
      <c r="F770" s="5" t="s">
        <v>202</v>
      </c>
      <c r="G770" s="5" t="s">
        <v>590</v>
      </c>
      <c r="H770" s="5" t="s">
        <v>230</v>
      </c>
      <c r="I770" s="5" t="s">
        <v>2139</v>
      </c>
      <c r="J770" s="5" t="s">
        <v>250</v>
      </c>
      <c r="K770" s="5" t="s">
        <v>1027</v>
      </c>
      <c r="L770" s="5" t="s">
        <v>205</v>
      </c>
      <c r="M770" s="5" t="s">
        <v>604</v>
      </c>
      <c r="N770" s="5" t="s">
        <v>290</v>
      </c>
      <c r="O770" s="5" t="s">
        <v>942</v>
      </c>
      <c r="P770" s="18" t="str">
        <f aca="false">IF(J770="S0","—",IF(K770="","",IF(L770="E0","QM",INDEX(10_ASIL_Matrix!$D$4:$F$15,MATCH(J770&amp;"-"&amp;L770,10_ASIL_Matrix!$C$4:$C$15,0),MATCH(N770,10_ASIL_Matrix!$D$3:$F$3,0)))))</f>
        <v>B</v>
      </c>
      <c r="Q770" s="5" t="s">
        <v>448</v>
      </c>
    </row>
    <row r="771" customFormat="false" ht="46.25" hidden="false" customHeight="false" outlineLevel="0" collapsed="false">
      <c r="A771" s="6" t="s">
        <v>2140</v>
      </c>
      <c r="B771" s="6" t="s">
        <v>101</v>
      </c>
      <c r="C771" s="6" t="s">
        <v>102</v>
      </c>
      <c r="D771" s="6" t="s">
        <v>170</v>
      </c>
      <c r="E771" s="6" t="s">
        <v>171</v>
      </c>
      <c r="F771" s="6" t="s">
        <v>202</v>
      </c>
      <c r="G771" s="6" t="s">
        <v>590</v>
      </c>
      <c r="H771" s="6" t="s">
        <v>232</v>
      </c>
      <c r="I771" s="6" t="s">
        <v>2141</v>
      </c>
      <c r="J771" s="6" t="s">
        <v>250</v>
      </c>
      <c r="K771" s="6" t="s">
        <v>1027</v>
      </c>
      <c r="L771" s="6" t="s">
        <v>233</v>
      </c>
      <c r="M771" s="6" t="s">
        <v>607</v>
      </c>
      <c r="N771" s="6" t="s">
        <v>286</v>
      </c>
      <c r="O771" s="6" t="s">
        <v>933</v>
      </c>
      <c r="P771" s="6" t="str">
        <f aca="false">IF(J771="S0","—",IF(K771="","",IF(L771="E0","QM",INDEX(10_ASIL_Matrix!$D$4:$F$15,MATCH(J771&amp;"-"&amp;L771,10_ASIL_Matrix!$C$4:$C$15,0),MATCH(N771,10_ASIL_Matrix!$D$3:$F$3,0)))))</f>
        <v>QM</v>
      </c>
      <c r="Q771" s="6" t="s">
        <v>448</v>
      </c>
    </row>
    <row r="772" customFormat="false" ht="46.25" hidden="false" customHeight="false" outlineLevel="0" collapsed="false">
      <c r="A772" s="5" t="s">
        <v>2142</v>
      </c>
      <c r="B772" s="5" t="s">
        <v>101</v>
      </c>
      <c r="C772" s="5" t="s">
        <v>102</v>
      </c>
      <c r="D772" s="5" t="s">
        <v>170</v>
      </c>
      <c r="E772" s="5" t="s">
        <v>171</v>
      </c>
      <c r="F772" s="5" t="s">
        <v>204</v>
      </c>
      <c r="G772" s="5" t="s">
        <v>609</v>
      </c>
      <c r="H772" s="5" t="s">
        <v>222</v>
      </c>
      <c r="I772" s="5" t="s">
        <v>2143</v>
      </c>
      <c r="J772" s="5" t="s">
        <v>250</v>
      </c>
      <c r="K772" s="5" t="s">
        <v>1040</v>
      </c>
      <c r="L772" s="5" t="s">
        <v>205</v>
      </c>
      <c r="M772" s="5" t="s">
        <v>612</v>
      </c>
      <c r="N772" s="5" t="s">
        <v>286</v>
      </c>
      <c r="O772" s="5" t="s">
        <v>933</v>
      </c>
      <c r="P772" s="19" t="str">
        <f aca="false">IF(J772="S0","—",IF(K772="","",IF(L772="E0","QM",INDEX(10_ASIL_Matrix!$D$4:$F$15,MATCH(J772&amp;"-"&amp;L772,10_ASIL_Matrix!$C$4:$C$15,0),MATCH(N772,10_ASIL_Matrix!$D$3:$F$3,0)))))</f>
        <v>A</v>
      </c>
      <c r="Q772" s="5" t="s">
        <v>448</v>
      </c>
    </row>
    <row r="773" customFormat="false" ht="46.25" hidden="false" customHeight="false" outlineLevel="0" collapsed="false">
      <c r="A773" s="6" t="s">
        <v>2144</v>
      </c>
      <c r="B773" s="6" t="s">
        <v>101</v>
      </c>
      <c r="C773" s="6" t="s">
        <v>102</v>
      </c>
      <c r="D773" s="6" t="s">
        <v>170</v>
      </c>
      <c r="E773" s="6" t="s">
        <v>171</v>
      </c>
      <c r="F773" s="6" t="s">
        <v>204</v>
      </c>
      <c r="G773" s="6" t="s">
        <v>609</v>
      </c>
      <c r="H773" s="6" t="s">
        <v>224</v>
      </c>
      <c r="I773" s="6" t="s">
        <v>2145</v>
      </c>
      <c r="J773" s="6" t="s">
        <v>250</v>
      </c>
      <c r="K773" s="6" t="s">
        <v>1040</v>
      </c>
      <c r="L773" s="6" t="s">
        <v>205</v>
      </c>
      <c r="M773" s="6" t="s">
        <v>616</v>
      </c>
      <c r="N773" s="6" t="s">
        <v>286</v>
      </c>
      <c r="O773" s="6" t="s">
        <v>933</v>
      </c>
      <c r="P773" s="19" t="str">
        <f aca="false">IF(J773="S0","—",IF(K773="","",IF(L773="E0","QM",INDEX(10_ASIL_Matrix!$D$4:$F$15,MATCH(J773&amp;"-"&amp;L773,10_ASIL_Matrix!$C$4:$C$15,0),MATCH(N773,10_ASIL_Matrix!$D$3:$F$3,0)))))</f>
        <v>A</v>
      </c>
      <c r="Q773" s="6" t="s">
        <v>448</v>
      </c>
    </row>
    <row r="774" customFormat="false" ht="46.25" hidden="false" customHeight="false" outlineLevel="0" collapsed="false">
      <c r="A774" s="5" t="s">
        <v>2146</v>
      </c>
      <c r="B774" s="5" t="s">
        <v>101</v>
      </c>
      <c r="C774" s="5" t="s">
        <v>102</v>
      </c>
      <c r="D774" s="5" t="s">
        <v>170</v>
      </c>
      <c r="E774" s="5" t="s">
        <v>171</v>
      </c>
      <c r="F774" s="5" t="s">
        <v>204</v>
      </c>
      <c r="G774" s="5" t="s">
        <v>609</v>
      </c>
      <c r="H774" s="5" t="s">
        <v>226</v>
      </c>
      <c r="I774" s="5" t="s">
        <v>2147</v>
      </c>
      <c r="J774" s="5" t="s">
        <v>250</v>
      </c>
      <c r="K774" s="5" t="s">
        <v>1040</v>
      </c>
      <c r="L774" s="5" t="s">
        <v>205</v>
      </c>
      <c r="M774" s="5" t="s">
        <v>619</v>
      </c>
      <c r="N774" s="5" t="s">
        <v>286</v>
      </c>
      <c r="O774" s="5" t="s">
        <v>933</v>
      </c>
      <c r="P774" s="19" t="str">
        <f aca="false">IF(J774="S0","—",IF(K774="","",IF(L774="E0","QM",INDEX(10_ASIL_Matrix!$D$4:$F$15,MATCH(J774&amp;"-"&amp;L774,10_ASIL_Matrix!$C$4:$C$15,0),MATCH(N774,10_ASIL_Matrix!$D$3:$F$3,0)))))</f>
        <v>A</v>
      </c>
      <c r="Q774" s="5" t="s">
        <v>448</v>
      </c>
    </row>
    <row r="775" customFormat="false" ht="46.25" hidden="false" customHeight="false" outlineLevel="0" collapsed="false">
      <c r="A775" s="6" t="s">
        <v>2148</v>
      </c>
      <c r="B775" s="6" t="s">
        <v>101</v>
      </c>
      <c r="C775" s="6" t="s">
        <v>102</v>
      </c>
      <c r="D775" s="6" t="s">
        <v>170</v>
      </c>
      <c r="E775" s="6" t="s">
        <v>171</v>
      </c>
      <c r="F775" s="6" t="s">
        <v>204</v>
      </c>
      <c r="G775" s="6" t="s">
        <v>609</v>
      </c>
      <c r="H775" s="6" t="s">
        <v>228</v>
      </c>
      <c r="I775" s="6" t="s">
        <v>2149</v>
      </c>
      <c r="J775" s="6" t="s">
        <v>250</v>
      </c>
      <c r="K775" s="6" t="s">
        <v>1040</v>
      </c>
      <c r="L775" s="6" t="s">
        <v>205</v>
      </c>
      <c r="M775" s="6" t="s">
        <v>622</v>
      </c>
      <c r="N775" s="6" t="s">
        <v>286</v>
      </c>
      <c r="O775" s="6" t="s">
        <v>933</v>
      </c>
      <c r="P775" s="19" t="str">
        <f aca="false">IF(J775="S0","—",IF(K775="","",IF(L775="E0","QM",INDEX(10_ASIL_Matrix!$D$4:$F$15,MATCH(J775&amp;"-"&amp;L775,10_ASIL_Matrix!$C$4:$C$15,0),MATCH(N775,10_ASIL_Matrix!$D$3:$F$3,0)))))</f>
        <v>A</v>
      </c>
      <c r="Q775" s="6" t="s">
        <v>448</v>
      </c>
    </row>
    <row r="776" customFormat="false" ht="57.45" hidden="false" customHeight="false" outlineLevel="0" collapsed="false">
      <c r="A776" s="5" t="s">
        <v>2150</v>
      </c>
      <c r="B776" s="5" t="s">
        <v>101</v>
      </c>
      <c r="C776" s="5" t="s">
        <v>102</v>
      </c>
      <c r="D776" s="5" t="s">
        <v>170</v>
      </c>
      <c r="E776" s="5" t="s">
        <v>171</v>
      </c>
      <c r="F776" s="5" t="s">
        <v>204</v>
      </c>
      <c r="G776" s="5" t="s">
        <v>609</v>
      </c>
      <c r="H776" s="5" t="s">
        <v>230</v>
      </c>
      <c r="I776" s="5" t="s">
        <v>2151</v>
      </c>
      <c r="J776" s="5" t="s">
        <v>250</v>
      </c>
      <c r="K776" s="5" t="s">
        <v>1040</v>
      </c>
      <c r="L776" s="5" t="s">
        <v>205</v>
      </c>
      <c r="M776" s="5" t="s">
        <v>625</v>
      </c>
      <c r="N776" s="5" t="s">
        <v>290</v>
      </c>
      <c r="O776" s="5" t="s">
        <v>942</v>
      </c>
      <c r="P776" s="18" t="str">
        <f aca="false">IF(J776="S0","—",IF(K776="","",IF(L776="E0","QM",INDEX(10_ASIL_Matrix!$D$4:$F$15,MATCH(J776&amp;"-"&amp;L776,10_ASIL_Matrix!$C$4:$C$15,0),MATCH(N776,10_ASIL_Matrix!$D$3:$F$3,0)))))</f>
        <v>B</v>
      </c>
      <c r="Q776" s="5" t="s">
        <v>448</v>
      </c>
    </row>
    <row r="777" customFormat="false" ht="46.25" hidden="false" customHeight="false" outlineLevel="0" collapsed="false">
      <c r="A777" s="6" t="s">
        <v>2152</v>
      </c>
      <c r="B777" s="6" t="s">
        <v>101</v>
      </c>
      <c r="C777" s="6" t="s">
        <v>102</v>
      </c>
      <c r="D777" s="6" t="s">
        <v>170</v>
      </c>
      <c r="E777" s="6" t="s">
        <v>171</v>
      </c>
      <c r="F777" s="6" t="s">
        <v>204</v>
      </c>
      <c r="G777" s="6" t="s">
        <v>609</v>
      </c>
      <c r="H777" s="6" t="s">
        <v>232</v>
      </c>
      <c r="I777" s="6" t="s">
        <v>2153</v>
      </c>
      <c r="J777" s="6" t="s">
        <v>250</v>
      </c>
      <c r="K777" s="6" t="s">
        <v>1040</v>
      </c>
      <c r="L777" s="6" t="s">
        <v>233</v>
      </c>
      <c r="M777" s="6" t="s">
        <v>629</v>
      </c>
      <c r="N777" s="6" t="s">
        <v>286</v>
      </c>
      <c r="O777" s="6" t="s">
        <v>933</v>
      </c>
      <c r="P777" s="6" t="str">
        <f aca="false">IF(J777="S0","—",IF(K777="","",IF(L777="E0","QM",INDEX(10_ASIL_Matrix!$D$4:$F$15,MATCH(J777&amp;"-"&amp;L777,10_ASIL_Matrix!$C$4:$C$15,0),MATCH(N777,10_ASIL_Matrix!$D$3:$F$3,0)))))</f>
        <v>QM</v>
      </c>
      <c r="Q777" s="6" t="s">
        <v>448</v>
      </c>
    </row>
    <row r="778" customFormat="false" ht="46.25" hidden="false" customHeight="false" outlineLevel="0" collapsed="false">
      <c r="A778" s="5" t="s">
        <v>2154</v>
      </c>
      <c r="B778" s="5" t="s">
        <v>101</v>
      </c>
      <c r="C778" s="5" t="s">
        <v>102</v>
      </c>
      <c r="D778" s="5" t="s">
        <v>170</v>
      </c>
      <c r="E778" s="5" t="s">
        <v>171</v>
      </c>
      <c r="F778" s="5" t="s">
        <v>207</v>
      </c>
      <c r="G778" s="5" t="s">
        <v>609</v>
      </c>
      <c r="H778" s="5" t="s">
        <v>222</v>
      </c>
      <c r="I778" s="5" t="s">
        <v>2155</v>
      </c>
      <c r="J778" s="5" t="s">
        <v>250</v>
      </c>
      <c r="K778" s="5" t="s">
        <v>1053</v>
      </c>
      <c r="L778" s="5" t="s">
        <v>190</v>
      </c>
      <c r="M778" s="5" t="s">
        <v>633</v>
      </c>
      <c r="N778" s="5" t="s">
        <v>286</v>
      </c>
      <c r="O778" s="5" t="s">
        <v>933</v>
      </c>
      <c r="P778" s="18" t="str">
        <f aca="false">IF(J778="S0","—",IF(K778="","",IF(L778="E0","QM",INDEX(10_ASIL_Matrix!$D$4:$F$15,MATCH(J778&amp;"-"&amp;L778,10_ASIL_Matrix!$C$4:$C$15,0),MATCH(N778,10_ASIL_Matrix!$D$3:$F$3,0)))))</f>
        <v>B</v>
      </c>
      <c r="Q778" s="5" t="s">
        <v>448</v>
      </c>
    </row>
    <row r="779" customFormat="false" ht="46.25" hidden="false" customHeight="false" outlineLevel="0" collapsed="false">
      <c r="A779" s="6" t="s">
        <v>2156</v>
      </c>
      <c r="B779" s="6" t="s">
        <v>101</v>
      </c>
      <c r="C779" s="6" t="s">
        <v>102</v>
      </c>
      <c r="D779" s="6" t="s">
        <v>170</v>
      </c>
      <c r="E779" s="6" t="s">
        <v>171</v>
      </c>
      <c r="F779" s="6" t="s">
        <v>207</v>
      </c>
      <c r="G779" s="6" t="s">
        <v>609</v>
      </c>
      <c r="H779" s="6" t="s">
        <v>224</v>
      </c>
      <c r="I779" s="6" t="s">
        <v>2157</v>
      </c>
      <c r="J779" s="6" t="s">
        <v>250</v>
      </c>
      <c r="K779" s="6" t="s">
        <v>1053</v>
      </c>
      <c r="L779" s="6" t="s">
        <v>190</v>
      </c>
      <c r="M779" s="6" t="s">
        <v>637</v>
      </c>
      <c r="N779" s="6" t="s">
        <v>286</v>
      </c>
      <c r="O779" s="6" t="s">
        <v>933</v>
      </c>
      <c r="P779" s="18" t="str">
        <f aca="false">IF(J779="S0","—",IF(K779="","",IF(L779="E0","QM",INDEX(10_ASIL_Matrix!$D$4:$F$15,MATCH(J779&amp;"-"&amp;L779,10_ASIL_Matrix!$C$4:$C$15,0),MATCH(N779,10_ASIL_Matrix!$D$3:$F$3,0)))))</f>
        <v>B</v>
      </c>
      <c r="Q779" s="6" t="s">
        <v>448</v>
      </c>
    </row>
    <row r="780" customFormat="false" ht="46.25" hidden="false" customHeight="false" outlineLevel="0" collapsed="false">
      <c r="A780" s="5" t="s">
        <v>2158</v>
      </c>
      <c r="B780" s="5" t="s">
        <v>101</v>
      </c>
      <c r="C780" s="5" t="s">
        <v>102</v>
      </c>
      <c r="D780" s="5" t="s">
        <v>170</v>
      </c>
      <c r="E780" s="5" t="s">
        <v>171</v>
      </c>
      <c r="F780" s="5" t="s">
        <v>207</v>
      </c>
      <c r="G780" s="5" t="s">
        <v>609</v>
      </c>
      <c r="H780" s="5" t="s">
        <v>226</v>
      </c>
      <c r="I780" s="5" t="s">
        <v>2159</v>
      </c>
      <c r="J780" s="5" t="s">
        <v>250</v>
      </c>
      <c r="K780" s="5" t="s">
        <v>1053</v>
      </c>
      <c r="L780" s="5" t="s">
        <v>190</v>
      </c>
      <c r="M780" s="5" t="s">
        <v>640</v>
      </c>
      <c r="N780" s="5" t="s">
        <v>286</v>
      </c>
      <c r="O780" s="5" t="s">
        <v>933</v>
      </c>
      <c r="P780" s="18" t="str">
        <f aca="false">IF(J780="S0","—",IF(K780="","",IF(L780="E0","QM",INDEX(10_ASIL_Matrix!$D$4:$F$15,MATCH(J780&amp;"-"&amp;L780,10_ASIL_Matrix!$C$4:$C$15,0),MATCH(N780,10_ASIL_Matrix!$D$3:$F$3,0)))))</f>
        <v>B</v>
      </c>
      <c r="Q780" s="5" t="s">
        <v>448</v>
      </c>
    </row>
    <row r="781" customFormat="false" ht="46.25" hidden="false" customHeight="false" outlineLevel="0" collapsed="false">
      <c r="A781" s="6" t="s">
        <v>2160</v>
      </c>
      <c r="B781" s="6" t="s">
        <v>101</v>
      </c>
      <c r="C781" s="6" t="s">
        <v>102</v>
      </c>
      <c r="D781" s="6" t="s">
        <v>170</v>
      </c>
      <c r="E781" s="6" t="s">
        <v>171</v>
      </c>
      <c r="F781" s="6" t="s">
        <v>207</v>
      </c>
      <c r="G781" s="6" t="s">
        <v>609</v>
      </c>
      <c r="H781" s="6" t="s">
        <v>228</v>
      </c>
      <c r="I781" s="6" t="s">
        <v>2161</v>
      </c>
      <c r="J781" s="6" t="s">
        <v>250</v>
      </c>
      <c r="K781" s="6" t="s">
        <v>1053</v>
      </c>
      <c r="L781" s="6" t="s">
        <v>205</v>
      </c>
      <c r="M781" s="6" t="s">
        <v>643</v>
      </c>
      <c r="N781" s="6" t="s">
        <v>286</v>
      </c>
      <c r="O781" s="6" t="s">
        <v>933</v>
      </c>
      <c r="P781" s="19" t="str">
        <f aca="false">IF(J781="S0","—",IF(K781="","",IF(L781="E0","QM",INDEX(10_ASIL_Matrix!$D$4:$F$15,MATCH(J781&amp;"-"&amp;L781,10_ASIL_Matrix!$C$4:$C$15,0),MATCH(N781,10_ASIL_Matrix!$D$3:$F$3,0)))))</f>
        <v>A</v>
      </c>
      <c r="Q781" s="6" t="s">
        <v>448</v>
      </c>
    </row>
    <row r="782" customFormat="false" ht="57.45" hidden="false" customHeight="false" outlineLevel="0" collapsed="false">
      <c r="A782" s="5" t="s">
        <v>2162</v>
      </c>
      <c r="B782" s="5" t="s">
        <v>101</v>
      </c>
      <c r="C782" s="5" t="s">
        <v>102</v>
      </c>
      <c r="D782" s="5" t="s">
        <v>170</v>
      </c>
      <c r="E782" s="5" t="s">
        <v>171</v>
      </c>
      <c r="F782" s="5" t="s">
        <v>207</v>
      </c>
      <c r="G782" s="5" t="s">
        <v>609</v>
      </c>
      <c r="H782" s="5" t="s">
        <v>230</v>
      </c>
      <c r="I782" s="5" t="s">
        <v>2163</v>
      </c>
      <c r="J782" s="5" t="s">
        <v>250</v>
      </c>
      <c r="K782" s="5" t="s">
        <v>1053</v>
      </c>
      <c r="L782" s="5" t="s">
        <v>205</v>
      </c>
      <c r="M782" s="5" t="s">
        <v>646</v>
      </c>
      <c r="N782" s="5" t="s">
        <v>290</v>
      </c>
      <c r="O782" s="5" t="s">
        <v>942</v>
      </c>
      <c r="P782" s="18" t="str">
        <f aca="false">IF(J782="S0","—",IF(K782="","",IF(L782="E0","QM",INDEX(10_ASIL_Matrix!$D$4:$F$15,MATCH(J782&amp;"-"&amp;L782,10_ASIL_Matrix!$C$4:$C$15,0),MATCH(N782,10_ASIL_Matrix!$D$3:$F$3,0)))))</f>
        <v>B</v>
      </c>
      <c r="Q782" s="5" t="s">
        <v>448</v>
      </c>
    </row>
    <row r="783" customFormat="false" ht="46.25" hidden="false" customHeight="false" outlineLevel="0" collapsed="false">
      <c r="A783" s="6" t="s">
        <v>2164</v>
      </c>
      <c r="B783" s="6" t="s">
        <v>101</v>
      </c>
      <c r="C783" s="6" t="s">
        <v>102</v>
      </c>
      <c r="D783" s="6" t="s">
        <v>170</v>
      </c>
      <c r="E783" s="6" t="s">
        <v>171</v>
      </c>
      <c r="F783" s="6" t="s">
        <v>207</v>
      </c>
      <c r="G783" s="6" t="s">
        <v>609</v>
      </c>
      <c r="H783" s="6" t="s">
        <v>232</v>
      </c>
      <c r="I783" s="6" t="s">
        <v>2165</v>
      </c>
      <c r="J783" s="6" t="s">
        <v>250</v>
      </c>
      <c r="K783" s="6" t="s">
        <v>1053</v>
      </c>
      <c r="L783" s="6" t="s">
        <v>233</v>
      </c>
      <c r="M783" s="6" t="s">
        <v>649</v>
      </c>
      <c r="N783" s="6" t="s">
        <v>286</v>
      </c>
      <c r="O783" s="6" t="s">
        <v>933</v>
      </c>
      <c r="P783" s="6" t="str">
        <f aca="false">IF(J783="S0","—",IF(K783="","",IF(L783="E0","QM",INDEX(10_ASIL_Matrix!$D$4:$F$15,MATCH(J783&amp;"-"&amp;L783,10_ASIL_Matrix!$C$4:$C$15,0),MATCH(N783,10_ASIL_Matrix!$D$3:$F$3,0)))))</f>
        <v>QM</v>
      </c>
      <c r="Q783" s="6" t="s">
        <v>448</v>
      </c>
    </row>
    <row r="784" customFormat="false" ht="46.25" hidden="false" customHeight="false" outlineLevel="0" collapsed="false">
      <c r="A784" s="5" t="s">
        <v>2166</v>
      </c>
      <c r="B784" s="5" t="s">
        <v>101</v>
      </c>
      <c r="C784" s="5" t="s">
        <v>102</v>
      </c>
      <c r="D784" s="5" t="s">
        <v>170</v>
      </c>
      <c r="E784" s="5" t="s">
        <v>171</v>
      </c>
      <c r="F784" s="5" t="s">
        <v>209</v>
      </c>
      <c r="G784" s="5" t="s">
        <v>570</v>
      </c>
      <c r="H784" s="5" t="s">
        <v>222</v>
      </c>
      <c r="I784" s="5" t="s">
        <v>2167</v>
      </c>
      <c r="J784" s="5" t="s">
        <v>250</v>
      </c>
      <c r="K784" s="5" t="s">
        <v>1066</v>
      </c>
      <c r="L784" s="5" t="s">
        <v>190</v>
      </c>
      <c r="M784" s="5" t="s">
        <v>653</v>
      </c>
      <c r="N784" s="5" t="s">
        <v>286</v>
      </c>
      <c r="O784" s="5" t="s">
        <v>933</v>
      </c>
      <c r="P784" s="18" t="str">
        <f aca="false">IF(J784="S0","—",IF(K784="","",IF(L784="E0","QM",INDEX(10_ASIL_Matrix!$D$4:$F$15,MATCH(J784&amp;"-"&amp;L784,10_ASIL_Matrix!$C$4:$C$15,0),MATCH(N784,10_ASIL_Matrix!$D$3:$F$3,0)))))</f>
        <v>B</v>
      </c>
      <c r="Q784" s="5" t="s">
        <v>448</v>
      </c>
    </row>
    <row r="785" customFormat="false" ht="46.25" hidden="false" customHeight="false" outlineLevel="0" collapsed="false">
      <c r="A785" s="6" t="s">
        <v>2168</v>
      </c>
      <c r="B785" s="6" t="s">
        <v>101</v>
      </c>
      <c r="C785" s="6" t="s">
        <v>102</v>
      </c>
      <c r="D785" s="6" t="s">
        <v>170</v>
      </c>
      <c r="E785" s="6" t="s">
        <v>171</v>
      </c>
      <c r="F785" s="6" t="s">
        <v>209</v>
      </c>
      <c r="G785" s="6" t="s">
        <v>570</v>
      </c>
      <c r="H785" s="6" t="s">
        <v>224</v>
      </c>
      <c r="I785" s="6" t="s">
        <v>2169</v>
      </c>
      <c r="J785" s="6" t="s">
        <v>250</v>
      </c>
      <c r="K785" s="6" t="s">
        <v>1066</v>
      </c>
      <c r="L785" s="6" t="s">
        <v>190</v>
      </c>
      <c r="M785" s="6" t="s">
        <v>656</v>
      </c>
      <c r="N785" s="6" t="s">
        <v>286</v>
      </c>
      <c r="O785" s="6" t="s">
        <v>933</v>
      </c>
      <c r="P785" s="18" t="str">
        <f aca="false">IF(J785="S0","—",IF(K785="","",IF(L785="E0","QM",INDEX(10_ASIL_Matrix!$D$4:$F$15,MATCH(J785&amp;"-"&amp;L785,10_ASIL_Matrix!$C$4:$C$15,0),MATCH(N785,10_ASIL_Matrix!$D$3:$F$3,0)))))</f>
        <v>B</v>
      </c>
      <c r="Q785" s="6" t="s">
        <v>448</v>
      </c>
    </row>
    <row r="786" customFormat="false" ht="46.25" hidden="false" customHeight="false" outlineLevel="0" collapsed="false">
      <c r="A786" s="5" t="s">
        <v>2170</v>
      </c>
      <c r="B786" s="5" t="s">
        <v>101</v>
      </c>
      <c r="C786" s="5" t="s">
        <v>102</v>
      </c>
      <c r="D786" s="5" t="s">
        <v>170</v>
      </c>
      <c r="E786" s="5" t="s">
        <v>171</v>
      </c>
      <c r="F786" s="5" t="s">
        <v>209</v>
      </c>
      <c r="G786" s="5" t="s">
        <v>570</v>
      </c>
      <c r="H786" s="5" t="s">
        <v>226</v>
      </c>
      <c r="I786" s="5" t="s">
        <v>2171</v>
      </c>
      <c r="J786" s="5" t="s">
        <v>250</v>
      </c>
      <c r="K786" s="5" t="s">
        <v>1066</v>
      </c>
      <c r="L786" s="5" t="s">
        <v>190</v>
      </c>
      <c r="M786" s="5" t="s">
        <v>659</v>
      </c>
      <c r="N786" s="5" t="s">
        <v>286</v>
      </c>
      <c r="O786" s="5" t="s">
        <v>933</v>
      </c>
      <c r="P786" s="18" t="str">
        <f aca="false">IF(J786="S0","—",IF(K786="","",IF(L786="E0","QM",INDEX(10_ASIL_Matrix!$D$4:$F$15,MATCH(J786&amp;"-"&amp;L786,10_ASIL_Matrix!$C$4:$C$15,0),MATCH(N786,10_ASIL_Matrix!$D$3:$F$3,0)))))</f>
        <v>B</v>
      </c>
      <c r="Q786" s="5" t="s">
        <v>448</v>
      </c>
    </row>
    <row r="787" customFormat="false" ht="46.25" hidden="false" customHeight="false" outlineLevel="0" collapsed="false">
      <c r="A787" s="6" t="s">
        <v>2172</v>
      </c>
      <c r="B787" s="6" t="s">
        <v>101</v>
      </c>
      <c r="C787" s="6" t="s">
        <v>102</v>
      </c>
      <c r="D787" s="6" t="s">
        <v>170</v>
      </c>
      <c r="E787" s="6" t="s">
        <v>171</v>
      </c>
      <c r="F787" s="6" t="s">
        <v>209</v>
      </c>
      <c r="G787" s="6" t="s">
        <v>570</v>
      </c>
      <c r="H787" s="6" t="s">
        <v>228</v>
      </c>
      <c r="I787" s="6" t="s">
        <v>2173</v>
      </c>
      <c r="J787" s="6" t="s">
        <v>250</v>
      </c>
      <c r="K787" s="6" t="s">
        <v>1066</v>
      </c>
      <c r="L787" s="6" t="s">
        <v>205</v>
      </c>
      <c r="M787" s="6" t="s">
        <v>662</v>
      </c>
      <c r="N787" s="6" t="s">
        <v>286</v>
      </c>
      <c r="O787" s="6" t="s">
        <v>933</v>
      </c>
      <c r="P787" s="19" t="str">
        <f aca="false">IF(J787="S0","—",IF(K787="","",IF(L787="E0","QM",INDEX(10_ASIL_Matrix!$D$4:$F$15,MATCH(J787&amp;"-"&amp;L787,10_ASIL_Matrix!$C$4:$C$15,0),MATCH(N787,10_ASIL_Matrix!$D$3:$F$3,0)))))</f>
        <v>A</v>
      </c>
      <c r="Q787" s="6" t="s">
        <v>448</v>
      </c>
    </row>
    <row r="788" customFormat="false" ht="57.45" hidden="false" customHeight="false" outlineLevel="0" collapsed="false">
      <c r="A788" s="5" t="s">
        <v>2174</v>
      </c>
      <c r="B788" s="5" t="s">
        <v>101</v>
      </c>
      <c r="C788" s="5" t="s">
        <v>102</v>
      </c>
      <c r="D788" s="5" t="s">
        <v>170</v>
      </c>
      <c r="E788" s="5" t="s">
        <v>171</v>
      </c>
      <c r="F788" s="5" t="s">
        <v>209</v>
      </c>
      <c r="G788" s="5" t="s">
        <v>570</v>
      </c>
      <c r="H788" s="5" t="s">
        <v>230</v>
      </c>
      <c r="I788" s="5" t="s">
        <v>2175</v>
      </c>
      <c r="J788" s="5" t="s">
        <v>250</v>
      </c>
      <c r="K788" s="5" t="s">
        <v>1066</v>
      </c>
      <c r="L788" s="5" t="s">
        <v>205</v>
      </c>
      <c r="M788" s="5" t="s">
        <v>665</v>
      </c>
      <c r="N788" s="5" t="s">
        <v>290</v>
      </c>
      <c r="O788" s="5" t="s">
        <v>942</v>
      </c>
      <c r="P788" s="18" t="str">
        <f aca="false">IF(J788="S0","—",IF(K788="","",IF(L788="E0","QM",INDEX(10_ASIL_Matrix!$D$4:$F$15,MATCH(J788&amp;"-"&amp;L788,10_ASIL_Matrix!$C$4:$C$15,0),MATCH(N788,10_ASIL_Matrix!$D$3:$F$3,0)))))</f>
        <v>B</v>
      </c>
      <c r="Q788" s="5" t="s">
        <v>448</v>
      </c>
    </row>
    <row r="789" customFormat="false" ht="46.25" hidden="false" customHeight="false" outlineLevel="0" collapsed="false">
      <c r="A789" s="6" t="s">
        <v>2176</v>
      </c>
      <c r="B789" s="6" t="s">
        <v>101</v>
      </c>
      <c r="C789" s="6" t="s">
        <v>102</v>
      </c>
      <c r="D789" s="6" t="s">
        <v>170</v>
      </c>
      <c r="E789" s="6" t="s">
        <v>171</v>
      </c>
      <c r="F789" s="6" t="s">
        <v>209</v>
      </c>
      <c r="G789" s="6" t="s">
        <v>570</v>
      </c>
      <c r="H789" s="6" t="s">
        <v>232</v>
      </c>
      <c r="I789" s="6" t="s">
        <v>2177</v>
      </c>
      <c r="J789" s="6" t="s">
        <v>250</v>
      </c>
      <c r="K789" s="6" t="s">
        <v>1066</v>
      </c>
      <c r="L789" s="6" t="s">
        <v>233</v>
      </c>
      <c r="M789" s="6" t="s">
        <v>668</v>
      </c>
      <c r="N789" s="6" t="s">
        <v>286</v>
      </c>
      <c r="O789" s="6" t="s">
        <v>933</v>
      </c>
      <c r="P789" s="6" t="str">
        <f aca="false">IF(J789="S0","—",IF(K789="","",IF(L789="E0","QM",INDEX(10_ASIL_Matrix!$D$4:$F$15,MATCH(J789&amp;"-"&amp;L789,10_ASIL_Matrix!$C$4:$C$15,0),MATCH(N789,10_ASIL_Matrix!$D$3:$F$3,0)))))</f>
        <v>QM</v>
      </c>
      <c r="Q789" s="6" t="s">
        <v>448</v>
      </c>
    </row>
    <row r="790" customFormat="false" ht="35.05" hidden="false" customHeight="false" outlineLevel="0" collapsed="false">
      <c r="A790" s="5" t="s">
        <v>2178</v>
      </c>
      <c r="B790" s="5" t="s">
        <v>101</v>
      </c>
      <c r="C790" s="5" t="s">
        <v>102</v>
      </c>
      <c r="D790" s="5" t="s">
        <v>170</v>
      </c>
      <c r="E790" s="5" t="s">
        <v>171</v>
      </c>
      <c r="F790" s="5" t="s">
        <v>211</v>
      </c>
      <c r="G790" s="5" t="s">
        <v>609</v>
      </c>
      <c r="H790" s="5" t="s">
        <v>222</v>
      </c>
      <c r="I790" s="5" t="s">
        <v>2179</v>
      </c>
      <c r="J790" s="5" t="s">
        <v>238</v>
      </c>
      <c r="K790" s="5" t="s">
        <v>2180</v>
      </c>
      <c r="L790" s="5" t="s">
        <v>187</v>
      </c>
      <c r="M790" s="5" t="s">
        <v>672</v>
      </c>
      <c r="N790" s="5" t="s">
        <v>278</v>
      </c>
      <c r="O790" s="5" t="s">
        <v>634</v>
      </c>
      <c r="P790" s="5" t="str">
        <f aca="false">IF(J790="S0","—",IF(K790="","",IF(L790="E0","QM",INDEX(10_ASIL_Matrix!$D$4:$F$15,MATCH(J790&amp;"-"&amp;L790,10_ASIL_Matrix!$C$4:$C$15,0),MATCH(N790,10_ASIL_Matrix!$D$3:$F$3,0)))))</f>
        <v>—</v>
      </c>
      <c r="Q790" s="5" t="s">
        <v>448</v>
      </c>
    </row>
    <row r="791" customFormat="false" ht="35.05" hidden="false" customHeight="false" outlineLevel="0" collapsed="false">
      <c r="A791" s="6" t="s">
        <v>2181</v>
      </c>
      <c r="B791" s="6" t="s">
        <v>101</v>
      </c>
      <c r="C791" s="6" t="s">
        <v>102</v>
      </c>
      <c r="D791" s="6" t="s">
        <v>170</v>
      </c>
      <c r="E791" s="6" t="s">
        <v>171</v>
      </c>
      <c r="F791" s="6" t="s">
        <v>211</v>
      </c>
      <c r="G791" s="6" t="s">
        <v>609</v>
      </c>
      <c r="H791" s="6" t="s">
        <v>224</v>
      </c>
      <c r="I791" s="6" t="s">
        <v>2182</v>
      </c>
      <c r="J791" s="6" t="s">
        <v>238</v>
      </c>
      <c r="K791" s="6" t="s">
        <v>2180</v>
      </c>
      <c r="L791" s="6" t="s">
        <v>190</v>
      </c>
      <c r="M791" s="6" t="s">
        <v>675</v>
      </c>
      <c r="N791" s="6" t="s">
        <v>278</v>
      </c>
      <c r="O791" s="6" t="s">
        <v>634</v>
      </c>
      <c r="P791" s="6" t="str">
        <f aca="false">IF(J791="S0","—",IF(K791="","",IF(L791="E0","QM",INDEX(10_ASIL_Matrix!$D$4:$F$15,MATCH(J791&amp;"-"&amp;L791,10_ASIL_Matrix!$C$4:$C$15,0),MATCH(N791,10_ASIL_Matrix!$D$3:$F$3,0)))))</f>
        <v>—</v>
      </c>
      <c r="Q791" s="6" t="s">
        <v>448</v>
      </c>
    </row>
    <row r="792" customFormat="false" ht="35.05" hidden="false" customHeight="false" outlineLevel="0" collapsed="false">
      <c r="A792" s="5" t="s">
        <v>2183</v>
      </c>
      <c r="B792" s="5" t="s">
        <v>101</v>
      </c>
      <c r="C792" s="5" t="s">
        <v>102</v>
      </c>
      <c r="D792" s="5" t="s">
        <v>170</v>
      </c>
      <c r="E792" s="5" t="s">
        <v>171</v>
      </c>
      <c r="F792" s="5" t="s">
        <v>211</v>
      </c>
      <c r="G792" s="5" t="s">
        <v>609</v>
      </c>
      <c r="H792" s="5" t="s">
        <v>226</v>
      </c>
      <c r="I792" s="5" t="s">
        <v>2184</v>
      </c>
      <c r="J792" s="5" t="s">
        <v>238</v>
      </c>
      <c r="K792" s="5" t="s">
        <v>2180</v>
      </c>
      <c r="L792" s="5" t="s">
        <v>190</v>
      </c>
      <c r="M792" s="5" t="s">
        <v>678</v>
      </c>
      <c r="N792" s="5" t="s">
        <v>278</v>
      </c>
      <c r="O792" s="5" t="s">
        <v>634</v>
      </c>
      <c r="P792" s="5" t="str">
        <f aca="false">IF(J792="S0","—",IF(K792="","",IF(L792="E0","QM",INDEX(10_ASIL_Matrix!$D$4:$F$15,MATCH(J792&amp;"-"&amp;L792,10_ASIL_Matrix!$C$4:$C$15,0),MATCH(N792,10_ASIL_Matrix!$D$3:$F$3,0)))))</f>
        <v>—</v>
      </c>
      <c r="Q792" s="5" t="s">
        <v>448</v>
      </c>
    </row>
    <row r="793" customFormat="false" ht="35.05" hidden="false" customHeight="false" outlineLevel="0" collapsed="false">
      <c r="A793" s="6" t="s">
        <v>2185</v>
      </c>
      <c r="B793" s="6" t="s">
        <v>101</v>
      </c>
      <c r="C793" s="6" t="s">
        <v>102</v>
      </c>
      <c r="D793" s="6" t="s">
        <v>170</v>
      </c>
      <c r="E793" s="6" t="s">
        <v>171</v>
      </c>
      <c r="F793" s="6" t="s">
        <v>211</v>
      </c>
      <c r="G793" s="6" t="s">
        <v>609</v>
      </c>
      <c r="H793" s="6" t="s">
        <v>228</v>
      </c>
      <c r="I793" s="6" t="s">
        <v>2186</v>
      </c>
      <c r="J793" s="6" t="s">
        <v>238</v>
      </c>
      <c r="K793" s="6" t="s">
        <v>2180</v>
      </c>
      <c r="L793" s="6" t="s">
        <v>205</v>
      </c>
      <c r="M793" s="6" t="s">
        <v>681</v>
      </c>
      <c r="N793" s="6" t="s">
        <v>278</v>
      </c>
      <c r="O793" s="6" t="s">
        <v>634</v>
      </c>
      <c r="P793" s="6" t="str">
        <f aca="false">IF(J793="S0","—",IF(K793="","",IF(L793="E0","QM",INDEX(10_ASIL_Matrix!$D$4:$F$15,MATCH(J793&amp;"-"&amp;L793,10_ASIL_Matrix!$C$4:$C$15,0),MATCH(N793,10_ASIL_Matrix!$D$3:$F$3,0)))))</f>
        <v>—</v>
      </c>
      <c r="Q793" s="6" t="s">
        <v>448</v>
      </c>
    </row>
    <row r="794" customFormat="false" ht="35.05" hidden="false" customHeight="false" outlineLevel="0" collapsed="false">
      <c r="A794" s="5" t="s">
        <v>2187</v>
      </c>
      <c r="B794" s="5" t="s">
        <v>101</v>
      </c>
      <c r="C794" s="5" t="s">
        <v>102</v>
      </c>
      <c r="D794" s="5" t="s">
        <v>170</v>
      </c>
      <c r="E794" s="5" t="s">
        <v>171</v>
      </c>
      <c r="F794" s="5" t="s">
        <v>211</v>
      </c>
      <c r="G794" s="5" t="s">
        <v>609</v>
      </c>
      <c r="H794" s="5" t="s">
        <v>230</v>
      </c>
      <c r="I794" s="5" t="s">
        <v>2188</v>
      </c>
      <c r="J794" s="5" t="s">
        <v>238</v>
      </c>
      <c r="K794" s="5" t="s">
        <v>2180</v>
      </c>
      <c r="L794" s="5" t="s">
        <v>205</v>
      </c>
      <c r="M794" s="5" t="s">
        <v>684</v>
      </c>
      <c r="N794" s="5" t="s">
        <v>278</v>
      </c>
      <c r="O794" s="5" t="s">
        <v>634</v>
      </c>
      <c r="P794" s="5" t="str">
        <f aca="false">IF(J794="S0","—",IF(K794="","",IF(L794="E0","QM",INDEX(10_ASIL_Matrix!$D$4:$F$15,MATCH(J794&amp;"-"&amp;L794,10_ASIL_Matrix!$C$4:$C$15,0),MATCH(N794,10_ASIL_Matrix!$D$3:$F$3,0)))))</f>
        <v>—</v>
      </c>
      <c r="Q794" s="5" t="s">
        <v>448</v>
      </c>
    </row>
    <row r="795" customFormat="false" ht="46.25" hidden="false" customHeight="false" outlineLevel="0" collapsed="false">
      <c r="A795" s="6" t="s">
        <v>2189</v>
      </c>
      <c r="B795" s="6" t="s">
        <v>101</v>
      </c>
      <c r="C795" s="6" t="s">
        <v>102</v>
      </c>
      <c r="D795" s="6" t="s">
        <v>170</v>
      </c>
      <c r="E795" s="6" t="s">
        <v>171</v>
      </c>
      <c r="F795" s="6" t="s">
        <v>211</v>
      </c>
      <c r="G795" s="6" t="s">
        <v>609</v>
      </c>
      <c r="H795" s="6" t="s">
        <v>232</v>
      </c>
      <c r="I795" s="6" t="s">
        <v>2190</v>
      </c>
      <c r="J795" s="6" t="s">
        <v>238</v>
      </c>
      <c r="K795" s="6" t="s">
        <v>2180</v>
      </c>
      <c r="L795" s="6" t="s">
        <v>233</v>
      </c>
      <c r="M795" s="6" t="s">
        <v>687</v>
      </c>
      <c r="N795" s="6" t="s">
        <v>278</v>
      </c>
      <c r="O795" s="6" t="s">
        <v>634</v>
      </c>
      <c r="P795" s="6" t="str">
        <f aca="false">IF(J795="S0","—",IF(K795="","",IF(L795="E0","QM",INDEX(10_ASIL_Matrix!$D$4:$F$15,MATCH(J795&amp;"-"&amp;L795,10_ASIL_Matrix!$C$4:$C$15,0),MATCH(N795,10_ASIL_Matrix!$D$3:$F$3,0)))))</f>
        <v>—</v>
      </c>
      <c r="Q795" s="6" t="s">
        <v>448</v>
      </c>
    </row>
    <row r="796" customFormat="false" ht="46.25" hidden="false" customHeight="false" outlineLevel="0" collapsed="false">
      <c r="A796" s="5" t="s">
        <v>2191</v>
      </c>
      <c r="B796" s="5" t="s">
        <v>101</v>
      </c>
      <c r="C796" s="5" t="s">
        <v>102</v>
      </c>
      <c r="D796" s="5" t="s">
        <v>170</v>
      </c>
      <c r="E796" s="5" t="s">
        <v>171</v>
      </c>
      <c r="F796" s="5" t="s">
        <v>213</v>
      </c>
      <c r="G796" s="5" t="s">
        <v>689</v>
      </c>
      <c r="H796" s="5" t="s">
        <v>222</v>
      </c>
      <c r="I796" s="5" t="s">
        <v>2192</v>
      </c>
      <c r="J796" s="5" t="s">
        <v>250</v>
      </c>
      <c r="K796" s="5" t="s">
        <v>1094</v>
      </c>
      <c r="L796" s="5" t="s">
        <v>205</v>
      </c>
      <c r="M796" s="5" t="s">
        <v>692</v>
      </c>
      <c r="N796" s="5" t="s">
        <v>286</v>
      </c>
      <c r="O796" s="5" t="s">
        <v>933</v>
      </c>
      <c r="P796" s="19" t="str">
        <f aca="false">IF(J796="S0","—",IF(K796="","",IF(L796="E0","QM",INDEX(10_ASIL_Matrix!$D$4:$F$15,MATCH(J796&amp;"-"&amp;L796,10_ASIL_Matrix!$C$4:$C$15,0),MATCH(N796,10_ASIL_Matrix!$D$3:$F$3,0)))))</f>
        <v>A</v>
      </c>
      <c r="Q796" s="5" t="s">
        <v>448</v>
      </c>
    </row>
    <row r="797" customFormat="false" ht="46.25" hidden="false" customHeight="false" outlineLevel="0" collapsed="false">
      <c r="A797" s="6" t="s">
        <v>2193</v>
      </c>
      <c r="B797" s="6" t="s">
        <v>101</v>
      </c>
      <c r="C797" s="6" t="s">
        <v>102</v>
      </c>
      <c r="D797" s="6" t="s">
        <v>170</v>
      </c>
      <c r="E797" s="6" t="s">
        <v>171</v>
      </c>
      <c r="F797" s="6" t="s">
        <v>213</v>
      </c>
      <c r="G797" s="6" t="s">
        <v>689</v>
      </c>
      <c r="H797" s="6" t="s">
        <v>224</v>
      </c>
      <c r="I797" s="6" t="s">
        <v>2194</v>
      </c>
      <c r="J797" s="6" t="s">
        <v>250</v>
      </c>
      <c r="K797" s="6" t="s">
        <v>1094</v>
      </c>
      <c r="L797" s="6" t="s">
        <v>205</v>
      </c>
      <c r="M797" s="6" t="s">
        <v>696</v>
      </c>
      <c r="N797" s="6" t="s">
        <v>286</v>
      </c>
      <c r="O797" s="6" t="s">
        <v>933</v>
      </c>
      <c r="P797" s="19" t="str">
        <f aca="false">IF(J797="S0","—",IF(K797="","",IF(L797="E0","QM",INDEX(10_ASIL_Matrix!$D$4:$F$15,MATCH(J797&amp;"-"&amp;L797,10_ASIL_Matrix!$C$4:$C$15,0),MATCH(N797,10_ASIL_Matrix!$D$3:$F$3,0)))))</f>
        <v>A</v>
      </c>
      <c r="Q797" s="6" t="s">
        <v>448</v>
      </c>
    </row>
    <row r="798" customFormat="false" ht="46.25" hidden="false" customHeight="false" outlineLevel="0" collapsed="false">
      <c r="A798" s="5" t="s">
        <v>2195</v>
      </c>
      <c r="B798" s="5" t="s">
        <v>101</v>
      </c>
      <c r="C798" s="5" t="s">
        <v>102</v>
      </c>
      <c r="D798" s="5" t="s">
        <v>170</v>
      </c>
      <c r="E798" s="5" t="s">
        <v>171</v>
      </c>
      <c r="F798" s="5" t="s">
        <v>213</v>
      </c>
      <c r="G798" s="5" t="s">
        <v>689</v>
      </c>
      <c r="H798" s="5" t="s">
        <v>226</v>
      </c>
      <c r="I798" s="5" t="s">
        <v>2196</v>
      </c>
      <c r="J798" s="5" t="s">
        <v>250</v>
      </c>
      <c r="K798" s="5" t="s">
        <v>1094</v>
      </c>
      <c r="L798" s="5" t="s">
        <v>205</v>
      </c>
      <c r="M798" s="5" t="s">
        <v>699</v>
      </c>
      <c r="N798" s="5" t="s">
        <v>286</v>
      </c>
      <c r="O798" s="5" t="s">
        <v>933</v>
      </c>
      <c r="P798" s="19" t="str">
        <f aca="false">IF(J798="S0","—",IF(K798="","",IF(L798="E0","QM",INDEX(10_ASIL_Matrix!$D$4:$F$15,MATCH(J798&amp;"-"&amp;L798,10_ASIL_Matrix!$C$4:$C$15,0),MATCH(N798,10_ASIL_Matrix!$D$3:$F$3,0)))))</f>
        <v>A</v>
      </c>
      <c r="Q798" s="5" t="s">
        <v>448</v>
      </c>
    </row>
    <row r="799" customFormat="false" ht="46.25" hidden="false" customHeight="false" outlineLevel="0" collapsed="false">
      <c r="A799" s="6" t="s">
        <v>2197</v>
      </c>
      <c r="B799" s="6" t="s">
        <v>101</v>
      </c>
      <c r="C799" s="6" t="s">
        <v>102</v>
      </c>
      <c r="D799" s="6" t="s">
        <v>170</v>
      </c>
      <c r="E799" s="6" t="s">
        <v>171</v>
      </c>
      <c r="F799" s="6" t="s">
        <v>213</v>
      </c>
      <c r="G799" s="6" t="s">
        <v>689</v>
      </c>
      <c r="H799" s="6" t="s">
        <v>228</v>
      </c>
      <c r="I799" s="6" t="s">
        <v>2198</v>
      </c>
      <c r="J799" s="6" t="s">
        <v>250</v>
      </c>
      <c r="K799" s="6" t="s">
        <v>1094</v>
      </c>
      <c r="L799" s="6" t="s">
        <v>205</v>
      </c>
      <c r="M799" s="6" t="s">
        <v>702</v>
      </c>
      <c r="N799" s="6" t="s">
        <v>286</v>
      </c>
      <c r="O799" s="6" t="s">
        <v>933</v>
      </c>
      <c r="P799" s="19" t="str">
        <f aca="false">IF(J799="S0","—",IF(K799="","",IF(L799="E0","QM",INDEX(10_ASIL_Matrix!$D$4:$F$15,MATCH(J799&amp;"-"&amp;L799,10_ASIL_Matrix!$C$4:$C$15,0),MATCH(N799,10_ASIL_Matrix!$D$3:$F$3,0)))))</f>
        <v>A</v>
      </c>
      <c r="Q799" s="6" t="s">
        <v>448</v>
      </c>
    </row>
    <row r="800" customFormat="false" ht="57.45" hidden="false" customHeight="false" outlineLevel="0" collapsed="false">
      <c r="A800" s="5" t="s">
        <v>2199</v>
      </c>
      <c r="B800" s="5" t="s">
        <v>101</v>
      </c>
      <c r="C800" s="5" t="s">
        <v>102</v>
      </c>
      <c r="D800" s="5" t="s">
        <v>170</v>
      </c>
      <c r="E800" s="5" t="s">
        <v>171</v>
      </c>
      <c r="F800" s="5" t="s">
        <v>213</v>
      </c>
      <c r="G800" s="5" t="s">
        <v>689</v>
      </c>
      <c r="H800" s="5" t="s">
        <v>230</v>
      </c>
      <c r="I800" s="5" t="s">
        <v>2200</v>
      </c>
      <c r="J800" s="5" t="s">
        <v>250</v>
      </c>
      <c r="K800" s="5" t="s">
        <v>1094</v>
      </c>
      <c r="L800" s="5" t="s">
        <v>205</v>
      </c>
      <c r="M800" s="5" t="s">
        <v>705</v>
      </c>
      <c r="N800" s="5" t="s">
        <v>290</v>
      </c>
      <c r="O800" s="5" t="s">
        <v>942</v>
      </c>
      <c r="P800" s="18" t="str">
        <f aca="false">IF(J800="S0","—",IF(K800="","",IF(L800="E0","QM",INDEX(10_ASIL_Matrix!$D$4:$F$15,MATCH(J800&amp;"-"&amp;L800,10_ASIL_Matrix!$C$4:$C$15,0),MATCH(N800,10_ASIL_Matrix!$D$3:$F$3,0)))))</f>
        <v>B</v>
      </c>
      <c r="Q800" s="5" t="s">
        <v>448</v>
      </c>
    </row>
    <row r="801" customFormat="false" ht="46.25" hidden="false" customHeight="false" outlineLevel="0" collapsed="false">
      <c r="A801" s="6" t="s">
        <v>2201</v>
      </c>
      <c r="B801" s="6" t="s">
        <v>101</v>
      </c>
      <c r="C801" s="6" t="s">
        <v>102</v>
      </c>
      <c r="D801" s="6" t="s">
        <v>170</v>
      </c>
      <c r="E801" s="6" t="s">
        <v>171</v>
      </c>
      <c r="F801" s="6" t="s">
        <v>213</v>
      </c>
      <c r="G801" s="6" t="s">
        <v>689</v>
      </c>
      <c r="H801" s="6" t="s">
        <v>232</v>
      </c>
      <c r="I801" s="6" t="s">
        <v>2202</v>
      </c>
      <c r="J801" s="6" t="s">
        <v>250</v>
      </c>
      <c r="K801" s="6" t="s">
        <v>1094</v>
      </c>
      <c r="L801" s="6" t="s">
        <v>233</v>
      </c>
      <c r="M801" s="6" t="s">
        <v>709</v>
      </c>
      <c r="N801" s="6" t="s">
        <v>286</v>
      </c>
      <c r="O801" s="6" t="s">
        <v>933</v>
      </c>
      <c r="P801" s="6" t="str">
        <f aca="false">IF(J801="S0","—",IF(K801="","",IF(L801="E0","QM",INDEX(10_ASIL_Matrix!$D$4:$F$15,MATCH(J801&amp;"-"&amp;L801,10_ASIL_Matrix!$C$4:$C$15,0),MATCH(N801,10_ASIL_Matrix!$D$3:$F$3,0)))))</f>
        <v>QM</v>
      </c>
      <c r="Q801" s="6" t="s">
        <v>448</v>
      </c>
    </row>
    <row r="802" customFormat="false" ht="46.25" hidden="false" customHeight="false" outlineLevel="0" collapsed="false">
      <c r="A802" s="5" t="s">
        <v>2203</v>
      </c>
      <c r="B802" s="5" t="s">
        <v>101</v>
      </c>
      <c r="C802" s="5" t="s">
        <v>102</v>
      </c>
      <c r="D802" s="5" t="s">
        <v>170</v>
      </c>
      <c r="E802" s="5" t="s">
        <v>171</v>
      </c>
      <c r="F802" s="5" t="s">
        <v>215</v>
      </c>
      <c r="G802" s="5" t="s">
        <v>711</v>
      </c>
      <c r="H802" s="5" t="s">
        <v>222</v>
      </c>
      <c r="I802" s="5" t="s">
        <v>2204</v>
      </c>
      <c r="J802" s="5" t="s">
        <v>250</v>
      </c>
      <c r="K802" s="5" t="s">
        <v>1107</v>
      </c>
      <c r="L802" s="5" t="s">
        <v>190</v>
      </c>
      <c r="M802" s="5" t="s">
        <v>714</v>
      </c>
      <c r="N802" s="5" t="s">
        <v>286</v>
      </c>
      <c r="O802" s="5" t="s">
        <v>933</v>
      </c>
      <c r="P802" s="18" t="str">
        <f aca="false">IF(J802="S0","—",IF(K802="","",IF(L802="E0","QM",INDEX(10_ASIL_Matrix!$D$4:$F$15,MATCH(J802&amp;"-"&amp;L802,10_ASIL_Matrix!$C$4:$C$15,0),MATCH(N802,10_ASIL_Matrix!$D$3:$F$3,0)))))</f>
        <v>B</v>
      </c>
      <c r="Q802" s="5" t="s">
        <v>448</v>
      </c>
    </row>
    <row r="803" customFormat="false" ht="46.25" hidden="false" customHeight="false" outlineLevel="0" collapsed="false">
      <c r="A803" s="6" t="s">
        <v>2205</v>
      </c>
      <c r="B803" s="6" t="s">
        <v>101</v>
      </c>
      <c r="C803" s="6" t="s">
        <v>102</v>
      </c>
      <c r="D803" s="6" t="s">
        <v>170</v>
      </c>
      <c r="E803" s="6" t="s">
        <v>171</v>
      </c>
      <c r="F803" s="6" t="s">
        <v>215</v>
      </c>
      <c r="G803" s="6" t="s">
        <v>711</v>
      </c>
      <c r="H803" s="6" t="s">
        <v>224</v>
      </c>
      <c r="I803" s="6" t="s">
        <v>2206</v>
      </c>
      <c r="J803" s="6" t="s">
        <v>250</v>
      </c>
      <c r="K803" s="6" t="s">
        <v>1107</v>
      </c>
      <c r="L803" s="6" t="s">
        <v>190</v>
      </c>
      <c r="M803" s="6" t="s">
        <v>717</v>
      </c>
      <c r="N803" s="6" t="s">
        <v>286</v>
      </c>
      <c r="O803" s="6" t="s">
        <v>933</v>
      </c>
      <c r="P803" s="18" t="str">
        <f aca="false">IF(J803="S0","—",IF(K803="","",IF(L803="E0","QM",INDEX(10_ASIL_Matrix!$D$4:$F$15,MATCH(J803&amp;"-"&amp;L803,10_ASIL_Matrix!$C$4:$C$15,0),MATCH(N803,10_ASIL_Matrix!$D$3:$F$3,0)))))</f>
        <v>B</v>
      </c>
      <c r="Q803" s="6" t="s">
        <v>448</v>
      </c>
    </row>
    <row r="804" customFormat="false" ht="46.25" hidden="false" customHeight="false" outlineLevel="0" collapsed="false">
      <c r="A804" s="5" t="s">
        <v>2207</v>
      </c>
      <c r="B804" s="5" t="s">
        <v>101</v>
      </c>
      <c r="C804" s="5" t="s">
        <v>102</v>
      </c>
      <c r="D804" s="5" t="s">
        <v>170</v>
      </c>
      <c r="E804" s="5" t="s">
        <v>171</v>
      </c>
      <c r="F804" s="5" t="s">
        <v>215</v>
      </c>
      <c r="G804" s="5" t="s">
        <v>711</v>
      </c>
      <c r="H804" s="5" t="s">
        <v>226</v>
      </c>
      <c r="I804" s="5" t="s">
        <v>2208</v>
      </c>
      <c r="J804" s="5" t="s">
        <v>250</v>
      </c>
      <c r="K804" s="5" t="s">
        <v>1107</v>
      </c>
      <c r="L804" s="5" t="s">
        <v>190</v>
      </c>
      <c r="M804" s="5" t="s">
        <v>720</v>
      </c>
      <c r="N804" s="5" t="s">
        <v>286</v>
      </c>
      <c r="O804" s="5" t="s">
        <v>933</v>
      </c>
      <c r="P804" s="18" t="str">
        <f aca="false">IF(J804="S0","—",IF(K804="","",IF(L804="E0","QM",INDEX(10_ASIL_Matrix!$D$4:$F$15,MATCH(J804&amp;"-"&amp;L804,10_ASIL_Matrix!$C$4:$C$15,0),MATCH(N804,10_ASIL_Matrix!$D$3:$F$3,0)))))</f>
        <v>B</v>
      </c>
      <c r="Q804" s="5" t="s">
        <v>448</v>
      </c>
    </row>
    <row r="805" customFormat="false" ht="46.25" hidden="false" customHeight="false" outlineLevel="0" collapsed="false">
      <c r="A805" s="6" t="s">
        <v>2209</v>
      </c>
      <c r="B805" s="6" t="s">
        <v>101</v>
      </c>
      <c r="C805" s="6" t="s">
        <v>102</v>
      </c>
      <c r="D805" s="6" t="s">
        <v>170</v>
      </c>
      <c r="E805" s="6" t="s">
        <v>171</v>
      </c>
      <c r="F805" s="6" t="s">
        <v>215</v>
      </c>
      <c r="G805" s="6" t="s">
        <v>711</v>
      </c>
      <c r="H805" s="6" t="s">
        <v>228</v>
      </c>
      <c r="I805" s="6" t="s">
        <v>2210</v>
      </c>
      <c r="J805" s="6" t="s">
        <v>250</v>
      </c>
      <c r="K805" s="6" t="s">
        <v>1107</v>
      </c>
      <c r="L805" s="6" t="s">
        <v>205</v>
      </c>
      <c r="M805" s="6" t="s">
        <v>723</v>
      </c>
      <c r="N805" s="6" t="s">
        <v>286</v>
      </c>
      <c r="O805" s="6" t="s">
        <v>933</v>
      </c>
      <c r="P805" s="19" t="str">
        <f aca="false">IF(J805="S0","—",IF(K805="","",IF(L805="E0","QM",INDEX(10_ASIL_Matrix!$D$4:$F$15,MATCH(J805&amp;"-"&amp;L805,10_ASIL_Matrix!$C$4:$C$15,0),MATCH(N805,10_ASIL_Matrix!$D$3:$F$3,0)))))</f>
        <v>A</v>
      </c>
      <c r="Q805" s="6" t="s">
        <v>448</v>
      </c>
    </row>
    <row r="806" customFormat="false" ht="57.45" hidden="false" customHeight="false" outlineLevel="0" collapsed="false">
      <c r="A806" s="5" t="s">
        <v>2211</v>
      </c>
      <c r="B806" s="5" t="s">
        <v>101</v>
      </c>
      <c r="C806" s="5" t="s">
        <v>102</v>
      </c>
      <c r="D806" s="5" t="s">
        <v>170</v>
      </c>
      <c r="E806" s="5" t="s">
        <v>171</v>
      </c>
      <c r="F806" s="5" t="s">
        <v>215</v>
      </c>
      <c r="G806" s="5" t="s">
        <v>711</v>
      </c>
      <c r="H806" s="5" t="s">
        <v>230</v>
      </c>
      <c r="I806" s="5" t="s">
        <v>2212</v>
      </c>
      <c r="J806" s="5" t="s">
        <v>250</v>
      </c>
      <c r="K806" s="5" t="s">
        <v>1107</v>
      </c>
      <c r="L806" s="5" t="s">
        <v>205</v>
      </c>
      <c r="M806" s="5" t="s">
        <v>726</v>
      </c>
      <c r="N806" s="5" t="s">
        <v>290</v>
      </c>
      <c r="O806" s="5" t="s">
        <v>942</v>
      </c>
      <c r="P806" s="18" t="str">
        <f aca="false">IF(J806="S0","—",IF(K806="","",IF(L806="E0","QM",INDEX(10_ASIL_Matrix!$D$4:$F$15,MATCH(J806&amp;"-"&amp;L806,10_ASIL_Matrix!$C$4:$C$15,0),MATCH(N806,10_ASIL_Matrix!$D$3:$F$3,0)))))</f>
        <v>B</v>
      </c>
      <c r="Q806" s="5" t="s">
        <v>448</v>
      </c>
    </row>
    <row r="807" customFormat="false" ht="46.25" hidden="false" customHeight="false" outlineLevel="0" collapsed="false">
      <c r="A807" s="6" t="s">
        <v>2213</v>
      </c>
      <c r="B807" s="6" t="s">
        <v>101</v>
      </c>
      <c r="C807" s="6" t="s">
        <v>102</v>
      </c>
      <c r="D807" s="6" t="s">
        <v>170</v>
      </c>
      <c r="E807" s="6" t="s">
        <v>171</v>
      </c>
      <c r="F807" s="6" t="s">
        <v>215</v>
      </c>
      <c r="G807" s="6" t="s">
        <v>711</v>
      </c>
      <c r="H807" s="6" t="s">
        <v>232</v>
      </c>
      <c r="I807" s="6" t="s">
        <v>2214</v>
      </c>
      <c r="J807" s="6" t="s">
        <v>250</v>
      </c>
      <c r="K807" s="6" t="s">
        <v>1107</v>
      </c>
      <c r="L807" s="6" t="s">
        <v>233</v>
      </c>
      <c r="M807" s="6" t="s">
        <v>729</v>
      </c>
      <c r="N807" s="6" t="s">
        <v>286</v>
      </c>
      <c r="O807" s="6" t="s">
        <v>933</v>
      </c>
      <c r="P807" s="6" t="str">
        <f aca="false">IF(J807="S0","—",IF(K807="","",IF(L807="E0","QM",INDEX(10_ASIL_Matrix!$D$4:$F$15,MATCH(J807&amp;"-"&amp;L807,10_ASIL_Matrix!$C$4:$C$15,0),MATCH(N807,10_ASIL_Matrix!$D$3:$F$3,0)))))</f>
        <v>QM</v>
      </c>
      <c r="Q807" s="6" t="s">
        <v>448</v>
      </c>
    </row>
    <row r="808" customFormat="false" ht="46.25" hidden="false" customHeight="false" outlineLevel="0" collapsed="false">
      <c r="A808" s="5" t="s">
        <v>2215</v>
      </c>
      <c r="B808" s="5" t="s">
        <v>101</v>
      </c>
      <c r="C808" s="5" t="s">
        <v>102</v>
      </c>
      <c r="D808" s="5" t="s">
        <v>170</v>
      </c>
      <c r="E808" s="5" t="s">
        <v>171</v>
      </c>
      <c r="F808" s="5" t="s">
        <v>217</v>
      </c>
      <c r="G808" s="5" t="s">
        <v>488</v>
      </c>
      <c r="H808" s="5" t="s">
        <v>222</v>
      </c>
      <c r="I808" s="5" t="s">
        <v>2216</v>
      </c>
      <c r="J808" s="5" t="s">
        <v>250</v>
      </c>
      <c r="K808" s="5" t="s">
        <v>1120</v>
      </c>
      <c r="L808" s="5" t="s">
        <v>190</v>
      </c>
      <c r="M808" s="5" t="s">
        <v>733</v>
      </c>
      <c r="N808" s="5" t="s">
        <v>286</v>
      </c>
      <c r="O808" s="5" t="s">
        <v>933</v>
      </c>
      <c r="P808" s="18" t="str">
        <f aca="false">IF(J808="S0","—",IF(K808="","",IF(L808="E0","QM",INDEX(10_ASIL_Matrix!$D$4:$F$15,MATCH(J808&amp;"-"&amp;L808,10_ASIL_Matrix!$C$4:$C$15,0),MATCH(N808,10_ASIL_Matrix!$D$3:$F$3,0)))))</f>
        <v>B</v>
      </c>
      <c r="Q808" s="5" t="s">
        <v>448</v>
      </c>
    </row>
    <row r="809" customFormat="false" ht="46.25" hidden="false" customHeight="false" outlineLevel="0" collapsed="false">
      <c r="A809" s="6" t="s">
        <v>2217</v>
      </c>
      <c r="B809" s="6" t="s">
        <v>101</v>
      </c>
      <c r="C809" s="6" t="s">
        <v>102</v>
      </c>
      <c r="D809" s="6" t="s">
        <v>170</v>
      </c>
      <c r="E809" s="6" t="s">
        <v>171</v>
      </c>
      <c r="F809" s="6" t="s">
        <v>217</v>
      </c>
      <c r="G809" s="6" t="s">
        <v>488</v>
      </c>
      <c r="H809" s="6" t="s">
        <v>224</v>
      </c>
      <c r="I809" s="6" t="s">
        <v>2218</v>
      </c>
      <c r="J809" s="6" t="s">
        <v>250</v>
      </c>
      <c r="K809" s="6" t="s">
        <v>1120</v>
      </c>
      <c r="L809" s="6" t="s">
        <v>190</v>
      </c>
      <c r="M809" s="6" t="s">
        <v>736</v>
      </c>
      <c r="N809" s="6" t="s">
        <v>286</v>
      </c>
      <c r="O809" s="6" t="s">
        <v>933</v>
      </c>
      <c r="P809" s="18" t="str">
        <f aca="false">IF(J809="S0","—",IF(K809="","",IF(L809="E0","QM",INDEX(10_ASIL_Matrix!$D$4:$F$15,MATCH(J809&amp;"-"&amp;L809,10_ASIL_Matrix!$C$4:$C$15,0),MATCH(N809,10_ASIL_Matrix!$D$3:$F$3,0)))))</f>
        <v>B</v>
      </c>
      <c r="Q809" s="6" t="s">
        <v>448</v>
      </c>
    </row>
    <row r="810" customFormat="false" ht="46.25" hidden="false" customHeight="false" outlineLevel="0" collapsed="false">
      <c r="A810" s="5" t="s">
        <v>2219</v>
      </c>
      <c r="B810" s="5" t="s">
        <v>101</v>
      </c>
      <c r="C810" s="5" t="s">
        <v>102</v>
      </c>
      <c r="D810" s="5" t="s">
        <v>170</v>
      </c>
      <c r="E810" s="5" t="s">
        <v>171</v>
      </c>
      <c r="F810" s="5" t="s">
        <v>217</v>
      </c>
      <c r="G810" s="5" t="s">
        <v>488</v>
      </c>
      <c r="H810" s="5" t="s">
        <v>226</v>
      </c>
      <c r="I810" s="5" t="s">
        <v>2220</v>
      </c>
      <c r="J810" s="5" t="s">
        <v>250</v>
      </c>
      <c r="K810" s="5" t="s">
        <v>1120</v>
      </c>
      <c r="L810" s="5" t="s">
        <v>190</v>
      </c>
      <c r="M810" s="5" t="s">
        <v>739</v>
      </c>
      <c r="N810" s="5" t="s">
        <v>286</v>
      </c>
      <c r="O810" s="5" t="s">
        <v>933</v>
      </c>
      <c r="P810" s="18" t="str">
        <f aca="false">IF(J810="S0","—",IF(K810="","",IF(L810="E0","QM",INDEX(10_ASIL_Matrix!$D$4:$F$15,MATCH(J810&amp;"-"&amp;L810,10_ASIL_Matrix!$C$4:$C$15,0),MATCH(N810,10_ASIL_Matrix!$D$3:$F$3,0)))))</f>
        <v>B</v>
      </c>
      <c r="Q810" s="5" t="s">
        <v>448</v>
      </c>
    </row>
    <row r="811" customFormat="false" ht="46.25" hidden="false" customHeight="false" outlineLevel="0" collapsed="false">
      <c r="A811" s="6" t="s">
        <v>2221</v>
      </c>
      <c r="B811" s="6" t="s">
        <v>101</v>
      </c>
      <c r="C811" s="6" t="s">
        <v>102</v>
      </c>
      <c r="D811" s="6" t="s">
        <v>170</v>
      </c>
      <c r="E811" s="6" t="s">
        <v>171</v>
      </c>
      <c r="F811" s="6" t="s">
        <v>217</v>
      </c>
      <c r="G811" s="6" t="s">
        <v>488</v>
      </c>
      <c r="H811" s="6" t="s">
        <v>228</v>
      </c>
      <c r="I811" s="6" t="s">
        <v>2222</v>
      </c>
      <c r="J811" s="6" t="s">
        <v>250</v>
      </c>
      <c r="K811" s="6" t="s">
        <v>1120</v>
      </c>
      <c r="L811" s="6" t="s">
        <v>205</v>
      </c>
      <c r="M811" s="6" t="s">
        <v>742</v>
      </c>
      <c r="N811" s="6" t="s">
        <v>286</v>
      </c>
      <c r="O811" s="6" t="s">
        <v>933</v>
      </c>
      <c r="P811" s="19" t="str">
        <f aca="false">IF(J811="S0","—",IF(K811="","",IF(L811="E0","QM",INDEX(10_ASIL_Matrix!$D$4:$F$15,MATCH(J811&amp;"-"&amp;L811,10_ASIL_Matrix!$C$4:$C$15,0),MATCH(N811,10_ASIL_Matrix!$D$3:$F$3,0)))))</f>
        <v>A</v>
      </c>
      <c r="Q811" s="6" t="s">
        <v>448</v>
      </c>
    </row>
    <row r="812" customFormat="false" ht="57.45" hidden="false" customHeight="false" outlineLevel="0" collapsed="false">
      <c r="A812" s="5" t="s">
        <v>2223</v>
      </c>
      <c r="B812" s="5" t="s">
        <v>101</v>
      </c>
      <c r="C812" s="5" t="s">
        <v>102</v>
      </c>
      <c r="D812" s="5" t="s">
        <v>170</v>
      </c>
      <c r="E812" s="5" t="s">
        <v>171</v>
      </c>
      <c r="F812" s="5" t="s">
        <v>217</v>
      </c>
      <c r="G812" s="5" t="s">
        <v>488</v>
      </c>
      <c r="H812" s="5" t="s">
        <v>230</v>
      </c>
      <c r="I812" s="5" t="s">
        <v>2224</v>
      </c>
      <c r="J812" s="5" t="s">
        <v>250</v>
      </c>
      <c r="K812" s="5" t="s">
        <v>1120</v>
      </c>
      <c r="L812" s="5" t="s">
        <v>205</v>
      </c>
      <c r="M812" s="5" t="s">
        <v>745</v>
      </c>
      <c r="N812" s="5" t="s">
        <v>290</v>
      </c>
      <c r="O812" s="5" t="s">
        <v>942</v>
      </c>
      <c r="P812" s="18" t="str">
        <f aca="false">IF(J812="S0","—",IF(K812="","",IF(L812="E0","QM",INDEX(10_ASIL_Matrix!$D$4:$F$15,MATCH(J812&amp;"-"&amp;L812,10_ASIL_Matrix!$C$4:$C$15,0),MATCH(N812,10_ASIL_Matrix!$D$3:$F$3,0)))))</f>
        <v>B</v>
      </c>
      <c r="Q812" s="5" t="s">
        <v>448</v>
      </c>
    </row>
    <row r="813" customFormat="false" ht="46.25" hidden="false" customHeight="false" outlineLevel="0" collapsed="false">
      <c r="A813" s="6" t="s">
        <v>2225</v>
      </c>
      <c r="B813" s="6" t="s">
        <v>101</v>
      </c>
      <c r="C813" s="6" t="s">
        <v>102</v>
      </c>
      <c r="D813" s="6" t="s">
        <v>170</v>
      </c>
      <c r="E813" s="6" t="s">
        <v>171</v>
      </c>
      <c r="F813" s="6" t="s">
        <v>217</v>
      </c>
      <c r="G813" s="6" t="s">
        <v>488</v>
      </c>
      <c r="H813" s="6" t="s">
        <v>232</v>
      </c>
      <c r="I813" s="6" t="s">
        <v>2226</v>
      </c>
      <c r="J813" s="6" t="s">
        <v>250</v>
      </c>
      <c r="K813" s="6" t="s">
        <v>1120</v>
      </c>
      <c r="L813" s="6" t="s">
        <v>233</v>
      </c>
      <c r="M813" s="6" t="s">
        <v>748</v>
      </c>
      <c r="N813" s="6" t="s">
        <v>286</v>
      </c>
      <c r="O813" s="6" t="s">
        <v>933</v>
      </c>
      <c r="P813" s="6" t="str">
        <f aca="false">IF(J813="S0","—",IF(K813="","",IF(L813="E0","QM",INDEX(10_ASIL_Matrix!$D$4:$F$15,MATCH(J813&amp;"-"&amp;L813,10_ASIL_Matrix!$C$4:$C$15,0),MATCH(N813,10_ASIL_Matrix!$D$3:$F$3,0)))))</f>
        <v>QM</v>
      </c>
      <c r="Q813" s="6" t="s">
        <v>448</v>
      </c>
    </row>
    <row r="814" customFormat="false" ht="46.25" hidden="false" customHeight="false" outlineLevel="0" collapsed="false">
      <c r="A814" s="5" t="s">
        <v>2227</v>
      </c>
      <c r="B814" s="5" t="s">
        <v>101</v>
      </c>
      <c r="C814" s="5" t="s">
        <v>102</v>
      </c>
      <c r="D814" s="5" t="s">
        <v>173</v>
      </c>
      <c r="E814" s="5" t="s">
        <v>174</v>
      </c>
      <c r="F814" s="5" t="s">
        <v>186</v>
      </c>
      <c r="G814" s="5" t="s">
        <v>443</v>
      </c>
      <c r="H814" s="5" t="s">
        <v>222</v>
      </c>
      <c r="I814" s="5" t="s">
        <v>2228</v>
      </c>
      <c r="J814" s="5" t="s">
        <v>250</v>
      </c>
      <c r="K814" s="5" t="s">
        <v>932</v>
      </c>
      <c r="L814" s="5" t="s">
        <v>187</v>
      </c>
      <c r="M814" s="5" t="s">
        <v>446</v>
      </c>
      <c r="N814" s="5" t="s">
        <v>286</v>
      </c>
      <c r="O814" s="5" t="s">
        <v>933</v>
      </c>
      <c r="P814" s="20" t="str">
        <f aca="false">IF(J814="S0","—",IF(K814="","",IF(L814="E0","QM",INDEX(10_ASIL_Matrix!$D$4:$F$15,MATCH(J814&amp;"-"&amp;L814,10_ASIL_Matrix!$C$4:$C$15,0),MATCH(N814,10_ASIL_Matrix!$D$3:$F$3,0)))))</f>
        <v>C</v>
      </c>
      <c r="Q814" s="5" t="s">
        <v>448</v>
      </c>
    </row>
    <row r="815" customFormat="false" ht="46.25" hidden="false" customHeight="false" outlineLevel="0" collapsed="false">
      <c r="A815" s="6" t="s">
        <v>2229</v>
      </c>
      <c r="B815" s="6" t="s">
        <v>101</v>
      </c>
      <c r="C815" s="6" t="s">
        <v>102</v>
      </c>
      <c r="D815" s="6" t="s">
        <v>173</v>
      </c>
      <c r="E815" s="6" t="s">
        <v>174</v>
      </c>
      <c r="F815" s="6" t="s">
        <v>186</v>
      </c>
      <c r="G815" s="6" t="s">
        <v>443</v>
      </c>
      <c r="H815" s="6" t="s">
        <v>224</v>
      </c>
      <c r="I815" s="6" t="s">
        <v>2230</v>
      </c>
      <c r="J815" s="6" t="s">
        <v>250</v>
      </c>
      <c r="K815" s="6" t="s">
        <v>932</v>
      </c>
      <c r="L815" s="6" t="s">
        <v>190</v>
      </c>
      <c r="M815" s="6" t="s">
        <v>451</v>
      </c>
      <c r="N815" s="6" t="s">
        <v>286</v>
      </c>
      <c r="O815" s="6" t="s">
        <v>933</v>
      </c>
      <c r="P815" s="18" t="str">
        <f aca="false">IF(J815="S0","—",IF(K815="","",IF(L815="E0","QM",INDEX(10_ASIL_Matrix!$D$4:$F$15,MATCH(J815&amp;"-"&amp;L815,10_ASIL_Matrix!$C$4:$C$15,0),MATCH(N815,10_ASIL_Matrix!$D$3:$F$3,0)))))</f>
        <v>B</v>
      </c>
      <c r="Q815" s="6" t="s">
        <v>448</v>
      </c>
    </row>
    <row r="816" customFormat="false" ht="46.25" hidden="false" customHeight="false" outlineLevel="0" collapsed="false">
      <c r="A816" s="5" t="s">
        <v>2231</v>
      </c>
      <c r="B816" s="5" t="s">
        <v>101</v>
      </c>
      <c r="C816" s="5" t="s">
        <v>102</v>
      </c>
      <c r="D816" s="5" t="s">
        <v>173</v>
      </c>
      <c r="E816" s="5" t="s">
        <v>174</v>
      </c>
      <c r="F816" s="5" t="s">
        <v>186</v>
      </c>
      <c r="G816" s="5" t="s">
        <v>443</v>
      </c>
      <c r="H816" s="5" t="s">
        <v>226</v>
      </c>
      <c r="I816" s="5" t="s">
        <v>2232</v>
      </c>
      <c r="J816" s="5" t="s">
        <v>250</v>
      </c>
      <c r="K816" s="5" t="s">
        <v>932</v>
      </c>
      <c r="L816" s="5" t="s">
        <v>190</v>
      </c>
      <c r="M816" s="5" t="s">
        <v>454</v>
      </c>
      <c r="N816" s="5" t="s">
        <v>286</v>
      </c>
      <c r="O816" s="5" t="s">
        <v>933</v>
      </c>
      <c r="P816" s="18" t="str">
        <f aca="false">IF(J816="S0","—",IF(K816="","",IF(L816="E0","QM",INDEX(10_ASIL_Matrix!$D$4:$F$15,MATCH(J816&amp;"-"&amp;L816,10_ASIL_Matrix!$C$4:$C$15,0),MATCH(N816,10_ASIL_Matrix!$D$3:$F$3,0)))))</f>
        <v>B</v>
      </c>
      <c r="Q816" s="5" t="s">
        <v>448</v>
      </c>
    </row>
    <row r="817" customFormat="false" ht="46.25" hidden="false" customHeight="false" outlineLevel="0" collapsed="false">
      <c r="A817" s="6" t="s">
        <v>2233</v>
      </c>
      <c r="B817" s="6" t="s">
        <v>101</v>
      </c>
      <c r="C817" s="6" t="s">
        <v>102</v>
      </c>
      <c r="D817" s="6" t="s">
        <v>173</v>
      </c>
      <c r="E817" s="6" t="s">
        <v>174</v>
      </c>
      <c r="F817" s="6" t="s">
        <v>186</v>
      </c>
      <c r="G817" s="6" t="s">
        <v>443</v>
      </c>
      <c r="H817" s="6" t="s">
        <v>228</v>
      </c>
      <c r="I817" s="6" t="s">
        <v>2234</v>
      </c>
      <c r="J817" s="6" t="s">
        <v>250</v>
      </c>
      <c r="K817" s="6" t="s">
        <v>932</v>
      </c>
      <c r="L817" s="6" t="s">
        <v>205</v>
      </c>
      <c r="M817" s="6" t="s">
        <v>457</v>
      </c>
      <c r="N817" s="6" t="s">
        <v>286</v>
      </c>
      <c r="O817" s="6" t="s">
        <v>933</v>
      </c>
      <c r="P817" s="19" t="str">
        <f aca="false">IF(J817="S0","—",IF(K817="","",IF(L817="E0","QM",INDEX(10_ASIL_Matrix!$D$4:$F$15,MATCH(J817&amp;"-"&amp;L817,10_ASIL_Matrix!$C$4:$C$15,0),MATCH(N817,10_ASIL_Matrix!$D$3:$F$3,0)))))</f>
        <v>A</v>
      </c>
      <c r="Q817" s="6" t="s">
        <v>448</v>
      </c>
    </row>
    <row r="818" customFormat="false" ht="57.45" hidden="false" customHeight="false" outlineLevel="0" collapsed="false">
      <c r="A818" s="5" t="s">
        <v>2235</v>
      </c>
      <c r="B818" s="5" t="s">
        <v>101</v>
      </c>
      <c r="C818" s="5" t="s">
        <v>102</v>
      </c>
      <c r="D818" s="5" t="s">
        <v>173</v>
      </c>
      <c r="E818" s="5" t="s">
        <v>174</v>
      </c>
      <c r="F818" s="5" t="s">
        <v>186</v>
      </c>
      <c r="G818" s="5" t="s">
        <v>443</v>
      </c>
      <c r="H818" s="5" t="s">
        <v>230</v>
      </c>
      <c r="I818" s="5" t="s">
        <v>2236</v>
      </c>
      <c r="J818" s="5" t="s">
        <v>250</v>
      </c>
      <c r="K818" s="5" t="s">
        <v>932</v>
      </c>
      <c r="L818" s="5" t="s">
        <v>205</v>
      </c>
      <c r="M818" s="5" t="s">
        <v>460</v>
      </c>
      <c r="N818" s="5" t="s">
        <v>290</v>
      </c>
      <c r="O818" s="5" t="s">
        <v>942</v>
      </c>
      <c r="P818" s="18" t="str">
        <f aca="false">IF(J818="S0","—",IF(K818="","",IF(L818="E0","QM",INDEX(10_ASIL_Matrix!$D$4:$F$15,MATCH(J818&amp;"-"&amp;L818,10_ASIL_Matrix!$C$4:$C$15,0),MATCH(N818,10_ASIL_Matrix!$D$3:$F$3,0)))))</f>
        <v>B</v>
      </c>
      <c r="Q818" s="5" t="s">
        <v>448</v>
      </c>
    </row>
    <row r="819" customFormat="false" ht="46.25" hidden="false" customHeight="false" outlineLevel="0" collapsed="false">
      <c r="A819" s="6" t="s">
        <v>2237</v>
      </c>
      <c r="B819" s="6" t="s">
        <v>101</v>
      </c>
      <c r="C819" s="6" t="s">
        <v>102</v>
      </c>
      <c r="D819" s="6" t="s">
        <v>173</v>
      </c>
      <c r="E819" s="6" t="s">
        <v>174</v>
      </c>
      <c r="F819" s="6" t="s">
        <v>186</v>
      </c>
      <c r="G819" s="6" t="s">
        <v>443</v>
      </c>
      <c r="H819" s="6" t="s">
        <v>232</v>
      </c>
      <c r="I819" s="6" t="s">
        <v>2238</v>
      </c>
      <c r="J819" s="6" t="s">
        <v>250</v>
      </c>
      <c r="K819" s="6" t="s">
        <v>932</v>
      </c>
      <c r="L819" s="6" t="s">
        <v>233</v>
      </c>
      <c r="M819" s="6" t="s">
        <v>464</v>
      </c>
      <c r="N819" s="6" t="s">
        <v>286</v>
      </c>
      <c r="O819" s="6" t="s">
        <v>933</v>
      </c>
      <c r="P819" s="6" t="str">
        <f aca="false">IF(J819="S0","—",IF(K819="","",IF(L819="E0","QM",INDEX(10_ASIL_Matrix!$D$4:$F$15,MATCH(J819&amp;"-"&amp;L819,10_ASIL_Matrix!$C$4:$C$15,0),MATCH(N819,10_ASIL_Matrix!$D$3:$F$3,0)))))</f>
        <v>QM</v>
      </c>
      <c r="Q819" s="6" t="s">
        <v>448</v>
      </c>
    </row>
    <row r="820" customFormat="false" ht="46.25" hidden="false" customHeight="false" outlineLevel="0" collapsed="false">
      <c r="A820" s="5" t="s">
        <v>2239</v>
      </c>
      <c r="B820" s="5" t="s">
        <v>101</v>
      </c>
      <c r="C820" s="5" t="s">
        <v>102</v>
      </c>
      <c r="D820" s="5" t="s">
        <v>173</v>
      </c>
      <c r="E820" s="5" t="s">
        <v>174</v>
      </c>
      <c r="F820" s="5" t="s">
        <v>189</v>
      </c>
      <c r="G820" s="5" t="s">
        <v>466</v>
      </c>
      <c r="H820" s="5" t="s">
        <v>222</v>
      </c>
      <c r="I820" s="5" t="s">
        <v>2240</v>
      </c>
      <c r="J820" s="5" t="s">
        <v>250</v>
      </c>
      <c r="K820" s="5" t="s">
        <v>947</v>
      </c>
      <c r="L820" s="5" t="s">
        <v>190</v>
      </c>
      <c r="M820" s="5" t="s">
        <v>469</v>
      </c>
      <c r="N820" s="5" t="s">
        <v>286</v>
      </c>
      <c r="O820" s="5" t="s">
        <v>933</v>
      </c>
      <c r="P820" s="18" t="str">
        <f aca="false">IF(J820="S0","—",IF(K820="","",IF(L820="E0","QM",INDEX(10_ASIL_Matrix!$D$4:$F$15,MATCH(J820&amp;"-"&amp;L820,10_ASIL_Matrix!$C$4:$C$15,0),MATCH(N820,10_ASIL_Matrix!$D$3:$F$3,0)))))</f>
        <v>B</v>
      </c>
      <c r="Q820" s="5" t="s">
        <v>448</v>
      </c>
    </row>
    <row r="821" customFormat="false" ht="46.25" hidden="false" customHeight="false" outlineLevel="0" collapsed="false">
      <c r="A821" s="6" t="s">
        <v>2241</v>
      </c>
      <c r="B821" s="6" t="s">
        <v>101</v>
      </c>
      <c r="C821" s="6" t="s">
        <v>102</v>
      </c>
      <c r="D821" s="6" t="s">
        <v>173</v>
      </c>
      <c r="E821" s="6" t="s">
        <v>174</v>
      </c>
      <c r="F821" s="6" t="s">
        <v>189</v>
      </c>
      <c r="G821" s="6" t="s">
        <v>466</v>
      </c>
      <c r="H821" s="6" t="s">
        <v>224</v>
      </c>
      <c r="I821" s="6" t="s">
        <v>2242</v>
      </c>
      <c r="J821" s="6" t="s">
        <v>250</v>
      </c>
      <c r="K821" s="6" t="s">
        <v>947</v>
      </c>
      <c r="L821" s="6" t="s">
        <v>190</v>
      </c>
      <c r="M821" s="6" t="s">
        <v>473</v>
      </c>
      <c r="N821" s="6" t="s">
        <v>286</v>
      </c>
      <c r="O821" s="6" t="s">
        <v>933</v>
      </c>
      <c r="P821" s="18" t="str">
        <f aca="false">IF(J821="S0","—",IF(K821="","",IF(L821="E0","QM",INDEX(10_ASIL_Matrix!$D$4:$F$15,MATCH(J821&amp;"-"&amp;L821,10_ASIL_Matrix!$C$4:$C$15,0),MATCH(N821,10_ASIL_Matrix!$D$3:$F$3,0)))))</f>
        <v>B</v>
      </c>
      <c r="Q821" s="6" t="s">
        <v>448</v>
      </c>
    </row>
    <row r="822" customFormat="false" ht="46.25" hidden="false" customHeight="false" outlineLevel="0" collapsed="false">
      <c r="A822" s="5" t="s">
        <v>2243</v>
      </c>
      <c r="B822" s="5" t="s">
        <v>101</v>
      </c>
      <c r="C822" s="5" t="s">
        <v>102</v>
      </c>
      <c r="D822" s="5" t="s">
        <v>173</v>
      </c>
      <c r="E822" s="5" t="s">
        <v>174</v>
      </c>
      <c r="F822" s="5" t="s">
        <v>189</v>
      </c>
      <c r="G822" s="5" t="s">
        <v>466</v>
      </c>
      <c r="H822" s="5" t="s">
        <v>226</v>
      </c>
      <c r="I822" s="5" t="s">
        <v>2244</v>
      </c>
      <c r="J822" s="5" t="s">
        <v>250</v>
      </c>
      <c r="K822" s="5" t="s">
        <v>947</v>
      </c>
      <c r="L822" s="5" t="s">
        <v>190</v>
      </c>
      <c r="M822" s="5" t="s">
        <v>476</v>
      </c>
      <c r="N822" s="5" t="s">
        <v>286</v>
      </c>
      <c r="O822" s="5" t="s">
        <v>933</v>
      </c>
      <c r="P822" s="18" t="str">
        <f aca="false">IF(J822="S0","—",IF(K822="","",IF(L822="E0","QM",INDEX(10_ASIL_Matrix!$D$4:$F$15,MATCH(J822&amp;"-"&amp;L822,10_ASIL_Matrix!$C$4:$C$15,0),MATCH(N822,10_ASIL_Matrix!$D$3:$F$3,0)))))</f>
        <v>B</v>
      </c>
      <c r="Q822" s="5" t="s">
        <v>448</v>
      </c>
    </row>
    <row r="823" customFormat="false" ht="46.25" hidden="false" customHeight="false" outlineLevel="0" collapsed="false">
      <c r="A823" s="6" t="s">
        <v>2245</v>
      </c>
      <c r="B823" s="6" t="s">
        <v>101</v>
      </c>
      <c r="C823" s="6" t="s">
        <v>102</v>
      </c>
      <c r="D823" s="6" t="s">
        <v>173</v>
      </c>
      <c r="E823" s="6" t="s">
        <v>174</v>
      </c>
      <c r="F823" s="6" t="s">
        <v>189</v>
      </c>
      <c r="G823" s="6" t="s">
        <v>466</v>
      </c>
      <c r="H823" s="6" t="s">
        <v>228</v>
      </c>
      <c r="I823" s="6" t="s">
        <v>2246</v>
      </c>
      <c r="J823" s="6" t="s">
        <v>250</v>
      </c>
      <c r="K823" s="6" t="s">
        <v>947</v>
      </c>
      <c r="L823" s="6" t="s">
        <v>205</v>
      </c>
      <c r="M823" s="6" t="s">
        <v>479</v>
      </c>
      <c r="N823" s="6" t="s">
        <v>286</v>
      </c>
      <c r="O823" s="6" t="s">
        <v>933</v>
      </c>
      <c r="P823" s="19" t="str">
        <f aca="false">IF(J823="S0","—",IF(K823="","",IF(L823="E0","QM",INDEX(10_ASIL_Matrix!$D$4:$F$15,MATCH(J823&amp;"-"&amp;L823,10_ASIL_Matrix!$C$4:$C$15,0),MATCH(N823,10_ASIL_Matrix!$D$3:$F$3,0)))))</f>
        <v>A</v>
      </c>
      <c r="Q823" s="6" t="s">
        <v>448</v>
      </c>
    </row>
    <row r="824" customFormat="false" ht="57.45" hidden="false" customHeight="false" outlineLevel="0" collapsed="false">
      <c r="A824" s="5" t="s">
        <v>2247</v>
      </c>
      <c r="B824" s="5" t="s">
        <v>101</v>
      </c>
      <c r="C824" s="5" t="s">
        <v>102</v>
      </c>
      <c r="D824" s="5" t="s">
        <v>173</v>
      </c>
      <c r="E824" s="5" t="s">
        <v>174</v>
      </c>
      <c r="F824" s="5" t="s">
        <v>189</v>
      </c>
      <c r="G824" s="5" t="s">
        <v>466</v>
      </c>
      <c r="H824" s="5" t="s">
        <v>230</v>
      </c>
      <c r="I824" s="5" t="s">
        <v>2248</v>
      </c>
      <c r="J824" s="5" t="s">
        <v>250</v>
      </c>
      <c r="K824" s="5" t="s">
        <v>947</v>
      </c>
      <c r="L824" s="5" t="s">
        <v>205</v>
      </c>
      <c r="M824" s="5" t="s">
        <v>482</v>
      </c>
      <c r="N824" s="5" t="s">
        <v>290</v>
      </c>
      <c r="O824" s="5" t="s">
        <v>942</v>
      </c>
      <c r="P824" s="18" t="str">
        <f aca="false">IF(J824="S0","—",IF(K824="","",IF(L824="E0","QM",INDEX(10_ASIL_Matrix!$D$4:$F$15,MATCH(J824&amp;"-"&amp;L824,10_ASIL_Matrix!$C$4:$C$15,0),MATCH(N824,10_ASIL_Matrix!$D$3:$F$3,0)))))</f>
        <v>B</v>
      </c>
      <c r="Q824" s="5" t="s">
        <v>448</v>
      </c>
    </row>
    <row r="825" customFormat="false" ht="46.25" hidden="false" customHeight="false" outlineLevel="0" collapsed="false">
      <c r="A825" s="6" t="s">
        <v>2249</v>
      </c>
      <c r="B825" s="6" t="s">
        <v>101</v>
      </c>
      <c r="C825" s="6" t="s">
        <v>102</v>
      </c>
      <c r="D825" s="6" t="s">
        <v>173</v>
      </c>
      <c r="E825" s="6" t="s">
        <v>174</v>
      </c>
      <c r="F825" s="6" t="s">
        <v>189</v>
      </c>
      <c r="G825" s="6" t="s">
        <v>466</v>
      </c>
      <c r="H825" s="6" t="s">
        <v>232</v>
      </c>
      <c r="I825" s="6" t="s">
        <v>2250</v>
      </c>
      <c r="J825" s="6" t="s">
        <v>250</v>
      </c>
      <c r="K825" s="6" t="s">
        <v>947</v>
      </c>
      <c r="L825" s="6" t="s">
        <v>233</v>
      </c>
      <c r="M825" s="6" t="s">
        <v>486</v>
      </c>
      <c r="N825" s="6" t="s">
        <v>286</v>
      </c>
      <c r="O825" s="6" t="s">
        <v>933</v>
      </c>
      <c r="P825" s="6" t="str">
        <f aca="false">IF(J825="S0","—",IF(K825="","",IF(L825="E0","QM",INDEX(10_ASIL_Matrix!$D$4:$F$15,MATCH(J825&amp;"-"&amp;L825,10_ASIL_Matrix!$C$4:$C$15,0),MATCH(N825,10_ASIL_Matrix!$D$3:$F$3,0)))))</f>
        <v>QM</v>
      </c>
      <c r="Q825" s="6" t="s">
        <v>448</v>
      </c>
    </row>
    <row r="826" customFormat="false" ht="46.25" hidden="false" customHeight="false" outlineLevel="0" collapsed="false">
      <c r="A826" s="5" t="s">
        <v>2251</v>
      </c>
      <c r="B826" s="5" t="s">
        <v>101</v>
      </c>
      <c r="C826" s="5" t="s">
        <v>102</v>
      </c>
      <c r="D826" s="5" t="s">
        <v>173</v>
      </c>
      <c r="E826" s="5" t="s">
        <v>174</v>
      </c>
      <c r="F826" s="5" t="s">
        <v>192</v>
      </c>
      <c r="G826" s="5" t="s">
        <v>488</v>
      </c>
      <c r="H826" s="5" t="s">
        <v>222</v>
      </c>
      <c r="I826" s="5" t="s">
        <v>2252</v>
      </c>
      <c r="J826" s="5" t="s">
        <v>250</v>
      </c>
      <c r="K826" s="5" t="s">
        <v>960</v>
      </c>
      <c r="L826" s="5" t="s">
        <v>187</v>
      </c>
      <c r="M826" s="5" t="s">
        <v>491</v>
      </c>
      <c r="N826" s="5" t="s">
        <v>286</v>
      </c>
      <c r="O826" s="5" t="s">
        <v>933</v>
      </c>
      <c r="P826" s="20" t="str">
        <f aca="false">IF(J826="S0","—",IF(K826="","",IF(L826="E0","QM",INDEX(10_ASIL_Matrix!$D$4:$F$15,MATCH(J826&amp;"-"&amp;L826,10_ASIL_Matrix!$C$4:$C$15,0),MATCH(N826,10_ASIL_Matrix!$D$3:$F$3,0)))))</f>
        <v>C</v>
      </c>
      <c r="Q826" s="5" t="s">
        <v>448</v>
      </c>
    </row>
    <row r="827" customFormat="false" ht="46.25" hidden="false" customHeight="false" outlineLevel="0" collapsed="false">
      <c r="A827" s="6" t="s">
        <v>2253</v>
      </c>
      <c r="B827" s="6" t="s">
        <v>101</v>
      </c>
      <c r="C827" s="6" t="s">
        <v>102</v>
      </c>
      <c r="D827" s="6" t="s">
        <v>173</v>
      </c>
      <c r="E827" s="6" t="s">
        <v>174</v>
      </c>
      <c r="F827" s="6" t="s">
        <v>192</v>
      </c>
      <c r="G827" s="6" t="s">
        <v>488</v>
      </c>
      <c r="H827" s="6" t="s">
        <v>224</v>
      </c>
      <c r="I827" s="6" t="s">
        <v>2254</v>
      </c>
      <c r="J827" s="6" t="s">
        <v>250</v>
      </c>
      <c r="K827" s="6" t="s">
        <v>960</v>
      </c>
      <c r="L827" s="6" t="s">
        <v>190</v>
      </c>
      <c r="M827" s="6" t="s">
        <v>494</v>
      </c>
      <c r="N827" s="6" t="s">
        <v>286</v>
      </c>
      <c r="O827" s="6" t="s">
        <v>933</v>
      </c>
      <c r="P827" s="18" t="str">
        <f aca="false">IF(J827="S0","—",IF(K827="","",IF(L827="E0","QM",INDEX(10_ASIL_Matrix!$D$4:$F$15,MATCH(J827&amp;"-"&amp;L827,10_ASIL_Matrix!$C$4:$C$15,0),MATCH(N827,10_ASIL_Matrix!$D$3:$F$3,0)))))</f>
        <v>B</v>
      </c>
      <c r="Q827" s="6" t="s">
        <v>448</v>
      </c>
    </row>
    <row r="828" customFormat="false" ht="46.25" hidden="false" customHeight="false" outlineLevel="0" collapsed="false">
      <c r="A828" s="5" t="s">
        <v>2255</v>
      </c>
      <c r="B828" s="5" t="s">
        <v>101</v>
      </c>
      <c r="C828" s="5" t="s">
        <v>102</v>
      </c>
      <c r="D828" s="5" t="s">
        <v>173</v>
      </c>
      <c r="E828" s="5" t="s">
        <v>174</v>
      </c>
      <c r="F828" s="5" t="s">
        <v>192</v>
      </c>
      <c r="G828" s="5" t="s">
        <v>488</v>
      </c>
      <c r="H828" s="5" t="s">
        <v>226</v>
      </c>
      <c r="I828" s="5" t="s">
        <v>2256</v>
      </c>
      <c r="J828" s="5" t="s">
        <v>250</v>
      </c>
      <c r="K828" s="5" t="s">
        <v>960</v>
      </c>
      <c r="L828" s="5" t="s">
        <v>190</v>
      </c>
      <c r="M828" s="5" t="s">
        <v>497</v>
      </c>
      <c r="N828" s="5" t="s">
        <v>286</v>
      </c>
      <c r="O828" s="5" t="s">
        <v>933</v>
      </c>
      <c r="P828" s="18" t="str">
        <f aca="false">IF(J828="S0","—",IF(K828="","",IF(L828="E0","QM",INDEX(10_ASIL_Matrix!$D$4:$F$15,MATCH(J828&amp;"-"&amp;L828,10_ASIL_Matrix!$C$4:$C$15,0),MATCH(N828,10_ASIL_Matrix!$D$3:$F$3,0)))))</f>
        <v>B</v>
      </c>
      <c r="Q828" s="5" t="s">
        <v>448</v>
      </c>
    </row>
    <row r="829" customFormat="false" ht="46.25" hidden="false" customHeight="false" outlineLevel="0" collapsed="false">
      <c r="A829" s="6" t="s">
        <v>2257</v>
      </c>
      <c r="B829" s="6" t="s">
        <v>101</v>
      </c>
      <c r="C829" s="6" t="s">
        <v>102</v>
      </c>
      <c r="D829" s="6" t="s">
        <v>173</v>
      </c>
      <c r="E829" s="6" t="s">
        <v>174</v>
      </c>
      <c r="F829" s="6" t="s">
        <v>192</v>
      </c>
      <c r="G829" s="6" t="s">
        <v>488</v>
      </c>
      <c r="H829" s="6" t="s">
        <v>228</v>
      </c>
      <c r="I829" s="6" t="s">
        <v>2258</v>
      </c>
      <c r="J829" s="6" t="s">
        <v>250</v>
      </c>
      <c r="K829" s="6" t="s">
        <v>960</v>
      </c>
      <c r="L829" s="6" t="s">
        <v>205</v>
      </c>
      <c r="M829" s="6" t="s">
        <v>500</v>
      </c>
      <c r="N829" s="6" t="s">
        <v>286</v>
      </c>
      <c r="O829" s="6" t="s">
        <v>933</v>
      </c>
      <c r="P829" s="19" t="str">
        <f aca="false">IF(J829="S0","—",IF(K829="","",IF(L829="E0","QM",INDEX(10_ASIL_Matrix!$D$4:$F$15,MATCH(J829&amp;"-"&amp;L829,10_ASIL_Matrix!$C$4:$C$15,0),MATCH(N829,10_ASIL_Matrix!$D$3:$F$3,0)))))</f>
        <v>A</v>
      </c>
      <c r="Q829" s="6" t="s">
        <v>448</v>
      </c>
    </row>
    <row r="830" customFormat="false" ht="57.45" hidden="false" customHeight="false" outlineLevel="0" collapsed="false">
      <c r="A830" s="5" t="s">
        <v>2259</v>
      </c>
      <c r="B830" s="5" t="s">
        <v>101</v>
      </c>
      <c r="C830" s="5" t="s">
        <v>102</v>
      </c>
      <c r="D830" s="5" t="s">
        <v>173</v>
      </c>
      <c r="E830" s="5" t="s">
        <v>174</v>
      </c>
      <c r="F830" s="5" t="s">
        <v>192</v>
      </c>
      <c r="G830" s="5" t="s">
        <v>488</v>
      </c>
      <c r="H830" s="5" t="s">
        <v>230</v>
      </c>
      <c r="I830" s="5" t="s">
        <v>2260</v>
      </c>
      <c r="J830" s="5" t="s">
        <v>250</v>
      </c>
      <c r="K830" s="5" t="s">
        <v>960</v>
      </c>
      <c r="L830" s="5" t="s">
        <v>205</v>
      </c>
      <c r="M830" s="5" t="s">
        <v>503</v>
      </c>
      <c r="N830" s="5" t="s">
        <v>290</v>
      </c>
      <c r="O830" s="5" t="s">
        <v>942</v>
      </c>
      <c r="P830" s="18" t="str">
        <f aca="false">IF(J830="S0","—",IF(K830="","",IF(L830="E0","QM",INDEX(10_ASIL_Matrix!$D$4:$F$15,MATCH(J830&amp;"-"&amp;L830,10_ASIL_Matrix!$C$4:$C$15,0),MATCH(N830,10_ASIL_Matrix!$D$3:$F$3,0)))))</f>
        <v>B</v>
      </c>
      <c r="Q830" s="5" t="s">
        <v>448</v>
      </c>
    </row>
    <row r="831" customFormat="false" ht="46.25" hidden="false" customHeight="false" outlineLevel="0" collapsed="false">
      <c r="A831" s="6" t="s">
        <v>2261</v>
      </c>
      <c r="B831" s="6" t="s">
        <v>101</v>
      </c>
      <c r="C831" s="6" t="s">
        <v>102</v>
      </c>
      <c r="D831" s="6" t="s">
        <v>173</v>
      </c>
      <c r="E831" s="6" t="s">
        <v>174</v>
      </c>
      <c r="F831" s="6" t="s">
        <v>192</v>
      </c>
      <c r="G831" s="6" t="s">
        <v>488</v>
      </c>
      <c r="H831" s="6" t="s">
        <v>232</v>
      </c>
      <c r="I831" s="6" t="s">
        <v>2262</v>
      </c>
      <c r="J831" s="6" t="s">
        <v>250</v>
      </c>
      <c r="K831" s="6" t="s">
        <v>960</v>
      </c>
      <c r="L831" s="6" t="s">
        <v>233</v>
      </c>
      <c r="M831" s="6" t="s">
        <v>506</v>
      </c>
      <c r="N831" s="6" t="s">
        <v>286</v>
      </c>
      <c r="O831" s="6" t="s">
        <v>933</v>
      </c>
      <c r="P831" s="6" t="str">
        <f aca="false">IF(J831="S0","—",IF(K831="","",IF(L831="E0","QM",INDEX(10_ASIL_Matrix!$D$4:$F$15,MATCH(J831&amp;"-"&amp;L831,10_ASIL_Matrix!$C$4:$C$15,0),MATCH(N831,10_ASIL_Matrix!$D$3:$F$3,0)))))</f>
        <v>QM</v>
      </c>
      <c r="Q831" s="6" t="s">
        <v>448</v>
      </c>
    </row>
    <row r="832" customFormat="false" ht="46.25" hidden="false" customHeight="false" outlineLevel="0" collapsed="false">
      <c r="A832" s="5" t="s">
        <v>2263</v>
      </c>
      <c r="B832" s="5" t="s">
        <v>101</v>
      </c>
      <c r="C832" s="5" t="s">
        <v>102</v>
      </c>
      <c r="D832" s="5" t="s">
        <v>173</v>
      </c>
      <c r="E832" s="5" t="s">
        <v>174</v>
      </c>
      <c r="F832" s="5" t="s">
        <v>194</v>
      </c>
      <c r="G832" s="5" t="s">
        <v>508</v>
      </c>
      <c r="H832" s="5" t="s">
        <v>222</v>
      </c>
      <c r="I832" s="5" t="s">
        <v>2264</v>
      </c>
      <c r="J832" s="5" t="s">
        <v>250</v>
      </c>
      <c r="K832" s="5" t="s">
        <v>973</v>
      </c>
      <c r="L832" s="5" t="s">
        <v>190</v>
      </c>
      <c r="M832" s="5" t="s">
        <v>511</v>
      </c>
      <c r="N832" s="5" t="s">
        <v>286</v>
      </c>
      <c r="O832" s="5" t="s">
        <v>933</v>
      </c>
      <c r="P832" s="18" t="str">
        <f aca="false">IF(J832="S0","—",IF(K832="","",IF(L832="E0","QM",INDEX(10_ASIL_Matrix!$D$4:$F$15,MATCH(J832&amp;"-"&amp;L832,10_ASIL_Matrix!$C$4:$C$15,0),MATCH(N832,10_ASIL_Matrix!$D$3:$F$3,0)))))</f>
        <v>B</v>
      </c>
      <c r="Q832" s="5" t="s">
        <v>448</v>
      </c>
    </row>
    <row r="833" customFormat="false" ht="46.25" hidden="false" customHeight="false" outlineLevel="0" collapsed="false">
      <c r="A833" s="6" t="s">
        <v>2265</v>
      </c>
      <c r="B833" s="6" t="s">
        <v>101</v>
      </c>
      <c r="C833" s="6" t="s">
        <v>102</v>
      </c>
      <c r="D833" s="6" t="s">
        <v>173</v>
      </c>
      <c r="E833" s="6" t="s">
        <v>174</v>
      </c>
      <c r="F833" s="6" t="s">
        <v>194</v>
      </c>
      <c r="G833" s="6" t="s">
        <v>508</v>
      </c>
      <c r="H833" s="6" t="s">
        <v>224</v>
      </c>
      <c r="I833" s="6" t="s">
        <v>2266</v>
      </c>
      <c r="J833" s="6" t="s">
        <v>250</v>
      </c>
      <c r="K833" s="6" t="s">
        <v>973</v>
      </c>
      <c r="L833" s="6" t="s">
        <v>190</v>
      </c>
      <c r="M833" s="6" t="s">
        <v>514</v>
      </c>
      <c r="N833" s="6" t="s">
        <v>286</v>
      </c>
      <c r="O833" s="6" t="s">
        <v>933</v>
      </c>
      <c r="P833" s="18" t="str">
        <f aca="false">IF(J833="S0","—",IF(K833="","",IF(L833="E0","QM",INDEX(10_ASIL_Matrix!$D$4:$F$15,MATCH(J833&amp;"-"&amp;L833,10_ASIL_Matrix!$C$4:$C$15,0),MATCH(N833,10_ASIL_Matrix!$D$3:$F$3,0)))))</f>
        <v>B</v>
      </c>
      <c r="Q833" s="6" t="s">
        <v>448</v>
      </c>
    </row>
    <row r="834" customFormat="false" ht="46.25" hidden="false" customHeight="false" outlineLevel="0" collapsed="false">
      <c r="A834" s="5" t="s">
        <v>2267</v>
      </c>
      <c r="B834" s="5" t="s">
        <v>101</v>
      </c>
      <c r="C834" s="5" t="s">
        <v>102</v>
      </c>
      <c r="D834" s="5" t="s">
        <v>173</v>
      </c>
      <c r="E834" s="5" t="s">
        <v>174</v>
      </c>
      <c r="F834" s="5" t="s">
        <v>194</v>
      </c>
      <c r="G834" s="5" t="s">
        <v>508</v>
      </c>
      <c r="H834" s="5" t="s">
        <v>226</v>
      </c>
      <c r="I834" s="5" t="s">
        <v>2268</v>
      </c>
      <c r="J834" s="5" t="s">
        <v>250</v>
      </c>
      <c r="K834" s="5" t="s">
        <v>973</v>
      </c>
      <c r="L834" s="5" t="s">
        <v>190</v>
      </c>
      <c r="M834" s="5" t="s">
        <v>517</v>
      </c>
      <c r="N834" s="5" t="s">
        <v>286</v>
      </c>
      <c r="O834" s="5" t="s">
        <v>933</v>
      </c>
      <c r="P834" s="18" t="str">
        <f aca="false">IF(J834="S0","—",IF(K834="","",IF(L834="E0","QM",INDEX(10_ASIL_Matrix!$D$4:$F$15,MATCH(J834&amp;"-"&amp;L834,10_ASIL_Matrix!$C$4:$C$15,0),MATCH(N834,10_ASIL_Matrix!$D$3:$F$3,0)))))</f>
        <v>B</v>
      </c>
      <c r="Q834" s="5" t="s">
        <v>448</v>
      </c>
    </row>
    <row r="835" customFormat="false" ht="46.25" hidden="false" customHeight="false" outlineLevel="0" collapsed="false">
      <c r="A835" s="6" t="s">
        <v>2269</v>
      </c>
      <c r="B835" s="6" t="s">
        <v>101</v>
      </c>
      <c r="C835" s="6" t="s">
        <v>102</v>
      </c>
      <c r="D835" s="6" t="s">
        <v>173</v>
      </c>
      <c r="E835" s="6" t="s">
        <v>174</v>
      </c>
      <c r="F835" s="6" t="s">
        <v>194</v>
      </c>
      <c r="G835" s="6" t="s">
        <v>508</v>
      </c>
      <c r="H835" s="6" t="s">
        <v>228</v>
      </c>
      <c r="I835" s="6" t="s">
        <v>2270</v>
      </c>
      <c r="J835" s="6" t="s">
        <v>250</v>
      </c>
      <c r="K835" s="6" t="s">
        <v>973</v>
      </c>
      <c r="L835" s="6" t="s">
        <v>205</v>
      </c>
      <c r="M835" s="6" t="s">
        <v>520</v>
      </c>
      <c r="N835" s="6" t="s">
        <v>286</v>
      </c>
      <c r="O835" s="6" t="s">
        <v>933</v>
      </c>
      <c r="P835" s="19" t="str">
        <f aca="false">IF(J835="S0","—",IF(K835="","",IF(L835="E0","QM",INDEX(10_ASIL_Matrix!$D$4:$F$15,MATCH(J835&amp;"-"&amp;L835,10_ASIL_Matrix!$C$4:$C$15,0),MATCH(N835,10_ASIL_Matrix!$D$3:$F$3,0)))))</f>
        <v>A</v>
      </c>
      <c r="Q835" s="6" t="s">
        <v>448</v>
      </c>
    </row>
    <row r="836" customFormat="false" ht="57.45" hidden="false" customHeight="false" outlineLevel="0" collapsed="false">
      <c r="A836" s="5" t="s">
        <v>2271</v>
      </c>
      <c r="B836" s="5" t="s">
        <v>101</v>
      </c>
      <c r="C836" s="5" t="s">
        <v>102</v>
      </c>
      <c r="D836" s="5" t="s">
        <v>173</v>
      </c>
      <c r="E836" s="5" t="s">
        <v>174</v>
      </c>
      <c r="F836" s="5" t="s">
        <v>194</v>
      </c>
      <c r="G836" s="5" t="s">
        <v>508</v>
      </c>
      <c r="H836" s="5" t="s">
        <v>230</v>
      </c>
      <c r="I836" s="5" t="s">
        <v>2272</v>
      </c>
      <c r="J836" s="5" t="s">
        <v>250</v>
      </c>
      <c r="K836" s="5" t="s">
        <v>973</v>
      </c>
      <c r="L836" s="5" t="s">
        <v>205</v>
      </c>
      <c r="M836" s="5" t="s">
        <v>523</v>
      </c>
      <c r="N836" s="5" t="s">
        <v>290</v>
      </c>
      <c r="O836" s="5" t="s">
        <v>942</v>
      </c>
      <c r="P836" s="18" t="str">
        <f aca="false">IF(J836="S0","—",IF(K836="","",IF(L836="E0","QM",INDEX(10_ASIL_Matrix!$D$4:$F$15,MATCH(J836&amp;"-"&amp;L836,10_ASIL_Matrix!$C$4:$C$15,0),MATCH(N836,10_ASIL_Matrix!$D$3:$F$3,0)))))</f>
        <v>B</v>
      </c>
      <c r="Q836" s="5" t="s">
        <v>448</v>
      </c>
    </row>
    <row r="837" customFormat="false" ht="46.25" hidden="false" customHeight="false" outlineLevel="0" collapsed="false">
      <c r="A837" s="6" t="s">
        <v>2273</v>
      </c>
      <c r="B837" s="6" t="s">
        <v>101</v>
      </c>
      <c r="C837" s="6" t="s">
        <v>102</v>
      </c>
      <c r="D837" s="6" t="s">
        <v>173</v>
      </c>
      <c r="E837" s="6" t="s">
        <v>174</v>
      </c>
      <c r="F837" s="6" t="s">
        <v>194</v>
      </c>
      <c r="G837" s="6" t="s">
        <v>508</v>
      </c>
      <c r="H837" s="6" t="s">
        <v>232</v>
      </c>
      <c r="I837" s="6" t="s">
        <v>2274</v>
      </c>
      <c r="J837" s="6" t="s">
        <v>250</v>
      </c>
      <c r="K837" s="6" t="s">
        <v>973</v>
      </c>
      <c r="L837" s="6" t="s">
        <v>233</v>
      </c>
      <c r="M837" s="6" t="s">
        <v>526</v>
      </c>
      <c r="N837" s="6" t="s">
        <v>286</v>
      </c>
      <c r="O837" s="6" t="s">
        <v>933</v>
      </c>
      <c r="P837" s="6" t="str">
        <f aca="false">IF(J837="S0","—",IF(K837="","",IF(L837="E0","QM",INDEX(10_ASIL_Matrix!$D$4:$F$15,MATCH(J837&amp;"-"&amp;L837,10_ASIL_Matrix!$C$4:$C$15,0),MATCH(N837,10_ASIL_Matrix!$D$3:$F$3,0)))))</f>
        <v>QM</v>
      </c>
      <c r="Q837" s="6" t="s">
        <v>448</v>
      </c>
    </row>
    <row r="838" customFormat="false" ht="46.25" hidden="false" customHeight="false" outlineLevel="0" collapsed="false">
      <c r="A838" s="5" t="s">
        <v>2275</v>
      </c>
      <c r="B838" s="5" t="s">
        <v>101</v>
      </c>
      <c r="C838" s="5" t="s">
        <v>102</v>
      </c>
      <c r="D838" s="5" t="s">
        <v>173</v>
      </c>
      <c r="E838" s="5" t="s">
        <v>174</v>
      </c>
      <c r="F838" s="5" t="s">
        <v>196</v>
      </c>
      <c r="G838" s="5" t="s">
        <v>528</v>
      </c>
      <c r="H838" s="5" t="s">
        <v>222</v>
      </c>
      <c r="I838" s="5" t="s">
        <v>2276</v>
      </c>
      <c r="J838" s="5" t="s">
        <v>250</v>
      </c>
      <c r="K838" s="5" t="s">
        <v>986</v>
      </c>
      <c r="L838" s="5" t="s">
        <v>187</v>
      </c>
      <c r="M838" s="5" t="s">
        <v>531</v>
      </c>
      <c r="N838" s="5" t="s">
        <v>286</v>
      </c>
      <c r="O838" s="5" t="s">
        <v>933</v>
      </c>
      <c r="P838" s="20" t="str">
        <f aca="false">IF(J838="S0","—",IF(K838="","",IF(L838="E0","QM",INDEX(10_ASIL_Matrix!$D$4:$F$15,MATCH(J838&amp;"-"&amp;L838,10_ASIL_Matrix!$C$4:$C$15,0),MATCH(N838,10_ASIL_Matrix!$D$3:$F$3,0)))))</f>
        <v>C</v>
      </c>
      <c r="Q838" s="5" t="s">
        <v>448</v>
      </c>
    </row>
    <row r="839" customFormat="false" ht="46.25" hidden="false" customHeight="false" outlineLevel="0" collapsed="false">
      <c r="A839" s="6" t="s">
        <v>2277</v>
      </c>
      <c r="B839" s="6" t="s">
        <v>101</v>
      </c>
      <c r="C839" s="6" t="s">
        <v>102</v>
      </c>
      <c r="D839" s="6" t="s">
        <v>173</v>
      </c>
      <c r="E839" s="6" t="s">
        <v>174</v>
      </c>
      <c r="F839" s="6" t="s">
        <v>196</v>
      </c>
      <c r="G839" s="6" t="s">
        <v>528</v>
      </c>
      <c r="H839" s="6" t="s">
        <v>224</v>
      </c>
      <c r="I839" s="6" t="s">
        <v>2278</v>
      </c>
      <c r="J839" s="6" t="s">
        <v>250</v>
      </c>
      <c r="K839" s="6" t="s">
        <v>986</v>
      </c>
      <c r="L839" s="6" t="s">
        <v>190</v>
      </c>
      <c r="M839" s="6" t="s">
        <v>534</v>
      </c>
      <c r="N839" s="6" t="s">
        <v>286</v>
      </c>
      <c r="O839" s="6" t="s">
        <v>933</v>
      </c>
      <c r="P839" s="18" t="str">
        <f aca="false">IF(J839="S0","—",IF(K839="","",IF(L839="E0","QM",INDEX(10_ASIL_Matrix!$D$4:$F$15,MATCH(J839&amp;"-"&amp;L839,10_ASIL_Matrix!$C$4:$C$15,0),MATCH(N839,10_ASIL_Matrix!$D$3:$F$3,0)))))</f>
        <v>B</v>
      </c>
      <c r="Q839" s="6" t="s">
        <v>448</v>
      </c>
    </row>
    <row r="840" customFormat="false" ht="46.25" hidden="false" customHeight="false" outlineLevel="0" collapsed="false">
      <c r="A840" s="5" t="s">
        <v>2279</v>
      </c>
      <c r="B840" s="5" t="s">
        <v>101</v>
      </c>
      <c r="C840" s="5" t="s">
        <v>102</v>
      </c>
      <c r="D840" s="5" t="s">
        <v>173</v>
      </c>
      <c r="E840" s="5" t="s">
        <v>174</v>
      </c>
      <c r="F840" s="5" t="s">
        <v>196</v>
      </c>
      <c r="G840" s="5" t="s">
        <v>528</v>
      </c>
      <c r="H840" s="5" t="s">
        <v>226</v>
      </c>
      <c r="I840" s="5" t="s">
        <v>2280</v>
      </c>
      <c r="J840" s="5" t="s">
        <v>250</v>
      </c>
      <c r="K840" s="5" t="s">
        <v>986</v>
      </c>
      <c r="L840" s="5" t="s">
        <v>190</v>
      </c>
      <c r="M840" s="5" t="s">
        <v>537</v>
      </c>
      <c r="N840" s="5" t="s">
        <v>286</v>
      </c>
      <c r="O840" s="5" t="s">
        <v>933</v>
      </c>
      <c r="P840" s="18" t="str">
        <f aca="false">IF(J840="S0","—",IF(K840="","",IF(L840="E0","QM",INDEX(10_ASIL_Matrix!$D$4:$F$15,MATCH(J840&amp;"-"&amp;L840,10_ASIL_Matrix!$C$4:$C$15,0),MATCH(N840,10_ASIL_Matrix!$D$3:$F$3,0)))))</f>
        <v>B</v>
      </c>
      <c r="Q840" s="5" t="s">
        <v>448</v>
      </c>
    </row>
    <row r="841" customFormat="false" ht="46.25" hidden="false" customHeight="false" outlineLevel="0" collapsed="false">
      <c r="A841" s="6" t="s">
        <v>2281</v>
      </c>
      <c r="B841" s="6" t="s">
        <v>101</v>
      </c>
      <c r="C841" s="6" t="s">
        <v>102</v>
      </c>
      <c r="D841" s="6" t="s">
        <v>173</v>
      </c>
      <c r="E841" s="6" t="s">
        <v>174</v>
      </c>
      <c r="F841" s="6" t="s">
        <v>196</v>
      </c>
      <c r="G841" s="6" t="s">
        <v>528</v>
      </c>
      <c r="H841" s="6" t="s">
        <v>228</v>
      </c>
      <c r="I841" s="6" t="s">
        <v>2282</v>
      </c>
      <c r="J841" s="6" t="s">
        <v>250</v>
      </c>
      <c r="K841" s="6" t="s">
        <v>986</v>
      </c>
      <c r="L841" s="6" t="s">
        <v>205</v>
      </c>
      <c r="M841" s="6" t="s">
        <v>540</v>
      </c>
      <c r="N841" s="6" t="s">
        <v>286</v>
      </c>
      <c r="O841" s="6" t="s">
        <v>933</v>
      </c>
      <c r="P841" s="19" t="str">
        <f aca="false">IF(J841="S0","—",IF(K841="","",IF(L841="E0","QM",INDEX(10_ASIL_Matrix!$D$4:$F$15,MATCH(J841&amp;"-"&amp;L841,10_ASIL_Matrix!$C$4:$C$15,0),MATCH(N841,10_ASIL_Matrix!$D$3:$F$3,0)))))</f>
        <v>A</v>
      </c>
      <c r="Q841" s="6" t="s">
        <v>448</v>
      </c>
    </row>
    <row r="842" customFormat="false" ht="57.45" hidden="false" customHeight="false" outlineLevel="0" collapsed="false">
      <c r="A842" s="5" t="s">
        <v>2283</v>
      </c>
      <c r="B842" s="5" t="s">
        <v>101</v>
      </c>
      <c r="C842" s="5" t="s">
        <v>102</v>
      </c>
      <c r="D842" s="5" t="s">
        <v>173</v>
      </c>
      <c r="E842" s="5" t="s">
        <v>174</v>
      </c>
      <c r="F842" s="5" t="s">
        <v>196</v>
      </c>
      <c r="G842" s="5" t="s">
        <v>528</v>
      </c>
      <c r="H842" s="5" t="s">
        <v>230</v>
      </c>
      <c r="I842" s="5" t="s">
        <v>2284</v>
      </c>
      <c r="J842" s="5" t="s">
        <v>250</v>
      </c>
      <c r="K842" s="5" t="s">
        <v>986</v>
      </c>
      <c r="L842" s="5" t="s">
        <v>205</v>
      </c>
      <c r="M842" s="5" t="s">
        <v>543</v>
      </c>
      <c r="N842" s="5" t="s">
        <v>290</v>
      </c>
      <c r="O842" s="5" t="s">
        <v>942</v>
      </c>
      <c r="P842" s="18" t="str">
        <f aca="false">IF(J842="S0","—",IF(K842="","",IF(L842="E0","QM",INDEX(10_ASIL_Matrix!$D$4:$F$15,MATCH(J842&amp;"-"&amp;L842,10_ASIL_Matrix!$C$4:$C$15,0),MATCH(N842,10_ASIL_Matrix!$D$3:$F$3,0)))))</f>
        <v>B</v>
      </c>
      <c r="Q842" s="5" t="s">
        <v>448</v>
      </c>
    </row>
    <row r="843" customFormat="false" ht="46.25" hidden="false" customHeight="false" outlineLevel="0" collapsed="false">
      <c r="A843" s="6" t="s">
        <v>2285</v>
      </c>
      <c r="B843" s="6" t="s">
        <v>101</v>
      </c>
      <c r="C843" s="6" t="s">
        <v>102</v>
      </c>
      <c r="D843" s="6" t="s">
        <v>173</v>
      </c>
      <c r="E843" s="6" t="s">
        <v>174</v>
      </c>
      <c r="F843" s="6" t="s">
        <v>196</v>
      </c>
      <c r="G843" s="6" t="s">
        <v>528</v>
      </c>
      <c r="H843" s="6" t="s">
        <v>232</v>
      </c>
      <c r="I843" s="6" t="s">
        <v>2286</v>
      </c>
      <c r="J843" s="6" t="s">
        <v>250</v>
      </c>
      <c r="K843" s="6" t="s">
        <v>986</v>
      </c>
      <c r="L843" s="6" t="s">
        <v>233</v>
      </c>
      <c r="M843" s="6" t="s">
        <v>546</v>
      </c>
      <c r="N843" s="6" t="s">
        <v>286</v>
      </c>
      <c r="O843" s="6" t="s">
        <v>933</v>
      </c>
      <c r="P843" s="6" t="str">
        <f aca="false">IF(J843="S0","—",IF(K843="","",IF(L843="E0","QM",INDEX(10_ASIL_Matrix!$D$4:$F$15,MATCH(J843&amp;"-"&amp;L843,10_ASIL_Matrix!$C$4:$C$15,0),MATCH(N843,10_ASIL_Matrix!$D$3:$F$3,0)))))</f>
        <v>QM</v>
      </c>
      <c r="Q843" s="6" t="s">
        <v>448</v>
      </c>
    </row>
    <row r="844" customFormat="false" ht="35.05" hidden="false" customHeight="false" outlineLevel="0" collapsed="false">
      <c r="A844" s="5" t="s">
        <v>2287</v>
      </c>
      <c r="B844" s="5" t="s">
        <v>101</v>
      </c>
      <c r="C844" s="5" t="s">
        <v>102</v>
      </c>
      <c r="D844" s="5" t="s">
        <v>173</v>
      </c>
      <c r="E844" s="5" t="s">
        <v>174</v>
      </c>
      <c r="F844" s="5" t="s">
        <v>198</v>
      </c>
      <c r="G844" s="5" t="s">
        <v>548</v>
      </c>
      <c r="H844" s="5" t="s">
        <v>222</v>
      </c>
      <c r="I844" s="5" t="s">
        <v>2288</v>
      </c>
      <c r="J844" s="5" t="s">
        <v>242</v>
      </c>
      <c r="K844" s="5" t="s">
        <v>999</v>
      </c>
      <c r="L844" s="5" t="s">
        <v>190</v>
      </c>
      <c r="M844" s="5" t="s">
        <v>551</v>
      </c>
      <c r="N844" s="5" t="s">
        <v>282</v>
      </c>
      <c r="O844" s="5" t="s">
        <v>1000</v>
      </c>
      <c r="P844" s="5" t="str">
        <f aca="false">IF(J844="S0","—",IF(K844="","",IF(L844="E0","QM",INDEX(10_ASIL_Matrix!$D$4:$F$15,MATCH(J844&amp;"-"&amp;L844,10_ASIL_Matrix!$C$4:$C$15,0),MATCH(N844,10_ASIL_Matrix!$D$3:$F$3,0)))))</f>
        <v>QM</v>
      </c>
      <c r="Q844" s="5" t="s">
        <v>448</v>
      </c>
    </row>
    <row r="845" customFormat="false" ht="35.05" hidden="false" customHeight="false" outlineLevel="0" collapsed="false">
      <c r="A845" s="6" t="s">
        <v>2289</v>
      </c>
      <c r="B845" s="6" t="s">
        <v>101</v>
      </c>
      <c r="C845" s="6" t="s">
        <v>102</v>
      </c>
      <c r="D845" s="6" t="s">
        <v>173</v>
      </c>
      <c r="E845" s="6" t="s">
        <v>174</v>
      </c>
      <c r="F845" s="6" t="s">
        <v>198</v>
      </c>
      <c r="G845" s="6" t="s">
        <v>548</v>
      </c>
      <c r="H845" s="6" t="s">
        <v>224</v>
      </c>
      <c r="I845" s="6" t="s">
        <v>2290</v>
      </c>
      <c r="J845" s="6" t="s">
        <v>242</v>
      </c>
      <c r="K845" s="6" t="s">
        <v>999</v>
      </c>
      <c r="L845" s="6" t="s">
        <v>190</v>
      </c>
      <c r="M845" s="6" t="s">
        <v>555</v>
      </c>
      <c r="N845" s="6" t="s">
        <v>282</v>
      </c>
      <c r="O845" s="6" t="s">
        <v>1000</v>
      </c>
      <c r="P845" s="6" t="str">
        <f aca="false">IF(J845="S0","—",IF(K845="","",IF(L845="E0","QM",INDEX(10_ASIL_Matrix!$D$4:$F$15,MATCH(J845&amp;"-"&amp;L845,10_ASIL_Matrix!$C$4:$C$15,0),MATCH(N845,10_ASIL_Matrix!$D$3:$F$3,0)))))</f>
        <v>QM</v>
      </c>
      <c r="Q845" s="6" t="s">
        <v>448</v>
      </c>
    </row>
    <row r="846" customFormat="false" ht="35.05" hidden="false" customHeight="false" outlineLevel="0" collapsed="false">
      <c r="A846" s="5" t="s">
        <v>2291</v>
      </c>
      <c r="B846" s="5" t="s">
        <v>101</v>
      </c>
      <c r="C846" s="5" t="s">
        <v>102</v>
      </c>
      <c r="D846" s="5" t="s">
        <v>173</v>
      </c>
      <c r="E846" s="5" t="s">
        <v>174</v>
      </c>
      <c r="F846" s="5" t="s">
        <v>198</v>
      </c>
      <c r="G846" s="5" t="s">
        <v>548</v>
      </c>
      <c r="H846" s="5" t="s">
        <v>226</v>
      </c>
      <c r="I846" s="5" t="s">
        <v>2292</v>
      </c>
      <c r="J846" s="5" t="s">
        <v>242</v>
      </c>
      <c r="K846" s="5" t="s">
        <v>999</v>
      </c>
      <c r="L846" s="5" t="s">
        <v>190</v>
      </c>
      <c r="M846" s="5" t="s">
        <v>558</v>
      </c>
      <c r="N846" s="5" t="s">
        <v>282</v>
      </c>
      <c r="O846" s="5" t="s">
        <v>1000</v>
      </c>
      <c r="P846" s="5" t="str">
        <f aca="false">IF(J846="S0","—",IF(K846="","",IF(L846="E0","QM",INDEX(10_ASIL_Matrix!$D$4:$F$15,MATCH(J846&amp;"-"&amp;L846,10_ASIL_Matrix!$C$4:$C$15,0),MATCH(N846,10_ASIL_Matrix!$D$3:$F$3,0)))))</f>
        <v>QM</v>
      </c>
      <c r="Q846" s="5" t="s">
        <v>448</v>
      </c>
    </row>
    <row r="847" customFormat="false" ht="46.25" hidden="false" customHeight="false" outlineLevel="0" collapsed="false">
      <c r="A847" s="6" t="s">
        <v>2293</v>
      </c>
      <c r="B847" s="6" t="s">
        <v>101</v>
      </c>
      <c r="C847" s="6" t="s">
        <v>102</v>
      </c>
      <c r="D847" s="6" t="s">
        <v>173</v>
      </c>
      <c r="E847" s="6" t="s">
        <v>174</v>
      </c>
      <c r="F847" s="6" t="s">
        <v>198</v>
      </c>
      <c r="G847" s="6" t="s">
        <v>548</v>
      </c>
      <c r="H847" s="6" t="s">
        <v>228</v>
      </c>
      <c r="I847" s="6" t="s">
        <v>2294</v>
      </c>
      <c r="J847" s="6" t="s">
        <v>242</v>
      </c>
      <c r="K847" s="6" t="s">
        <v>999</v>
      </c>
      <c r="L847" s="6" t="s">
        <v>205</v>
      </c>
      <c r="M847" s="6" t="s">
        <v>561</v>
      </c>
      <c r="N847" s="6" t="s">
        <v>282</v>
      </c>
      <c r="O847" s="6" t="s">
        <v>1000</v>
      </c>
      <c r="P847" s="6" t="str">
        <f aca="false">IF(J847="S0","—",IF(K847="","",IF(L847="E0","QM",INDEX(10_ASIL_Matrix!$D$4:$F$15,MATCH(J847&amp;"-"&amp;L847,10_ASIL_Matrix!$C$4:$C$15,0),MATCH(N847,10_ASIL_Matrix!$D$3:$F$3,0)))))</f>
        <v>QM</v>
      </c>
      <c r="Q847" s="6" t="s">
        <v>448</v>
      </c>
    </row>
    <row r="848" customFormat="false" ht="35.05" hidden="false" customHeight="false" outlineLevel="0" collapsed="false">
      <c r="A848" s="5" t="s">
        <v>2295</v>
      </c>
      <c r="B848" s="5" t="s">
        <v>101</v>
      </c>
      <c r="C848" s="5" t="s">
        <v>102</v>
      </c>
      <c r="D848" s="5" t="s">
        <v>173</v>
      </c>
      <c r="E848" s="5" t="s">
        <v>174</v>
      </c>
      <c r="F848" s="5" t="s">
        <v>198</v>
      </c>
      <c r="G848" s="5" t="s">
        <v>548</v>
      </c>
      <c r="H848" s="5" t="s">
        <v>230</v>
      </c>
      <c r="I848" s="5" t="s">
        <v>2296</v>
      </c>
      <c r="J848" s="5" t="s">
        <v>242</v>
      </c>
      <c r="K848" s="5" t="s">
        <v>999</v>
      </c>
      <c r="L848" s="5" t="s">
        <v>205</v>
      </c>
      <c r="M848" s="5" t="s">
        <v>564</v>
      </c>
      <c r="N848" s="5" t="s">
        <v>286</v>
      </c>
      <c r="O848" s="5" t="s">
        <v>1009</v>
      </c>
      <c r="P848" s="5" t="str">
        <f aca="false">IF(J848="S0","—",IF(K848="","",IF(L848="E0","QM",INDEX(10_ASIL_Matrix!$D$4:$F$15,MATCH(J848&amp;"-"&amp;L848,10_ASIL_Matrix!$C$4:$C$15,0),MATCH(N848,10_ASIL_Matrix!$D$3:$F$3,0)))))</f>
        <v>QM</v>
      </c>
      <c r="Q848" s="5" t="s">
        <v>448</v>
      </c>
    </row>
    <row r="849" customFormat="false" ht="46.25" hidden="false" customHeight="false" outlineLevel="0" collapsed="false">
      <c r="A849" s="6" t="s">
        <v>2297</v>
      </c>
      <c r="B849" s="6" t="s">
        <v>101</v>
      </c>
      <c r="C849" s="6" t="s">
        <v>102</v>
      </c>
      <c r="D849" s="6" t="s">
        <v>173</v>
      </c>
      <c r="E849" s="6" t="s">
        <v>174</v>
      </c>
      <c r="F849" s="6" t="s">
        <v>198</v>
      </c>
      <c r="G849" s="6" t="s">
        <v>548</v>
      </c>
      <c r="H849" s="6" t="s">
        <v>232</v>
      </c>
      <c r="I849" s="6" t="s">
        <v>2298</v>
      </c>
      <c r="J849" s="6" t="s">
        <v>242</v>
      </c>
      <c r="K849" s="6" t="s">
        <v>999</v>
      </c>
      <c r="L849" s="6" t="s">
        <v>233</v>
      </c>
      <c r="M849" s="6" t="s">
        <v>568</v>
      </c>
      <c r="N849" s="6" t="s">
        <v>282</v>
      </c>
      <c r="O849" s="6" t="s">
        <v>1000</v>
      </c>
      <c r="P849" s="6" t="str">
        <f aca="false">IF(J849="S0","—",IF(K849="","",IF(L849="E0","QM",INDEX(10_ASIL_Matrix!$D$4:$F$15,MATCH(J849&amp;"-"&amp;L849,10_ASIL_Matrix!$C$4:$C$15,0),MATCH(N849,10_ASIL_Matrix!$D$3:$F$3,0)))))</f>
        <v>QM</v>
      </c>
      <c r="Q849" s="6" t="s">
        <v>448</v>
      </c>
    </row>
    <row r="850" customFormat="false" ht="46.25" hidden="false" customHeight="false" outlineLevel="0" collapsed="false">
      <c r="A850" s="5" t="s">
        <v>2299</v>
      </c>
      <c r="B850" s="5" t="s">
        <v>101</v>
      </c>
      <c r="C850" s="5" t="s">
        <v>102</v>
      </c>
      <c r="D850" s="5" t="s">
        <v>173</v>
      </c>
      <c r="E850" s="5" t="s">
        <v>174</v>
      </c>
      <c r="F850" s="5" t="s">
        <v>200</v>
      </c>
      <c r="G850" s="5" t="s">
        <v>570</v>
      </c>
      <c r="H850" s="5" t="s">
        <v>222</v>
      </c>
      <c r="I850" s="5" t="s">
        <v>2300</v>
      </c>
      <c r="J850" s="5" t="s">
        <v>250</v>
      </c>
      <c r="K850" s="5" t="s">
        <v>1014</v>
      </c>
      <c r="L850" s="5" t="s">
        <v>190</v>
      </c>
      <c r="M850" s="5" t="s">
        <v>573</v>
      </c>
      <c r="N850" s="5" t="s">
        <v>286</v>
      </c>
      <c r="O850" s="5" t="s">
        <v>933</v>
      </c>
      <c r="P850" s="18" t="str">
        <f aca="false">IF(J850="S0","—",IF(K850="","",IF(L850="E0","QM",INDEX(10_ASIL_Matrix!$D$4:$F$15,MATCH(J850&amp;"-"&amp;L850,10_ASIL_Matrix!$C$4:$C$15,0),MATCH(N850,10_ASIL_Matrix!$D$3:$F$3,0)))))</f>
        <v>B</v>
      </c>
      <c r="Q850" s="5" t="s">
        <v>448</v>
      </c>
    </row>
    <row r="851" customFormat="false" ht="46.25" hidden="false" customHeight="false" outlineLevel="0" collapsed="false">
      <c r="A851" s="6" t="s">
        <v>2301</v>
      </c>
      <c r="B851" s="6" t="s">
        <v>101</v>
      </c>
      <c r="C851" s="6" t="s">
        <v>102</v>
      </c>
      <c r="D851" s="6" t="s">
        <v>173</v>
      </c>
      <c r="E851" s="6" t="s">
        <v>174</v>
      </c>
      <c r="F851" s="6" t="s">
        <v>200</v>
      </c>
      <c r="G851" s="6" t="s">
        <v>570</v>
      </c>
      <c r="H851" s="6" t="s">
        <v>224</v>
      </c>
      <c r="I851" s="6" t="s">
        <v>2302</v>
      </c>
      <c r="J851" s="6" t="s">
        <v>250</v>
      </c>
      <c r="K851" s="6" t="s">
        <v>1014</v>
      </c>
      <c r="L851" s="6" t="s">
        <v>190</v>
      </c>
      <c r="M851" s="6" t="s">
        <v>576</v>
      </c>
      <c r="N851" s="6" t="s">
        <v>286</v>
      </c>
      <c r="O851" s="6" t="s">
        <v>933</v>
      </c>
      <c r="P851" s="18" t="str">
        <f aca="false">IF(J851="S0","—",IF(K851="","",IF(L851="E0","QM",INDEX(10_ASIL_Matrix!$D$4:$F$15,MATCH(J851&amp;"-"&amp;L851,10_ASIL_Matrix!$C$4:$C$15,0),MATCH(N851,10_ASIL_Matrix!$D$3:$F$3,0)))))</f>
        <v>B</v>
      </c>
      <c r="Q851" s="6" t="s">
        <v>448</v>
      </c>
    </row>
    <row r="852" customFormat="false" ht="46.25" hidden="false" customHeight="false" outlineLevel="0" collapsed="false">
      <c r="A852" s="5" t="s">
        <v>2303</v>
      </c>
      <c r="B852" s="5" t="s">
        <v>101</v>
      </c>
      <c r="C852" s="5" t="s">
        <v>102</v>
      </c>
      <c r="D852" s="5" t="s">
        <v>173</v>
      </c>
      <c r="E852" s="5" t="s">
        <v>174</v>
      </c>
      <c r="F852" s="5" t="s">
        <v>200</v>
      </c>
      <c r="G852" s="5" t="s">
        <v>570</v>
      </c>
      <c r="H852" s="5" t="s">
        <v>226</v>
      </c>
      <c r="I852" s="5" t="s">
        <v>2304</v>
      </c>
      <c r="J852" s="5" t="s">
        <v>250</v>
      </c>
      <c r="K852" s="5" t="s">
        <v>1014</v>
      </c>
      <c r="L852" s="5" t="s">
        <v>190</v>
      </c>
      <c r="M852" s="5" t="s">
        <v>579</v>
      </c>
      <c r="N852" s="5" t="s">
        <v>286</v>
      </c>
      <c r="O852" s="5" t="s">
        <v>933</v>
      </c>
      <c r="P852" s="18" t="str">
        <f aca="false">IF(J852="S0","—",IF(K852="","",IF(L852="E0","QM",INDEX(10_ASIL_Matrix!$D$4:$F$15,MATCH(J852&amp;"-"&amp;L852,10_ASIL_Matrix!$C$4:$C$15,0),MATCH(N852,10_ASIL_Matrix!$D$3:$F$3,0)))))</f>
        <v>B</v>
      </c>
      <c r="Q852" s="5" t="s">
        <v>448</v>
      </c>
    </row>
    <row r="853" customFormat="false" ht="46.25" hidden="false" customHeight="false" outlineLevel="0" collapsed="false">
      <c r="A853" s="6" t="s">
        <v>2305</v>
      </c>
      <c r="B853" s="6" t="s">
        <v>101</v>
      </c>
      <c r="C853" s="6" t="s">
        <v>102</v>
      </c>
      <c r="D853" s="6" t="s">
        <v>173</v>
      </c>
      <c r="E853" s="6" t="s">
        <v>174</v>
      </c>
      <c r="F853" s="6" t="s">
        <v>200</v>
      </c>
      <c r="G853" s="6" t="s">
        <v>570</v>
      </c>
      <c r="H853" s="6" t="s">
        <v>228</v>
      </c>
      <c r="I853" s="6" t="s">
        <v>2306</v>
      </c>
      <c r="J853" s="6" t="s">
        <v>250</v>
      </c>
      <c r="K853" s="6" t="s">
        <v>1014</v>
      </c>
      <c r="L853" s="6" t="s">
        <v>205</v>
      </c>
      <c r="M853" s="6" t="s">
        <v>582</v>
      </c>
      <c r="N853" s="6" t="s">
        <v>286</v>
      </c>
      <c r="O853" s="6" t="s">
        <v>933</v>
      </c>
      <c r="P853" s="19" t="str">
        <f aca="false">IF(J853="S0","—",IF(K853="","",IF(L853="E0","QM",INDEX(10_ASIL_Matrix!$D$4:$F$15,MATCH(J853&amp;"-"&amp;L853,10_ASIL_Matrix!$C$4:$C$15,0),MATCH(N853,10_ASIL_Matrix!$D$3:$F$3,0)))))</f>
        <v>A</v>
      </c>
      <c r="Q853" s="6" t="s">
        <v>448</v>
      </c>
    </row>
    <row r="854" customFormat="false" ht="57.45" hidden="false" customHeight="false" outlineLevel="0" collapsed="false">
      <c r="A854" s="5" t="s">
        <v>2307</v>
      </c>
      <c r="B854" s="5" t="s">
        <v>101</v>
      </c>
      <c r="C854" s="5" t="s">
        <v>102</v>
      </c>
      <c r="D854" s="5" t="s">
        <v>173</v>
      </c>
      <c r="E854" s="5" t="s">
        <v>174</v>
      </c>
      <c r="F854" s="5" t="s">
        <v>200</v>
      </c>
      <c r="G854" s="5" t="s">
        <v>570</v>
      </c>
      <c r="H854" s="5" t="s">
        <v>230</v>
      </c>
      <c r="I854" s="5" t="s">
        <v>2308</v>
      </c>
      <c r="J854" s="5" t="s">
        <v>250</v>
      </c>
      <c r="K854" s="5" t="s">
        <v>1014</v>
      </c>
      <c r="L854" s="5" t="s">
        <v>205</v>
      </c>
      <c r="M854" s="5" t="s">
        <v>585</v>
      </c>
      <c r="N854" s="5" t="s">
        <v>290</v>
      </c>
      <c r="O854" s="5" t="s">
        <v>942</v>
      </c>
      <c r="P854" s="18" t="str">
        <f aca="false">IF(J854="S0","—",IF(K854="","",IF(L854="E0","QM",INDEX(10_ASIL_Matrix!$D$4:$F$15,MATCH(J854&amp;"-"&amp;L854,10_ASIL_Matrix!$C$4:$C$15,0),MATCH(N854,10_ASIL_Matrix!$D$3:$F$3,0)))))</f>
        <v>B</v>
      </c>
      <c r="Q854" s="5" t="s">
        <v>448</v>
      </c>
    </row>
    <row r="855" customFormat="false" ht="46.25" hidden="false" customHeight="false" outlineLevel="0" collapsed="false">
      <c r="A855" s="6" t="s">
        <v>2309</v>
      </c>
      <c r="B855" s="6" t="s">
        <v>101</v>
      </c>
      <c r="C855" s="6" t="s">
        <v>102</v>
      </c>
      <c r="D855" s="6" t="s">
        <v>173</v>
      </c>
      <c r="E855" s="6" t="s">
        <v>174</v>
      </c>
      <c r="F855" s="6" t="s">
        <v>200</v>
      </c>
      <c r="G855" s="6" t="s">
        <v>570</v>
      </c>
      <c r="H855" s="6" t="s">
        <v>232</v>
      </c>
      <c r="I855" s="6" t="s">
        <v>2310</v>
      </c>
      <c r="J855" s="6" t="s">
        <v>250</v>
      </c>
      <c r="K855" s="6" t="s">
        <v>1014</v>
      </c>
      <c r="L855" s="6" t="s">
        <v>233</v>
      </c>
      <c r="M855" s="6" t="s">
        <v>588</v>
      </c>
      <c r="N855" s="6" t="s">
        <v>286</v>
      </c>
      <c r="O855" s="6" t="s">
        <v>933</v>
      </c>
      <c r="P855" s="6" t="str">
        <f aca="false">IF(J855="S0","—",IF(K855="","",IF(L855="E0","QM",INDEX(10_ASIL_Matrix!$D$4:$F$15,MATCH(J855&amp;"-"&amp;L855,10_ASIL_Matrix!$C$4:$C$15,0),MATCH(N855,10_ASIL_Matrix!$D$3:$F$3,0)))))</f>
        <v>QM</v>
      </c>
      <c r="Q855" s="6" t="s">
        <v>448</v>
      </c>
    </row>
    <row r="856" customFormat="false" ht="46.25" hidden="false" customHeight="false" outlineLevel="0" collapsed="false">
      <c r="A856" s="5" t="s">
        <v>2311</v>
      </c>
      <c r="B856" s="5" t="s">
        <v>101</v>
      </c>
      <c r="C856" s="5" t="s">
        <v>102</v>
      </c>
      <c r="D856" s="5" t="s">
        <v>173</v>
      </c>
      <c r="E856" s="5" t="s">
        <v>174</v>
      </c>
      <c r="F856" s="5" t="s">
        <v>202</v>
      </c>
      <c r="G856" s="5" t="s">
        <v>590</v>
      </c>
      <c r="H856" s="5" t="s">
        <v>222</v>
      </c>
      <c r="I856" s="5" t="s">
        <v>2312</v>
      </c>
      <c r="J856" s="5" t="s">
        <v>250</v>
      </c>
      <c r="K856" s="5" t="s">
        <v>1027</v>
      </c>
      <c r="L856" s="5" t="s">
        <v>187</v>
      </c>
      <c r="M856" s="5" t="s">
        <v>592</v>
      </c>
      <c r="N856" s="5" t="s">
        <v>286</v>
      </c>
      <c r="O856" s="5" t="s">
        <v>933</v>
      </c>
      <c r="P856" s="20" t="str">
        <f aca="false">IF(J856="S0","—",IF(K856="","",IF(L856="E0","QM",INDEX(10_ASIL_Matrix!$D$4:$F$15,MATCH(J856&amp;"-"&amp;L856,10_ASIL_Matrix!$C$4:$C$15,0),MATCH(N856,10_ASIL_Matrix!$D$3:$F$3,0)))))</f>
        <v>C</v>
      </c>
      <c r="Q856" s="5" t="s">
        <v>448</v>
      </c>
    </row>
    <row r="857" customFormat="false" ht="46.25" hidden="false" customHeight="false" outlineLevel="0" collapsed="false">
      <c r="A857" s="6" t="s">
        <v>2313</v>
      </c>
      <c r="B857" s="6" t="s">
        <v>101</v>
      </c>
      <c r="C857" s="6" t="s">
        <v>102</v>
      </c>
      <c r="D857" s="6" t="s">
        <v>173</v>
      </c>
      <c r="E857" s="6" t="s">
        <v>174</v>
      </c>
      <c r="F857" s="6" t="s">
        <v>202</v>
      </c>
      <c r="G857" s="6" t="s">
        <v>590</v>
      </c>
      <c r="H857" s="6" t="s">
        <v>224</v>
      </c>
      <c r="I857" s="6" t="s">
        <v>2314</v>
      </c>
      <c r="J857" s="6" t="s">
        <v>250</v>
      </c>
      <c r="K857" s="6" t="s">
        <v>1027</v>
      </c>
      <c r="L857" s="6" t="s">
        <v>190</v>
      </c>
      <c r="M857" s="6" t="s">
        <v>595</v>
      </c>
      <c r="N857" s="6" t="s">
        <v>286</v>
      </c>
      <c r="O857" s="6" t="s">
        <v>933</v>
      </c>
      <c r="P857" s="18" t="str">
        <f aca="false">IF(J857="S0","—",IF(K857="","",IF(L857="E0","QM",INDEX(10_ASIL_Matrix!$D$4:$F$15,MATCH(J857&amp;"-"&amp;L857,10_ASIL_Matrix!$C$4:$C$15,0),MATCH(N857,10_ASIL_Matrix!$D$3:$F$3,0)))))</f>
        <v>B</v>
      </c>
      <c r="Q857" s="6" t="s">
        <v>448</v>
      </c>
    </row>
    <row r="858" customFormat="false" ht="46.25" hidden="false" customHeight="false" outlineLevel="0" collapsed="false">
      <c r="A858" s="5" t="s">
        <v>2315</v>
      </c>
      <c r="B858" s="5" t="s">
        <v>101</v>
      </c>
      <c r="C858" s="5" t="s">
        <v>102</v>
      </c>
      <c r="D858" s="5" t="s">
        <v>173</v>
      </c>
      <c r="E858" s="5" t="s">
        <v>174</v>
      </c>
      <c r="F858" s="5" t="s">
        <v>202</v>
      </c>
      <c r="G858" s="5" t="s">
        <v>590</v>
      </c>
      <c r="H858" s="5" t="s">
        <v>226</v>
      </c>
      <c r="I858" s="5" t="s">
        <v>2316</v>
      </c>
      <c r="J858" s="5" t="s">
        <v>250</v>
      </c>
      <c r="K858" s="5" t="s">
        <v>1027</v>
      </c>
      <c r="L858" s="5" t="s">
        <v>190</v>
      </c>
      <c r="M858" s="5" t="s">
        <v>598</v>
      </c>
      <c r="N858" s="5" t="s">
        <v>286</v>
      </c>
      <c r="O858" s="5" t="s">
        <v>933</v>
      </c>
      <c r="P858" s="18" t="str">
        <f aca="false">IF(J858="S0","—",IF(K858="","",IF(L858="E0","QM",INDEX(10_ASIL_Matrix!$D$4:$F$15,MATCH(J858&amp;"-"&amp;L858,10_ASIL_Matrix!$C$4:$C$15,0),MATCH(N858,10_ASIL_Matrix!$D$3:$F$3,0)))))</f>
        <v>B</v>
      </c>
      <c r="Q858" s="5" t="s">
        <v>448</v>
      </c>
    </row>
    <row r="859" customFormat="false" ht="46.25" hidden="false" customHeight="false" outlineLevel="0" collapsed="false">
      <c r="A859" s="6" t="s">
        <v>2317</v>
      </c>
      <c r="B859" s="6" t="s">
        <v>101</v>
      </c>
      <c r="C859" s="6" t="s">
        <v>102</v>
      </c>
      <c r="D859" s="6" t="s">
        <v>173</v>
      </c>
      <c r="E859" s="6" t="s">
        <v>174</v>
      </c>
      <c r="F859" s="6" t="s">
        <v>202</v>
      </c>
      <c r="G859" s="6" t="s">
        <v>590</v>
      </c>
      <c r="H859" s="6" t="s">
        <v>228</v>
      </c>
      <c r="I859" s="6" t="s">
        <v>2318</v>
      </c>
      <c r="J859" s="6" t="s">
        <v>250</v>
      </c>
      <c r="K859" s="6" t="s">
        <v>1027</v>
      </c>
      <c r="L859" s="6" t="s">
        <v>205</v>
      </c>
      <c r="M859" s="6" t="s">
        <v>601</v>
      </c>
      <c r="N859" s="6" t="s">
        <v>286</v>
      </c>
      <c r="O859" s="6" t="s">
        <v>933</v>
      </c>
      <c r="P859" s="19" t="str">
        <f aca="false">IF(J859="S0","—",IF(K859="","",IF(L859="E0","QM",INDEX(10_ASIL_Matrix!$D$4:$F$15,MATCH(J859&amp;"-"&amp;L859,10_ASIL_Matrix!$C$4:$C$15,0),MATCH(N859,10_ASIL_Matrix!$D$3:$F$3,0)))))</f>
        <v>A</v>
      </c>
      <c r="Q859" s="6" t="s">
        <v>448</v>
      </c>
    </row>
    <row r="860" customFormat="false" ht="57.45" hidden="false" customHeight="false" outlineLevel="0" collapsed="false">
      <c r="A860" s="5" t="s">
        <v>2319</v>
      </c>
      <c r="B860" s="5" t="s">
        <v>101</v>
      </c>
      <c r="C860" s="5" t="s">
        <v>102</v>
      </c>
      <c r="D860" s="5" t="s">
        <v>173</v>
      </c>
      <c r="E860" s="5" t="s">
        <v>174</v>
      </c>
      <c r="F860" s="5" t="s">
        <v>202</v>
      </c>
      <c r="G860" s="5" t="s">
        <v>590</v>
      </c>
      <c r="H860" s="5" t="s">
        <v>230</v>
      </c>
      <c r="I860" s="5" t="s">
        <v>2320</v>
      </c>
      <c r="J860" s="5" t="s">
        <v>250</v>
      </c>
      <c r="K860" s="5" t="s">
        <v>1027</v>
      </c>
      <c r="L860" s="5" t="s">
        <v>205</v>
      </c>
      <c r="M860" s="5" t="s">
        <v>604</v>
      </c>
      <c r="N860" s="5" t="s">
        <v>290</v>
      </c>
      <c r="O860" s="5" t="s">
        <v>942</v>
      </c>
      <c r="P860" s="18" t="str">
        <f aca="false">IF(J860="S0","—",IF(K860="","",IF(L860="E0","QM",INDEX(10_ASIL_Matrix!$D$4:$F$15,MATCH(J860&amp;"-"&amp;L860,10_ASIL_Matrix!$C$4:$C$15,0),MATCH(N860,10_ASIL_Matrix!$D$3:$F$3,0)))))</f>
        <v>B</v>
      </c>
      <c r="Q860" s="5" t="s">
        <v>448</v>
      </c>
    </row>
    <row r="861" customFormat="false" ht="46.25" hidden="false" customHeight="false" outlineLevel="0" collapsed="false">
      <c r="A861" s="6" t="s">
        <v>2321</v>
      </c>
      <c r="B861" s="6" t="s">
        <v>101</v>
      </c>
      <c r="C861" s="6" t="s">
        <v>102</v>
      </c>
      <c r="D861" s="6" t="s">
        <v>173</v>
      </c>
      <c r="E861" s="6" t="s">
        <v>174</v>
      </c>
      <c r="F861" s="6" t="s">
        <v>202</v>
      </c>
      <c r="G861" s="6" t="s">
        <v>590</v>
      </c>
      <c r="H861" s="6" t="s">
        <v>232</v>
      </c>
      <c r="I861" s="6" t="s">
        <v>2322</v>
      </c>
      <c r="J861" s="6" t="s">
        <v>250</v>
      </c>
      <c r="K861" s="6" t="s">
        <v>1027</v>
      </c>
      <c r="L861" s="6" t="s">
        <v>233</v>
      </c>
      <c r="M861" s="6" t="s">
        <v>607</v>
      </c>
      <c r="N861" s="6" t="s">
        <v>286</v>
      </c>
      <c r="O861" s="6" t="s">
        <v>933</v>
      </c>
      <c r="P861" s="6" t="str">
        <f aca="false">IF(J861="S0","—",IF(K861="","",IF(L861="E0","QM",INDEX(10_ASIL_Matrix!$D$4:$F$15,MATCH(J861&amp;"-"&amp;L861,10_ASIL_Matrix!$C$4:$C$15,0),MATCH(N861,10_ASIL_Matrix!$D$3:$F$3,0)))))</f>
        <v>QM</v>
      </c>
      <c r="Q861" s="6" t="s">
        <v>448</v>
      </c>
    </row>
    <row r="862" customFormat="false" ht="46.25" hidden="false" customHeight="false" outlineLevel="0" collapsed="false">
      <c r="A862" s="5" t="s">
        <v>2323</v>
      </c>
      <c r="B862" s="5" t="s">
        <v>101</v>
      </c>
      <c r="C862" s="5" t="s">
        <v>102</v>
      </c>
      <c r="D862" s="5" t="s">
        <v>173</v>
      </c>
      <c r="E862" s="5" t="s">
        <v>174</v>
      </c>
      <c r="F862" s="5" t="s">
        <v>204</v>
      </c>
      <c r="G862" s="5" t="s">
        <v>609</v>
      </c>
      <c r="H862" s="5" t="s">
        <v>222</v>
      </c>
      <c r="I862" s="5" t="s">
        <v>2324</v>
      </c>
      <c r="J862" s="5" t="s">
        <v>250</v>
      </c>
      <c r="K862" s="5" t="s">
        <v>1040</v>
      </c>
      <c r="L862" s="5" t="s">
        <v>205</v>
      </c>
      <c r="M862" s="5" t="s">
        <v>612</v>
      </c>
      <c r="N862" s="5" t="s">
        <v>286</v>
      </c>
      <c r="O862" s="5" t="s">
        <v>933</v>
      </c>
      <c r="P862" s="19" t="str">
        <f aca="false">IF(J862="S0","—",IF(K862="","",IF(L862="E0","QM",INDEX(10_ASIL_Matrix!$D$4:$F$15,MATCH(J862&amp;"-"&amp;L862,10_ASIL_Matrix!$C$4:$C$15,0),MATCH(N862,10_ASIL_Matrix!$D$3:$F$3,0)))))</f>
        <v>A</v>
      </c>
      <c r="Q862" s="5" t="s">
        <v>448</v>
      </c>
    </row>
    <row r="863" customFormat="false" ht="46.25" hidden="false" customHeight="false" outlineLevel="0" collapsed="false">
      <c r="A863" s="6" t="s">
        <v>2325</v>
      </c>
      <c r="B863" s="6" t="s">
        <v>101</v>
      </c>
      <c r="C863" s="6" t="s">
        <v>102</v>
      </c>
      <c r="D863" s="6" t="s">
        <v>173</v>
      </c>
      <c r="E863" s="6" t="s">
        <v>174</v>
      </c>
      <c r="F863" s="6" t="s">
        <v>204</v>
      </c>
      <c r="G863" s="6" t="s">
        <v>609</v>
      </c>
      <c r="H863" s="6" t="s">
        <v>224</v>
      </c>
      <c r="I863" s="6" t="s">
        <v>2326</v>
      </c>
      <c r="J863" s="6" t="s">
        <v>250</v>
      </c>
      <c r="K863" s="6" t="s">
        <v>1040</v>
      </c>
      <c r="L863" s="6" t="s">
        <v>205</v>
      </c>
      <c r="M863" s="6" t="s">
        <v>616</v>
      </c>
      <c r="N863" s="6" t="s">
        <v>286</v>
      </c>
      <c r="O863" s="6" t="s">
        <v>933</v>
      </c>
      <c r="P863" s="19" t="str">
        <f aca="false">IF(J863="S0","—",IF(K863="","",IF(L863="E0","QM",INDEX(10_ASIL_Matrix!$D$4:$F$15,MATCH(J863&amp;"-"&amp;L863,10_ASIL_Matrix!$C$4:$C$15,0),MATCH(N863,10_ASIL_Matrix!$D$3:$F$3,0)))))</f>
        <v>A</v>
      </c>
      <c r="Q863" s="6" t="s">
        <v>448</v>
      </c>
    </row>
    <row r="864" customFormat="false" ht="46.25" hidden="false" customHeight="false" outlineLevel="0" collapsed="false">
      <c r="A864" s="5" t="s">
        <v>2327</v>
      </c>
      <c r="B864" s="5" t="s">
        <v>101</v>
      </c>
      <c r="C864" s="5" t="s">
        <v>102</v>
      </c>
      <c r="D864" s="5" t="s">
        <v>173</v>
      </c>
      <c r="E864" s="5" t="s">
        <v>174</v>
      </c>
      <c r="F864" s="5" t="s">
        <v>204</v>
      </c>
      <c r="G864" s="5" t="s">
        <v>609</v>
      </c>
      <c r="H864" s="5" t="s">
        <v>226</v>
      </c>
      <c r="I864" s="5" t="s">
        <v>2328</v>
      </c>
      <c r="J864" s="5" t="s">
        <v>250</v>
      </c>
      <c r="K864" s="5" t="s">
        <v>1040</v>
      </c>
      <c r="L864" s="5" t="s">
        <v>205</v>
      </c>
      <c r="M864" s="5" t="s">
        <v>619</v>
      </c>
      <c r="N864" s="5" t="s">
        <v>286</v>
      </c>
      <c r="O864" s="5" t="s">
        <v>933</v>
      </c>
      <c r="P864" s="19" t="str">
        <f aca="false">IF(J864="S0","—",IF(K864="","",IF(L864="E0","QM",INDEX(10_ASIL_Matrix!$D$4:$F$15,MATCH(J864&amp;"-"&amp;L864,10_ASIL_Matrix!$C$4:$C$15,0),MATCH(N864,10_ASIL_Matrix!$D$3:$F$3,0)))))</f>
        <v>A</v>
      </c>
      <c r="Q864" s="5" t="s">
        <v>448</v>
      </c>
    </row>
    <row r="865" customFormat="false" ht="46.25" hidden="false" customHeight="false" outlineLevel="0" collapsed="false">
      <c r="A865" s="6" t="s">
        <v>2329</v>
      </c>
      <c r="B865" s="6" t="s">
        <v>101</v>
      </c>
      <c r="C865" s="6" t="s">
        <v>102</v>
      </c>
      <c r="D865" s="6" t="s">
        <v>173</v>
      </c>
      <c r="E865" s="6" t="s">
        <v>174</v>
      </c>
      <c r="F865" s="6" t="s">
        <v>204</v>
      </c>
      <c r="G865" s="6" t="s">
        <v>609</v>
      </c>
      <c r="H865" s="6" t="s">
        <v>228</v>
      </c>
      <c r="I865" s="6" t="s">
        <v>2330</v>
      </c>
      <c r="J865" s="6" t="s">
        <v>250</v>
      </c>
      <c r="K865" s="6" t="s">
        <v>1040</v>
      </c>
      <c r="L865" s="6" t="s">
        <v>205</v>
      </c>
      <c r="M865" s="6" t="s">
        <v>622</v>
      </c>
      <c r="N865" s="6" t="s">
        <v>286</v>
      </c>
      <c r="O865" s="6" t="s">
        <v>933</v>
      </c>
      <c r="P865" s="19" t="str">
        <f aca="false">IF(J865="S0","—",IF(K865="","",IF(L865="E0","QM",INDEX(10_ASIL_Matrix!$D$4:$F$15,MATCH(J865&amp;"-"&amp;L865,10_ASIL_Matrix!$C$4:$C$15,0),MATCH(N865,10_ASIL_Matrix!$D$3:$F$3,0)))))</f>
        <v>A</v>
      </c>
      <c r="Q865" s="6" t="s">
        <v>448</v>
      </c>
    </row>
    <row r="866" customFormat="false" ht="57.45" hidden="false" customHeight="false" outlineLevel="0" collapsed="false">
      <c r="A866" s="5" t="s">
        <v>2331</v>
      </c>
      <c r="B866" s="5" t="s">
        <v>101</v>
      </c>
      <c r="C866" s="5" t="s">
        <v>102</v>
      </c>
      <c r="D866" s="5" t="s">
        <v>173</v>
      </c>
      <c r="E866" s="5" t="s">
        <v>174</v>
      </c>
      <c r="F866" s="5" t="s">
        <v>204</v>
      </c>
      <c r="G866" s="5" t="s">
        <v>609</v>
      </c>
      <c r="H866" s="5" t="s">
        <v>230</v>
      </c>
      <c r="I866" s="5" t="s">
        <v>2332</v>
      </c>
      <c r="J866" s="5" t="s">
        <v>250</v>
      </c>
      <c r="K866" s="5" t="s">
        <v>1040</v>
      </c>
      <c r="L866" s="5" t="s">
        <v>205</v>
      </c>
      <c r="M866" s="5" t="s">
        <v>625</v>
      </c>
      <c r="N866" s="5" t="s">
        <v>290</v>
      </c>
      <c r="O866" s="5" t="s">
        <v>942</v>
      </c>
      <c r="P866" s="18" t="str">
        <f aca="false">IF(J866="S0","—",IF(K866="","",IF(L866="E0","QM",INDEX(10_ASIL_Matrix!$D$4:$F$15,MATCH(J866&amp;"-"&amp;L866,10_ASIL_Matrix!$C$4:$C$15,0),MATCH(N866,10_ASIL_Matrix!$D$3:$F$3,0)))))</f>
        <v>B</v>
      </c>
      <c r="Q866" s="5" t="s">
        <v>448</v>
      </c>
    </row>
    <row r="867" customFormat="false" ht="46.25" hidden="false" customHeight="false" outlineLevel="0" collapsed="false">
      <c r="A867" s="6" t="s">
        <v>2333</v>
      </c>
      <c r="B867" s="6" t="s">
        <v>101</v>
      </c>
      <c r="C867" s="6" t="s">
        <v>102</v>
      </c>
      <c r="D867" s="6" t="s">
        <v>173</v>
      </c>
      <c r="E867" s="6" t="s">
        <v>174</v>
      </c>
      <c r="F867" s="6" t="s">
        <v>204</v>
      </c>
      <c r="G867" s="6" t="s">
        <v>609</v>
      </c>
      <c r="H867" s="6" t="s">
        <v>232</v>
      </c>
      <c r="I867" s="6" t="s">
        <v>2334</v>
      </c>
      <c r="J867" s="6" t="s">
        <v>250</v>
      </c>
      <c r="K867" s="6" t="s">
        <v>1040</v>
      </c>
      <c r="L867" s="6" t="s">
        <v>233</v>
      </c>
      <c r="M867" s="6" t="s">
        <v>629</v>
      </c>
      <c r="N867" s="6" t="s">
        <v>286</v>
      </c>
      <c r="O867" s="6" t="s">
        <v>933</v>
      </c>
      <c r="P867" s="6" t="str">
        <f aca="false">IF(J867="S0","—",IF(K867="","",IF(L867="E0","QM",INDEX(10_ASIL_Matrix!$D$4:$F$15,MATCH(J867&amp;"-"&amp;L867,10_ASIL_Matrix!$C$4:$C$15,0),MATCH(N867,10_ASIL_Matrix!$D$3:$F$3,0)))))</f>
        <v>QM</v>
      </c>
      <c r="Q867" s="6" t="s">
        <v>448</v>
      </c>
    </row>
    <row r="868" customFormat="false" ht="46.25" hidden="false" customHeight="false" outlineLevel="0" collapsed="false">
      <c r="A868" s="5" t="s">
        <v>2335</v>
      </c>
      <c r="B868" s="5" t="s">
        <v>101</v>
      </c>
      <c r="C868" s="5" t="s">
        <v>102</v>
      </c>
      <c r="D868" s="5" t="s">
        <v>173</v>
      </c>
      <c r="E868" s="5" t="s">
        <v>174</v>
      </c>
      <c r="F868" s="5" t="s">
        <v>207</v>
      </c>
      <c r="G868" s="5" t="s">
        <v>609</v>
      </c>
      <c r="H868" s="5" t="s">
        <v>222</v>
      </c>
      <c r="I868" s="5" t="s">
        <v>2336</v>
      </c>
      <c r="J868" s="5" t="s">
        <v>250</v>
      </c>
      <c r="K868" s="5" t="s">
        <v>1053</v>
      </c>
      <c r="L868" s="5" t="s">
        <v>190</v>
      </c>
      <c r="M868" s="5" t="s">
        <v>633</v>
      </c>
      <c r="N868" s="5" t="s">
        <v>286</v>
      </c>
      <c r="O868" s="5" t="s">
        <v>933</v>
      </c>
      <c r="P868" s="18" t="str">
        <f aca="false">IF(J868="S0","—",IF(K868="","",IF(L868="E0","QM",INDEX(10_ASIL_Matrix!$D$4:$F$15,MATCH(J868&amp;"-"&amp;L868,10_ASIL_Matrix!$C$4:$C$15,0),MATCH(N868,10_ASIL_Matrix!$D$3:$F$3,0)))))</f>
        <v>B</v>
      </c>
      <c r="Q868" s="5" t="s">
        <v>448</v>
      </c>
    </row>
    <row r="869" customFormat="false" ht="46.25" hidden="false" customHeight="false" outlineLevel="0" collapsed="false">
      <c r="A869" s="6" t="s">
        <v>2337</v>
      </c>
      <c r="B869" s="6" t="s">
        <v>101</v>
      </c>
      <c r="C869" s="6" t="s">
        <v>102</v>
      </c>
      <c r="D869" s="6" t="s">
        <v>173</v>
      </c>
      <c r="E869" s="6" t="s">
        <v>174</v>
      </c>
      <c r="F869" s="6" t="s">
        <v>207</v>
      </c>
      <c r="G869" s="6" t="s">
        <v>609</v>
      </c>
      <c r="H869" s="6" t="s">
        <v>224</v>
      </c>
      <c r="I869" s="6" t="s">
        <v>2338</v>
      </c>
      <c r="J869" s="6" t="s">
        <v>250</v>
      </c>
      <c r="K869" s="6" t="s">
        <v>1053</v>
      </c>
      <c r="L869" s="6" t="s">
        <v>190</v>
      </c>
      <c r="M869" s="6" t="s">
        <v>637</v>
      </c>
      <c r="N869" s="6" t="s">
        <v>286</v>
      </c>
      <c r="O869" s="6" t="s">
        <v>933</v>
      </c>
      <c r="P869" s="18" t="str">
        <f aca="false">IF(J869="S0","—",IF(K869="","",IF(L869="E0","QM",INDEX(10_ASIL_Matrix!$D$4:$F$15,MATCH(J869&amp;"-"&amp;L869,10_ASIL_Matrix!$C$4:$C$15,0),MATCH(N869,10_ASIL_Matrix!$D$3:$F$3,0)))))</f>
        <v>B</v>
      </c>
      <c r="Q869" s="6" t="s">
        <v>448</v>
      </c>
    </row>
    <row r="870" customFormat="false" ht="46.25" hidden="false" customHeight="false" outlineLevel="0" collapsed="false">
      <c r="A870" s="5" t="s">
        <v>2339</v>
      </c>
      <c r="B870" s="5" t="s">
        <v>101</v>
      </c>
      <c r="C870" s="5" t="s">
        <v>102</v>
      </c>
      <c r="D870" s="5" t="s">
        <v>173</v>
      </c>
      <c r="E870" s="5" t="s">
        <v>174</v>
      </c>
      <c r="F870" s="5" t="s">
        <v>207</v>
      </c>
      <c r="G870" s="5" t="s">
        <v>609</v>
      </c>
      <c r="H870" s="5" t="s">
        <v>226</v>
      </c>
      <c r="I870" s="5" t="s">
        <v>2340</v>
      </c>
      <c r="J870" s="5" t="s">
        <v>250</v>
      </c>
      <c r="K870" s="5" t="s">
        <v>1053</v>
      </c>
      <c r="L870" s="5" t="s">
        <v>190</v>
      </c>
      <c r="M870" s="5" t="s">
        <v>640</v>
      </c>
      <c r="N870" s="5" t="s">
        <v>286</v>
      </c>
      <c r="O870" s="5" t="s">
        <v>933</v>
      </c>
      <c r="P870" s="18" t="str">
        <f aca="false">IF(J870="S0","—",IF(K870="","",IF(L870="E0","QM",INDEX(10_ASIL_Matrix!$D$4:$F$15,MATCH(J870&amp;"-"&amp;L870,10_ASIL_Matrix!$C$4:$C$15,0),MATCH(N870,10_ASIL_Matrix!$D$3:$F$3,0)))))</f>
        <v>B</v>
      </c>
      <c r="Q870" s="5" t="s">
        <v>448</v>
      </c>
    </row>
    <row r="871" customFormat="false" ht="46.25" hidden="false" customHeight="false" outlineLevel="0" collapsed="false">
      <c r="A871" s="6" t="s">
        <v>2341</v>
      </c>
      <c r="B871" s="6" t="s">
        <v>101</v>
      </c>
      <c r="C871" s="6" t="s">
        <v>102</v>
      </c>
      <c r="D871" s="6" t="s">
        <v>173</v>
      </c>
      <c r="E871" s="6" t="s">
        <v>174</v>
      </c>
      <c r="F871" s="6" t="s">
        <v>207</v>
      </c>
      <c r="G871" s="6" t="s">
        <v>609</v>
      </c>
      <c r="H871" s="6" t="s">
        <v>228</v>
      </c>
      <c r="I871" s="6" t="s">
        <v>2342</v>
      </c>
      <c r="J871" s="6" t="s">
        <v>250</v>
      </c>
      <c r="K871" s="6" t="s">
        <v>1053</v>
      </c>
      <c r="L871" s="6" t="s">
        <v>205</v>
      </c>
      <c r="M871" s="6" t="s">
        <v>643</v>
      </c>
      <c r="N871" s="6" t="s">
        <v>286</v>
      </c>
      <c r="O871" s="6" t="s">
        <v>933</v>
      </c>
      <c r="P871" s="19" t="str">
        <f aca="false">IF(J871="S0","—",IF(K871="","",IF(L871="E0","QM",INDEX(10_ASIL_Matrix!$D$4:$F$15,MATCH(J871&amp;"-"&amp;L871,10_ASIL_Matrix!$C$4:$C$15,0),MATCH(N871,10_ASIL_Matrix!$D$3:$F$3,0)))))</f>
        <v>A</v>
      </c>
      <c r="Q871" s="6" t="s">
        <v>448</v>
      </c>
    </row>
    <row r="872" customFormat="false" ht="57.45" hidden="false" customHeight="false" outlineLevel="0" collapsed="false">
      <c r="A872" s="5" t="s">
        <v>2343</v>
      </c>
      <c r="B872" s="5" t="s">
        <v>101</v>
      </c>
      <c r="C872" s="5" t="s">
        <v>102</v>
      </c>
      <c r="D872" s="5" t="s">
        <v>173</v>
      </c>
      <c r="E872" s="5" t="s">
        <v>174</v>
      </c>
      <c r="F872" s="5" t="s">
        <v>207</v>
      </c>
      <c r="G872" s="5" t="s">
        <v>609</v>
      </c>
      <c r="H872" s="5" t="s">
        <v>230</v>
      </c>
      <c r="I872" s="5" t="s">
        <v>2344</v>
      </c>
      <c r="J872" s="5" t="s">
        <v>250</v>
      </c>
      <c r="K872" s="5" t="s">
        <v>1053</v>
      </c>
      <c r="L872" s="5" t="s">
        <v>205</v>
      </c>
      <c r="M872" s="5" t="s">
        <v>646</v>
      </c>
      <c r="N872" s="5" t="s">
        <v>290</v>
      </c>
      <c r="O872" s="5" t="s">
        <v>942</v>
      </c>
      <c r="P872" s="18" t="str">
        <f aca="false">IF(J872="S0","—",IF(K872="","",IF(L872="E0","QM",INDEX(10_ASIL_Matrix!$D$4:$F$15,MATCH(J872&amp;"-"&amp;L872,10_ASIL_Matrix!$C$4:$C$15,0),MATCH(N872,10_ASIL_Matrix!$D$3:$F$3,0)))))</f>
        <v>B</v>
      </c>
      <c r="Q872" s="5" t="s">
        <v>448</v>
      </c>
    </row>
    <row r="873" customFormat="false" ht="46.25" hidden="false" customHeight="false" outlineLevel="0" collapsed="false">
      <c r="A873" s="6" t="s">
        <v>2345</v>
      </c>
      <c r="B873" s="6" t="s">
        <v>101</v>
      </c>
      <c r="C873" s="6" t="s">
        <v>102</v>
      </c>
      <c r="D873" s="6" t="s">
        <v>173</v>
      </c>
      <c r="E873" s="6" t="s">
        <v>174</v>
      </c>
      <c r="F873" s="6" t="s">
        <v>207</v>
      </c>
      <c r="G873" s="6" t="s">
        <v>609</v>
      </c>
      <c r="H873" s="6" t="s">
        <v>232</v>
      </c>
      <c r="I873" s="6" t="s">
        <v>2346</v>
      </c>
      <c r="J873" s="6" t="s">
        <v>250</v>
      </c>
      <c r="K873" s="6" t="s">
        <v>1053</v>
      </c>
      <c r="L873" s="6" t="s">
        <v>233</v>
      </c>
      <c r="M873" s="6" t="s">
        <v>649</v>
      </c>
      <c r="N873" s="6" t="s">
        <v>286</v>
      </c>
      <c r="O873" s="6" t="s">
        <v>933</v>
      </c>
      <c r="P873" s="6" t="str">
        <f aca="false">IF(J873="S0","—",IF(K873="","",IF(L873="E0","QM",INDEX(10_ASIL_Matrix!$D$4:$F$15,MATCH(J873&amp;"-"&amp;L873,10_ASIL_Matrix!$C$4:$C$15,0),MATCH(N873,10_ASIL_Matrix!$D$3:$F$3,0)))))</f>
        <v>QM</v>
      </c>
      <c r="Q873" s="6" t="s">
        <v>448</v>
      </c>
    </row>
    <row r="874" customFormat="false" ht="46.25" hidden="false" customHeight="false" outlineLevel="0" collapsed="false">
      <c r="A874" s="5" t="s">
        <v>2347</v>
      </c>
      <c r="B874" s="5" t="s">
        <v>101</v>
      </c>
      <c r="C874" s="5" t="s">
        <v>102</v>
      </c>
      <c r="D874" s="5" t="s">
        <v>173</v>
      </c>
      <c r="E874" s="5" t="s">
        <v>174</v>
      </c>
      <c r="F874" s="5" t="s">
        <v>209</v>
      </c>
      <c r="G874" s="5" t="s">
        <v>570</v>
      </c>
      <c r="H874" s="5" t="s">
        <v>222</v>
      </c>
      <c r="I874" s="5" t="s">
        <v>2348</v>
      </c>
      <c r="J874" s="5" t="s">
        <v>250</v>
      </c>
      <c r="K874" s="5" t="s">
        <v>1066</v>
      </c>
      <c r="L874" s="5" t="s">
        <v>190</v>
      </c>
      <c r="M874" s="5" t="s">
        <v>653</v>
      </c>
      <c r="N874" s="5" t="s">
        <v>286</v>
      </c>
      <c r="O874" s="5" t="s">
        <v>933</v>
      </c>
      <c r="P874" s="18" t="str">
        <f aca="false">IF(J874="S0","—",IF(K874="","",IF(L874="E0","QM",INDEX(10_ASIL_Matrix!$D$4:$F$15,MATCH(J874&amp;"-"&amp;L874,10_ASIL_Matrix!$C$4:$C$15,0),MATCH(N874,10_ASIL_Matrix!$D$3:$F$3,0)))))</f>
        <v>B</v>
      </c>
      <c r="Q874" s="5" t="s">
        <v>448</v>
      </c>
    </row>
    <row r="875" customFormat="false" ht="46.25" hidden="false" customHeight="false" outlineLevel="0" collapsed="false">
      <c r="A875" s="6" t="s">
        <v>2349</v>
      </c>
      <c r="B875" s="6" t="s">
        <v>101</v>
      </c>
      <c r="C875" s="6" t="s">
        <v>102</v>
      </c>
      <c r="D875" s="6" t="s">
        <v>173</v>
      </c>
      <c r="E875" s="6" t="s">
        <v>174</v>
      </c>
      <c r="F875" s="6" t="s">
        <v>209</v>
      </c>
      <c r="G875" s="6" t="s">
        <v>570</v>
      </c>
      <c r="H875" s="6" t="s">
        <v>224</v>
      </c>
      <c r="I875" s="6" t="s">
        <v>2350</v>
      </c>
      <c r="J875" s="6" t="s">
        <v>250</v>
      </c>
      <c r="K875" s="6" t="s">
        <v>1066</v>
      </c>
      <c r="L875" s="6" t="s">
        <v>190</v>
      </c>
      <c r="M875" s="6" t="s">
        <v>656</v>
      </c>
      <c r="N875" s="6" t="s">
        <v>286</v>
      </c>
      <c r="O875" s="6" t="s">
        <v>933</v>
      </c>
      <c r="P875" s="18" t="str">
        <f aca="false">IF(J875="S0","—",IF(K875="","",IF(L875="E0","QM",INDEX(10_ASIL_Matrix!$D$4:$F$15,MATCH(J875&amp;"-"&amp;L875,10_ASIL_Matrix!$C$4:$C$15,0),MATCH(N875,10_ASIL_Matrix!$D$3:$F$3,0)))))</f>
        <v>B</v>
      </c>
      <c r="Q875" s="6" t="s">
        <v>448</v>
      </c>
    </row>
    <row r="876" customFormat="false" ht="46.25" hidden="false" customHeight="false" outlineLevel="0" collapsed="false">
      <c r="A876" s="5" t="s">
        <v>2351</v>
      </c>
      <c r="B876" s="5" t="s">
        <v>101</v>
      </c>
      <c r="C876" s="5" t="s">
        <v>102</v>
      </c>
      <c r="D876" s="5" t="s">
        <v>173</v>
      </c>
      <c r="E876" s="5" t="s">
        <v>174</v>
      </c>
      <c r="F876" s="5" t="s">
        <v>209</v>
      </c>
      <c r="G876" s="5" t="s">
        <v>570</v>
      </c>
      <c r="H876" s="5" t="s">
        <v>226</v>
      </c>
      <c r="I876" s="5" t="s">
        <v>2352</v>
      </c>
      <c r="J876" s="5" t="s">
        <v>250</v>
      </c>
      <c r="K876" s="5" t="s">
        <v>1066</v>
      </c>
      <c r="L876" s="5" t="s">
        <v>190</v>
      </c>
      <c r="M876" s="5" t="s">
        <v>659</v>
      </c>
      <c r="N876" s="5" t="s">
        <v>286</v>
      </c>
      <c r="O876" s="5" t="s">
        <v>933</v>
      </c>
      <c r="P876" s="18" t="str">
        <f aca="false">IF(J876="S0","—",IF(K876="","",IF(L876="E0","QM",INDEX(10_ASIL_Matrix!$D$4:$F$15,MATCH(J876&amp;"-"&amp;L876,10_ASIL_Matrix!$C$4:$C$15,0),MATCH(N876,10_ASIL_Matrix!$D$3:$F$3,0)))))</f>
        <v>B</v>
      </c>
      <c r="Q876" s="5" t="s">
        <v>448</v>
      </c>
    </row>
    <row r="877" customFormat="false" ht="46.25" hidden="false" customHeight="false" outlineLevel="0" collapsed="false">
      <c r="A877" s="6" t="s">
        <v>2353</v>
      </c>
      <c r="B877" s="6" t="s">
        <v>101</v>
      </c>
      <c r="C877" s="6" t="s">
        <v>102</v>
      </c>
      <c r="D877" s="6" t="s">
        <v>173</v>
      </c>
      <c r="E877" s="6" t="s">
        <v>174</v>
      </c>
      <c r="F877" s="6" t="s">
        <v>209</v>
      </c>
      <c r="G877" s="6" t="s">
        <v>570</v>
      </c>
      <c r="H877" s="6" t="s">
        <v>228</v>
      </c>
      <c r="I877" s="6" t="s">
        <v>2354</v>
      </c>
      <c r="J877" s="6" t="s">
        <v>250</v>
      </c>
      <c r="K877" s="6" t="s">
        <v>1066</v>
      </c>
      <c r="L877" s="6" t="s">
        <v>205</v>
      </c>
      <c r="M877" s="6" t="s">
        <v>662</v>
      </c>
      <c r="N877" s="6" t="s">
        <v>286</v>
      </c>
      <c r="O877" s="6" t="s">
        <v>933</v>
      </c>
      <c r="P877" s="19" t="str">
        <f aca="false">IF(J877="S0","—",IF(K877="","",IF(L877="E0","QM",INDEX(10_ASIL_Matrix!$D$4:$F$15,MATCH(J877&amp;"-"&amp;L877,10_ASIL_Matrix!$C$4:$C$15,0),MATCH(N877,10_ASIL_Matrix!$D$3:$F$3,0)))))</f>
        <v>A</v>
      </c>
      <c r="Q877" s="6" t="s">
        <v>448</v>
      </c>
    </row>
    <row r="878" customFormat="false" ht="57.45" hidden="false" customHeight="false" outlineLevel="0" collapsed="false">
      <c r="A878" s="5" t="s">
        <v>2355</v>
      </c>
      <c r="B878" s="5" t="s">
        <v>101</v>
      </c>
      <c r="C878" s="5" t="s">
        <v>102</v>
      </c>
      <c r="D878" s="5" t="s">
        <v>173</v>
      </c>
      <c r="E878" s="5" t="s">
        <v>174</v>
      </c>
      <c r="F878" s="5" t="s">
        <v>209</v>
      </c>
      <c r="G878" s="5" t="s">
        <v>570</v>
      </c>
      <c r="H878" s="5" t="s">
        <v>230</v>
      </c>
      <c r="I878" s="5" t="s">
        <v>2356</v>
      </c>
      <c r="J878" s="5" t="s">
        <v>250</v>
      </c>
      <c r="K878" s="5" t="s">
        <v>1066</v>
      </c>
      <c r="L878" s="5" t="s">
        <v>205</v>
      </c>
      <c r="M878" s="5" t="s">
        <v>665</v>
      </c>
      <c r="N878" s="5" t="s">
        <v>290</v>
      </c>
      <c r="O878" s="5" t="s">
        <v>942</v>
      </c>
      <c r="P878" s="18" t="str">
        <f aca="false">IF(J878="S0","—",IF(K878="","",IF(L878="E0","QM",INDEX(10_ASIL_Matrix!$D$4:$F$15,MATCH(J878&amp;"-"&amp;L878,10_ASIL_Matrix!$C$4:$C$15,0),MATCH(N878,10_ASIL_Matrix!$D$3:$F$3,0)))))</f>
        <v>B</v>
      </c>
      <c r="Q878" s="5" t="s">
        <v>448</v>
      </c>
    </row>
    <row r="879" customFormat="false" ht="46.25" hidden="false" customHeight="false" outlineLevel="0" collapsed="false">
      <c r="A879" s="6" t="s">
        <v>2357</v>
      </c>
      <c r="B879" s="6" t="s">
        <v>101</v>
      </c>
      <c r="C879" s="6" t="s">
        <v>102</v>
      </c>
      <c r="D879" s="6" t="s">
        <v>173</v>
      </c>
      <c r="E879" s="6" t="s">
        <v>174</v>
      </c>
      <c r="F879" s="6" t="s">
        <v>209</v>
      </c>
      <c r="G879" s="6" t="s">
        <v>570</v>
      </c>
      <c r="H879" s="6" t="s">
        <v>232</v>
      </c>
      <c r="I879" s="6" t="s">
        <v>2358</v>
      </c>
      <c r="J879" s="6" t="s">
        <v>250</v>
      </c>
      <c r="K879" s="6" t="s">
        <v>1066</v>
      </c>
      <c r="L879" s="6" t="s">
        <v>233</v>
      </c>
      <c r="M879" s="6" t="s">
        <v>668</v>
      </c>
      <c r="N879" s="6" t="s">
        <v>286</v>
      </c>
      <c r="O879" s="6" t="s">
        <v>933</v>
      </c>
      <c r="P879" s="6" t="str">
        <f aca="false">IF(J879="S0","—",IF(K879="","",IF(L879="E0","QM",INDEX(10_ASIL_Matrix!$D$4:$F$15,MATCH(J879&amp;"-"&amp;L879,10_ASIL_Matrix!$C$4:$C$15,0),MATCH(N879,10_ASIL_Matrix!$D$3:$F$3,0)))))</f>
        <v>QM</v>
      </c>
      <c r="Q879" s="6" t="s">
        <v>448</v>
      </c>
    </row>
    <row r="880" customFormat="false" ht="35.05" hidden="false" customHeight="false" outlineLevel="0" collapsed="false">
      <c r="A880" s="5" t="s">
        <v>2359</v>
      </c>
      <c r="B880" s="5" t="s">
        <v>101</v>
      </c>
      <c r="C880" s="5" t="s">
        <v>102</v>
      </c>
      <c r="D880" s="5" t="s">
        <v>173</v>
      </c>
      <c r="E880" s="5" t="s">
        <v>174</v>
      </c>
      <c r="F880" s="5" t="s">
        <v>211</v>
      </c>
      <c r="G880" s="5" t="s">
        <v>609</v>
      </c>
      <c r="H880" s="5" t="s">
        <v>222</v>
      </c>
      <c r="I880" s="5" t="s">
        <v>2360</v>
      </c>
      <c r="J880" s="5" t="s">
        <v>238</v>
      </c>
      <c r="K880" s="5" t="s">
        <v>2361</v>
      </c>
      <c r="L880" s="5" t="s">
        <v>187</v>
      </c>
      <c r="M880" s="5" t="s">
        <v>672</v>
      </c>
      <c r="N880" s="5" t="s">
        <v>278</v>
      </c>
      <c r="O880" s="5" t="s">
        <v>634</v>
      </c>
      <c r="P880" s="5" t="str">
        <f aca="false">IF(J880="S0","—",IF(K880="","",IF(L880="E0","QM",INDEX(10_ASIL_Matrix!$D$4:$F$15,MATCH(J880&amp;"-"&amp;L880,10_ASIL_Matrix!$C$4:$C$15,0),MATCH(N880,10_ASIL_Matrix!$D$3:$F$3,0)))))</f>
        <v>—</v>
      </c>
      <c r="Q880" s="5" t="s">
        <v>448</v>
      </c>
    </row>
    <row r="881" customFormat="false" ht="35.05" hidden="false" customHeight="false" outlineLevel="0" collapsed="false">
      <c r="A881" s="6" t="s">
        <v>2362</v>
      </c>
      <c r="B881" s="6" t="s">
        <v>101</v>
      </c>
      <c r="C881" s="6" t="s">
        <v>102</v>
      </c>
      <c r="D881" s="6" t="s">
        <v>173</v>
      </c>
      <c r="E881" s="6" t="s">
        <v>174</v>
      </c>
      <c r="F881" s="6" t="s">
        <v>211</v>
      </c>
      <c r="G881" s="6" t="s">
        <v>609</v>
      </c>
      <c r="H881" s="6" t="s">
        <v>224</v>
      </c>
      <c r="I881" s="6" t="s">
        <v>2363</v>
      </c>
      <c r="J881" s="6" t="s">
        <v>238</v>
      </c>
      <c r="K881" s="6" t="s">
        <v>2361</v>
      </c>
      <c r="L881" s="6" t="s">
        <v>190</v>
      </c>
      <c r="M881" s="6" t="s">
        <v>675</v>
      </c>
      <c r="N881" s="6" t="s">
        <v>278</v>
      </c>
      <c r="O881" s="6" t="s">
        <v>634</v>
      </c>
      <c r="P881" s="6" t="str">
        <f aca="false">IF(J881="S0","—",IF(K881="","",IF(L881="E0","QM",INDEX(10_ASIL_Matrix!$D$4:$F$15,MATCH(J881&amp;"-"&amp;L881,10_ASIL_Matrix!$C$4:$C$15,0),MATCH(N881,10_ASIL_Matrix!$D$3:$F$3,0)))))</f>
        <v>—</v>
      </c>
      <c r="Q881" s="6" t="s">
        <v>448</v>
      </c>
    </row>
    <row r="882" customFormat="false" ht="35.05" hidden="false" customHeight="false" outlineLevel="0" collapsed="false">
      <c r="A882" s="5" t="s">
        <v>2364</v>
      </c>
      <c r="B882" s="5" t="s">
        <v>101</v>
      </c>
      <c r="C882" s="5" t="s">
        <v>102</v>
      </c>
      <c r="D882" s="5" t="s">
        <v>173</v>
      </c>
      <c r="E882" s="5" t="s">
        <v>174</v>
      </c>
      <c r="F882" s="5" t="s">
        <v>211</v>
      </c>
      <c r="G882" s="5" t="s">
        <v>609</v>
      </c>
      <c r="H882" s="5" t="s">
        <v>226</v>
      </c>
      <c r="I882" s="5" t="s">
        <v>2365</v>
      </c>
      <c r="J882" s="5" t="s">
        <v>238</v>
      </c>
      <c r="K882" s="5" t="s">
        <v>2361</v>
      </c>
      <c r="L882" s="5" t="s">
        <v>190</v>
      </c>
      <c r="M882" s="5" t="s">
        <v>678</v>
      </c>
      <c r="N882" s="5" t="s">
        <v>278</v>
      </c>
      <c r="O882" s="5" t="s">
        <v>634</v>
      </c>
      <c r="P882" s="5" t="str">
        <f aca="false">IF(J882="S0","—",IF(K882="","",IF(L882="E0","QM",INDEX(10_ASIL_Matrix!$D$4:$F$15,MATCH(J882&amp;"-"&amp;L882,10_ASIL_Matrix!$C$4:$C$15,0),MATCH(N882,10_ASIL_Matrix!$D$3:$F$3,0)))))</f>
        <v>—</v>
      </c>
      <c r="Q882" s="5" t="s">
        <v>448</v>
      </c>
    </row>
    <row r="883" customFormat="false" ht="35.05" hidden="false" customHeight="false" outlineLevel="0" collapsed="false">
      <c r="A883" s="6" t="s">
        <v>2366</v>
      </c>
      <c r="B883" s="6" t="s">
        <v>101</v>
      </c>
      <c r="C883" s="6" t="s">
        <v>102</v>
      </c>
      <c r="D883" s="6" t="s">
        <v>173</v>
      </c>
      <c r="E883" s="6" t="s">
        <v>174</v>
      </c>
      <c r="F883" s="6" t="s">
        <v>211</v>
      </c>
      <c r="G883" s="6" t="s">
        <v>609</v>
      </c>
      <c r="H883" s="6" t="s">
        <v>228</v>
      </c>
      <c r="I883" s="6" t="s">
        <v>2367</v>
      </c>
      <c r="J883" s="6" t="s">
        <v>238</v>
      </c>
      <c r="K883" s="6" t="s">
        <v>2361</v>
      </c>
      <c r="L883" s="6" t="s">
        <v>205</v>
      </c>
      <c r="M883" s="6" t="s">
        <v>681</v>
      </c>
      <c r="N883" s="6" t="s">
        <v>278</v>
      </c>
      <c r="O883" s="6" t="s">
        <v>634</v>
      </c>
      <c r="P883" s="6" t="str">
        <f aca="false">IF(J883="S0","—",IF(K883="","",IF(L883="E0","QM",INDEX(10_ASIL_Matrix!$D$4:$F$15,MATCH(J883&amp;"-"&amp;L883,10_ASIL_Matrix!$C$4:$C$15,0),MATCH(N883,10_ASIL_Matrix!$D$3:$F$3,0)))))</f>
        <v>—</v>
      </c>
      <c r="Q883" s="6" t="s">
        <v>448</v>
      </c>
    </row>
    <row r="884" customFormat="false" ht="35.05" hidden="false" customHeight="false" outlineLevel="0" collapsed="false">
      <c r="A884" s="5" t="s">
        <v>2368</v>
      </c>
      <c r="B884" s="5" t="s">
        <v>101</v>
      </c>
      <c r="C884" s="5" t="s">
        <v>102</v>
      </c>
      <c r="D884" s="5" t="s">
        <v>173</v>
      </c>
      <c r="E884" s="5" t="s">
        <v>174</v>
      </c>
      <c r="F884" s="5" t="s">
        <v>211</v>
      </c>
      <c r="G884" s="5" t="s">
        <v>609</v>
      </c>
      <c r="H884" s="5" t="s">
        <v>230</v>
      </c>
      <c r="I884" s="5" t="s">
        <v>2369</v>
      </c>
      <c r="J884" s="5" t="s">
        <v>238</v>
      </c>
      <c r="K884" s="5" t="s">
        <v>2361</v>
      </c>
      <c r="L884" s="5" t="s">
        <v>205</v>
      </c>
      <c r="M884" s="5" t="s">
        <v>684</v>
      </c>
      <c r="N884" s="5" t="s">
        <v>278</v>
      </c>
      <c r="O884" s="5" t="s">
        <v>634</v>
      </c>
      <c r="P884" s="5" t="str">
        <f aca="false">IF(J884="S0","—",IF(K884="","",IF(L884="E0","QM",INDEX(10_ASIL_Matrix!$D$4:$F$15,MATCH(J884&amp;"-"&amp;L884,10_ASIL_Matrix!$C$4:$C$15,0),MATCH(N884,10_ASIL_Matrix!$D$3:$F$3,0)))))</f>
        <v>—</v>
      </c>
      <c r="Q884" s="5" t="s">
        <v>448</v>
      </c>
    </row>
    <row r="885" customFormat="false" ht="46.25" hidden="false" customHeight="false" outlineLevel="0" collapsed="false">
      <c r="A885" s="6" t="s">
        <v>2370</v>
      </c>
      <c r="B885" s="6" t="s">
        <v>101</v>
      </c>
      <c r="C885" s="6" t="s">
        <v>102</v>
      </c>
      <c r="D885" s="6" t="s">
        <v>173</v>
      </c>
      <c r="E885" s="6" t="s">
        <v>174</v>
      </c>
      <c r="F885" s="6" t="s">
        <v>211</v>
      </c>
      <c r="G885" s="6" t="s">
        <v>609</v>
      </c>
      <c r="H885" s="6" t="s">
        <v>232</v>
      </c>
      <c r="I885" s="6" t="s">
        <v>2371</v>
      </c>
      <c r="J885" s="6" t="s">
        <v>238</v>
      </c>
      <c r="K885" s="6" t="s">
        <v>2361</v>
      </c>
      <c r="L885" s="6" t="s">
        <v>233</v>
      </c>
      <c r="M885" s="6" t="s">
        <v>687</v>
      </c>
      <c r="N885" s="6" t="s">
        <v>278</v>
      </c>
      <c r="O885" s="6" t="s">
        <v>634</v>
      </c>
      <c r="P885" s="6" t="str">
        <f aca="false">IF(J885="S0","—",IF(K885="","",IF(L885="E0","QM",INDEX(10_ASIL_Matrix!$D$4:$F$15,MATCH(J885&amp;"-"&amp;L885,10_ASIL_Matrix!$C$4:$C$15,0),MATCH(N885,10_ASIL_Matrix!$D$3:$F$3,0)))))</f>
        <v>—</v>
      </c>
      <c r="Q885" s="6" t="s">
        <v>448</v>
      </c>
    </row>
    <row r="886" customFormat="false" ht="46.25" hidden="false" customHeight="false" outlineLevel="0" collapsed="false">
      <c r="A886" s="5" t="s">
        <v>2372</v>
      </c>
      <c r="B886" s="5" t="s">
        <v>101</v>
      </c>
      <c r="C886" s="5" t="s">
        <v>102</v>
      </c>
      <c r="D886" s="5" t="s">
        <v>173</v>
      </c>
      <c r="E886" s="5" t="s">
        <v>174</v>
      </c>
      <c r="F886" s="5" t="s">
        <v>213</v>
      </c>
      <c r="G886" s="5" t="s">
        <v>689</v>
      </c>
      <c r="H886" s="5" t="s">
        <v>222</v>
      </c>
      <c r="I886" s="5" t="s">
        <v>2373</v>
      </c>
      <c r="J886" s="5" t="s">
        <v>250</v>
      </c>
      <c r="K886" s="5" t="s">
        <v>1094</v>
      </c>
      <c r="L886" s="5" t="s">
        <v>205</v>
      </c>
      <c r="M886" s="5" t="s">
        <v>692</v>
      </c>
      <c r="N886" s="5" t="s">
        <v>286</v>
      </c>
      <c r="O886" s="5" t="s">
        <v>933</v>
      </c>
      <c r="P886" s="19" t="str">
        <f aca="false">IF(J886="S0","—",IF(K886="","",IF(L886="E0","QM",INDEX(10_ASIL_Matrix!$D$4:$F$15,MATCH(J886&amp;"-"&amp;L886,10_ASIL_Matrix!$C$4:$C$15,0),MATCH(N886,10_ASIL_Matrix!$D$3:$F$3,0)))))</f>
        <v>A</v>
      </c>
      <c r="Q886" s="5" t="s">
        <v>448</v>
      </c>
    </row>
    <row r="887" customFormat="false" ht="46.25" hidden="false" customHeight="false" outlineLevel="0" collapsed="false">
      <c r="A887" s="6" t="s">
        <v>2374</v>
      </c>
      <c r="B887" s="6" t="s">
        <v>101</v>
      </c>
      <c r="C887" s="6" t="s">
        <v>102</v>
      </c>
      <c r="D887" s="6" t="s">
        <v>173</v>
      </c>
      <c r="E887" s="6" t="s">
        <v>174</v>
      </c>
      <c r="F887" s="6" t="s">
        <v>213</v>
      </c>
      <c r="G887" s="6" t="s">
        <v>689</v>
      </c>
      <c r="H887" s="6" t="s">
        <v>224</v>
      </c>
      <c r="I887" s="6" t="s">
        <v>2375</v>
      </c>
      <c r="J887" s="6" t="s">
        <v>250</v>
      </c>
      <c r="K887" s="6" t="s">
        <v>1094</v>
      </c>
      <c r="L887" s="6" t="s">
        <v>205</v>
      </c>
      <c r="M887" s="6" t="s">
        <v>696</v>
      </c>
      <c r="N887" s="6" t="s">
        <v>286</v>
      </c>
      <c r="O887" s="6" t="s">
        <v>933</v>
      </c>
      <c r="P887" s="19" t="str">
        <f aca="false">IF(J887="S0","—",IF(K887="","",IF(L887="E0","QM",INDEX(10_ASIL_Matrix!$D$4:$F$15,MATCH(J887&amp;"-"&amp;L887,10_ASIL_Matrix!$C$4:$C$15,0),MATCH(N887,10_ASIL_Matrix!$D$3:$F$3,0)))))</f>
        <v>A</v>
      </c>
      <c r="Q887" s="6" t="s">
        <v>448</v>
      </c>
    </row>
    <row r="888" customFormat="false" ht="46.25" hidden="false" customHeight="false" outlineLevel="0" collapsed="false">
      <c r="A888" s="5" t="s">
        <v>2376</v>
      </c>
      <c r="B888" s="5" t="s">
        <v>101</v>
      </c>
      <c r="C888" s="5" t="s">
        <v>102</v>
      </c>
      <c r="D888" s="5" t="s">
        <v>173</v>
      </c>
      <c r="E888" s="5" t="s">
        <v>174</v>
      </c>
      <c r="F888" s="5" t="s">
        <v>213</v>
      </c>
      <c r="G888" s="5" t="s">
        <v>689</v>
      </c>
      <c r="H888" s="5" t="s">
        <v>226</v>
      </c>
      <c r="I888" s="5" t="s">
        <v>2377</v>
      </c>
      <c r="J888" s="5" t="s">
        <v>250</v>
      </c>
      <c r="K888" s="5" t="s">
        <v>1094</v>
      </c>
      <c r="L888" s="5" t="s">
        <v>205</v>
      </c>
      <c r="M888" s="5" t="s">
        <v>699</v>
      </c>
      <c r="N888" s="5" t="s">
        <v>286</v>
      </c>
      <c r="O888" s="5" t="s">
        <v>933</v>
      </c>
      <c r="P888" s="19" t="str">
        <f aca="false">IF(J888="S0","—",IF(K888="","",IF(L888="E0","QM",INDEX(10_ASIL_Matrix!$D$4:$F$15,MATCH(J888&amp;"-"&amp;L888,10_ASIL_Matrix!$C$4:$C$15,0),MATCH(N888,10_ASIL_Matrix!$D$3:$F$3,0)))))</f>
        <v>A</v>
      </c>
      <c r="Q888" s="5" t="s">
        <v>448</v>
      </c>
    </row>
    <row r="889" customFormat="false" ht="46.25" hidden="false" customHeight="false" outlineLevel="0" collapsed="false">
      <c r="A889" s="6" t="s">
        <v>2378</v>
      </c>
      <c r="B889" s="6" t="s">
        <v>101</v>
      </c>
      <c r="C889" s="6" t="s">
        <v>102</v>
      </c>
      <c r="D889" s="6" t="s">
        <v>173</v>
      </c>
      <c r="E889" s="6" t="s">
        <v>174</v>
      </c>
      <c r="F889" s="6" t="s">
        <v>213</v>
      </c>
      <c r="G889" s="6" t="s">
        <v>689</v>
      </c>
      <c r="H889" s="6" t="s">
        <v>228</v>
      </c>
      <c r="I889" s="6" t="s">
        <v>2379</v>
      </c>
      <c r="J889" s="6" t="s">
        <v>250</v>
      </c>
      <c r="K889" s="6" t="s">
        <v>1094</v>
      </c>
      <c r="L889" s="6" t="s">
        <v>205</v>
      </c>
      <c r="M889" s="6" t="s">
        <v>702</v>
      </c>
      <c r="N889" s="6" t="s">
        <v>286</v>
      </c>
      <c r="O889" s="6" t="s">
        <v>933</v>
      </c>
      <c r="P889" s="19" t="str">
        <f aca="false">IF(J889="S0","—",IF(K889="","",IF(L889="E0","QM",INDEX(10_ASIL_Matrix!$D$4:$F$15,MATCH(J889&amp;"-"&amp;L889,10_ASIL_Matrix!$C$4:$C$15,0),MATCH(N889,10_ASIL_Matrix!$D$3:$F$3,0)))))</f>
        <v>A</v>
      </c>
      <c r="Q889" s="6" t="s">
        <v>448</v>
      </c>
    </row>
    <row r="890" customFormat="false" ht="57.45" hidden="false" customHeight="false" outlineLevel="0" collapsed="false">
      <c r="A890" s="5" t="s">
        <v>2380</v>
      </c>
      <c r="B890" s="5" t="s">
        <v>101</v>
      </c>
      <c r="C890" s="5" t="s">
        <v>102</v>
      </c>
      <c r="D890" s="5" t="s">
        <v>173</v>
      </c>
      <c r="E890" s="5" t="s">
        <v>174</v>
      </c>
      <c r="F890" s="5" t="s">
        <v>213</v>
      </c>
      <c r="G890" s="5" t="s">
        <v>689</v>
      </c>
      <c r="H890" s="5" t="s">
        <v>230</v>
      </c>
      <c r="I890" s="5" t="s">
        <v>2381</v>
      </c>
      <c r="J890" s="5" t="s">
        <v>250</v>
      </c>
      <c r="K890" s="5" t="s">
        <v>1094</v>
      </c>
      <c r="L890" s="5" t="s">
        <v>205</v>
      </c>
      <c r="M890" s="5" t="s">
        <v>705</v>
      </c>
      <c r="N890" s="5" t="s">
        <v>290</v>
      </c>
      <c r="O890" s="5" t="s">
        <v>942</v>
      </c>
      <c r="P890" s="18" t="str">
        <f aca="false">IF(J890="S0","—",IF(K890="","",IF(L890="E0","QM",INDEX(10_ASIL_Matrix!$D$4:$F$15,MATCH(J890&amp;"-"&amp;L890,10_ASIL_Matrix!$C$4:$C$15,0),MATCH(N890,10_ASIL_Matrix!$D$3:$F$3,0)))))</f>
        <v>B</v>
      </c>
      <c r="Q890" s="5" t="s">
        <v>448</v>
      </c>
    </row>
    <row r="891" customFormat="false" ht="46.25" hidden="false" customHeight="false" outlineLevel="0" collapsed="false">
      <c r="A891" s="6" t="s">
        <v>2382</v>
      </c>
      <c r="B891" s="6" t="s">
        <v>101</v>
      </c>
      <c r="C891" s="6" t="s">
        <v>102</v>
      </c>
      <c r="D891" s="6" t="s">
        <v>173</v>
      </c>
      <c r="E891" s="6" t="s">
        <v>174</v>
      </c>
      <c r="F891" s="6" t="s">
        <v>213</v>
      </c>
      <c r="G891" s="6" t="s">
        <v>689</v>
      </c>
      <c r="H891" s="6" t="s">
        <v>232</v>
      </c>
      <c r="I891" s="6" t="s">
        <v>2383</v>
      </c>
      <c r="J891" s="6" t="s">
        <v>250</v>
      </c>
      <c r="K891" s="6" t="s">
        <v>1094</v>
      </c>
      <c r="L891" s="6" t="s">
        <v>233</v>
      </c>
      <c r="M891" s="6" t="s">
        <v>709</v>
      </c>
      <c r="N891" s="6" t="s">
        <v>286</v>
      </c>
      <c r="O891" s="6" t="s">
        <v>933</v>
      </c>
      <c r="P891" s="6" t="str">
        <f aca="false">IF(J891="S0","—",IF(K891="","",IF(L891="E0","QM",INDEX(10_ASIL_Matrix!$D$4:$F$15,MATCH(J891&amp;"-"&amp;L891,10_ASIL_Matrix!$C$4:$C$15,0),MATCH(N891,10_ASIL_Matrix!$D$3:$F$3,0)))))</f>
        <v>QM</v>
      </c>
      <c r="Q891" s="6" t="s">
        <v>448</v>
      </c>
    </row>
    <row r="892" customFormat="false" ht="46.25" hidden="false" customHeight="false" outlineLevel="0" collapsed="false">
      <c r="A892" s="5" t="s">
        <v>2384</v>
      </c>
      <c r="B892" s="5" t="s">
        <v>101</v>
      </c>
      <c r="C892" s="5" t="s">
        <v>102</v>
      </c>
      <c r="D892" s="5" t="s">
        <v>173</v>
      </c>
      <c r="E892" s="5" t="s">
        <v>174</v>
      </c>
      <c r="F892" s="5" t="s">
        <v>215</v>
      </c>
      <c r="G892" s="5" t="s">
        <v>711</v>
      </c>
      <c r="H892" s="5" t="s">
        <v>222</v>
      </c>
      <c r="I892" s="5" t="s">
        <v>2385</v>
      </c>
      <c r="J892" s="5" t="s">
        <v>250</v>
      </c>
      <c r="K892" s="5" t="s">
        <v>1107</v>
      </c>
      <c r="L892" s="5" t="s">
        <v>190</v>
      </c>
      <c r="M892" s="5" t="s">
        <v>714</v>
      </c>
      <c r="N892" s="5" t="s">
        <v>286</v>
      </c>
      <c r="O892" s="5" t="s">
        <v>933</v>
      </c>
      <c r="P892" s="18" t="str">
        <f aca="false">IF(J892="S0","—",IF(K892="","",IF(L892="E0","QM",INDEX(10_ASIL_Matrix!$D$4:$F$15,MATCH(J892&amp;"-"&amp;L892,10_ASIL_Matrix!$C$4:$C$15,0),MATCH(N892,10_ASIL_Matrix!$D$3:$F$3,0)))))</f>
        <v>B</v>
      </c>
      <c r="Q892" s="5" t="s">
        <v>448</v>
      </c>
    </row>
    <row r="893" customFormat="false" ht="46.25" hidden="false" customHeight="false" outlineLevel="0" collapsed="false">
      <c r="A893" s="6" t="s">
        <v>2386</v>
      </c>
      <c r="B893" s="6" t="s">
        <v>101</v>
      </c>
      <c r="C893" s="6" t="s">
        <v>102</v>
      </c>
      <c r="D893" s="6" t="s">
        <v>173</v>
      </c>
      <c r="E893" s="6" t="s">
        <v>174</v>
      </c>
      <c r="F893" s="6" t="s">
        <v>215</v>
      </c>
      <c r="G893" s="6" t="s">
        <v>711</v>
      </c>
      <c r="H893" s="6" t="s">
        <v>224</v>
      </c>
      <c r="I893" s="6" t="s">
        <v>2387</v>
      </c>
      <c r="J893" s="6" t="s">
        <v>250</v>
      </c>
      <c r="K893" s="6" t="s">
        <v>1107</v>
      </c>
      <c r="L893" s="6" t="s">
        <v>190</v>
      </c>
      <c r="M893" s="6" t="s">
        <v>717</v>
      </c>
      <c r="N893" s="6" t="s">
        <v>286</v>
      </c>
      <c r="O893" s="6" t="s">
        <v>933</v>
      </c>
      <c r="P893" s="18" t="str">
        <f aca="false">IF(J893="S0","—",IF(K893="","",IF(L893="E0","QM",INDEX(10_ASIL_Matrix!$D$4:$F$15,MATCH(J893&amp;"-"&amp;L893,10_ASIL_Matrix!$C$4:$C$15,0),MATCH(N893,10_ASIL_Matrix!$D$3:$F$3,0)))))</f>
        <v>B</v>
      </c>
      <c r="Q893" s="6" t="s">
        <v>448</v>
      </c>
    </row>
    <row r="894" customFormat="false" ht="46.25" hidden="false" customHeight="false" outlineLevel="0" collapsed="false">
      <c r="A894" s="5" t="s">
        <v>2388</v>
      </c>
      <c r="B894" s="5" t="s">
        <v>101</v>
      </c>
      <c r="C894" s="5" t="s">
        <v>102</v>
      </c>
      <c r="D894" s="5" t="s">
        <v>173</v>
      </c>
      <c r="E894" s="5" t="s">
        <v>174</v>
      </c>
      <c r="F894" s="5" t="s">
        <v>215</v>
      </c>
      <c r="G894" s="5" t="s">
        <v>711</v>
      </c>
      <c r="H894" s="5" t="s">
        <v>226</v>
      </c>
      <c r="I894" s="5" t="s">
        <v>2389</v>
      </c>
      <c r="J894" s="5" t="s">
        <v>250</v>
      </c>
      <c r="K894" s="5" t="s">
        <v>1107</v>
      </c>
      <c r="L894" s="5" t="s">
        <v>190</v>
      </c>
      <c r="M894" s="5" t="s">
        <v>720</v>
      </c>
      <c r="N894" s="5" t="s">
        <v>286</v>
      </c>
      <c r="O894" s="5" t="s">
        <v>933</v>
      </c>
      <c r="P894" s="18" t="str">
        <f aca="false">IF(J894="S0","—",IF(K894="","",IF(L894="E0","QM",INDEX(10_ASIL_Matrix!$D$4:$F$15,MATCH(J894&amp;"-"&amp;L894,10_ASIL_Matrix!$C$4:$C$15,0),MATCH(N894,10_ASIL_Matrix!$D$3:$F$3,0)))))</f>
        <v>B</v>
      </c>
      <c r="Q894" s="5" t="s">
        <v>448</v>
      </c>
    </row>
    <row r="895" customFormat="false" ht="46.25" hidden="false" customHeight="false" outlineLevel="0" collapsed="false">
      <c r="A895" s="6" t="s">
        <v>2390</v>
      </c>
      <c r="B895" s="6" t="s">
        <v>101</v>
      </c>
      <c r="C895" s="6" t="s">
        <v>102</v>
      </c>
      <c r="D895" s="6" t="s">
        <v>173</v>
      </c>
      <c r="E895" s="6" t="s">
        <v>174</v>
      </c>
      <c r="F895" s="6" t="s">
        <v>215</v>
      </c>
      <c r="G895" s="6" t="s">
        <v>711</v>
      </c>
      <c r="H895" s="6" t="s">
        <v>228</v>
      </c>
      <c r="I895" s="6" t="s">
        <v>2391</v>
      </c>
      <c r="J895" s="6" t="s">
        <v>250</v>
      </c>
      <c r="K895" s="6" t="s">
        <v>1107</v>
      </c>
      <c r="L895" s="6" t="s">
        <v>205</v>
      </c>
      <c r="M895" s="6" t="s">
        <v>723</v>
      </c>
      <c r="N895" s="6" t="s">
        <v>286</v>
      </c>
      <c r="O895" s="6" t="s">
        <v>933</v>
      </c>
      <c r="P895" s="19" t="str">
        <f aca="false">IF(J895="S0","—",IF(K895="","",IF(L895="E0","QM",INDEX(10_ASIL_Matrix!$D$4:$F$15,MATCH(J895&amp;"-"&amp;L895,10_ASIL_Matrix!$C$4:$C$15,0),MATCH(N895,10_ASIL_Matrix!$D$3:$F$3,0)))))</f>
        <v>A</v>
      </c>
      <c r="Q895" s="6" t="s">
        <v>448</v>
      </c>
    </row>
    <row r="896" customFormat="false" ht="57.45" hidden="false" customHeight="false" outlineLevel="0" collapsed="false">
      <c r="A896" s="5" t="s">
        <v>2392</v>
      </c>
      <c r="B896" s="5" t="s">
        <v>101</v>
      </c>
      <c r="C896" s="5" t="s">
        <v>102</v>
      </c>
      <c r="D896" s="5" t="s">
        <v>173</v>
      </c>
      <c r="E896" s="5" t="s">
        <v>174</v>
      </c>
      <c r="F896" s="5" t="s">
        <v>215</v>
      </c>
      <c r="G896" s="5" t="s">
        <v>711</v>
      </c>
      <c r="H896" s="5" t="s">
        <v>230</v>
      </c>
      <c r="I896" s="5" t="s">
        <v>2393</v>
      </c>
      <c r="J896" s="5" t="s">
        <v>250</v>
      </c>
      <c r="K896" s="5" t="s">
        <v>1107</v>
      </c>
      <c r="L896" s="5" t="s">
        <v>205</v>
      </c>
      <c r="M896" s="5" t="s">
        <v>726</v>
      </c>
      <c r="N896" s="5" t="s">
        <v>290</v>
      </c>
      <c r="O896" s="5" t="s">
        <v>942</v>
      </c>
      <c r="P896" s="18" t="str">
        <f aca="false">IF(J896="S0","—",IF(K896="","",IF(L896="E0","QM",INDEX(10_ASIL_Matrix!$D$4:$F$15,MATCH(J896&amp;"-"&amp;L896,10_ASIL_Matrix!$C$4:$C$15,0),MATCH(N896,10_ASIL_Matrix!$D$3:$F$3,0)))))</f>
        <v>B</v>
      </c>
      <c r="Q896" s="5" t="s">
        <v>448</v>
      </c>
    </row>
    <row r="897" customFormat="false" ht="46.25" hidden="false" customHeight="false" outlineLevel="0" collapsed="false">
      <c r="A897" s="6" t="s">
        <v>2394</v>
      </c>
      <c r="B897" s="6" t="s">
        <v>101</v>
      </c>
      <c r="C897" s="6" t="s">
        <v>102</v>
      </c>
      <c r="D897" s="6" t="s">
        <v>173</v>
      </c>
      <c r="E897" s="6" t="s">
        <v>174</v>
      </c>
      <c r="F897" s="6" t="s">
        <v>215</v>
      </c>
      <c r="G897" s="6" t="s">
        <v>711</v>
      </c>
      <c r="H897" s="6" t="s">
        <v>232</v>
      </c>
      <c r="I897" s="6" t="s">
        <v>2395</v>
      </c>
      <c r="J897" s="6" t="s">
        <v>250</v>
      </c>
      <c r="K897" s="6" t="s">
        <v>1107</v>
      </c>
      <c r="L897" s="6" t="s">
        <v>233</v>
      </c>
      <c r="M897" s="6" t="s">
        <v>729</v>
      </c>
      <c r="N897" s="6" t="s">
        <v>286</v>
      </c>
      <c r="O897" s="6" t="s">
        <v>933</v>
      </c>
      <c r="P897" s="6" t="str">
        <f aca="false">IF(J897="S0","—",IF(K897="","",IF(L897="E0","QM",INDEX(10_ASIL_Matrix!$D$4:$F$15,MATCH(J897&amp;"-"&amp;L897,10_ASIL_Matrix!$C$4:$C$15,0),MATCH(N897,10_ASIL_Matrix!$D$3:$F$3,0)))))</f>
        <v>QM</v>
      </c>
      <c r="Q897" s="6" t="s">
        <v>448</v>
      </c>
    </row>
    <row r="898" customFormat="false" ht="46.25" hidden="false" customHeight="false" outlineLevel="0" collapsed="false">
      <c r="A898" s="5" t="s">
        <v>2396</v>
      </c>
      <c r="B898" s="5" t="s">
        <v>101</v>
      </c>
      <c r="C898" s="5" t="s">
        <v>102</v>
      </c>
      <c r="D898" s="5" t="s">
        <v>173</v>
      </c>
      <c r="E898" s="5" t="s">
        <v>174</v>
      </c>
      <c r="F898" s="5" t="s">
        <v>217</v>
      </c>
      <c r="G898" s="5" t="s">
        <v>488</v>
      </c>
      <c r="H898" s="5" t="s">
        <v>222</v>
      </c>
      <c r="I898" s="5" t="s">
        <v>2397</v>
      </c>
      <c r="J898" s="5" t="s">
        <v>250</v>
      </c>
      <c r="K898" s="5" t="s">
        <v>1120</v>
      </c>
      <c r="L898" s="5" t="s">
        <v>190</v>
      </c>
      <c r="M898" s="5" t="s">
        <v>733</v>
      </c>
      <c r="N898" s="5" t="s">
        <v>286</v>
      </c>
      <c r="O898" s="5" t="s">
        <v>933</v>
      </c>
      <c r="P898" s="18" t="str">
        <f aca="false">IF(J898="S0","—",IF(K898="","",IF(L898="E0","QM",INDEX(10_ASIL_Matrix!$D$4:$F$15,MATCH(J898&amp;"-"&amp;L898,10_ASIL_Matrix!$C$4:$C$15,0),MATCH(N898,10_ASIL_Matrix!$D$3:$F$3,0)))))</f>
        <v>B</v>
      </c>
      <c r="Q898" s="5" t="s">
        <v>448</v>
      </c>
    </row>
    <row r="899" customFormat="false" ht="46.25" hidden="false" customHeight="false" outlineLevel="0" collapsed="false">
      <c r="A899" s="6" t="s">
        <v>2398</v>
      </c>
      <c r="B899" s="6" t="s">
        <v>101</v>
      </c>
      <c r="C899" s="6" t="s">
        <v>102</v>
      </c>
      <c r="D899" s="6" t="s">
        <v>173</v>
      </c>
      <c r="E899" s="6" t="s">
        <v>174</v>
      </c>
      <c r="F899" s="6" t="s">
        <v>217</v>
      </c>
      <c r="G899" s="6" t="s">
        <v>488</v>
      </c>
      <c r="H899" s="6" t="s">
        <v>224</v>
      </c>
      <c r="I899" s="6" t="s">
        <v>2399</v>
      </c>
      <c r="J899" s="6" t="s">
        <v>250</v>
      </c>
      <c r="K899" s="6" t="s">
        <v>1120</v>
      </c>
      <c r="L899" s="6" t="s">
        <v>190</v>
      </c>
      <c r="M899" s="6" t="s">
        <v>736</v>
      </c>
      <c r="N899" s="6" t="s">
        <v>286</v>
      </c>
      <c r="O899" s="6" t="s">
        <v>933</v>
      </c>
      <c r="P899" s="18" t="str">
        <f aca="false">IF(J899="S0","—",IF(K899="","",IF(L899="E0","QM",INDEX(10_ASIL_Matrix!$D$4:$F$15,MATCH(J899&amp;"-"&amp;L899,10_ASIL_Matrix!$C$4:$C$15,0),MATCH(N899,10_ASIL_Matrix!$D$3:$F$3,0)))))</f>
        <v>B</v>
      </c>
      <c r="Q899" s="6" t="s">
        <v>448</v>
      </c>
    </row>
    <row r="900" customFormat="false" ht="46.25" hidden="false" customHeight="false" outlineLevel="0" collapsed="false">
      <c r="A900" s="5" t="s">
        <v>2400</v>
      </c>
      <c r="B900" s="5" t="s">
        <v>101</v>
      </c>
      <c r="C900" s="5" t="s">
        <v>102</v>
      </c>
      <c r="D900" s="5" t="s">
        <v>173</v>
      </c>
      <c r="E900" s="5" t="s">
        <v>174</v>
      </c>
      <c r="F900" s="5" t="s">
        <v>217</v>
      </c>
      <c r="G900" s="5" t="s">
        <v>488</v>
      </c>
      <c r="H900" s="5" t="s">
        <v>226</v>
      </c>
      <c r="I900" s="5" t="s">
        <v>2401</v>
      </c>
      <c r="J900" s="5" t="s">
        <v>250</v>
      </c>
      <c r="K900" s="5" t="s">
        <v>1120</v>
      </c>
      <c r="L900" s="5" t="s">
        <v>190</v>
      </c>
      <c r="M900" s="5" t="s">
        <v>739</v>
      </c>
      <c r="N900" s="5" t="s">
        <v>286</v>
      </c>
      <c r="O900" s="5" t="s">
        <v>933</v>
      </c>
      <c r="P900" s="18" t="str">
        <f aca="false">IF(J900="S0","—",IF(K900="","",IF(L900="E0","QM",INDEX(10_ASIL_Matrix!$D$4:$F$15,MATCH(J900&amp;"-"&amp;L900,10_ASIL_Matrix!$C$4:$C$15,0),MATCH(N900,10_ASIL_Matrix!$D$3:$F$3,0)))))</f>
        <v>B</v>
      </c>
      <c r="Q900" s="5" t="s">
        <v>448</v>
      </c>
    </row>
    <row r="901" customFormat="false" ht="46.25" hidden="false" customHeight="false" outlineLevel="0" collapsed="false">
      <c r="A901" s="6" t="s">
        <v>2402</v>
      </c>
      <c r="B901" s="6" t="s">
        <v>101</v>
      </c>
      <c r="C901" s="6" t="s">
        <v>102</v>
      </c>
      <c r="D901" s="6" t="s">
        <v>173</v>
      </c>
      <c r="E901" s="6" t="s">
        <v>174</v>
      </c>
      <c r="F901" s="6" t="s">
        <v>217</v>
      </c>
      <c r="G901" s="6" t="s">
        <v>488</v>
      </c>
      <c r="H901" s="6" t="s">
        <v>228</v>
      </c>
      <c r="I901" s="6" t="s">
        <v>2403</v>
      </c>
      <c r="J901" s="6" t="s">
        <v>250</v>
      </c>
      <c r="K901" s="6" t="s">
        <v>1120</v>
      </c>
      <c r="L901" s="6" t="s">
        <v>205</v>
      </c>
      <c r="M901" s="6" t="s">
        <v>742</v>
      </c>
      <c r="N901" s="6" t="s">
        <v>286</v>
      </c>
      <c r="O901" s="6" t="s">
        <v>933</v>
      </c>
      <c r="P901" s="19" t="str">
        <f aca="false">IF(J901="S0","—",IF(K901="","",IF(L901="E0","QM",INDEX(10_ASIL_Matrix!$D$4:$F$15,MATCH(J901&amp;"-"&amp;L901,10_ASIL_Matrix!$C$4:$C$15,0),MATCH(N901,10_ASIL_Matrix!$D$3:$F$3,0)))))</f>
        <v>A</v>
      </c>
      <c r="Q901" s="6" t="s">
        <v>448</v>
      </c>
    </row>
    <row r="902" customFormat="false" ht="57.45" hidden="false" customHeight="false" outlineLevel="0" collapsed="false">
      <c r="A902" s="5" t="s">
        <v>2404</v>
      </c>
      <c r="B902" s="5" t="s">
        <v>101</v>
      </c>
      <c r="C902" s="5" t="s">
        <v>102</v>
      </c>
      <c r="D902" s="5" t="s">
        <v>173</v>
      </c>
      <c r="E902" s="5" t="s">
        <v>174</v>
      </c>
      <c r="F902" s="5" t="s">
        <v>217</v>
      </c>
      <c r="G902" s="5" t="s">
        <v>488</v>
      </c>
      <c r="H902" s="5" t="s">
        <v>230</v>
      </c>
      <c r="I902" s="5" t="s">
        <v>2405</v>
      </c>
      <c r="J902" s="5" t="s">
        <v>250</v>
      </c>
      <c r="K902" s="5" t="s">
        <v>1120</v>
      </c>
      <c r="L902" s="5" t="s">
        <v>205</v>
      </c>
      <c r="M902" s="5" t="s">
        <v>745</v>
      </c>
      <c r="N902" s="5" t="s">
        <v>290</v>
      </c>
      <c r="O902" s="5" t="s">
        <v>942</v>
      </c>
      <c r="P902" s="18" t="str">
        <f aca="false">IF(J902="S0","—",IF(K902="","",IF(L902="E0","QM",INDEX(10_ASIL_Matrix!$D$4:$F$15,MATCH(J902&amp;"-"&amp;L902,10_ASIL_Matrix!$C$4:$C$15,0),MATCH(N902,10_ASIL_Matrix!$D$3:$F$3,0)))))</f>
        <v>B</v>
      </c>
      <c r="Q902" s="5" t="s">
        <v>448</v>
      </c>
    </row>
    <row r="903" customFormat="false" ht="46.25" hidden="false" customHeight="false" outlineLevel="0" collapsed="false">
      <c r="A903" s="6" t="s">
        <v>2406</v>
      </c>
      <c r="B903" s="6" t="s">
        <v>101</v>
      </c>
      <c r="C903" s="6" t="s">
        <v>102</v>
      </c>
      <c r="D903" s="6" t="s">
        <v>173</v>
      </c>
      <c r="E903" s="6" t="s">
        <v>174</v>
      </c>
      <c r="F903" s="6" t="s">
        <v>217</v>
      </c>
      <c r="G903" s="6" t="s">
        <v>488</v>
      </c>
      <c r="H903" s="6" t="s">
        <v>232</v>
      </c>
      <c r="I903" s="6" t="s">
        <v>2407</v>
      </c>
      <c r="J903" s="6" t="s">
        <v>250</v>
      </c>
      <c r="K903" s="6" t="s">
        <v>1120</v>
      </c>
      <c r="L903" s="6" t="s">
        <v>233</v>
      </c>
      <c r="M903" s="6" t="s">
        <v>748</v>
      </c>
      <c r="N903" s="6" t="s">
        <v>286</v>
      </c>
      <c r="O903" s="6" t="s">
        <v>933</v>
      </c>
      <c r="P903" s="6" t="str">
        <f aca="false">IF(J903="S0","—",IF(K903="","",IF(L903="E0","QM",INDEX(10_ASIL_Matrix!$D$4:$F$15,MATCH(J903&amp;"-"&amp;L903,10_ASIL_Matrix!$C$4:$C$15,0),MATCH(N903,10_ASIL_Matrix!$D$3:$F$3,0)))))</f>
        <v>QM</v>
      </c>
      <c r="Q903" s="6" t="s">
        <v>448</v>
      </c>
    </row>
    <row r="904" customFormat="false" ht="35.05" hidden="false" customHeight="false" outlineLevel="0" collapsed="false">
      <c r="A904" s="5" t="s">
        <v>2408</v>
      </c>
      <c r="B904" s="5" t="s">
        <v>105</v>
      </c>
      <c r="C904" s="5" t="s">
        <v>106</v>
      </c>
      <c r="D904" s="5" t="s">
        <v>137</v>
      </c>
      <c r="E904" s="5" t="s">
        <v>138</v>
      </c>
      <c r="F904" s="5" t="s">
        <v>186</v>
      </c>
      <c r="G904" s="5" t="s">
        <v>443</v>
      </c>
      <c r="H904" s="5" t="s">
        <v>222</v>
      </c>
      <c r="I904" s="5" t="s">
        <v>2409</v>
      </c>
      <c r="J904" s="5" t="s">
        <v>238</v>
      </c>
      <c r="K904" s="5" t="s">
        <v>2410</v>
      </c>
      <c r="L904" s="5" t="s">
        <v>187</v>
      </c>
      <c r="M904" s="5" t="s">
        <v>446</v>
      </c>
      <c r="N904" s="5" t="s">
        <v>278</v>
      </c>
      <c r="O904" s="5" t="s">
        <v>634</v>
      </c>
      <c r="P904" s="5" t="str">
        <f aca="false">IF(J904="S0","—",IF(K904="","",IF(L904="E0","QM",INDEX(10_ASIL_Matrix!$D$4:$F$15,MATCH(J904&amp;"-"&amp;L904,10_ASIL_Matrix!$C$4:$C$15,0),MATCH(N904,10_ASIL_Matrix!$D$3:$F$3,0)))))</f>
        <v>—</v>
      </c>
      <c r="Q904" s="5" t="s">
        <v>448</v>
      </c>
    </row>
    <row r="905" customFormat="false" ht="35.05" hidden="false" customHeight="false" outlineLevel="0" collapsed="false">
      <c r="A905" s="6" t="s">
        <v>2411</v>
      </c>
      <c r="B905" s="6" t="s">
        <v>105</v>
      </c>
      <c r="C905" s="6" t="s">
        <v>106</v>
      </c>
      <c r="D905" s="6" t="s">
        <v>137</v>
      </c>
      <c r="E905" s="6" t="s">
        <v>138</v>
      </c>
      <c r="F905" s="6" t="s">
        <v>186</v>
      </c>
      <c r="G905" s="6" t="s">
        <v>443</v>
      </c>
      <c r="H905" s="6" t="s">
        <v>224</v>
      </c>
      <c r="I905" s="6" t="s">
        <v>2412</v>
      </c>
      <c r="J905" s="6" t="s">
        <v>238</v>
      </c>
      <c r="K905" s="6" t="s">
        <v>2410</v>
      </c>
      <c r="L905" s="6" t="s">
        <v>190</v>
      </c>
      <c r="M905" s="6" t="s">
        <v>451</v>
      </c>
      <c r="N905" s="6" t="s">
        <v>278</v>
      </c>
      <c r="O905" s="6" t="s">
        <v>634</v>
      </c>
      <c r="P905" s="6" t="str">
        <f aca="false">IF(J905="S0","—",IF(K905="","",IF(L905="E0","QM",INDEX(10_ASIL_Matrix!$D$4:$F$15,MATCH(J905&amp;"-"&amp;L905,10_ASIL_Matrix!$C$4:$C$15,0),MATCH(N905,10_ASIL_Matrix!$D$3:$F$3,0)))))</f>
        <v>—</v>
      </c>
      <c r="Q905" s="6" t="s">
        <v>448</v>
      </c>
    </row>
    <row r="906" customFormat="false" ht="35.05" hidden="false" customHeight="false" outlineLevel="0" collapsed="false">
      <c r="A906" s="5" t="s">
        <v>2413</v>
      </c>
      <c r="B906" s="5" t="s">
        <v>105</v>
      </c>
      <c r="C906" s="5" t="s">
        <v>106</v>
      </c>
      <c r="D906" s="5" t="s">
        <v>137</v>
      </c>
      <c r="E906" s="5" t="s">
        <v>138</v>
      </c>
      <c r="F906" s="5" t="s">
        <v>186</v>
      </c>
      <c r="G906" s="5" t="s">
        <v>443</v>
      </c>
      <c r="H906" s="5" t="s">
        <v>226</v>
      </c>
      <c r="I906" s="5" t="s">
        <v>2414</v>
      </c>
      <c r="J906" s="5" t="s">
        <v>238</v>
      </c>
      <c r="K906" s="5" t="s">
        <v>2410</v>
      </c>
      <c r="L906" s="5" t="s">
        <v>190</v>
      </c>
      <c r="M906" s="5" t="s">
        <v>454</v>
      </c>
      <c r="N906" s="5" t="s">
        <v>278</v>
      </c>
      <c r="O906" s="5" t="s">
        <v>634</v>
      </c>
      <c r="P906" s="5" t="str">
        <f aca="false">IF(J906="S0","—",IF(K906="","",IF(L906="E0","QM",INDEX(10_ASIL_Matrix!$D$4:$F$15,MATCH(J906&amp;"-"&amp;L906,10_ASIL_Matrix!$C$4:$C$15,0),MATCH(N906,10_ASIL_Matrix!$D$3:$F$3,0)))))</f>
        <v>—</v>
      </c>
      <c r="Q906" s="5" t="s">
        <v>448</v>
      </c>
    </row>
    <row r="907" customFormat="false" ht="35.05" hidden="false" customHeight="false" outlineLevel="0" collapsed="false">
      <c r="A907" s="6" t="s">
        <v>2415</v>
      </c>
      <c r="B907" s="6" t="s">
        <v>105</v>
      </c>
      <c r="C907" s="6" t="s">
        <v>106</v>
      </c>
      <c r="D907" s="6" t="s">
        <v>137</v>
      </c>
      <c r="E907" s="6" t="s">
        <v>138</v>
      </c>
      <c r="F907" s="6" t="s">
        <v>186</v>
      </c>
      <c r="G907" s="6" t="s">
        <v>443</v>
      </c>
      <c r="H907" s="6" t="s">
        <v>228</v>
      </c>
      <c r="I907" s="6" t="s">
        <v>2416</v>
      </c>
      <c r="J907" s="6" t="s">
        <v>238</v>
      </c>
      <c r="K907" s="6" t="s">
        <v>2410</v>
      </c>
      <c r="L907" s="6" t="s">
        <v>205</v>
      </c>
      <c r="M907" s="6" t="s">
        <v>457</v>
      </c>
      <c r="N907" s="6" t="s">
        <v>278</v>
      </c>
      <c r="O907" s="6" t="s">
        <v>634</v>
      </c>
      <c r="P907" s="6" t="str">
        <f aca="false">IF(J907="S0","—",IF(K907="","",IF(L907="E0","QM",INDEX(10_ASIL_Matrix!$D$4:$F$15,MATCH(J907&amp;"-"&amp;L907,10_ASIL_Matrix!$C$4:$C$15,0),MATCH(N907,10_ASIL_Matrix!$D$3:$F$3,0)))))</f>
        <v>—</v>
      </c>
      <c r="Q907" s="6" t="s">
        <v>448</v>
      </c>
    </row>
    <row r="908" customFormat="false" ht="35.05" hidden="false" customHeight="false" outlineLevel="0" collapsed="false">
      <c r="A908" s="5" t="s">
        <v>2417</v>
      </c>
      <c r="B908" s="5" t="s">
        <v>105</v>
      </c>
      <c r="C908" s="5" t="s">
        <v>106</v>
      </c>
      <c r="D908" s="5" t="s">
        <v>137</v>
      </c>
      <c r="E908" s="5" t="s">
        <v>138</v>
      </c>
      <c r="F908" s="5" t="s">
        <v>186</v>
      </c>
      <c r="G908" s="5" t="s">
        <v>443</v>
      </c>
      <c r="H908" s="5" t="s">
        <v>230</v>
      </c>
      <c r="I908" s="5" t="s">
        <v>2418</v>
      </c>
      <c r="J908" s="5" t="s">
        <v>238</v>
      </c>
      <c r="K908" s="5" t="s">
        <v>2410</v>
      </c>
      <c r="L908" s="5" t="s">
        <v>205</v>
      </c>
      <c r="M908" s="5" t="s">
        <v>460</v>
      </c>
      <c r="N908" s="5" t="s">
        <v>278</v>
      </c>
      <c r="O908" s="5" t="s">
        <v>634</v>
      </c>
      <c r="P908" s="5" t="str">
        <f aca="false">IF(J908="S0","—",IF(K908="","",IF(L908="E0","QM",INDEX(10_ASIL_Matrix!$D$4:$F$15,MATCH(J908&amp;"-"&amp;L908,10_ASIL_Matrix!$C$4:$C$15,0),MATCH(N908,10_ASIL_Matrix!$D$3:$F$3,0)))))</f>
        <v>—</v>
      </c>
      <c r="Q908" s="5" t="s">
        <v>448</v>
      </c>
    </row>
    <row r="909" customFormat="false" ht="46.25" hidden="false" customHeight="false" outlineLevel="0" collapsed="false">
      <c r="A909" s="6" t="s">
        <v>2419</v>
      </c>
      <c r="B909" s="6" t="s">
        <v>105</v>
      </c>
      <c r="C909" s="6" t="s">
        <v>106</v>
      </c>
      <c r="D909" s="6" t="s">
        <v>137</v>
      </c>
      <c r="E909" s="6" t="s">
        <v>138</v>
      </c>
      <c r="F909" s="6" t="s">
        <v>186</v>
      </c>
      <c r="G909" s="6" t="s">
        <v>443</v>
      </c>
      <c r="H909" s="6" t="s">
        <v>232</v>
      </c>
      <c r="I909" s="6" t="s">
        <v>2420</v>
      </c>
      <c r="J909" s="6" t="s">
        <v>238</v>
      </c>
      <c r="K909" s="6" t="s">
        <v>2410</v>
      </c>
      <c r="L909" s="6" t="s">
        <v>233</v>
      </c>
      <c r="M909" s="6" t="s">
        <v>464</v>
      </c>
      <c r="N909" s="6" t="s">
        <v>278</v>
      </c>
      <c r="O909" s="6" t="s">
        <v>634</v>
      </c>
      <c r="P909" s="6" t="str">
        <f aca="false">IF(J909="S0","—",IF(K909="","",IF(L909="E0","QM",INDEX(10_ASIL_Matrix!$D$4:$F$15,MATCH(J909&amp;"-"&amp;L909,10_ASIL_Matrix!$C$4:$C$15,0),MATCH(N909,10_ASIL_Matrix!$D$3:$F$3,0)))))</f>
        <v>—</v>
      </c>
      <c r="Q909" s="6" t="s">
        <v>448</v>
      </c>
    </row>
    <row r="910" customFormat="false" ht="35.05" hidden="false" customHeight="false" outlineLevel="0" collapsed="false">
      <c r="A910" s="5" t="s">
        <v>2421</v>
      </c>
      <c r="B910" s="5" t="s">
        <v>105</v>
      </c>
      <c r="C910" s="5" t="s">
        <v>106</v>
      </c>
      <c r="D910" s="5" t="s">
        <v>137</v>
      </c>
      <c r="E910" s="5" t="s">
        <v>138</v>
      </c>
      <c r="F910" s="5" t="s">
        <v>189</v>
      </c>
      <c r="G910" s="5" t="s">
        <v>466</v>
      </c>
      <c r="H910" s="5" t="s">
        <v>222</v>
      </c>
      <c r="I910" s="5" t="s">
        <v>2422</v>
      </c>
      <c r="J910" s="5" t="s">
        <v>238</v>
      </c>
      <c r="K910" s="5" t="s">
        <v>2410</v>
      </c>
      <c r="L910" s="5" t="s">
        <v>190</v>
      </c>
      <c r="M910" s="5" t="s">
        <v>469</v>
      </c>
      <c r="N910" s="5" t="s">
        <v>278</v>
      </c>
      <c r="O910" s="5" t="s">
        <v>634</v>
      </c>
      <c r="P910" s="5" t="str">
        <f aca="false">IF(J910="S0","—",IF(K910="","",IF(L910="E0","QM",INDEX(10_ASIL_Matrix!$D$4:$F$15,MATCH(J910&amp;"-"&amp;L910,10_ASIL_Matrix!$C$4:$C$15,0),MATCH(N910,10_ASIL_Matrix!$D$3:$F$3,0)))))</f>
        <v>—</v>
      </c>
      <c r="Q910" s="5" t="s">
        <v>448</v>
      </c>
    </row>
    <row r="911" customFormat="false" ht="35.05" hidden="false" customHeight="false" outlineLevel="0" collapsed="false">
      <c r="A911" s="6" t="s">
        <v>2423</v>
      </c>
      <c r="B911" s="6" t="s">
        <v>105</v>
      </c>
      <c r="C911" s="6" t="s">
        <v>106</v>
      </c>
      <c r="D911" s="6" t="s">
        <v>137</v>
      </c>
      <c r="E911" s="6" t="s">
        <v>138</v>
      </c>
      <c r="F911" s="6" t="s">
        <v>189</v>
      </c>
      <c r="G911" s="6" t="s">
        <v>466</v>
      </c>
      <c r="H911" s="6" t="s">
        <v>224</v>
      </c>
      <c r="I911" s="6" t="s">
        <v>2424</v>
      </c>
      <c r="J911" s="6" t="s">
        <v>238</v>
      </c>
      <c r="K911" s="6" t="s">
        <v>2410</v>
      </c>
      <c r="L911" s="6" t="s">
        <v>190</v>
      </c>
      <c r="M911" s="6" t="s">
        <v>473</v>
      </c>
      <c r="N911" s="6" t="s">
        <v>278</v>
      </c>
      <c r="O911" s="6" t="s">
        <v>634</v>
      </c>
      <c r="P911" s="6" t="str">
        <f aca="false">IF(J911="S0","—",IF(K911="","",IF(L911="E0","QM",INDEX(10_ASIL_Matrix!$D$4:$F$15,MATCH(J911&amp;"-"&amp;L911,10_ASIL_Matrix!$C$4:$C$15,0),MATCH(N911,10_ASIL_Matrix!$D$3:$F$3,0)))))</f>
        <v>—</v>
      </c>
      <c r="Q911" s="6" t="s">
        <v>448</v>
      </c>
    </row>
    <row r="912" customFormat="false" ht="35.05" hidden="false" customHeight="false" outlineLevel="0" collapsed="false">
      <c r="A912" s="5" t="s">
        <v>2425</v>
      </c>
      <c r="B912" s="5" t="s">
        <v>105</v>
      </c>
      <c r="C912" s="5" t="s">
        <v>106</v>
      </c>
      <c r="D912" s="5" t="s">
        <v>137</v>
      </c>
      <c r="E912" s="5" t="s">
        <v>138</v>
      </c>
      <c r="F912" s="5" t="s">
        <v>189</v>
      </c>
      <c r="G912" s="5" t="s">
        <v>466</v>
      </c>
      <c r="H912" s="5" t="s">
        <v>226</v>
      </c>
      <c r="I912" s="5" t="s">
        <v>2426</v>
      </c>
      <c r="J912" s="5" t="s">
        <v>238</v>
      </c>
      <c r="K912" s="5" t="s">
        <v>2410</v>
      </c>
      <c r="L912" s="5" t="s">
        <v>190</v>
      </c>
      <c r="M912" s="5" t="s">
        <v>476</v>
      </c>
      <c r="N912" s="5" t="s">
        <v>278</v>
      </c>
      <c r="O912" s="5" t="s">
        <v>634</v>
      </c>
      <c r="P912" s="5" t="str">
        <f aca="false">IF(J912="S0","—",IF(K912="","",IF(L912="E0","QM",INDEX(10_ASIL_Matrix!$D$4:$F$15,MATCH(J912&amp;"-"&amp;L912,10_ASIL_Matrix!$C$4:$C$15,0),MATCH(N912,10_ASIL_Matrix!$D$3:$F$3,0)))))</f>
        <v>—</v>
      </c>
      <c r="Q912" s="5" t="s">
        <v>448</v>
      </c>
    </row>
    <row r="913" customFormat="false" ht="35.05" hidden="false" customHeight="false" outlineLevel="0" collapsed="false">
      <c r="A913" s="6" t="s">
        <v>2427</v>
      </c>
      <c r="B913" s="6" t="s">
        <v>105</v>
      </c>
      <c r="C913" s="6" t="s">
        <v>106</v>
      </c>
      <c r="D913" s="6" t="s">
        <v>137</v>
      </c>
      <c r="E913" s="6" t="s">
        <v>138</v>
      </c>
      <c r="F913" s="6" t="s">
        <v>189</v>
      </c>
      <c r="G913" s="6" t="s">
        <v>466</v>
      </c>
      <c r="H913" s="6" t="s">
        <v>228</v>
      </c>
      <c r="I913" s="6" t="s">
        <v>2428</v>
      </c>
      <c r="J913" s="6" t="s">
        <v>238</v>
      </c>
      <c r="K913" s="6" t="s">
        <v>2410</v>
      </c>
      <c r="L913" s="6" t="s">
        <v>205</v>
      </c>
      <c r="M913" s="6" t="s">
        <v>479</v>
      </c>
      <c r="N913" s="6" t="s">
        <v>278</v>
      </c>
      <c r="O913" s="6" t="s">
        <v>634</v>
      </c>
      <c r="P913" s="6" t="str">
        <f aca="false">IF(J913="S0","—",IF(K913="","",IF(L913="E0","QM",INDEX(10_ASIL_Matrix!$D$4:$F$15,MATCH(J913&amp;"-"&amp;L913,10_ASIL_Matrix!$C$4:$C$15,0),MATCH(N913,10_ASIL_Matrix!$D$3:$F$3,0)))))</f>
        <v>—</v>
      </c>
      <c r="Q913" s="6" t="s">
        <v>448</v>
      </c>
    </row>
    <row r="914" customFormat="false" ht="35.05" hidden="false" customHeight="false" outlineLevel="0" collapsed="false">
      <c r="A914" s="5" t="s">
        <v>2429</v>
      </c>
      <c r="B914" s="5" t="s">
        <v>105</v>
      </c>
      <c r="C914" s="5" t="s">
        <v>106</v>
      </c>
      <c r="D914" s="5" t="s">
        <v>137</v>
      </c>
      <c r="E914" s="5" t="s">
        <v>138</v>
      </c>
      <c r="F914" s="5" t="s">
        <v>189</v>
      </c>
      <c r="G914" s="5" t="s">
        <v>466</v>
      </c>
      <c r="H914" s="5" t="s">
        <v>230</v>
      </c>
      <c r="I914" s="5" t="s">
        <v>2430</v>
      </c>
      <c r="J914" s="5" t="s">
        <v>238</v>
      </c>
      <c r="K914" s="5" t="s">
        <v>2410</v>
      </c>
      <c r="L914" s="5" t="s">
        <v>205</v>
      </c>
      <c r="M914" s="5" t="s">
        <v>482</v>
      </c>
      <c r="N914" s="5" t="s">
        <v>278</v>
      </c>
      <c r="O914" s="5" t="s">
        <v>634</v>
      </c>
      <c r="P914" s="5" t="str">
        <f aca="false">IF(J914="S0","—",IF(K914="","",IF(L914="E0","QM",INDEX(10_ASIL_Matrix!$D$4:$F$15,MATCH(J914&amp;"-"&amp;L914,10_ASIL_Matrix!$C$4:$C$15,0),MATCH(N914,10_ASIL_Matrix!$D$3:$F$3,0)))))</f>
        <v>—</v>
      </c>
      <c r="Q914" s="5" t="s">
        <v>448</v>
      </c>
    </row>
    <row r="915" customFormat="false" ht="46.25" hidden="false" customHeight="false" outlineLevel="0" collapsed="false">
      <c r="A915" s="6" t="s">
        <v>2431</v>
      </c>
      <c r="B915" s="6" t="s">
        <v>105</v>
      </c>
      <c r="C915" s="6" t="s">
        <v>106</v>
      </c>
      <c r="D915" s="6" t="s">
        <v>137</v>
      </c>
      <c r="E915" s="6" t="s">
        <v>138</v>
      </c>
      <c r="F915" s="6" t="s">
        <v>189</v>
      </c>
      <c r="G915" s="6" t="s">
        <v>466</v>
      </c>
      <c r="H915" s="6" t="s">
        <v>232</v>
      </c>
      <c r="I915" s="6" t="s">
        <v>2432</v>
      </c>
      <c r="J915" s="6" t="s">
        <v>238</v>
      </c>
      <c r="K915" s="6" t="s">
        <v>2410</v>
      </c>
      <c r="L915" s="6" t="s">
        <v>233</v>
      </c>
      <c r="M915" s="6" t="s">
        <v>486</v>
      </c>
      <c r="N915" s="6" t="s">
        <v>278</v>
      </c>
      <c r="O915" s="6" t="s">
        <v>634</v>
      </c>
      <c r="P915" s="6" t="str">
        <f aca="false">IF(J915="S0","—",IF(K915="","",IF(L915="E0","QM",INDEX(10_ASIL_Matrix!$D$4:$F$15,MATCH(J915&amp;"-"&amp;L915,10_ASIL_Matrix!$C$4:$C$15,0),MATCH(N915,10_ASIL_Matrix!$D$3:$F$3,0)))))</f>
        <v>—</v>
      </c>
      <c r="Q915" s="6" t="s">
        <v>448</v>
      </c>
    </row>
    <row r="916" customFormat="false" ht="35.05" hidden="false" customHeight="false" outlineLevel="0" collapsed="false">
      <c r="A916" s="5" t="s">
        <v>2433</v>
      </c>
      <c r="B916" s="5" t="s">
        <v>105</v>
      </c>
      <c r="C916" s="5" t="s">
        <v>106</v>
      </c>
      <c r="D916" s="5" t="s">
        <v>137</v>
      </c>
      <c r="E916" s="5" t="s">
        <v>138</v>
      </c>
      <c r="F916" s="5" t="s">
        <v>192</v>
      </c>
      <c r="G916" s="5" t="s">
        <v>488</v>
      </c>
      <c r="H916" s="5" t="s">
        <v>222</v>
      </c>
      <c r="I916" s="5" t="s">
        <v>2434</v>
      </c>
      <c r="J916" s="5" t="s">
        <v>238</v>
      </c>
      <c r="K916" s="5" t="s">
        <v>2410</v>
      </c>
      <c r="L916" s="5" t="s">
        <v>187</v>
      </c>
      <c r="M916" s="5" t="s">
        <v>491</v>
      </c>
      <c r="N916" s="5" t="s">
        <v>278</v>
      </c>
      <c r="O916" s="5" t="s">
        <v>634</v>
      </c>
      <c r="P916" s="5" t="str">
        <f aca="false">IF(J916="S0","—",IF(K916="","",IF(L916="E0","QM",INDEX(10_ASIL_Matrix!$D$4:$F$15,MATCH(J916&amp;"-"&amp;L916,10_ASIL_Matrix!$C$4:$C$15,0),MATCH(N916,10_ASIL_Matrix!$D$3:$F$3,0)))))</f>
        <v>—</v>
      </c>
      <c r="Q916" s="5" t="s">
        <v>448</v>
      </c>
    </row>
    <row r="917" customFormat="false" ht="35.05" hidden="false" customHeight="false" outlineLevel="0" collapsed="false">
      <c r="A917" s="6" t="s">
        <v>2435</v>
      </c>
      <c r="B917" s="6" t="s">
        <v>105</v>
      </c>
      <c r="C917" s="6" t="s">
        <v>106</v>
      </c>
      <c r="D917" s="6" t="s">
        <v>137</v>
      </c>
      <c r="E917" s="6" t="s">
        <v>138</v>
      </c>
      <c r="F917" s="6" t="s">
        <v>192</v>
      </c>
      <c r="G917" s="6" t="s">
        <v>488</v>
      </c>
      <c r="H917" s="6" t="s">
        <v>224</v>
      </c>
      <c r="I917" s="6" t="s">
        <v>2436</v>
      </c>
      <c r="J917" s="6" t="s">
        <v>238</v>
      </c>
      <c r="K917" s="6" t="s">
        <v>2410</v>
      </c>
      <c r="L917" s="6" t="s">
        <v>190</v>
      </c>
      <c r="M917" s="6" t="s">
        <v>494</v>
      </c>
      <c r="N917" s="6" t="s">
        <v>278</v>
      </c>
      <c r="O917" s="6" t="s">
        <v>634</v>
      </c>
      <c r="P917" s="6" t="str">
        <f aca="false">IF(J917="S0","—",IF(K917="","",IF(L917="E0","QM",INDEX(10_ASIL_Matrix!$D$4:$F$15,MATCH(J917&amp;"-"&amp;L917,10_ASIL_Matrix!$C$4:$C$15,0),MATCH(N917,10_ASIL_Matrix!$D$3:$F$3,0)))))</f>
        <v>—</v>
      </c>
      <c r="Q917" s="6" t="s">
        <v>448</v>
      </c>
    </row>
    <row r="918" customFormat="false" ht="35.05" hidden="false" customHeight="false" outlineLevel="0" collapsed="false">
      <c r="A918" s="5" t="s">
        <v>2437</v>
      </c>
      <c r="B918" s="5" t="s">
        <v>105</v>
      </c>
      <c r="C918" s="5" t="s">
        <v>106</v>
      </c>
      <c r="D918" s="5" t="s">
        <v>137</v>
      </c>
      <c r="E918" s="5" t="s">
        <v>138</v>
      </c>
      <c r="F918" s="5" t="s">
        <v>192</v>
      </c>
      <c r="G918" s="5" t="s">
        <v>488</v>
      </c>
      <c r="H918" s="5" t="s">
        <v>226</v>
      </c>
      <c r="I918" s="5" t="s">
        <v>2438</v>
      </c>
      <c r="J918" s="5" t="s">
        <v>238</v>
      </c>
      <c r="K918" s="5" t="s">
        <v>2410</v>
      </c>
      <c r="L918" s="5" t="s">
        <v>190</v>
      </c>
      <c r="M918" s="5" t="s">
        <v>497</v>
      </c>
      <c r="N918" s="5" t="s">
        <v>278</v>
      </c>
      <c r="O918" s="5" t="s">
        <v>634</v>
      </c>
      <c r="P918" s="5" t="str">
        <f aca="false">IF(J918="S0","—",IF(K918="","",IF(L918="E0","QM",INDEX(10_ASIL_Matrix!$D$4:$F$15,MATCH(J918&amp;"-"&amp;L918,10_ASIL_Matrix!$C$4:$C$15,0),MATCH(N918,10_ASIL_Matrix!$D$3:$F$3,0)))))</f>
        <v>—</v>
      </c>
      <c r="Q918" s="5" t="s">
        <v>448</v>
      </c>
    </row>
    <row r="919" customFormat="false" ht="35.05" hidden="false" customHeight="false" outlineLevel="0" collapsed="false">
      <c r="A919" s="6" t="s">
        <v>2439</v>
      </c>
      <c r="B919" s="6" t="s">
        <v>105</v>
      </c>
      <c r="C919" s="6" t="s">
        <v>106</v>
      </c>
      <c r="D919" s="6" t="s">
        <v>137</v>
      </c>
      <c r="E919" s="6" t="s">
        <v>138</v>
      </c>
      <c r="F919" s="6" t="s">
        <v>192</v>
      </c>
      <c r="G919" s="6" t="s">
        <v>488</v>
      </c>
      <c r="H919" s="6" t="s">
        <v>228</v>
      </c>
      <c r="I919" s="6" t="s">
        <v>2440</v>
      </c>
      <c r="J919" s="6" t="s">
        <v>238</v>
      </c>
      <c r="K919" s="6" t="s">
        <v>2410</v>
      </c>
      <c r="L919" s="6" t="s">
        <v>205</v>
      </c>
      <c r="M919" s="6" t="s">
        <v>500</v>
      </c>
      <c r="N919" s="6" t="s">
        <v>278</v>
      </c>
      <c r="O919" s="6" t="s">
        <v>634</v>
      </c>
      <c r="P919" s="6" t="str">
        <f aca="false">IF(J919="S0","—",IF(K919="","",IF(L919="E0","QM",INDEX(10_ASIL_Matrix!$D$4:$F$15,MATCH(J919&amp;"-"&amp;L919,10_ASIL_Matrix!$C$4:$C$15,0),MATCH(N919,10_ASIL_Matrix!$D$3:$F$3,0)))))</f>
        <v>—</v>
      </c>
      <c r="Q919" s="6" t="s">
        <v>448</v>
      </c>
    </row>
    <row r="920" customFormat="false" ht="35.05" hidden="false" customHeight="false" outlineLevel="0" collapsed="false">
      <c r="A920" s="5" t="s">
        <v>2441</v>
      </c>
      <c r="B920" s="5" t="s">
        <v>105</v>
      </c>
      <c r="C920" s="5" t="s">
        <v>106</v>
      </c>
      <c r="D920" s="5" t="s">
        <v>137</v>
      </c>
      <c r="E920" s="5" t="s">
        <v>138</v>
      </c>
      <c r="F920" s="5" t="s">
        <v>192</v>
      </c>
      <c r="G920" s="5" t="s">
        <v>488</v>
      </c>
      <c r="H920" s="5" t="s">
        <v>230</v>
      </c>
      <c r="I920" s="5" t="s">
        <v>2442</v>
      </c>
      <c r="J920" s="5" t="s">
        <v>238</v>
      </c>
      <c r="K920" s="5" t="s">
        <v>2410</v>
      </c>
      <c r="L920" s="5" t="s">
        <v>205</v>
      </c>
      <c r="M920" s="5" t="s">
        <v>503</v>
      </c>
      <c r="N920" s="5" t="s">
        <v>278</v>
      </c>
      <c r="O920" s="5" t="s">
        <v>634</v>
      </c>
      <c r="P920" s="5" t="str">
        <f aca="false">IF(J920="S0","—",IF(K920="","",IF(L920="E0","QM",INDEX(10_ASIL_Matrix!$D$4:$F$15,MATCH(J920&amp;"-"&amp;L920,10_ASIL_Matrix!$C$4:$C$15,0),MATCH(N920,10_ASIL_Matrix!$D$3:$F$3,0)))))</f>
        <v>—</v>
      </c>
      <c r="Q920" s="5" t="s">
        <v>448</v>
      </c>
    </row>
    <row r="921" customFormat="false" ht="46.25" hidden="false" customHeight="false" outlineLevel="0" collapsed="false">
      <c r="A921" s="6" t="s">
        <v>2443</v>
      </c>
      <c r="B921" s="6" t="s">
        <v>105</v>
      </c>
      <c r="C921" s="6" t="s">
        <v>106</v>
      </c>
      <c r="D921" s="6" t="s">
        <v>137</v>
      </c>
      <c r="E921" s="6" t="s">
        <v>138</v>
      </c>
      <c r="F921" s="6" t="s">
        <v>192</v>
      </c>
      <c r="G921" s="6" t="s">
        <v>488</v>
      </c>
      <c r="H921" s="6" t="s">
        <v>232</v>
      </c>
      <c r="I921" s="6" t="s">
        <v>2444</v>
      </c>
      <c r="J921" s="6" t="s">
        <v>238</v>
      </c>
      <c r="K921" s="6" t="s">
        <v>2410</v>
      </c>
      <c r="L921" s="6" t="s">
        <v>233</v>
      </c>
      <c r="M921" s="6" t="s">
        <v>506</v>
      </c>
      <c r="N921" s="6" t="s">
        <v>278</v>
      </c>
      <c r="O921" s="6" t="s">
        <v>634</v>
      </c>
      <c r="P921" s="6" t="str">
        <f aca="false">IF(J921="S0","—",IF(K921="","",IF(L921="E0","QM",INDEX(10_ASIL_Matrix!$D$4:$F$15,MATCH(J921&amp;"-"&amp;L921,10_ASIL_Matrix!$C$4:$C$15,0),MATCH(N921,10_ASIL_Matrix!$D$3:$F$3,0)))))</f>
        <v>—</v>
      </c>
      <c r="Q921" s="6" t="s">
        <v>448</v>
      </c>
    </row>
    <row r="922" customFormat="false" ht="35.05" hidden="false" customHeight="false" outlineLevel="0" collapsed="false">
      <c r="A922" s="5" t="s">
        <v>2445</v>
      </c>
      <c r="B922" s="5" t="s">
        <v>105</v>
      </c>
      <c r="C922" s="5" t="s">
        <v>106</v>
      </c>
      <c r="D922" s="5" t="s">
        <v>137</v>
      </c>
      <c r="E922" s="5" t="s">
        <v>138</v>
      </c>
      <c r="F922" s="5" t="s">
        <v>194</v>
      </c>
      <c r="G922" s="5" t="s">
        <v>508</v>
      </c>
      <c r="H922" s="5" t="s">
        <v>222</v>
      </c>
      <c r="I922" s="5" t="s">
        <v>2446</v>
      </c>
      <c r="J922" s="5" t="s">
        <v>238</v>
      </c>
      <c r="K922" s="5" t="s">
        <v>2410</v>
      </c>
      <c r="L922" s="5" t="s">
        <v>190</v>
      </c>
      <c r="M922" s="5" t="s">
        <v>511</v>
      </c>
      <c r="N922" s="5" t="s">
        <v>278</v>
      </c>
      <c r="O922" s="5" t="s">
        <v>634</v>
      </c>
      <c r="P922" s="5" t="str">
        <f aca="false">IF(J922="S0","—",IF(K922="","",IF(L922="E0","QM",INDEX(10_ASIL_Matrix!$D$4:$F$15,MATCH(J922&amp;"-"&amp;L922,10_ASIL_Matrix!$C$4:$C$15,0),MATCH(N922,10_ASIL_Matrix!$D$3:$F$3,0)))))</f>
        <v>—</v>
      </c>
      <c r="Q922" s="5" t="s">
        <v>448</v>
      </c>
    </row>
    <row r="923" customFormat="false" ht="35.05" hidden="false" customHeight="false" outlineLevel="0" collapsed="false">
      <c r="A923" s="6" t="s">
        <v>2447</v>
      </c>
      <c r="B923" s="6" t="s">
        <v>105</v>
      </c>
      <c r="C923" s="6" t="s">
        <v>106</v>
      </c>
      <c r="D923" s="6" t="s">
        <v>137</v>
      </c>
      <c r="E923" s="6" t="s">
        <v>138</v>
      </c>
      <c r="F923" s="6" t="s">
        <v>194</v>
      </c>
      <c r="G923" s="6" t="s">
        <v>508</v>
      </c>
      <c r="H923" s="6" t="s">
        <v>224</v>
      </c>
      <c r="I923" s="6" t="s">
        <v>2448</v>
      </c>
      <c r="J923" s="6" t="s">
        <v>238</v>
      </c>
      <c r="K923" s="6" t="s">
        <v>2410</v>
      </c>
      <c r="L923" s="6" t="s">
        <v>190</v>
      </c>
      <c r="M923" s="6" t="s">
        <v>514</v>
      </c>
      <c r="N923" s="6" t="s">
        <v>278</v>
      </c>
      <c r="O923" s="6" t="s">
        <v>634</v>
      </c>
      <c r="P923" s="6" t="str">
        <f aca="false">IF(J923="S0","—",IF(K923="","",IF(L923="E0","QM",INDEX(10_ASIL_Matrix!$D$4:$F$15,MATCH(J923&amp;"-"&amp;L923,10_ASIL_Matrix!$C$4:$C$15,0),MATCH(N923,10_ASIL_Matrix!$D$3:$F$3,0)))))</f>
        <v>—</v>
      </c>
      <c r="Q923" s="6" t="s">
        <v>448</v>
      </c>
    </row>
    <row r="924" customFormat="false" ht="35.05" hidden="false" customHeight="false" outlineLevel="0" collapsed="false">
      <c r="A924" s="5" t="s">
        <v>2449</v>
      </c>
      <c r="B924" s="5" t="s">
        <v>105</v>
      </c>
      <c r="C924" s="5" t="s">
        <v>106</v>
      </c>
      <c r="D924" s="5" t="s">
        <v>137</v>
      </c>
      <c r="E924" s="5" t="s">
        <v>138</v>
      </c>
      <c r="F924" s="5" t="s">
        <v>194</v>
      </c>
      <c r="G924" s="5" t="s">
        <v>508</v>
      </c>
      <c r="H924" s="5" t="s">
        <v>226</v>
      </c>
      <c r="I924" s="5" t="s">
        <v>2450</v>
      </c>
      <c r="J924" s="5" t="s">
        <v>238</v>
      </c>
      <c r="K924" s="5" t="s">
        <v>2410</v>
      </c>
      <c r="L924" s="5" t="s">
        <v>190</v>
      </c>
      <c r="M924" s="5" t="s">
        <v>517</v>
      </c>
      <c r="N924" s="5" t="s">
        <v>278</v>
      </c>
      <c r="O924" s="5" t="s">
        <v>634</v>
      </c>
      <c r="P924" s="5" t="str">
        <f aca="false">IF(J924="S0","—",IF(K924="","",IF(L924="E0","QM",INDEX(10_ASIL_Matrix!$D$4:$F$15,MATCH(J924&amp;"-"&amp;L924,10_ASIL_Matrix!$C$4:$C$15,0),MATCH(N924,10_ASIL_Matrix!$D$3:$F$3,0)))))</f>
        <v>—</v>
      </c>
      <c r="Q924" s="5" t="s">
        <v>448</v>
      </c>
    </row>
    <row r="925" customFormat="false" ht="35.05" hidden="false" customHeight="false" outlineLevel="0" collapsed="false">
      <c r="A925" s="6" t="s">
        <v>2451</v>
      </c>
      <c r="B925" s="6" t="s">
        <v>105</v>
      </c>
      <c r="C925" s="6" t="s">
        <v>106</v>
      </c>
      <c r="D925" s="6" t="s">
        <v>137</v>
      </c>
      <c r="E925" s="6" t="s">
        <v>138</v>
      </c>
      <c r="F925" s="6" t="s">
        <v>194</v>
      </c>
      <c r="G925" s="6" t="s">
        <v>508</v>
      </c>
      <c r="H925" s="6" t="s">
        <v>228</v>
      </c>
      <c r="I925" s="6" t="s">
        <v>2452</v>
      </c>
      <c r="J925" s="6" t="s">
        <v>238</v>
      </c>
      <c r="K925" s="6" t="s">
        <v>2410</v>
      </c>
      <c r="L925" s="6" t="s">
        <v>205</v>
      </c>
      <c r="M925" s="6" t="s">
        <v>520</v>
      </c>
      <c r="N925" s="6" t="s">
        <v>278</v>
      </c>
      <c r="O925" s="6" t="s">
        <v>634</v>
      </c>
      <c r="P925" s="6" t="str">
        <f aca="false">IF(J925="S0","—",IF(K925="","",IF(L925="E0","QM",INDEX(10_ASIL_Matrix!$D$4:$F$15,MATCH(J925&amp;"-"&amp;L925,10_ASIL_Matrix!$C$4:$C$15,0),MATCH(N925,10_ASIL_Matrix!$D$3:$F$3,0)))))</f>
        <v>—</v>
      </c>
      <c r="Q925" s="6" t="s">
        <v>448</v>
      </c>
    </row>
    <row r="926" customFormat="false" ht="35.05" hidden="false" customHeight="false" outlineLevel="0" collapsed="false">
      <c r="A926" s="5" t="s">
        <v>2453</v>
      </c>
      <c r="B926" s="5" t="s">
        <v>105</v>
      </c>
      <c r="C926" s="5" t="s">
        <v>106</v>
      </c>
      <c r="D926" s="5" t="s">
        <v>137</v>
      </c>
      <c r="E926" s="5" t="s">
        <v>138</v>
      </c>
      <c r="F926" s="5" t="s">
        <v>194</v>
      </c>
      <c r="G926" s="5" t="s">
        <v>508</v>
      </c>
      <c r="H926" s="5" t="s">
        <v>230</v>
      </c>
      <c r="I926" s="5" t="s">
        <v>2454</v>
      </c>
      <c r="J926" s="5" t="s">
        <v>238</v>
      </c>
      <c r="K926" s="5" t="s">
        <v>2410</v>
      </c>
      <c r="L926" s="5" t="s">
        <v>205</v>
      </c>
      <c r="M926" s="5" t="s">
        <v>523</v>
      </c>
      <c r="N926" s="5" t="s">
        <v>278</v>
      </c>
      <c r="O926" s="5" t="s">
        <v>634</v>
      </c>
      <c r="P926" s="5" t="str">
        <f aca="false">IF(J926="S0","—",IF(K926="","",IF(L926="E0","QM",INDEX(10_ASIL_Matrix!$D$4:$F$15,MATCH(J926&amp;"-"&amp;L926,10_ASIL_Matrix!$C$4:$C$15,0),MATCH(N926,10_ASIL_Matrix!$D$3:$F$3,0)))))</f>
        <v>—</v>
      </c>
      <c r="Q926" s="5" t="s">
        <v>448</v>
      </c>
    </row>
    <row r="927" customFormat="false" ht="46.25" hidden="false" customHeight="false" outlineLevel="0" collapsed="false">
      <c r="A927" s="6" t="s">
        <v>2455</v>
      </c>
      <c r="B927" s="6" t="s">
        <v>105</v>
      </c>
      <c r="C927" s="6" t="s">
        <v>106</v>
      </c>
      <c r="D927" s="6" t="s">
        <v>137</v>
      </c>
      <c r="E927" s="6" t="s">
        <v>138</v>
      </c>
      <c r="F927" s="6" t="s">
        <v>194</v>
      </c>
      <c r="G927" s="6" t="s">
        <v>508</v>
      </c>
      <c r="H927" s="6" t="s">
        <v>232</v>
      </c>
      <c r="I927" s="6" t="s">
        <v>2456</v>
      </c>
      <c r="J927" s="6" t="s">
        <v>238</v>
      </c>
      <c r="K927" s="6" t="s">
        <v>2410</v>
      </c>
      <c r="L927" s="6" t="s">
        <v>233</v>
      </c>
      <c r="M927" s="6" t="s">
        <v>526</v>
      </c>
      <c r="N927" s="6" t="s">
        <v>278</v>
      </c>
      <c r="O927" s="6" t="s">
        <v>634</v>
      </c>
      <c r="P927" s="6" t="str">
        <f aca="false">IF(J927="S0","—",IF(K927="","",IF(L927="E0","QM",INDEX(10_ASIL_Matrix!$D$4:$F$15,MATCH(J927&amp;"-"&amp;L927,10_ASIL_Matrix!$C$4:$C$15,0),MATCH(N927,10_ASIL_Matrix!$D$3:$F$3,0)))))</f>
        <v>—</v>
      </c>
      <c r="Q927" s="6" t="s">
        <v>448</v>
      </c>
    </row>
    <row r="928" customFormat="false" ht="35.05" hidden="false" customHeight="false" outlineLevel="0" collapsed="false">
      <c r="A928" s="5" t="s">
        <v>2457</v>
      </c>
      <c r="B928" s="5" t="s">
        <v>105</v>
      </c>
      <c r="C928" s="5" t="s">
        <v>106</v>
      </c>
      <c r="D928" s="5" t="s">
        <v>137</v>
      </c>
      <c r="E928" s="5" t="s">
        <v>138</v>
      </c>
      <c r="F928" s="5" t="s">
        <v>196</v>
      </c>
      <c r="G928" s="5" t="s">
        <v>528</v>
      </c>
      <c r="H928" s="5" t="s">
        <v>222</v>
      </c>
      <c r="I928" s="5" t="s">
        <v>2458</v>
      </c>
      <c r="J928" s="5" t="s">
        <v>246</v>
      </c>
      <c r="K928" s="5" t="s">
        <v>2459</v>
      </c>
      <c r="L928" s="5" t="s">
        <v>187</v>
      </c>
      <c r="M928" s="5" t="s">
        <v>531</v>
      </c>
      <c r="N928" s="5" t="s">
        <v>286</v>
      </c>
      <c r="O928" s="5" t="s">
        <v>2460</v>
      </c>
      <c r="P928" s="18" t="str">
        <f aca="false">IF(J928="S0","—",IF(K928="","",IF(L928="E0","QM",INDEX(10_ASIL_Matrix!$D$4:$F$15,MATCH(J928&amp;"-"&amp;L928,10_ASIL_Matrix!$C$4:$C$15,0),MATCH(N928,10_ASIL_Matrix!$D$3:$F$3,0)))))</f>
        <v>B</v>
      </c>
      <c r="Q928" s="5" t="s">
        <v>448</v>
      </c>
    </row>
    <row r="929" customFormat="false" ht="35.05" hidden="false" customHeight="false" outlineLevel="0" collapsed="false">
      <c r="A929" s="6" t="s">
        <v>2461</v>
      </c>
      <c r="B929" s="6" t="s">
        <v>105</v>
      </c>
      <c r="C929" s="6" t="s">
        <v>106</v>
      </c>
      <c r="D929" s="6" t="s">
        <v>137</v>
      </c>
      <c r="E929" s="6" t="s">
        <v>138</v>
      </c>
      <c r="F929" s="6" t="s">
        <v>196</v>
      </c>
      <c r="G929" s="6" t="s">
        <v>528</v>
      </c>
      <c r="H929" s="6" t="s">
        <v>224</v>
      </c>
      <c r="I929" s="6" t="s">
        <v>2462</v>
      </c>
      <c r="J929" s="6" t="s">
        <v>246</v>
      </c>
      <c r="K929" s="6" t="s">
        <v>2459</v>
      </c>
      <c r="L929" s="6" t="s">
        <v>190</v>
      </c>
      <c r="M929" s="6" t="s">
        <v>534</v>
      </c>
      <c r="N929" s="6" t="s">
        <v>286</v>
      </c>
      <c r="O929" s="6" t="s">
        <v>2460</v>
      </c>
      <c r="P929" s="19" t="str">
        <f aca="false">IF(J929="S0","—",IF(K929="","",IF(L929="E0","QM",INDEX(10_ASIL_Matrix!$D$4:$F$15,MATCH(J929&amp;"-"&amp;L929,10_ASIL_Matrix!$C$4:$C$15,0),MATCH(N929,10_ASIL_Matrix!$D$3:$F$3,0)))))</f>
        <v>A</v>
      </c>
      <c r="Q929" s="6" t="s">
        <v>448</v>
      </c>
    </row>
    <row r="930" customFormat="false" ht="35.05" hidden="false" customHeight="false" outlineLevel="0" collapsed="false">
      <c r="A930" s="5" t="s">
        <v>2463</v>
      </c>
      <c r="B930" s="5" t="s">
        <v>105</v>
      </c>
      <c r="C930" s="5" t="s">
        <v>106</v>
      </c>
      <c r="D930" s="5" t="s">
        <v>137</v>
      </c>
      <c r="E930" s="5" t="s">
        <v>138</v>
      </c>
      <c r="F930" s="5" t="s">
        <v>196</v>
      </c>
      <c r="G930" s="5" t="s">
        <v>528</v>
      </c>
      <c r="H930" s="5" t="s">
        <v>226</v>
      </c>
      <c r="I930" s="5" t="s">
        <v>2464</v>
      </c>
      <c r="J930" s="5" t="s">
        <v>246</v>
      </c>
      <c r="K930" s="5" t="s">
        <v>2459</v>
      </c>
      <c r="L930" s="5" t="s">
        <v>190</v>
      </c>
      <c r="M930" s="5" t="s">
        <v>537</v>
      </c>
      <c r="N930" s="5" t="s">
        <v>286</v>
      </c>
      <c r="O930" s="5" t="s">
        <v>2460</v>
      </c>
      <c r="P930" s="19" t="str">
        <f aca="false">IF(J930="S0","—",IF(K930="","",IF(L930="E0","QM",INDEX(10_ASIL_Matrix!$D$4:$F$15,MATCH(J930&amp;"-"&amp;L930,10_ASIL_Matrix!$C$4:$C$15,0),MATCH(N930,10_ASIL_Matrix!$D$3:$F$3,0)))))</f>
        <v>A</v>
      </c>
      <c r="Q930" s="5" t="s">
        <v>448</v>
      </c>
    </row>
    <row r="931" customFormat="false" ht="35.05" hidden="false" customHeight="false" outlineLevel="0" collapsed="false">
      <c r="A931" s="6" t="s">
        <v>2465</v>
      </c>
      <c r="B931" s="6" t="s">
        <v>105</v>
      </c>
      <c r="C931" s="6" t="s">
        <v>106</v>
      </c>
      <c r="D931" s="6" t="s">
        <v>137</v>
      </c>
      <c r="E931" s="6" t="s">
        <v>138</v>
      </c>
      <c r="F931" s="6" t="s">
        <v>196</v>
      </c>
      <c r="G931" s="6" t="s">
        <v>528</v>
      </c>
      <c r="H931" s="6" t="s">
        <v>228</v>
      </c>
      <c r="I931" s="6" t="s">
        <v>2466</v>
      </c>
      <c r="J931" s="6" t="s">
        <v>246</v>
      </c>
      <c r="K931" s="6" t="s">
        <v>2459</v>
      </c>
      <c r="L931" s="6" t="s">
        <v>205</v>
      </c>
      <c r="M931" s="6" t="s">
        <v>540</v>
      </c>
      <c r="N931" s="6" t="s">
        <v>290</v>
      </c>
      <c r="O931" s="6" t="s">
        <v>2467</v>
      </c>
      <c r="P931" s="19" t="str">
        <f aca="false">IF(J931="S0","—",IF(K931="","",IF(L931="E0","QM",INDEX(10_ASIL_Matrix!$D$4:$F$15,MATCH(J931&amp;"-"&amp;L931,10_ASIL_Matrix!$C$4:$C$15,0),MATCH(N931,10_ASIL_Matrix!$D$3:$F$3,0)))))</f>
        <v>A</v>
      </c>
      <c r="Q931" s="6" t="s">
        <v>448</v>
      </c>
    </row>
    <row r="932" customFormat="false" ht="35.05" hidden="false" customHeight="false" outlineLevel="0" collapsed="false">
      <c r="A932" s="5" t="s">
        <v>2468</v>
      </c>
      <c r="B932" s="5" t="s">
        <v>105</v>
      </c>
      <c r="C932" s="5" t="s">
        <v>106</v>
      </c>
      <c r="D932" s="5" t="s">
        <v>137</v>
      </c>
      <c r="E932" s="5" t="s">
        <v>138</v>
      </c>
      <c r="F932" s="5" t="s">
        <v>196</v>
      </c>
      <c r="G932" s="5" t="s">
        <v>528</v>
      </c>
      <c r="H932" s="5" t="s">
        <v>230</v>
      </c>
      <c r="I932" s="5" t="s">
        <v>2469</v>
      </c>
      <c r="J932" s="5" t="s">
        <v>246</v>
      </c>
      <c r="K932" s="5" t="s">
        <v>2459</v>
      </c>
      <c r="L932" s="5" t="s">
        <v>205</v>
      </c>
      <c r="M932" s="5" t="s">
        <v>543</v>
      </c>
      <c r="N932" s="5" t="s">
        <v>290</v>
      </c>
      <c r="O932" s="5" t="s">
        <v>2470</v>
      </c>
      <c r="P932" s="19" t="str">
        <f aca="false">IF(J932="S0","—",IF(K932="","",IF(L932="E0","QM",INDEX(10_ASIL_Matrix!$D$4:$F$15,MATCH(J932&amp;"-"&amp;L932,10_ASIL_Matrix!$C$4:$C$15,0),MATCH(N932,10_ASIL_Matrix!$D$3:$F$3,0)))))</f>
        <v>A</v>
      </c>
      <c r="Q932" s="5" t="s">
        <v>448</v>
      </c>
    </row>
    <row r="933" customFormat="false" ht="46.25" hidden="false" customHeight="false" outlineLevel="0" collapsed="false">
      <c r="A933" s="6" t="s">
        <v>2471</v>
      </c>
      <c r="B933" s="6" t="s">
        <v>105</v>
      </c>
      <c r="C933" s="6" t="s">
        <v>106</v>
      </c>
      <c r="D933" s="6" t="s">
        <v>137</v>
      </c>
      <c r="E933" s="6" t="s">
        <v>138</v>
      </c>
      <c r="F933" s="6" t="s">
        <v>196</v>
      </c>
      <c r="G933" s="6" t="s">
        <v>528</v>
      </c>
      <c r="H933" s="6" t="s">
        <v>232</v>
      </c>
      <c r="I933" s="6" t="s">
        <v>2472</v>
      </c>
      <c r="J933" s="6" t="s">
        <v>246</v>
      </c>
      <c r="K933" s="6" t="s">
        <v>2459</v>
      </c>
      <c r="L933" s="6" t="s">
        <v>233</v>
      </c>
      <c r="M933" s="6" t="s">
        <v>546</v>
      </c>
      <c r="N933" s="6" t="s">
        <v>290</v>
      </c>
      <c r="O933" s="6" t="s">
        <v>2467</v>
      </c>
      <c r="P933" s="6" t="str">
        <f aca="false">IF(J933="S0","—",IF(K933="","",IF(L933="E0","QM",INDEX(10_ASIL_Matrix!$D$4:$F$15,MATCH(J933&amp;"-"&amp;L933,10_ASIL_Matrix!$C$4:$C$15,0),MATCH(N933,10_ASIL_Matrix!$D$3:$F$3,0)))))</f>
        <v>QM</v>
      </c>
      <c r="Q933" s="6" t="s">
        <v>448</v>
      </c>
    </row>
    <row r="934" customFormat="false" ht="35.05" hidden="false" customHeight="false" outlineLevel="0" collapsed="false">
      <c r="A934" s="5" t="s">
        <v>2473</v>
      </c>
      <c r="B934" s="5" t="s">
        <v>105</v>
      </c>
      <c r="C934" s="5" t="s">
        <v>106</v>
      </c>
      <c r="D934" s="5" t="s">
        <v>137</v>
      </c>
      <c r="E934" s="5" t="s">
        <v>138</v>
      </c>
      <c r="F934" s="5" t="s">
        <v>198</v>
      </c>
      <c r="G934" s="5" t="s">
        <v>548</v>
      </c>
      <c r="H934" s="5" t="s">
        <v>222</v>
      </c>
      <c r="I934" s="5" t="s">
        <v>2474</v>
      </c>
      <c r="J934" s="5" t="s">
        <v>242</v>
      </c>
      <c r="K934" s="5" t="s">
        <v>2475</v>
      </c>
      <c r="L934" s="5" t="s">
        <v>190</v>
      </c>
      <c r="M934" s="5" t="s">
        <v>551</v>
      </c>
      <c r="N934" s="5" t="s">
        <v>286</v>
      </c>
      <c r="O934" s="5" t="s">
        <v>2476</v>
      </c>
      <c r="P934" s="5" t="str">
        <f aca="false">IF(J934="S0","—",IF(K934="","",IF(L934="E0","QM",INDEX(10_ASIL_Matrix!$D$4:$F$15,MATCH(J934&amp;"-"&amp;L934,10_ASIL_Matrix!$C$4:$C$15,0),MATCH(N934,10_ASIL_Matrix!$D$3:$F$3,0)))))</f>
        <v>QM</v>
      </c>
      <c r="Q934" s="5" t="s">
        <v>448</v>
      </c>
    </row>
    <row r="935" customFormat="false" ht="35.05" hidden="false" customHeight="false" outlineLevel="0" collapsed="false">
      <c r="A935" s="6" t="s">
        <v>2477</v>
      </c>
      <c r="B935" s="6" t="s">
        <v>105</v>
      </c>
      <c r="C935" s="6" t="s">
        <v>106</v>
      </c>
      <c r="D935" s="6" t="s">
        <v>137</v>
      </c>
      <c r="E935" s="6" t="s">
        <v>138</v>
      </c>
      <c r="F935" s="6" t="s">
        <v>198</v>
      </c>
      <c r="G935" s="6" t="s">
        <v>548</v>
      </c>
      <c r="H935" s="6" t="s">
        <v>224</v>
      </c>
      <c r="I935" s="6" t="s">
        <v>2478</v>
      </c>
      <c r="J935" s="6" t="s">
        <v>242</v>
      </c>
      <c r="K935" s="6" t="s">
        <v>2475</v>
      </c>
      <c r="L935" s="6" t="s">
        <v>190</v>
      </c>
      <c r="M935" s="6" t="s">
        <v>555</v>
      </c>
      <c r="N935" s="6" t="s">
        <v>286</v>
      </c>
      <c r="O935" s="6" t="s">
        <v>2476</v>
      </c>
      <c r="P935" s="6" t="str">
        <f aca="false">IF(J935="S0","—",IF(K935="","",IF(L935="E0","QM",INDEX(10_ASIL_Matrix!$D$4:$F$15,MATCH(J935&amp;"-"&amp;L935,10_ASIL_Matrix!$C$4:$C$15,0),MATCH(N935,10_ASIL_Matrix!$D$3:$F$3,0)))))</f>
        <v>QM</v>
      </c>
      <c r="Q935" s="6" t="s">
        <v>448</v>
      </c>
    </row>
    <row r="936" customFormat="false" ht="35.05" hidden="false" customHeight="false" outlineLevel="0" collapsed="false">
      <c r="A936" s="5" t="s">
        <v>2479</v>
      </c>
      <c r="B936" s="5" t="s">
        <v>105</v>
      </c>
      <c r="C936" s="5" t="s">
        <v>106</v>
      </c>
      <c r="D936" s="5" t="s">
        <v>137</v>
      </c>
      <c r="E936" s="5" t="s">
        <v>138</v>
      </c>
      <c r="F936" s="5" t="s">
        <v>198</v>
      </c>
      <c r="G936" s="5" t="s">
        <v>548</v>
      </c>
      <c r="H936" s="5" t="s">
        <v>226</v>
      </c>
      <c r="I936" s="5" t="s">
        <v>2480</v>
      </c>
      <c r="J936" s="5" t="s">
        <v>242</v>
      </c>
      <c r="K936" s="5" t="s">
        <v>2475</v>
      </c>
      <c r="L936" s="5" t="s">
        <v>190</v>
      </c>
      <c r="M936" s="5" t="s">
        <v>558</v>
      </c>
      <c r="N936" s="5" t="s">
        <v>286</v>
      </c>
      <c r="O936" s="5" t="s">
        <v>2476</v>
      </c>
      <c r="P936" s="5" t="str">
        <f aca="false">IF(J936="S0","—",IF(K936="","",IF(L936="E0","QM",INDEX(10_ASIL_Matrix!$D$4:$F$15,MATCH(J936&amp;"-"&amp;L936,10_ASIL_Matrix!$C$4:$C$15,0),MATCH(N936,10_ASIL_Matrix!$D$3:$F$3,0)))))</f>
        <v>QM</v>
      </c>
      <c r="Q936" s="5" t="s">
        <v>448</v>
      </c>
    </row>
    <row r="937" customFormat="false" ht="46.25" hidden="false" customHeight="false" outlineLevel="0" collapsed="false">
      <c r="A937" s="6" t="s">
        <v>2481</v>
      </c>
      <c r="B937" s="6" t="s">
        <v>105</v>
      </c>
      <c r="C937" s="6" t="s">
        <v>106</v>
      </c>
      <c r="D937" s="6" t="s">
        <v>137</v>
      </c>
      <c r="E937" s="6" t="s">
        <v>138</v>
      </c>
      <c r="F937" s="6" t="s">
        <v>198</v>
      </c>
      <c r="G937" s="6" t="s">
        <v>548</v>
      </c>
      <c r="H937" s="6" t="s">
        <v>228</v>
      </c>
      <c r="I937" s="6" t="s">
        <v>2482</v>
      </c>
      <c r="J937" s="6" t="s">
        <v>242</v>
      </c>
      <c r="K937" s="6" t="s">
        <v>2475</v>
      </c>
      <c r="L937" s="6" t="s">
        <v>205</v>
      </c>
      <c r="M937" s="6" t="s">
        <v>561</v>
      </c>
      <c r="N937" s="6" t="s">
        <v>290</v>
      </c>
      <c r="O937" s="6" t="s">
        <v>2483</v>
      </c>
      <c r="P937" s="6" t="str">
        <f aca="false">IF(J937="S0","—",IF(K937="","",IF(L937="E0","QM",INDEX(10_ASIL_Matrix!$D$4:$F$15,MATCH(J937&amp;"-"&amp;L937,10_ASIL_Matrix!$C$4:$C$15,0),MATCH(N937,10_ASIL_Matrix!$D$3:$F$3,0)))))</f>
        <v>QM</v>
      </c>
      <c r="Q937" s="6" t="s">
        <v>448</v>
      </c>
    </row>
    <row r="938" customFormat="false" ht="35.05" hidden="false" customHeight="false" outlineLevel="0" collapsed="false">
      <c r="A938" s="5" t="s">
        <v>2484</v>
      </c>
      <c r="B938" s="5" t="s">
        <v>105</v>
      </c>
      <c r="C938" s="5" t="s">
        <v>106</v>
      </c>
      <c r="D938" s="5" t="s">
        <v>137</v>
      </c>
      <c r="E938" s="5" t="s">
        <v>138</v>
      </c>
      <c r="F938" s="5" t="s">
        <v>198</v>
      </c>
      <c r="G938" s="5" t="s">
        <v>548</v>
      </c>
      <c r="H938" s="5" t="s">
        <v>230</v>
      </c>
      <c r="I938" s="5" t="s">
        <v>2485</v>
      </c>
      <c r="J938" s="5" t="s">
        <v>242</v>
      </c>
      <c r="K938" s="5" t="s">
        <v>2475</v>
      </c>
      <c r="L938" s="5" t="s">
        <v>205</v>
      </c>
      <c r="M938" s="5" t="s">
        <v>564</v>
      </c>
      <c r="N938" s="5" t="s">
        <v>290</v>
      </c>
      <c r="O938" s="5" t="s">
        <v>2486</v>
      </c>
      <c r="P938" s="5" t="str">
        <f aca="false">IF(J938="S0","—",IF(K938="","",IF(L938="E0","QM",INDEX(10_ASIL_Matrix!$D$4:$F$15,MATCH(J938&amp;"-"&amp;L938,10_ASIL_Matrix!$C$4:$C$15,0),MATCH(N938,10_ASIL_Matrix!$D$3:$F$3,0)))))</f>
        <v>QM</v>
      </c>
      <c r="Q938" s="5" t="s">
        <v>448</v>
      </c>
    </row>
    <row r="939" customFormat="false" ht="46.25" hidden="false" customHeight="false" outlineLevel="0" collapsed="false">
      <c r="A939" s="6" t="s">
        <v>2487</v>
      </c>
      <c r="B939" s="6" t="s">
        <v>105</v>
      </c>
      <c r="C939" s="6" t="s">
        <v>106</v>
      </c>
      <c r="D939" s="6" t="s">
        <v>137</v>
      </c>
      <c r="E939" s="6" t="s">
        <v>138</v>
      </c>
      <c r="F939" s="6" t="s">
        <v>198</v>
      </c>
      <c r="G939" s="6" t="s">
        <v>548</v>
      </c>
      <c r="H939" s="6" t="s">
        <v>232</v>
      </c>
      <c r="I939" s="6" t="s">
        <v>2488</v>
      </c>
      <c r="J939" s="6" t="s">
        <v>242</v>
      </c>
      <c r="K939" s="6" t="s">
        <v>2475</v>
      </c>
      <c r="L939" s="6" t="s">
        <v>233</v>
      </c>
      <c r="M939" s="6" t="s">
        <v>568</v>
      </c>
      <c r="N939" s="6" t="s">
        <v>290</v>
      </c>
      <c r="O939" s="6" t="s">
        <v>2483</v>
      </c>
      <c r="P939" s="6" t="str">
        <f aca="false">IF(J939="S0","—",IF(K939="","",IF(L939="E0","QM",INDEX(10_ASIL_Matrix!$D$4:$F$15,MATCH(J939&amp;"-"&amp;L939,10_ASIL_Matrix!$C$4:$C$15,0),MATCH(N939,10_ASIL_Matrix!$D$3:$F$3,0)))))</f>
        <v>QM</v>
      </c>
      <c r="Q939" s="6" t="s">
        <v>448</v>
      </c>
    </row>
    <row r="940" customFormat="false" ht="35.05" hidden="false" customHeight="false" outlineLevel="0" collapsed="false">
      <c r="A940" s="5" t="s">
        <v>2489</v>
      </c>
      <c r="B940" s="5" t="s">
        <v>105</v>
      </c>
      <c r="C940" s="5" t="s">
        <v>106</v>
      </c>
      <c r="D940" s="5" t="s">
        <v>137</v>
      </c>
      <c r="E940" s="5" t="s">
        <v>138</v>
      </c>
      <c r="F940" s="5" t="s">
        <v>200</v>
      </c>
      <c r="G940" s="5" t="s">
        <v>570</v>
      </c>
      <c r="H940" s="5" t="s">
        <v>222</v>
      </c>
      <c r="I940" s="5" t="s">
        <v>2490</v>
      </c>
      <c r="J940" s="5" t="s">
        <v>250</v>
      </c>
      <c r="K940" s="5" t="s">
        <v>2491</v>
      </c>
      <c r="L940" s="5" t="s">
        <v>190</v>
      </c>
      <c r="M940" s="5" t="s">
        <v>573</v>
      </c>
      <c r="N940" s="5" t="s">
        <v>286</v>
      </c>
      <c r="O940" s="5" t="s">
        <v>2492</v>
      </c>
      <c r="P940" s="18" t="str">
        <f aca="false">IF(J940="S0","—",IF(K940="","",IF(L940="E0","QM",INDEX(10_ASIL_Matrix!$D$4:$F$15,MATCH(J940&amp;"-"&amp;L940,10_ASIL_Matrix!$C$4:$C$15,0),MATCH(N940,10_ASIL_Matrix!$D$3:$F$3,0)))))</f>
        <v>B</v>
      </c>
      <c r="Q940" s="5" t="s">
        <v>448</v>
      </c>
    </row>
    <row r="941" customFormat="false" ht="35.05" hidden="false" customHeight="false" outlineLevel="0" collapsed="false">
      <c r="A941" s="6" t="s">
        <v>2493</v>
      </c>
      <c r="B941" s="6" t="s">
        <v>105</v>
      </c>
      <c r="C941" s="6" t="s">
        <v>106</v>
      </c>
      <c r="D941" s="6" t="s">
        <v>137</v>
      </c>
      <c r="E941" s="6" t="s">
        <v>138</v>
      </c>
      <c r="F941" s="6" t="s">
        <v>200</v>
      </c>
      <c r="G941" s="6" t="s">
        <v>570</v>
      </c>
      <c r="H941" s="6" t="s">
        <v>224</v>
      </c>
      <c r="I941" s="6" t="s">
        <v>2494</v>
      </c>
      <c r="J941" s="6" t="s">
        <v>250</v>
      </c>
      <c r="K941" s="6" t="s">
        <v>2491</v>
      </c>
      <c r="L941" s="6" t="s">
        <v>190</v>
      </c>
      <c r="M941" s="6" t="s">
        <v>576</v>
      </c>
      <c r="N941" s="6" t="s">
        <v>286</v>
      </c>
      <c r="O941" s="6" t="s">
        <v>2492</v>
      </c>
      <c r="P941" s="18" t="str">
        <f aca="false">IF(J941="S0","—",IF(K941="","",IF(L941="E0","QM",INDEX(10_ASIL_Matrix!$D$4:$F$15,MATCH(J941&amp;"-"&amp;L941,10_ASIL_Matrix!$C$4:$C$15,0),MATCH(N941,10_ASIL_Matrix!$D$3:$F$3,0)))))</f>
        <v>B</v>
      </c>
      <c r="Q941" s="6" t="s">
        <v>448</v>
      </c>
    </row>
    <row r="942" customFormat="false" ht="35.05" hidden="false" customHeight="false" outlineLevel="0" collapsed="false">
      <c r="A942" s="5" t="s">
        <v>2495</v>
      </c>
      <c r="B942" s="5" t="s">
        <v>105</v>
      </c>
      <c r="C942" s="5" t="s">
        <v>106</v>
      </c>
      <c r="D942" s="5" t="s">
        <v>137</v>
      </c>
      <c r="E942" s="5" t="s">
        <v>138</v>
      </c>
      <c r="F942" s="5" t="s">
        <v>200</v>
      </c>
      <c r="G942" s="5" t="s">
        <v>570</v>
      </c>
      <c r="H942" s="5" t="s">
        <v>226</v>
      </c>
      <c r="I942" s="5" t="s">
        <v>2496</v>
      </c>
      <c r="J942" s="5" t="s">
        <v>250</v>
      </c>
      <c r="K942" s="5" t="s">
        <v>2491</v>
      </c>
      <c r="L942" s="5" t="s">
        <v>190</v>
      </c>
      <c r="M942" s="5" t="s">
        <v>579</v>
      </c>
      <c r="N942" s="5" t="s">
        <v>286</v>
      </c>
      <c r="O942" s="5" t="s">
        <v>2492</v>
      </c>
      <c r="P942" s="18" t="str">
        <f aca="false">IF(J942="S0","—",IF(K942="","",IF(L942="E0","QM",INDEX(10_ASIL_Matrix!$D$4:$F$15,MATCH(J942&amp;"-"&amp;L942,10_ASIL_Matrix!$C$4:$C$15,0),MATCH(N942,10_ASIL_Matrix!$D$3:$F$3,0)))))</f>
        <v>B</v>
      </c>
      <c r="Q942" s="5" t="s">
        <v>448</v>
      </c>
    </row>
    <row r="943" customFormat="false" ht="35.05" hidden="false" customHeight="false" outlineLevel="0" collapsed="false">
      <c r="A943" s="6" t="s">
        <v>2497</v>
      </c>
      <c r="B943" s="6" t="s">
        <v>105</v>
      </c>
      <c r="C943" s="6" t="s">
        <v>106</v>
      </c>
      <c r="D943" s="6" t="s">
        <v>137</v>
      </c>
      <c r="E943" s="6" t="s">
        <v>138</v>
      </c>
      <c r="F943" s="6" t="s">
        <v>200</v>
      </c>
      <c r="G943" s="6" t="s">
        <v>570</v>
      </c>
      <c r="H943" s="6" t="s">
        <v>228</v>
      </c>
      <c r="I943" s="6" t="s">
        <v>2498</v>
      </c>
      <c r="J943" s="6" t="s">
        <v>250</v>
      </c>
      <c r="K943" s="6" t="s">
        <v>2491</v>
      </c>
      <c r="L943" s="6" t="s">
        <v>205</v>
      </c>
      <c r="M943" s="6" t="s">
        <v>582</v>
      </c>
      <c r="N943" s="6" t="s">
        <v>290</v>
      </c>
      <c r="O943" s="6" t="s">
        <v>2499</v>
      </c>
      <c r="P943" s="18" t="str">
        <f aca="false">IF(J943="S0","—",IF(K943="","",IF(L943="E0","QM",INDEX(10_ASIL_Matrix!$D$4:$F$15,MATCH(J943&amp;"-"&amp;L943,10_ASIL_Matrix!$C$4:$C$15,0),MATCH(N943,10_ASIL_Matrix!$D$3:$F$3,0)))))</f>
        <v>B</v>
      </c>
      <c r="Q943" s="6" t="s">
        <v>448</v>
      </c>
    </row>
    <row r="944" customFormat="false" ht="35.05" hidden="false" customHeight="false" outlineLevel="0" collapsed="false">
      <c r="A944" s="5" t="s">
        <v>2500</v>
      </c>
      <c r="B944" s="5" t="s">
        <v>105</v>
      </c>
      <c r="C944" s="5" t="s">
        <v>106</v>
      </c>
      <c r="D944" s="5" t="s">
        <v>137</v>
      </c>
      <c r="E944" s="5" t="s">
        <v>138</v>
      </c>
      <c r="F944" s="5" t="s">
        <v>200</v>
      </c>
      <c r="G944" s="5" t="s">
        <v>570</v>
      </c>
      <c r="H944" s="5" t="s">
        <v>230</v>
      </c>
      <c r="I944" s="5" t="s">
        <v>2501</v>
      </c>
      <c r="J944" s="5" t="s">
        <v>250</v>
      </c>
      <c r="K944" s="5" t="s">
        <v>2491</v>
      </c>
      <c r="L944" s="5" t="s">
        <v>205</v>
      </c>
      <c r="M944" s="5" t="s">
        <v>585</v>
      </c>
      <c r="N944" s="5" t="s">
        <v>290</v>
      </c>
      <c r="O944" s="5" t="s">
        <v>2502</v>
      </c>
      <c r="P944" s="18" t="str">
        <f aca="false">IF(J944="S0","—",IF(K944="","",IF(L944="E0","QM",INDEX(10_ASIL_Matrix!$D$4:$F$15,MATCH(J944&amp;"-"&amp;L944,10_ASIL_Matrix!$C$4:$C$15,0),MATCH(N944,10_ASIL_Matrix!$D$3:$F$3,0)))))</f>
        <v>B</v>
      </c>
      <c r="Q944" s="5" t="s">
        <v>448</v>
      </c>
    </row>
    <row r="945" customFormat="false" ht="46.25" hidden="false" customHeight="false" outlineLevel="0" collapsed="false">
      <c r="A945" s="6" t="s">
        <v>2503</v>
      </c>
      <c r="B945" s="6" t="s">
        <v>105</v>
      </c>
      <c r="C945" s="6" t="s">
        <v>106</v>
      </c>
      <c r="D945" s="6" t="s">
        <v>137</v>
      </c>
      <c r="E945" s="6" t="s">
        <v>138</v>
      </c>
      <c r="F945" s="6" t="s">
        <v>200</v>
      </c>
      <c r="G945" s="6" t="s">
        <v>570</v>
      </c>
      <c r="H945" s="6" t="s">
        <v>232</v>
      </c>
      <c r="I945" s="6" t="s">
        <v>2504</v>
      </c>
      <c r="J945" s="6" t="s">
        <v>250</v>
      </c>
      <c r="K945" s="6" t="s">
        <v>2491</v>
      </c>
      <c r="L945" s="6" t="s">
        <v>233</v>
      </c>
      <c r="M945" s="6" t="s">
        <v>588</v>
      </c>
      <c r="N945" s="6" t="s">
        <v>290</v>
      </c>
      <c r="O945" s="6" t="s">
        <v>2499</v>
      </c>
      <c r="P945" s="19" t="str">
        <f aca="false">IF(J945="S0","—",IF(K945="","",IF(L945="E0","QM",INDEX(10_ASIL_Matrix!$D$4:$F$15,MATCH(J945&amp;"-"&amp;L945,10_ASIL_Matrix!$C$4:$C$15,0),MATCH(N945,10_ASIL_Matrix!$D$3:$F$3,0)))))</f>
        <v>A</v>
      </c>
      <c r="Q945" s="6" t="s">
        <v>448</v>
      </c>
    </row>
    <row r="946" customFormat="false" ht="35.05" hidden="false" customHeight="false" outlineLevel="0" collapsed="false">
      <c r="A946" s="5" t="s">
        <v>2505</v>
      </c>
      <c r="B946" s="5" t="s">
        <v>105</v>
      </c>
      <c r="C946" s="5" t="s">
        <v>106</v>
      </c>
      <c r="D946" s="5" t="s">
        <v>137</v>
      </c>
      <c r="E946" s="5" t="s">
        <v>138</v>
      </c>
      <c r="F946" s="5" t="s">
        <v>202</v>
      </c>
      <c r="G946" s="5" t="s">
        <v>590</v>
      </c>
      <c r="H946" s="5" t="s">
        <v>222</v>
      </c>
      <c r="I946" s="5" t="s">
        <v>2506</v>
      </c>
      <c r="J946" s="5" t="s">
        <v>238</v>
      </c>
      <c r="K946" s="5" t="s">
        <v>2410</v>
      </c>
      <c r="L946" s="5" t="s">
        <v>187</v>
      </c>
      <c r="M946" s="5" t="s">
        <v>592</v>
      </c>
      <c r="N946" s="5" t="s">
        <v>278</v>
      </c>
      <c r="O946" s="5" t="s">
        <v>634</v>
      </c>
      <c r="P946" s="5" t="str">
        <f aca="false">IF(J946="S0","—",IF(K946="","",IF(L946="E0","QM",INDEX(10_ASIL_Matrix!$D$4:$F$15,MATCH(J946&amp;"-"&amp;L946,10_ASIL_Matrix!$C$4:$C$15,0),MATCH(N946,10_ASIL_Matrix!$D$3:$F$3,0)))))</f>
        <v>—</v>
      </c>
      <c r="Q946" s="5" t="s">
        <v>448</v>
      </c>
    </row>
    <row r="947" customFormat="false" ht="35.05" hidden="false" customHeight="false" outlineLevel="0" collapsed="false">
      <c r="A947" s="6" t="s">
        <v>2507</v>
      </c>
      <c r="B947" s="6" t="s">
        <v>105</v>
      </c>
      <c r="C947" s="6" t="s">
        <v>106</v>
      </c>
      <c r="D947" s="6" t="s">
        <v>137</v>
      </c>
      <c r="E947" s="6" t="s">
        <v>138</v>
      </c>
      <c r="F947" s="6" t="s">
        <v>202</v>
      </c>
      <c r="G947" s="6" t="s">
        <v>590</v>
      </c>
      <c r="H947" s="6" t="s">
        <v>224</v>
      </c>
      <c r="I947" s="6" t="s">
        <v>2508</v>
      </c>
      <c r="J947" s="6" t="s">
        <v>238</v>
      </c>
      <c r="K947" s="6" t="s">
        <v>2410</v>
      </c>
      <c r="L947" s="6" t="s">
        <v>190</v>
      </c>
      <c r="M947" s="6" t="s">
        <v>595</v>
      </c>
      <c r="N947" s="6" t="s">
        <v>278</v>
      </c>
      <c r="O947" s="6" t="s">
        <v>634</v>
      </c>
      <c r="P947" s="6" t="str">
        <f aca="false">IF(J947="S0","—",IF(K947="","",IF(L947="E0","QM",INDEX(10_ASIL_Matrix!$D$4:$F$15,MATCH(J947&amp;"-"&amp;L947,10_ASIL_Matrix!$C$4:$C$15,0),MATCH(N947,10_ASIL_Matrix!$D$3:$F$3,0)))))</f>
        <v>—</v>
      </c>
      <c r="Q947" s="6" t="s">
        <v>448</v>
      </c>
    </row>
    <row r="948" customFormat="false" ht="35.05" hidden="false" customHeight="false" outlineLevel="0" collapsed="false">
      <c r="A948" s="5" t="s">
        <v>2509</v>
      </c>
      <c r="B948" s="5" t="s">
        <v>105</v>
      </c>
      <c r="C948" s="5" t="s">
        <v>106</v>
      </c>
      <c r="D948" s="5" t="s">
        <v>137</v>
      </c>
      <c r="E948" s="5" t="s">
        <v>138</v>
      </c>
      <c r="F948" s="5" t="s">
        <v>202</v>
      </c>
      <c r="G948" s="5" t="s">
        <v>590</v>
      </c>
      <c r="H948" s="5" t="s">
        <v>226</v>
      </c>
      <c r="I948" s="5" t="s">
        <v>2510</v>
      </c>
      <c r="J948" s="5" t="s">
        <v>238</v>
      </c>
      <c r="K948" s="5" t="s">
        <v>2410</v>
      </c>
      <c r="L948" s="5" t="s">
        <v>190</v>
      </c>
      <c r="M948" s="5" t="s">
        <v>598</v>
      </c>
      <c r="N948" s="5" t="s">
        <v>278</v>
      </c>
      <c r="O948" s="5" t="s">
        <v>634</v>
      </c>
      <c r="P948" s="5" t="str">
        <f aca="false">IF(J948="S0","—",IF(K948="","",IF(L948="E0","QM",INDEX(10_ASIL_Matrix!$D$4:$F$15,MATCH(J948&amp;"-"&amp;L948,10_ASIL_Matrix!$C$4:$C$15,0),MATCH(N948,10_ASIL_Matrix!$D$3:$F$3,0)))))</f>
        <v>—</v>
      </c>
      <c r="Q948" s="5" t="s">
        <v>448</v>
      </c>
    </row>
    <row r="949" customFormat="false" ht="35.05" hidden="false" customHeight="false" outlineLevel="0" collapsed="false">
      <c r="A949" s="6" t="s">
        <v>2511</v>
      </c>
      <c r="B949" s="6" t="s">
        <v>105</v>
      </c>
      <c r="C949" s="6" t="s">
        <v>106</v>
      </c>
      <c r="D949" s="6" t="s">
        <v>137</v>
      </c>
      <c r="E949" s="6" t="s">
        <v>138</v>
      </c>
      <c r="F949" s="6" t="s">
        <v>202</v>
      </c>
      <c r="G949" s="6" t="s">
        <v>590</v>
      </c>
      <c r="H949" s="6" t="s">
        <v>228</v>
      </c>
      <c r="I949" s="6" t="s">
        <v>2512</v>
      </c>
      <c r="J949" s="6" t="s">
        <v>238</v>
      </c>
      <c r="K949" s="6" t="s">
        <v>2410</v>
      </c>
      <c r="L949" s="6" t="s">
        <v>205</v>
      </c>
      <c r="M949" s="6" t="s">
        <v>601</v>
      </c>
      <c r="N949" s="6" t="s">
        <v>278</v>
      </c>
      <c r="O949" s="6" t="s">
        <v>634</v>
      </c>
      <c r="P949" s="6" t="str">
        <f aca="false">IF(J949="S0","—",IF(K949="","",IF(L949="E0","QM",INDEX(10_ASIL_Matrix!$D$4:$F$15,MATCH(J949&amp;"-"&amp;L949,10_ASIL_Matrix!$C$4:$C$15,0),MATCH(N949,10_ASIL_Matrix!$D$3:$F$3,0)))))</f>
        <v>—</v>
      </c>
      <c r="Q949" s="6" t="s">
        <v>448</v>
      </c>
    </row>
    <row r="950" customFormat="false" ht="35.05" hidden="false" customHeight="false" outlineLevel="0" collapsed="false">
      <c r="A950" s="5" t="s">
        <v>2513</v>
      </c>
      <c r="B950" s="5" t="s">
        <v>105</v>
      </c>
      <c r="C950" s="5" t="s">
        <v>106</v>
      </c>
      <c r="D950" s="5" t="s">
        <v>137</v>
      </c>
      <c r="E950" s="5" t="s">
        <v>138</v>
      </c>
      <c r="F950" s="5" t="s">
        <v>202</v>
      </c>
      <c r="G950" s="5" t="s">
        <v>590</v>
      </c>
      <c r="H950" s="5" t="s">
        <v>230</v>
      </c>
      <c r="I950" s="5" t="s">
        <v>2514</v>
      </c>
      <c r="J950" s="5" t="s">
        <v>238</v>
      </c>
      <c r="K950" s="5" t="s">
        <v>2410</v>
      </c>
      <c r="L950" s="5" t="s">
        <v>205</v>
      </c>
      <c r="M950" s="5" t="s">
        <v>604</v>
      </c>
      <c r="N950" s="5" t="s">
        <v>278</v>
      </c>
      <c r="O950" s="5" t="s">
        <v>634</v>
      </c>
      <c r="P950" s="5" t="str">
        <f aca="false">IF(J950="S0","—",IF(K950="","",IF(L950="E0","QM",INDEX(10_ASIL_Matrix!$D$4:$F$15,MATCH(J950&amp;"-"&amp;L950,10_ASIL_Matrix!$C$4:$C$15,0),MATCH(N950,10_ASIL_Matrix!$D$3:$F$3,0)))))</f>
        <v>—</v>
      </c>
      <c r="Q950" s="5" t="s">
        <v>448</v>
      </c>
    </row>
    <row r="951" customFormat="false" ht="46.25" hidden="false" customHeight="false" outlineLevel="0" collapsed="false">
      <c r="A951" s="6" t="s">
        <v>2515</v>
      </c>
      <c r="B951" s="6" t="s">
        <v>105</v>
      </c>
      <c r="C951" s="6" t="s">
        <v>106</v>
      </c>
      <c r="D951" s="6" t="s">
        <v>137</v>
      </c>
      <c r="E951" s="6" t="s">
        <v>138</v>
      </c>
      <c r="F951" s="6" t="s">
        <v>202</v>
      </c>
      <c r="G951" s="6" t="s">
        <v>590</v>
      </c>
      <c r="H951" s="6" t="s">
        <v>232</v>
      </c>
      <c r="I951" s="6" t="s">
        <v>2516</v>
      </c>
      <c r="J951" s="6" t="s">
        <v>238</v>
      </c>
      <c r="K951" s="6" t="s">
        <v>2410</v>
      </c>
      <c r="L951" s="6" t="s">
        <v>233</v>
      </c>
      <c r="M951" s="6" t="s">
        <v>607</v>
      </c>
      <c r="N951" s="6" t="s">
        <v>278</v>
      </c>
      <c r="O951" s="6" t="s">
        <v>634</v>
      </c>
      <c r="P951" s="6" t="str">
        <f aca="false">IF(J951="S0","—",IF(K951="","",IF(L951="E0","QM",INDEX(10_ASIL_Matrix!$D$4:$F$15,MATCH(J951&amp;"-"&amp;L951,10_ASIL_Matrix!$C$4:$C$15,0),MATCH(N951,10_ASIL_Matrix!$D$3:$F$3,0)))))</f>
        <v>—</v>
      </c>
      <c r="Q951" s="6" t="s">
        <v>448</v>
      </c>
    </row>
    <row r="952" customFormat="false" ht="35.05" hidden="false" customHeight="false" outlineLevel="0" collapsed="false">
      <c r="A952" s="5" t="s">
        <v>2517</v>
      </c>
      <c r="B952" s="5" t="s">
        <v>105</v>
      </c>
      <c r="C952" s="5" t="s">
        <v>106</v>
      </c>
      <c r="D952" s="5" t="s">
        <v>137</v>
      </c>
      <c r="E952" s="5" t="s">
        <v>138</v>
      </c>
      <c r="F952" s="5" t="s">
        <v>204</v>
      </c>
      <c r="G952" s="5" t="s">
        <v>609</v>
      </c>
      <c r="H952" s="5" t="s">
        <v>222</v>
      </c>
      <c r="I952" s="5" t="s">
        <v>2518</v>
      </c>
      <c r="J952" s="5" t="s">
        <v>250</v>
      </c>
      <c r="K952" s="5" t="s">
        <v>2519</v>
      </c>
      <c r="L952" s="5" t="s">
        <v>205</v>
      </c>
      <c r="M952" s="5" t="s">
        <v>612</v>
      </c>
      <c r="N952" s="5" t="s">
        <v>290</v>
      </c>
      <c r="O952" s="5" t="s">
        <v>2520</v>
      </c>
      <c r="P952" s="18" t="str">
        <f aca="false">IF(J952="S0","—",IF(K952="","",IF(L952="E0","QM",INDEX(10_ASIL_Matrix!$D$4:$F$15,MATCH(J952&amp;"-"&amp;L952,10_ASIL_Matrix!$C$4:$C$15,0),MATCH(N952,10_ASIL_Matrix!$D$3:$F$3,0)))))</f>
        <v>B</v>
      </c>
      <c r="Q952" s="5" t="s">
        <v>448</v>
      </c>
    </row>
    <row r="953" customFormat="false" ht="35.05" hidden="false" customHeight="false" outlineLevel="0" collapsed="false">
      <c r="A953" s="6" t="s">
        <v>2521</v>
      </c>
      <c r="B953" s="6" t="s">
        <v>105</v>
      </c>
      <c r="C953" s="6" t="s">
        <v>106</v>
      </c>
      <c r="D953" s="6" t="s">
        <v>137</v>
      </c>
      <c r="E953" s="6" t="s">
        <v>138</v>
      </c>
      <c r="F953" s="6" t="s">
        <v>204</v>
      </c>
      <c r="G953" s="6" t="s">
        <v>609</v>
      </c>
      <c r="H953" s="6" t="s">
        <v>224</v>
      </c>
      <c r="I953" s="6" t="s">
        <v>2522</v>
      </c>
      <c r="J953" s="6" t="s">
        <v>250</v>
      </c>
      <c r="K953" s="6" t="s">
        <v>2519</v>
      </c>
      <c r="L953" s="6" t="s">
        <v>205</v>
      </c>
      <c r="M953" s="6" t="s">
        <v>616</v>
      </c>
      <c r="N953" s="6" t="s">
        <v>290</v>
      </c>
      <c r="O953" s="6" t="s">
        <v>2520</v>
      </c>
      <c r="P953" s="18" t="str">
        <f aca="false">IF(J953="S0","—",IF(K953="","",IF(L953="E0","QM",INDEX(10_ASIL_Matrix!$D$4:$F$15,MATCH(J953&amp;"-"&amp;L953,10_ASIL_Matrix!$C$4:$C$15,0),MATCH(N953,10_ASIL_Matrix!$D$3:$F$3,0)))))</f>
        <v>B</v>
      </c>
      <c r="Q953" s="6" t="s">
        <v>448</v>
      </c>
    </row>
    <row r="954" customFormat="false" ht="35.05" hidden="false" customHeight="false" outlineLevel="0" collapsed="false">
      <c r="A954" s="5" t="s">
        <v>2523</v>
      </c>
      <c r="B954" s="5" t="s">
        <v>105</v>
      </c>
      <c r="C954" s="5" t="s">
        <v>106</v>
      </c>
      <c r="D954" s="5" t="s">
        <v>137</v>
      </c>
      <c r="E954" s="5" t="s">
        <v>138</v>
      </c>
      <c r="F954" s="5" t="s">
        <v>204</v>
      </c>
      <c r="G954" s="5" t="s">
        <v>609</v>
      </c>
      <c r="H954" s="5" t="s">
        <v>226</v>
      </c>
      <c r="I954" s="5" t="s">
        <v>2524</v>
      </c>
      <c r="J954" s="5" t="s">
        <v>250</v>
      </c>
      <c r="K954" s="5" t="s">
        <v>2519</v>
      </c>
      <c r="L954" s="5" t="s">
        <v>205</v>
      </c>
      <c r="M954" s="5" t="s">
        <v>619</v>
      </c>
      <c r="N954" s="5" t="s">
        <v>290</v>
      </c>
      <c r="O954" s="5" t="s">
        <v>2520</v>
      </c>
      <c r="P954" s="18" t="str">
        <f aca="false">IF(J954="S0","—",IF(K954="","",IF(L954="E0","QM",INDEX(10_ASIL_Matrix!$D$4:$F$15,MATCH(J954&amp;"-"&amp;L954,10_ASIL_Matrix!$C$4:$C$15,0),MATCH(N954,10_ASIL_Matrix!$D$3:$F$3,0)))))</f>
        <v>B</v>
      </c>
      <c r="Q954" s="5" t="s">
        <v>448</v>
      </c>
    </row>
    <row r="955" customFormat="false" ht="35.05" hidden="false" customHeight="false" outlineLevel="0" collapsed="false">
      <c r="A955" s="6" t="s">
        <v>2525</v>
      </c>
      <c r="B955" s="6" t="s">
        <v>105</v>
      </c>
      <c r="C955" s="6" t="s">
        <v>106</v>
      </c>
      <c r="D955" s="6" t="s">
        <v>137</v>
      </c>
      <c r="E955" s="6" t="s">
        <v>138</v>
      </c>
      <c r="F955" s="6" t="s">
        <v>204</v>
      </c>
      <c r="G955" s="6" t="s">
        <v>609</v>
      </c>
      <c r="H955" s="6" t="s">
        <v>228</v>
      </c>
      <c r="I955" s="6" t="s">
        <v>2526</v>
      </c>
      <c r="J955" s="6" t="s">
        <v>250</v>
      </c>
      <c r="K955" s="6" t="s">
        <v>2519</v>
      </c>
      <c r="L955" s="6" t="s">
        <v>205</v>
      </c>
      <c r="M955" s="6" t="s">
        <v>622</v>
      </c>
      <c r="N955" s="6" t="s">
        <v>290</v>
      </c>
      <c r="O955" s="6" t="s">
        <v>2527</v>
      </c>
      <c r="P955" s="18" t="str">
        <f aca="false">IF(J955="S0","—",IF(K955="","",IF(L955="E0","QM",INDEX(10_ASIL_Matrix!$D$4:$F$15,MATCH(J955&amp;"-"&amp;L955,10_ASIL_Matrix!$C$4:$C$15,0),MATCH(N955,10_ASIL_Matrix!$D$3:$F$3,0)))))</f>
        <v>B</v>
      </c>
      <c r="Q955" s="6" t="s">
        <v>448</v>
      </c>
    </row>
    <row r="956" customFormat="false" ht="35.05" hidden="false" customHeight="false" outlineLevel="0" collapsed="false">
      <c r="A956" s="5" t="s">
        <v>2528</v>
      </c>
      <c r="B956" s="5" t="s">
        <v>105</v>
      </c>
      <c r="C956" s="5" t="s">
        <v>106</v>
      </c>
      <c r="D956" s="5" t="s">
        <v>137</v>
      </c>
      <c r="E956" s="5" t="s">
        <v>138</v>
      </c>
      <c r="F956" s="5" t="s">
        <v>204</v>
      </c>
      <c r="G956" s="5" t="s">
        <v>609</v>
      </c>
      <c r="H956" s="5" t="s">
        <v>230</v>
      </c>
      <c r="I956" s="5" t="s">
        <v>2529</v>
      </c>
      <c r="J956" s="5" t="s">
        <v>250</v>
      </c>
      <c r="K956" s="5" t="s">
        <v>2519</v>
      </c>
      <c r="L956" s="5" t="s">
        <v>205</v>
      </c>
      <c r="M956" s="5" t="s">
        <v>625</v>
      </c>
      <c r="N956" s="5" t="s">
        <v>290</v>
      </c>
      <c r="O956" s="5" t="s">
        <v>2530</v>
      </c>
      <c r="P956" s="18" t="str">
        <f aca="false">IF(J956="S0","—",IF(K956="","",IF(L956="E0","QM",INDEX(10_ASIL_Matrix!$D$4:$F$15,MATCH(J956&amp;"-"&amp;L956,10_ASIL_Matrix!$C$4:$C$15,0),MATCH(N956,10_ASIL_Matrix!$D$3:$F$3,0)))))</f>
        <v>B</v>
      </c>
      <c r="Q956" s="5" t="s">
        <v>448</v>
      </c>
    </row>
    <row r="957" customFormat="false" ht="46.25" hidden="false" customHeight="false" outlineLevel="0" collapsed="false">
      <c r="A957" s="6" t="s">
        <v>2531</v>
      </c>
      <c r="B957" s="6" t="s">
        <v>105</v>
      </c>
      <c r="C957" s="6" t="s">
        <v>106</v>
      </c>
      <c r="D957" s="6" t="s">
        <v>137</v>
      </c>
      <c r="E957" s="6" t="s">
        <v>138</v>
      </c>
      <c r="F957" s="6" t="s">
        <v>204</v>
      </c>
      <c r="G957" s="6" t="s">
        <v>609</v>
      </c>
      <c r="H957" s="6" t="s">
        <v>232</v>
      </c>
      <c r="I957" s="6" t="s">
        <v>2532</v>
      </c>
      <c r="J957" s="6" t="s">
        <v>250</v>
      </c>
      <c r="K957" s="6" t="s">
        <v>2519</v>
      </c>
      <c r="L957" s="6" t="s">
        <v>233</v>
      </c>
      <c r="M957" s="6" t="s">
        <v>629</v>
      </c>
      <c r="N957" s="6" t="s">
        <v>290</v>
      </c>
      <c r="O957" s="6" t="s">
        <v>2527</v>
      </c>
      <c r="P957" s="19" t="str">
        <f aca="false">IF(J957="S0","—",IF(K957="","",IF(L957="E0","QM",INDEX(10_ASIL_Matrix!$D$4:$F$15,MATCH(J957&amp;"-"&amp;L957,10_ASIL_Matrix!$C$4:$C$15,0),MATCH(N957,10_ASIL_Matrix!$D$3:$F$3,0)))))</f>
        <v>A</v>
      </c>
      <c r="Q957" s="6" t="s">
        <v>448</v>
      </c>
    </row>
    <row r="958" customFormat="false" ht="35.05" hidden="false" customHeight="false" outlineLevel="0" collapsed="false">
      <c r="A958" s="5" t="s">
        <v>2533</v>
      </c>
      <c r="B958" s="5" t="s">
        <v>105</v>
      </c>
      <c r="C958" s="5" t="s">
        <v>106</v>
      </c>
      <c r="D958" s="5" t="s">
        <v>137</v>
      </c>
      <c r="E958" s="5" t="s">
        <v>138</v>
      </c>
      <c r="F958" s="5" t="s">
        <v>207</v>
      </c>
      <c r="G958" s="5" t="s">
        <v>609</v>
      </c>
      <c r="H958" s="5" t="s">
        <v>222</v>
      </c>
      <c r="I958" s="5" t="s">
        <v>2534</v>
      </c>
      <c r="J958" s="5" t="s">
        <v>238</v>
      </c>
      <c r="K958" s="5" t="s">
        <v>2410</v>
      </c>
      <c r="L958" s="5" t="s">
        <v>190</v>
      </c>
      <c r="M958" s="5" t="s">
        <v>633</v>
      </c>
      <c r="N958" s="5" t="s">
        <v>278</v>
      </c>
      <c r="O958" s="5" t="s">
        <v>634</v>
      </c>
      <c r="P958" s="5" t="str">
        <f aca="false">IF(J958="S0","—",IF(K958="","",IF(L958="E0","QM",INDEX(10_ASIL_Matrix!$D$4:$F$15,MATCH(J958&amp;"-"&amp;L958,10_ASIL_Matrix!$C$4:$C$15,0),MATCH(N958,10_ASIL_Matrix!$D$3:$F$3,0)))))</f>
        <v>—</v>
      </c>
      <c r="Q958" s="5" t="s">
        <v>448</v>
      </c>
    </row>
    <row r="959" customFormat="false" ht="35.05" hidden="false" customHeight="false" outlineLevel="0" collapsed="false">
      <c r="A959" s="6" t="s">
        <v>2535</v>
      </c>
      <c r="B959" s="6" t="s">
        <v>105</v>
      </c>
      <c r="C959" s="6" t="s">
        <v>106</v>
      </c>
      <c r="D959" s="6" t="s">
        <v>137</v>
      </c>
      <c r="E959" s="6" t="s">
        <v>138</v>
      </c>
      <c r="F959" s="6" t="s">
        <v>207</v>
      </c>
      <c r="G959" s="6" t="s">
        <v>609</v>
      </c>
      <c r="H959" s="6" t="s">
        <v>224</v>
      </c>
      <c r="I959" s="6" t="s">
        <v>2536</v>
      </c>
      <c r="J959" s="6" t="s">
        <v>238</v>
      </c>
      <c r="K959" s="6" t="s">
        <v>2410</v>
      </c>
      <c r="L959" s="6" t="s">
        <v>190</v>
      </c>
      <c r="M959" s="6" t="s">
        <v>637</v>
      </c>
      <c r="N959" s="6" t="s">
        <v>278</v>
      </c>
      <c r="O959" s="6" t="s">
        <v>634</v>
      </c>
      <c r="P959" s="6" t="str">
        <f aca="false">IF(J959="S0","—",IF(K959="","",IF(L959="E0","QM",INDEX(10_ASIL_Matrix!$D$4:$F$15,MATCH(J959&amp;"-"&amp;L959,10_ASIL_Matrix!$C$4:$C$15,0),MATCH(N959,10_ASIL_Matrix!$D$3:$F$3,0)))))</f>
        <v>—</v>
      </c>
      <c r="Q959" s="6" t="s">
        <v>448</v>
      </c>
    </row>
    <row r="960" customFormat="false" ht="35.05" hidden="false" customHeight="false" outlineLevel="0" collapsed="false">
      <c r="A960" s="5" t="s">
        <v>2537</v>
      </c>
      <c r="B960" s="5" t="s">
        <v>105</v>
      </c>
      <c r="C960" s="5" t="s">
        <v>106</v>
      </c>
      <c r="D960" s="5" t="s">
        <v>137</v>
      </c>
      <c r="E960" s="5" t="s">
        <v>138</v>
      </c>
      <c r="F960" s="5" t="s">
        <v>207</v>
      </c>
      <c r="G960" s="5" t="s">
        <v>609</v>
      </c>
      <c r="H960" s="5" t="s">
        <v>226</v>
      </c>
      <c r="I960" s="5" t="s">
        <v>2538</v>
      </c>
      <c r="J960" s="5" t="s">
        <v>238</v>
      </c>
      <c r="K960" s="5" t="s">
        <v>2410</v>
      </c>
      <c r="L960" s="5" t="s">
        <v>190</v>
      </c>
      <c r="M960" s="5" t="s">
        <v>640</v>
      </c>
      <c r="N960" s="5" t="s">
        <v>278</v>
      </c>
      <c r="O960" s="5" t="s">
        <v>634</v>
      </c>
      <c r="P960" s="5" t="str">
        <f aca="false">IF(J960="S0","—",IF(K960="","",IF(L960="E0","QM",INDEX(10_ASIL_Matrix!$D$4:$F$15,MATCH(J960&amp;"-"&amp;L960,10_ASIL_Matrix!$C$4:$C$15,0),MATCH(N960,10_ASIL_Matrix!$D$3:$F$3,0)))))</f>
        <v>—</v>
      </c>
      <c r="Q960" s="5" t="s">
        <v>448</v>
      </c>
    </row>
    <row r="961" customFormat="false" ht="35.05" hidden="false" customHeight="false" outlineLevel="0" collapsed="false">
      <c r="A961" s="6" t="s">
        <v>2539</v>
      </c>
      <c r="B961" s="6" t="s">
        <v>105</v>
      </c>
      <c r="C961" s="6" t="s">
        <v>106</v>
      </c>
      <c r="D961" s="6" t="s">
        <v>137</v>
      </c>
      <c r="E961" s="6" t="s">
        <v>138</v>
      </c>
      <c r="F961" s="6" t="s">
        <v>207</v>
      </c>
      <c r="G961" s="6" t="s">
        <v>609</v>
      </c>
      <c r="H961" s="6" t="s">
        <v>228</v>
      </c>
      <c r="I961" s="6" t="s">
        <v>2540</v>
      </c>
      <c r="J961" s="6" t="s">
        <v>238</v>
      </c>
      <c r="K961" s="6" t="s">
        <v>2410</v>
      </c>
      <c r="L961" s="6" t="s">
        <v>205</v>
      </c>
      <c r="M961" s="6" t="s">
        <v>643</v>
      </c>
      <c r="N961" s="6" t="s">
        <v>278</v>
      </c>
      <c r="O961" s="6" t="s">
        <v>634</v>
      </c>
      <c r="P961" s="6" t="str">
        <f aca="false">IF(J961="S0","—",IF(K961="","",IF(L961="E0","QM",INDEX(10_ASIL_Matrix!$D$4:$F$15,MATCH(J961&amp;"-"&amp;L961,10_ASIL_Matrix!$C$4:$C$15,0),MATCH(N961,10_ASIL_Matrix!$D$3:$F$3,0)))))</f>
        <v>—</v>
      </c>
      <c r="Q961" s="6" t="s">
        <v>448</v>
      </c>
    </row>
    <row r="962" customFormat="false" ht="35.05" hidden="false" customHeight="false" outlineLevel="0" collapsed="false">
      <c r="A962" s="5" t="s">
        <v>2541</v>
      </c>
      <c r="B962" s="5" t="s">
        <v>105</v>
      </c>
      <c r="C962" s="5" t="s">
        <v>106</v>
      </c>
      <c r="D962" s="5" t="s">
        <v>137</v>
      </c>
      <c r="E962" s="5" t="s">
        <v>138</v>
      </c>
      <c r="F962" s="5" t="s">
        <v>207</v>
      </c>
      <c r="G962" s="5" t="s">
        <v>609</v>
      </c>
      <c r="H962" s="5" t="s">
        <v>230</v>
      </c>
      <c r="I962" s="5" t="s">
        <v>2542</v>
      </c>
      <c r="J962" s="5" t="s">
        <v>238</v>
      </c>
      <c r="K962" s="5" t="s">
        <v>2410</v>
      </c>
      <c r="L962" s="5" t="s">
        <v>205</v>
      </c>
      <c r="M962" s="5" t="s">
        <v>646</v>
      </c>
      <c r="N962" s="5" t="s">
        <v>278</v>
      </c>
      <c r="O962" s="5" t="s">
        <v>634</v>
      </c>
      <c r="P962" s="5" t="str">
        <f aca="false">IF(J962="S0","—",IF(K962="","",IF(L962="E0","QM",INDEX(10_ASIL_Matrix!$D$4:$F$15,MATCH(J962&amp;"-"&amp;L962,10_ASIL_Matrix!$C$4:$C$15,0),MATCH(N962,10_ASIL_Matrix!$D$3:$F$3,0)))))</f>
        <v>—</v>
      </c>
      <c r="Q962" s="5" t="s">
        <v>448</v>
      </c>
    </row>
    <row r="963" customFormat="false" ht="46.25" hidden="false" customHeight="false" outlineLevel="0" collapsed="false">
      <c r="A963" s="6" t="s">
        <v>2543</v>
      </c>
      <c r="B963" s="6" t="s">
        <v>105</v>
      </c>
      <c r="C963" s="6" t="s">
        <v>106</v>
      </c>
      <c r="D963" s="6" t="s">
        <v>137</v>
      </c>
      <c r="E963" s="6" t="s">
        <v>138</v>
      </c>
      <c r="F963" s="6" t="s">
        <v>207</v>
      </c>
      <c r="G963" s="6" t="s">
        <v>609</v>
      </c>
      <c r="H963" s="6" t="s">
        <v>232</v>
      </c>
      <c r="I963" s="6" t="s">
        <v>2544</v>
      </c>
      <c r="J963" s="6" t="s">
        <v>238</v>
      </c>
      <c r="K963" s="6" t="s">
        <v>2410</v>
      </c>
      <c r="L963" s="6" t="s">
        <v>233</v>
      </c>
      <c r="M963" s="6" t="s">
        <v>649</v>
      </c>
      <c r="N963" s="6" t="s">
        <v>278</v>
      </c>
      <c r="O963" s="6" t="s">
        <v>634</v>
      </c>
      <c r="P963" s="6" t="str">
        <f aca="false">IF(J963="S0","—",IF(K963="","",IF(L963="E0","QM",INDEX(10_ASIL_Matrix!$D$4:$F$15,MATCH(J963&amp;"-"&amp;L963,10_ASIL_Matrix!$C$4:$C$15,0),MATCH(N963,10_ASIL_Matrix!$D$3:$F$3,0)))))</f>
        <v>—</v>
      </c>
      <c r="Q963" s="6" t="s">
        <v>448</v>
      </c>
    </row>
    <row r="964" customFormat="false" ht="35.05" hidden="false" customHeight="false" outlineLevel="0" collapsed="false">
      <c r="A964" s="5" t="s">
        <v>2545</v>
      </c>
      <c r="B964" s="5" t="s">
        <v>105</v>
      </c>
      <c r="C964" s="5" t="s">
        <v>106</v>
      </c>
      <c r="D964" s="5" t="s">
        <v>137</v>
      </c>
      <c r="E964" s="5" t="s">
        <v>138</v>
      </c>
      <c r="F964" s="5" t="s">
        <v>209</v>
      </c>
      <c r="G964" s="5" t="s">
        <v>570</v>
      </c>
      <c r="H964" s="5" t="s">
        <v>222</v>
      </c>
      <c r="I964" s="5" t="s">
        <v>2546</v>
      </c>
      <c r="J964" s="5" t="s">
        <v>238</v>
      </c>
      <c r="K964" s="5" t="s">
        <v>2410</v>
      </c>
      <c r="L964" s="5" t="s">
        <v>190</v>
      </c>
      <c r="M964" s="5" t="s">
        <v>653</v>
      </c>
      <c r="N964" s="5" t="s">
        <v>278</v>
      </c>
      <c r="O964" s="5" t="s">
        <v>634</v>
      </c>
      <c r="P964" s="5" t="str">
        <f aca="false">IF(J964="S0","—",IF(K964="","",IF(L964="E0","QM",INDEX(10_ASIL_Matrix!$D$4:$F$15,MATCH(J964&amp;"-"&amp;L964,10_ASIL_Matrix!$C$4:$C$15,0),MATCH(N964,10_ASIL_Matrix!$D$3:$F$3,0)))))</f>
        <v>—</v>
      </c>
      <c r="Q964" s="5" t="s">
        <v>448</v>
      </c>
    </row>
    <row r="965" customFormat="false" ht="35.05" hidden="false" customHeight="false" outlineLevel="0" collapsed="false">
      <c r="A965" s="6" t="s">
        <v>2547</v>
      </c>
      <c r="B965" s="6" t="s">
        <v>105</v>
      </c>
      <c r="C965" s="6" t="s">
        <v>106</v>
      </c>
      <c r="D965" s="6" t="s">
        <v>137</v>
      </c>
      <c r="E965" s="6" t="s">
        <v>138</v>
      </c>
      <c r="F965" s="6" t="s">
        <v>209</v>
      </c>
      <c r="G965" s="6" t="s">
        <v>570</v>
      </c>
      <c r="H965" s="6" t="s">
        <v>224</v>
      </c>
      <c r="I965" s="6" t="s">
        <v>2548</v>
      </c>
      <c r="J965" s="6" t="s">
        <v>238</v>
      </c>
      <c r="K965" s="6" t="s">
        <v>2410</v>
      </c>
      <c r="L965" s="6" t="s">
        <v>190</v>
      </c>
      <c r="M965" s="6" t="s">
        <v>656</v>
      </c>
      <c r="N965" s="6" t="s">
        <v>278</v>
      </c>
      <c r="O965" s="6" t="s">
        <v>634</v>
      </c>
      <c r="P965" s="6" t="str">
        <f aca="false">IF(J965="S0","—",IF(K965="","",IF(L965="E0","QM",INDEX(10_ASIL_Matrix!$D$4:$F$15,MATCH(J965&amp;"-"&amp;L965,10_ASIL_Matrix!$C$4:$C$15,0),MATCH(N965,10_ASIL_Matrix!$D$3:$F$3,0)))))</f>
        <v>—</v>
      </c>
      <c r="Q965" s="6" t="s">
        <v>448</v>
      </c>
    </row>
    <row r="966" customFormat="false" ht="35.05" hidden="false" customHeight="false" outlineLevel="0" collapsed="false">
      <c r="A966" s="5" t="s">
        <v>2549</v>
      </c>
      <c r="B966" s="5" t="s">
        <v>105</v>
      </c>
      <c r="C966" s="5" t="s">
        <v>106</v>
      </c>
      <c r="D966" s="5" t="s">
        <v>137</v>
      </c>
      <c r="E966" s="5" t="s">
        <v>138</v>
      </c>
      <c r="F966" s="5" t="s">
        <v>209</v>
      </c>
      <c r="G966" s="5" t="s">
        <v>570</v>
      </c>
      <c r="H966" s="5" t="s">
        <v>226</v>
      </c>
      <c r="I966" s="5" t="s">
        <v>2550</v>
      </c>
      <c r="J966" s="5" t="s">
        <v>238</v>
      </c>
      <c r="K966" s="5" t="s">
        <v>2410</v>
      </c>
      <c r="L966" s="5" t="s">
        <v>190</v>
      </c>
      <c r="M966" s="5" t="s">
        <v>659</v>
      </c>
      <c r="N966" s="5" t="s">
        <v>278</v>
      </c>
      <c r="O966" s="5" t="s">
        <v>634</v>
      </c>
      <c r="P966" s="5" t="str">
        <f aca="false">IF(J966="S0","—",IF(K966="","",IF(L966="E0","QM",INDEX(10_ASIL_Matrix!$D$4:$F$15,MATCH(J966&amp;"-"&amp;L966,10_ASIL_Matrix!$C$4:$C$15,0),MATCH(N966,10_ASIL_Matrix!$D$3:$F$3,0)))))</f>
        <v>—</v>
      </c>
      <c r="Q966" s="5" t="s">
        <v>448</v>
      </c>
    </row>
    <row r="967" customFormat="false" ht="35.05" hidden="false" customHeight="false" outlineLevel="0" collapsed="false">
      <c r="A967" s="6" t="s">
        <v>2551</v>
      </c>
      <c r="B967" s="6" t="s">
        <v>105</v>
      </c>
      <c r="C967" s="6" t="s">
        <v>106</v>
      </c>
      <c r="D967" s="6" t="s">
        <v>137</v>
      </c>
      <c r="E967" s="6" t="s">
        <v>138</v>
      </c>
      <c r="F967" s="6" t="s">
        <v>209</v>
      </c>
      <c r="G967" s="6" t="s">
        <v>570</v>
      </c>
      <c r="H967" s="6" t="s">
        <v>228</v>
      </c>
      <c r="I967" s="6" t="s">
        <v>2552</v>
      </c>
      <c r="J967" s="6" t="s">
        <v>238</v>
      </c>
      <c r="K967" s="6" t="s">
        <v>2410</v>
      </c>
      <c r="L967" s="6" t="s">
        <v>205</v>
      </c>
      <c r="M967" s="6" t="s">
        <v>662</v>
      </c>
      <c r="N967" s="6" t="s">
        <v>278</v>
      </c>
      <c r="O967" s="6" t="s">
        <v>634</v>
      </c>
      <c r="P967" s="6" t="str">
        <f aca="false">IF(J967="S0","—",IF(K967="","",IF(L967="E0","QM",INDEX(10_ASIL_Matrix!$D$4:$F$15,MATCH(J967&amp;"-"&amp;L967,10_ASIL_Matrix!$C$4:$C$15,0),MATCH(N967,10_ASIL_Matrix!$D$3:$F$3,0)))))</f>
        <v>—</v>
      </c>
      <c r="Q967" s="6" t="s">
        <v>448</v>
      </c>
    </row>
    <row r="968" customFormat="false" ht="35.05" hidden="false" customHeight="false" outlineLevel="0" collapsed="false">
      <c r="A968" s="5" t="s">
        <v>2553</v>
      </c>
      <c r="B968" s="5" t="s">
        <v>105</v>
      </c>
      <c r="C968" s="5" t="s">
        <v>106</v>
      </c>
      <c r="D968" s="5" t="s">
        <v>137</v>
      </c>
      <c r="E968" s="5" t="s">
        <v>138</v>
      </c>
      <c r="F968" s="5" t="s">
        <v>209</v>
      </c>
      <c r="G968" s="5" t="s">
        <v>570</v>
      </c>
      <c r="H968" s="5" t="s">
        <v>230</v>
      </c>
      <c r="I968" s="5" t="s">
        <v>2554</v>
      </c>
      <c r="J968" s="5" t="s">
        <v>238</v>
      </c>
      <c r="K968" s="5" t="s">
        <v>2410</v>
      </c>
      <c r="L968" s="5" t="s">
        <v>205</v>
      </c>
      <c r="M968" s="5" t="s">
        <v>665</v>
      </c>
      <c r="N968" s="5" t="s">
        <v>278</v>
      </c>
      <c r="O968" s="5" t="s">
        <v>634</v>
      </c>
      <c r="P968" s="5" t="str">
        <f aca="false">IF(J968="S0","—",IF(K968="","",IF(L968="E0","QM",INDEX(10_ASIL_Matrix!$D$4:$F$15,MATCH(J968&amp;"-"&amp;L968,10_ASIL_Matrix!$C$4:$C$15,0),MATCH(N968,10_ASIL_Matrix!$D$3:$F$3,0)))))</f>
        <v>—</v>
      </c>
      <c r="Q968" s="5" t="s">
        <v>448</v>
      </c>
    </row>
    <row r="969" customFormat="false" ht="46.25" hidden="false" customHeight="false" outlineLevel="0" collapsed="false">
      <c r="A969" s="6" t="s">
        <v>2555</v>
      </c>
      <c r="B969" s="6" t="s">
        <v>105</v>
      </c>
      <c r="C969" s="6" t="s">
        <v>106</v>
      </c>
      <c r="D969" s="6" t="s">
        <v>137</v>
      </c>
      <c r="E969" s="6" t="s">
        <v>138</v>
      </c>
      <c r="F969" s="6" t="s">
        <v>209</v>
      </c>
      <c r="G969" s="6" t="s">
        <v>570</v>
      </c>
      <c r="H969" s="6" t="s">
        <v>232</v>
      </c>
      <c r="I969" s="6" t="s">
        <v>2556</v>
      </c>
      <c r="J969" s="6" t="s">
        <v>238</v>
      </c>
      <c r="K969" s="6" t="s">
        <v>2410</v>
      </c>
      <c r="L969" s="6" t="s">
        <v>233</v>
      </c>
      <c r="M969" s="6" t="s">
        <v>668</v>
      </c>
      <c r="N969" s="6" t="s">
        <v>278</v>
      </c>
      <c r="O969" s="6" t="s">
        <v>634</v>
      </c>
      <c r="P969" s="6" t="str">
        <f aca="false">IF(J969="S0","—",IF(K969="","",IF(L969="E0","QM",INDEX(10_ASIL_Matrix!$D$4:$F$15,MATCH(J969&amp;"-"&amp;L969,10_ASIL_Matrix!$C$4:$C$15,0),MATCH(N969,10_ASIL_Matrix!$D$3:$F$3,0)))))</f>
        <v>—</v>
      </c>
      <c r="Q969" s="6" t="s">
        <v>448</v>
      </c>
    </row>
    <row r="970" customFormat="false" ht="35.05" hidden="false" customHeight="false" outlineLevel="0" collapsed="false">
      <c r="A970" s="5" t="s">
        <v>2557</v>
      </c>
      <c r="B970" s="5" t="s">
        <v>105</v>
      </c>
      <c r="C970" s="5" t="s">
        <v>106</v>
      </c>
      <c r="D970" s="5" t="s">
        <v>137</v>
      </c>
      <c r="E970" s="5" t="s">
        <v>138</v>
      </c>
      <c r="F970" s="5" t="s">
        <v>211</v>
      </c>
      <c r="G970" s="5" t="s">
        <v>609</v>
      </c>
      <c r="H970" s="5" t="s">
        <v>222</v>
      </c>
      <c r="I970" s="5" t="s">
        <v>2558</v>
      </c>
      <c r="J970" s="5" t="s">
        <v>238</v>
      </c>
      <c r="K970" s="5" t="s">
        <v>671</v>
      </c>
      <c r="L970" s="5" t="s">
        <v>187</v>
      </c>
      <c r="M970" s="5" t="s">
        <v>672</v>
      </c>
      <c r="N970" s="5" t="s">
        <v>278</v>
      </c>
      <c r="O970" s="5" t="s">
        <v>634</v>
      </c>
      <c r="P970" s="5" t="str">
        <f aca="false">IF(J970="S0","—",IF(K970="","",IF(L970="E0","QM",INDEX(10_ASIL_Matrix!$D$4:$F$15,MATCH(J970&amp;"-"&amp;L970,10_ASIL_Matrix!$C$4:$C$15,0),MATCH(N970,10_ASIL_Matrix!$D$3:$F$3,0)))))</f>
        <v>—</v>
      </c>
      <c r="Q970" s="5" t="s">
        <v>448</v>
      </c>
    </row>
    <row r="971" customFormat="false" ht="35.05" hidden="false" customHeight="false" outlineLevel="0" collapsed="false">
      <c r="A971" s="6" t="s">
        <v>2559</v>
      </c>
      <c r="B971" s="6" t="s">
        <v>105</v>
      </c>
      <c r="C971" s="6" t="s">
        <v>106</v>
      </c>
      <c r="D971" s="6" t="s">
        <v>137</v>
      </c>
      <c r="E971" s="6" t="s">
        <v>138</v>
      </c>
      <c r="F971" s="6" t="s">
        <v>211</v>
      </c>
      <c r="G971" s="6" t="s">
        <v>609</v>
      </c>
      <c r="H971" s="6" t="s">
        <v>224</v>
      </c>
      <c r="I971" s="6" t="s">
        <v>2560</v>
      </c>
      <c r="J971" s="6" t="s">
        <v>238</v>
      </c>
      <c r="K971" s="6" t="s">
        <v>671</v>
      </c>
      <c r="L971" s="6" t="s">
        <v>190</v>
      </c>
      <c r="M971" s="6" t="s">
        <v>675</v>
      </c>
      <c r="N971" s="6" t="s">
        <v>278</v>
      </c>
      <c r="O971" s="6" t="s">
        <v>634</v>
      </c>
      <c r="P971" s="6" t="str">
        <f aca="false">IF(J971="S0","—",IF(K971="","",IF(L971="E0","QM",INDEX(10_ASIL_Matrix!$D$4:$F$15,MATCH(J971&amp;"-"&amp;L971,10_ASIL_Matrix!$C$4:$C$15,0),MATCH(N971,10_ASIL_Matrix!$D$3:$F$3,0)))))</f>
        <v>—</v>
      </c>
      <c r="Q971" s="6" t="s">
        <v>448</v>
      </c>
    </row>
    <row r="972" customFormat="false" ht="35.05" hidden="false" customHeight="false" outlineLevel="0" collapsed="false">
      <c r="A972" s="5" t="s">
        <v>2561</v>
      </c>
      <c r="B972" s="5" t="s">
        <v>105</v>
      </c>
      <c r="C972" s="5" t="s">
        <v>106</v>
      </c>
      <c r="D972" s="5" t="s">
        <v>137</v>
      </c>
      <c r="E972" s="5" t="s">
        <v>138</v>
      </c>
      <c r="F972" s="5" t="s">
        <v>211</v>
      </c>
      <c r="G972" s="5" t="s">
        <v>609</v>
      </c>
      <c r="H972" s="5" t="s">
        <v>226</v>
      </c>
      <c r="I972" s="5" t="s">
        <v>2562</v>
      </c>
      <c r="J972" s="5" t="s">
        <v>238</v>
      </c>
      <c r="K972" s="5" t="s">
        <v>671</v>
      </c>
      <c r="L972" s="5" t="s">
        <v>190</v>
      </c>
      <c r="M972" s="5" t="s">
        <v>678</v>
      </c>
      <c r="N972" s="5" t="s">
        <v>278</v>
      </c>
      <c r="O972" s="5" t="s">
        <v>634</v>
      </c>
      <c r="P972" s="5" t="str">
        <f aca="false">IF(J972="S0","—",IF(K972="","",IF(L972="E0","QM",INDEX(10_ASIL_Matrix!$D$4:$F$15,MATCH(J972&amp;"-"&amp;L972,10_ASIL_Matrix!$C$4:$C$15,0),MATCH(N972,10_ASIL_Matrix!$D$3:$F$3,0)))))</f>
        <v>—</v>
      </c>
      <c r="Q972" s="5" t="s">
        <v>448</v>
      </c>
    </row>
    <row r="973" customFormat="false" ht="35.05" hidden="false" customHeight="false" outlineLevel="0" collapsed="false">
      <c r="A973" s="6" t="s">
        <v>2563</v>
      </c>
      <c r="B973" s="6" t="s">
        <v>105</v>
      </c>
      <c r="C973" s="6" t="s">
        <v>106</v>
      </c>
      <c r="D973" s="6" t="s">
        <v>137</v>
      </c>
      <c r="E973" s="6" t="s">
        <v>138</v>
      </c>
      <c r="F973" s="6" t="s">
        <v>211</v>
      </c>
      <c r="G973" s="6" t="s">
        <v>609</v>
      </c>
      <c r="H973" s="6" t="s">
        <v>228</v>
      </c>
      <c r="I973" s="6" t="s">
        <v>2564</v>
      </c>
      <c r="J973" s="6" t="s">
        <v>238</v>
      </c>
      <c r="K973" s="6" t="s">
        <v>671</v>
      </c>
      <c r="L973" s="6" t="s">
        <v>205</v>
      </c>
      <c r="M973" s="6" t="s">
        <v>681</v>
      </c>
      <c r="N973" s="6" t="s">
        <v>278</v>
      </c>
      <c r="O973" s="6" t="s">
        <v>634</v>
      </c>
      <c r="P973" s="6" t="str">
        <f aca="false">IF(J973="S0","—",IF(K973="","",IF(L973="E0","QM",INDEX(10_ASIL_Matrix!$D$4:$F$15,MATCH(J973&amp;"-"&amp;L973,10_ASIL_Matrix!$C$4:$C$15,0),MATCH(N973,10_ASIL_Matrix!$D$3:$F$3,0)))))</f>
        <v>—</v>
      </c>
      <c r="Q973" s="6" t="s">
        <v>448</v>
      </c>
    </row>
    <row r="974" customFormat="false" ht="35.05" hidden="false" customHeight="false" outlineLevel="0" collapsed="false">
      <c r="A974" s="5" t="s">
        <v>2565</v>
      </c>
      <c r="B974" s="5" t="s">
        <v>105</v>
      </c>
      <c r="C974" s="5" t="s">
        <v>106</v>
      </c>
      <c r="D974" s="5" t="s">
        <v>137</v>
      </c>
      <c r="E974" s="5" t="s">
        <v>138</v>
      </c>
      <c r="F974" s="5" t="s">
        <v>211</v>
      </c>
      <c r="G974" s="5" t="s">
        <v>609</v>
      </c>
      <c r="H974" s="5" t="s">
        <v>230</v>
      </c>
      <c r="I974" s="5" t="s">
        <v>2566</v>
      </c>
      <c r="J974" s="5" t="s">
        <v>238</v>
      </c>
      <c r="K974" s="5" t="s">
        <v>671</v>
      </c>
      <c r="L974" s="5" t="s">
        <v>205</v>
      </c>
      <c r="M974" s="5" t="s">
        <v>684</v>
      </c>
      <c r="N974" s="5" t="s">
        <v>278</v>
      </c>
      <c r="O974" s="5" t="s">
        <v>634</v>
      </c>
      <c r="P974" s="5" t="str">
        <f aca="false">IF(J974="S0","—",IF(K974="","",IF(L974="E0","QM",INDEX(10_ASIL_Matrix!$D$4:$F$15,MATCH(J974&amp;"-"&amp;L974,10_ASIL_Matrix!$C$4:$C$15,0),MATCH(N974,10_ASIL_Matrix!$D$3:$F$3,0)))))</f>
        <v>—</v>
      </c>
      <c r="Q974" s="5" t="s">
        <v>448</v>
      </c>
    </row>
    <row r="975" customFormat="false" ht="46.25" hidden="false" customHeight="false" outlineLevel="0" collapsed="false">
      <c r="A975" s="6" t="s">
        <v>2567</v>
      </c>
      <c r="B975" s="6" t="s">
        <v>105</v>
      </c>
      <c r="C975" s="6" t="s">
        <v>106</v>
      </c>
      <c r="D975" s="6" t="s">
        <v>137</v>
      </c>
      <c r="E975" s="6" t="s">
        <v>138</v>
      </c>
      <c r="F975" s="6" t="s">
        <v>211</v>
      </c>
      <c r="G975" s="6" t="s">
        <v>609</v>
      </c>
      <c r="H975" s="6" t="s">
        <v>232</v>
      </c>
      <c r="I975" s="6" t="s">
        <v>2568</v>
      </c>
      <c r="J975" s="6" t="s">
        <v>238</v>
      </c>
      <c r="K975" s="6" t="s">
        <v>671</v>
      </c>
      <c r="L975" s="6" t="s">
        <v>233</v>
      </c>
      <c r="M975" s="6" t="s">
        <v>687</v>
      </c>
      <c r="N975" s="6" t="s">
        <v>278</v>
      </c>
      <c r="O975" s="6" t="s">
        <v>634</v>
      </c>
      <c r="P975" s="6" t="str">
        <f aca="false">IF(J975="S0","—",IF(K975="","",IF(L975="E0","QM",INDEX(10_ASIL_Matrix!$D$4:$F$15,MATCH(J975&amp;"-"&amp;L975,10_ASIL_Matrix!$C$4:$C$15,0),MATCH(N975,10_ASIL_Matrix!$D$3:$F$3,0)))))</f>
        <v>—</v>
      </c>
      <c r="Q975" s="6" t="s">
        <v>448</v>
      </c>
    </row>
    <row r="976" customFormat="false" ht="46.25" hidden="false" customHeight="false" outlineLevel="0" collapsed="false">
      <c r="A976" s="5" t="s">
        <v>2569</v>
      </c>
      <c r="B976" s="5" t="s">
        <v>105</v>
      </c>
      <c r="C976" s="5" t="s">
        <v>106</v>
      </c>
      <c r="D976" s="5" t="s">
        <v>137</v>
      </c>
      <c r="E976" s="5" t="s">
        <v>138</v>
      </c>
      <c r="F976" s="5" t="s">
        <v>213</v>
      </c>
      <c r="G976" s="5" t="s">
        <v>689</v>
      </c>
      <c r="H976" s="5" t="s">
        <v>222</v>
      </c>
      <c r="I976" s="5" t="s">
        <v>2570</v>
      </c>
      <c r="J976" s="5" t="s">
        <v>246</v>
      </c>
      <c r="K976" s="5" t="s">
        <v>2571</v>
      </c>
      <c r="L976" s="5" t="s">
        <v>205</v>
      </c>
      <c r="M976" s="5" t="s">
        <v>692</v>
      </c>
      <c r="N976" s="5" t="s">
        <v>286</v>
      </c>
      <c r="O976" s="5" t="s">
        <v>2476</v>
      </c>
      <c r="P976" s="5" t="str">
        <f aca="false">IF(J976="S0","—",IF(K976="","",IF(L976="E0","QM",INDEX(10_ASIL_Matrix!$D$4:$F$15,MATCH(J976&amp;"-"&amp;L976,10_ASIL_Matrix!$C$4:$C$15,0),MATCH(N976,10_ASIL_Matrix!$D$3:$F$3,0)))))</f>
        <v>QM</v>
      </c>
      <c r="Q976" s="5" t="s">
        <v>448</v>
      </c>
    </row>
    <row r="977" customFormat="false" ht="46.25" hidden="false" customHeight="false" outlineLevel="0" collapsed="false">
      <c r="A977" s="6" t="s">
        <v>2572</v>
      </c>
      <c r="B977" s="6" t="s">
        <v>105</v>
      </c>
      <c r="C977" s="6" t="s">
        <v>106</v>
      </c>
      <c r="D977" s="6" t="s">
        <v>137</v>
      </c>
      <c r="E977" s="6" t="s">
        <v>138</v>
      </c>
      <c r="F977" s="6" t="s">
        <v>213</v>
      </c>
      <c r="G977" s="6" t="s">
        <v>689</v>
      </c>
      <c r="H977" s="6" t="s">
        <v>224</v>
      </c>
      <c r="I977" s="6" t="s">
        <v>2573</v>
      </c>
      <c r="J977" s="6" t="s">
        <v>246</v>
      </c>
      <c r="K977" s="6" t="s">
        <v>2571</v>
      </c>
      <c r="L977" s="6" t="s">
        <v>205</v>
      </c>
      <c r="M977" s="6" t="s">
        <v>696</v>
      </c>
      <c r="N977" s="6" t="s">
        <v>286</v>
      </c>
      <c r="O977" s="6" t="s">
        <v>2476</v>
      </c>
      <c r="P977" s="6" t="str">
        <f aca="false">IF(J977="S0","—",IF(K977="","",IF(L977="E0","QM",INDEX(10_ASIL_Matrix!$D$4:$F$15,MATCH(J977&amp;"-"&amp;L977,10_ASIL_Matrix!$C$4:$C$15,0),MATCH(N977,10_ASIL_Matrix!$D$3:$F$3,0)))))</f>
        <v>QM</v>
      </c>
      <c r="Q977" s="6" t="s">
        <v>448</v>
      </c>
    </row>
    <row r="978" customFormat="false" ht="46.25" hidden="false" customHeight="false" outlineLevel="0" collapsed="false">
      <c r="A978" s="5" t="s">
        <v>2574</v>
      </c>
      <c r="B978" s="5" t="s">
        <v>105</v>
      </c>
      <c r="C978" s="5" t="s">
        <v>106</v>
      </c>
      <c r="D978" s="5" t="s">
        <v>137</v>
      </c>
      <c r="E978" s="5" t="s">
        <v>138</v>
      </c>
      <c r="F978" s="5" t="s">
        <v>213</v>
      </c>
      <c r="G978" s="5" t="s">
        <v>689</v>
      </c>
      <c r="H978" s="5" t="s">
        <v>226</v>
      </c>
      <c r="I978" s="5" t="s">
        <v>2575</v>
      </c>
      <c r="J978" s="5" t="s">
        <v>246</v>
      </c>
      <c r="K978" s="5" t="s">
        <v>2571</v>
      </c>
      <c r="L978" s="5" t="s">
        <v>205</v>
      </c>
      <c r="M978" s="5" t="s">
        <v>699</v>
      </c>
      <c r="N978" s="5" t="s">
        <v>286</v>
      </c>
      <c r="O978" s="5" t="s">
        <v>2476</v>
      </c>
      <c r="P978" s="5" t="str">
        <f aca="false">IF(J978="S0","—",IF(K978="","",IF(L978="E0","QM",INDEX(10_ASIL_Matrix!$D$4:$F$15,MATCH(J978&amp;"-"&amp;L978,10_ASIL_Matrix!$C$4:$C$15,0),MATCH(N978,10_ASIL_Matrix!$D$3:$F$3,0)))))</f>
        <v>QM</v>
      </c>
      <c r="Q978" s="5" t="s">
        <v>448</v>
      </c>
    </row>
    <row r="979" customFormat="false" ht="46.25" hidden="false" customHeight="false" outlineLevel="0" collapsed="false">
      <c r="A979" s="6" t="s">
        <v>2576</v>
      </c>
      <c r="B979" s="6" t="s">
        <v>105</v>
      </c>
      <c r="C979" s="6" t="s">
        <v>106</v>
      </c>
      <c r="D979" s="6" t="s">
        <v>137</v>
      </c>
      <c r="E979" s="6" t="s">
        <v>138</v>
      </c>
      <c r="F979" s="6" t="s">
        <v>213</v>
      </c>
      <c r="G979" s="6" t="s">
        <v>689</v>
      </c>
      <c r="H979" s="6" t="s">
        <v>228</v>
      </c>
      <c r="I979" s="6" t="s">
        <v>2577</v>
      </c>
      <c r="J979" s="6" t="s">
        <v>246</v>
      </c>
      <c r="K979" s="6" t="s">
        <v>2571</v>
      </c>
      <c r="L979" s="6" t="s">
        <v>205</v>
      </c>
      <c r="M979" s="6" t="s">
        <v>702</v>
      </c>
      <c r="N979" s="6" t="s">
        <v>290</v>
      </c>
      <c r="O979" s="6" t="s">
        <v>2483</v>
      </c>
      <c r="P979" s="19" t="str">
        <f aca="false">IF(J979="S0","—",IF(K979="","",IF(L979="E0","QM",INDEX(10_ASIL_Matrix!$D$4:$F$15,MATCH(J979&amp;"-"&amp;L979,10_ASIL_Matrix!$C$4:$C$15,0),MATCH(N979,10_ASIL_Matrix!$D$3:$F$3,0)))))</f>
        <v>A</v>
      </c>
      <c r="Q979" s="6" t="s">
        <v>448</v>
      </c>
    </row>
    <row r="980" customFormat="false" ht="46.25" hidden="false" customHeight="false" outlineLevel="0" collapsed="false">
      <c r="A980" s="5" t="s">
        <v>2578</v>
      </c>
      <c r="B980" s="5" t="s">
        <v>105</v>
      </c>
      <c r="C980" s="5" t="s">
        <v>106</v>
      </c>
      <c r="D980" s="5" t="s">
        <v>137</v>
      </c>
      <c r="E980" s="5" t="s">
        <v>138</v>
      </c>
      <c r="F980" s="5" t="s">
        <v>213</v>
      </c>
      <c r="G980" s="5" t="s">
        <v>689</v>
      </c>
      <c r="H980" s="5" t="s">
        <v>230</v>
      </c>
      <c r="I980" s="5" t="s">
        <v>2579</v>
      </c>
      <c r="J980" s="5" t="s">
        <v>246</v>
      </c>
      <c r="K980" s="5" t="s">
        <v>2571</v>
      </c>
      <c r="L980" s="5" t="s">
        <v>205</v>
      </c>
      <c r="M980" s="5" t="s">
        <v>705</v>
      </c>
      <c r="N980" s="5" t="s">
        <v>290</v>
      </c>
      <c r="O980" s="5" t="s">
        <v>2486</v>
      </c>
      <c r="P980" s="19" t="str">
        <f aca="false">IF(J980="S0","—",IF(K980="","",IF(L980="E0","QM",INDEX(10_ASIL_Matrix!$D$4:$F$15,MATCH(J980&amp;"-"&amp;L980,10_ASIL_Matrix!$C$4:$C$15,0),MATCH(N980,10_ASIL_Matrix!$D$3:$F$3,0)))))</f>
        <v>A</v>
      </c>
      <c r="Q980" s="5" t="s">
        <v>448</v>
      </c>
    </row>
    <row r="981" customFormat="false" ht="46.25" hidden="false" customHeight="false" outlineLevel="0" collapsed="false">
      <c r="A981" s="6" t="s">
        <v>2580</v>
      </c>
      <c r="B981" s="6" t="s">
        <v>105</v>
      </c>
      <c r="C981" s="6" t="s">
        <v>106</v>
      </c>
      <c r="D981" s="6" t="s">
        <v>137</v>
      </c>
      <c r="E981" s="6" t="s">
        <v>138</v>
      </c>
      <c r="F981" s="6" t="s">
        <v>213</v>
      </c>
      <c r="G981" s="6" t="s">
        <v>689</v>
      </c>
      <c r="H981" s="6" t="s">
        <v>232</v>
      </c>
      <c r="I981" s="6" t="s">
        <v>2581</v>
      </c>
      <c r="J981" s="6" t="s">
        <v>246</v>
      </c>
      <c r="K981" s="6" t="s">
        <v>2571</v>
      </c>
      <c r="L981" s="6" t="s">
        <v>233</v>
      </c>
      <c r="M981" s="6" t="s">
        <v>709</v>
      </c>
      <c r="N981" s="6" t="s">
        <v>290</v>
      </c>
      <c r="O981" s="6" t="s">
        <v>2483</v>
      </c>
      <c r="P981" s="6" t="str">
        <f aca="false">IF(J981="S0","—",IF(K981="","",IF(L981="E0","QM",INDEX(10_ASIL_Matrix!$D$4:$F$15,MATCH(J981&amp;"-"&amp;L981,10_ASIL_Matrix!$C$4:$C$15,0),MATCH(N981,10_ASIL_Matrix!$D$3:$F$3,0)))))</f>
        <v>QM</v>
      </c>
      <c r="Q981" s="6" t="s">
        <v>448</v>
      </c>
    </row>
    <row r="982" customFormat="false" ht="35.05" hidden="false" customHeight="false" outlineLevel="0" collapsed="false">
      <c r="A982" s="5" t="s">
        <v>2582</v>
      </c>
      <c r="B982" s="5" t="s">
        <v>105</v>
      </c>
      <c r="C982" s="5" t="s">
        <v>106</v>
      </c>
      <c r="D982" s="5" t="s">
        <v>137</v>
      </c>
      <c r="E982" s="5" t="s">
        <v>138</v>
      </c>
      <c r="F982" s="5" t="s">
        <v>215</v>
      </c>
      <c r="G982" s="5" t="s">
        <v>711</v>
      </c>
      <c r="H982" s="5" t="s">
        <v>222</v>
      </c>
      <c r="I982" s="5" t="s">
        <v>2583</v>
      </c>
      <c r="J982" s="5" t="s">
        <v>246</v>
      </c>
      <c r="K982" s="5" t="s">
        <v>2584</v>
      </c>
      <c r="L982" s="5" t="s">
        <v>190</v>
      </c>
      <c r="M982" s="5" t="s">
        <v>714</v>
      </c>
      <c r="N982" s="5" t="s">
        <v>286</v>
      </c>
      <c r="O982" s="5" t="s">
        <v>2476</v>
      </c>
      <c r="P982" s="19" t="str">
        <f aca="false">IF(J982="S0","—",IF(K982="","",IF(L982="E0","QM",INDEX(10_ASIL_Matrix!$D$4:$F$15,MATCH(J982&amp;"-"&amp;L982,10_ASIL_Matrix!$C$4:$C$15,0),MATCH(N982,10_ASIL_Matrix!$D$3:$F$3,0)))))</f>
        <v>A</v>
      </c>
      <c r="Q982" s="5" t="s">
        <v>448</v>
      </c>
    </row>
    <row r="983" customFormat="false" ht="35.05" hidden="false" customHeight="false" outlineLevel="0" collapsed="false">
      <c r="A983" s="6" t="s">
        <v>2585</v>
      </c>
      <c r="B983" s="6" t="s">
        <v>105</v>
      </c>
      <c r="C983" s="6" t="s">
        <v>106</v>
      </c>
      <c r="D983" s="6" t="s">
        <v>137</v>
      </c>
      <c r="E983" s="6" t="s">
        <v>138</v>
      </c>
      <c r="F983" s="6" t="s">
        <v>215</v>
      </c>
      <c r="G983" s="6" t="s">
        <v>711</v>
      </c>
      <c r="H983" s="6" t="s">
        <v>224</v>
      </c>
      <c r="I983" s="6" t="s">
        <v>2586</v>
      </c>
      <c r="J983" s="6" t="s">
        <v>246</v>
      </c>
      <c r="K983" s="6" t="s">
        <v>2584</v>
      </c>
      <c r="L983" s="6" t="s">
        <v>190</v>
      </c>
      <c r="M983" s="6" t="s">
        <v>717</v>
      </c>
      <c r="N983" s="6" t="s">
        <v>286</v>
      </c>
      <c r="O983" s="6" t="s">
        <v>2476</v>
      </c>
      <c r="P983" s="19" t="str">
        <f aca="false">IF(J983="S0","—",IF(K983="","",IF(L983="E0","QM",INDEX(10_ASIL_Matrix!$D$4:$F$15,MATCH(J983&amp;"-"&amp;L983,10_ASIL_Matrix!$C$4:$C$15,0),MATCH(N983,10_ASIL_Matrix!$D$3:$F$3,0)))))</f>
        <v>A</v>
      </c>
      <c r="Q983" s="6" t="s">
        <v>448</v>
      </c>
    </row>
    <row r="984" customFormat="false" ht="35.05" hidden="false" customHeight="false" outlineLevel="0" collapsed="false">
      <c r="A984" s="5" t="s">
        <v>2587</v>
      </c>
      <c r="B984" s="5" t="s">
        <v>105</v>
      </c>
      <c r="C984" s="5" t="s">
        <v>106</v>
      </c>
      <c r="D984" s="5" t="s">
        <v>137</v>
      </c>
      <c r="E984" s="5" t="s">
        <v>138</v>
      </c>
      <c r="F984" s="5" t="s">
        <v>215</v>
      </c>
      <c r="G984" s="5" t="s">
        <v>711</v>
      </c>
      <c r="H984" s="5" t="s">
        <v>226</v>
      </c>
      <c r="I984" s="5" t="s">
        <v>2588</v>
      </c>
      <c r="J984" s="5" t="s">
        <v>246</v>
      </c>
      <c r="K984" s="5" t="s">
        <v>2584</v>
      </c>
      <c r="L984" s="5" t="s">
        <v>190</v>
      </c>
      <c r="M984" s="5" t="s">
        <v>720</v>
      </c>
      <c r="N984" s="5" t="s">
        <v>286</v>
      </c>
      <c r="O984" s="5" t="s">
        <v>2476</v>
      </c>
      <c r="P984" s="19" t="str">
        <f aca="false">IF(J984="S0","—",IF(K984="","",IF(L984="E0","QM",INDEX(10_ASIL_Matrix!$D$4:$F$15,MATCH(J984&amp;"-"&amp;L984,10_ASIL_Matrix!$C$4:$C$15,0),MATCH(N984,10_ASIL_Matrix!$D$3:$F$3,0)))))</f>
        <v>A</v>
      </c>
      <c r="Q984" s="5" t="s">
        <v>448</v>
      </c>
    </row>
    <row r="985" customFormat="false" ht="35.05" hidden="false" customHeight="false" outlineLevel="0" collapsed="false">
      <c r="A985" s="6" t="s">
        <v>2589</v>
      </c>
      <c r="B985" s="6" t="s">
        <v>105</v>
      </c>
      <c r="C985" s="6" t="s">
        <v>106</v>
      </c>
      <c r="D985" s="6" t="s">
        <v>137</v>
      </c>
      <c r="E985" s="6" t="s">
        <v>138</v>
      </c>
      <c r="F985" s="6" t="s">
        <v>215</v>
      </c>
      <c r="G985" s="6" t="s">
        <v>711</v>
      </c>
      <c r="H985" s="6" t="s">
        <v>228</v>
      </c>
      <c r="I985" s="6" t="s">
        <v>2590</v>
      </c>
      <c r="J985" s="6" t="s">
        <v>246</v>
      </c>
      <c r="K985" s="6" t="s">
        <v>2584</v>
      </c>
      <c r="L985" s="6" t="s">
        <v>205</v>
      </c>
      <c r="M985" s="6" t="s">
        <v>723</v>
      </c>
      <c r="N985" s="6" t="s">
        <v>290</v>
      </c>
      <c r="O985" s="6" t="s">
        <v>2483</v>
      </c>
      <c r="P985" s="19" t="str">
        <f aca="false">IF(J985="S0","—",IF(K985="","",IF(L985="E0","QM",INDEX(10_ASIL_Matrix!$D$4:$F$15,MATCH(J985&amp;"-"&amp;L985,10_ASIL_Matrix!$C$4:$C$15,0),MATCH(N985,10_ASIL_Matrix!$D$3:$F$3,0)))))</f>
        <v>A</v>
      </c>
      <c r="Q985" s="6" t="s">
        <v>448</v>
      </c>
    </row>
    <row r="986" customFormat="false" ht="35.05" hidden="false" customHeight="false" outlineLevel="0" collapsed="false">
      <c r="A986" s="5" t="s">
        <v>2591</v>
      </c>
      <c r="B986" s="5" t="s">
        <v>105</v>
      </c>
      <c r="C986" s="5" t="s">
        <v>106</v>
      </c>
      <c r="D986" s="5" t="s">
        <v>137</v>
      </c>
      <c r="E986" s="5" t="s">
        <v>138</v>
      </c>
      <c r="F986" s="5" t="s">
        <v>215</v>
      </c>
      <c r="G986" s="5" t="s">
        <v>711</v>
      </c>
      <c r="H986" s="5" t="s">
        <v>230</v>
      </c>
      <c r="I986" s="5" t="s">
        <v>2592</v>
      </c>
      <c r="J986" s="5" t="s">
        <v>246</v>
      </c>
      <c r="K986" s="5" t="s">
        <v>2584</v>
      </c>
      <c r="L986" s="5" t="s">
        <v>205</v>
      </c>
      <c r="M986" s="5" t="s">
        <v>726</v>
      </c>
      <c r="N986" s="5" t="s">
        <v>290</v>
      </c>
      <c r="O986" s="5" t="s">
        <v>2486</v>
      </c>
      <c r="P986" s="19" t="str">
        <f aca="false">IF(J986="S0","—",IF(K986="","",IF(L986="E0","QM",INDEX(10_ASIL_Matrix!$D$4:$F$15,MATCH(J986&amp;"-"&amp;L986,10_ASIL_Matrix!$C$4:$C$15,0),MATCH(N986,10_ASIL_Matrix!$D$3:$F$3,0)))))</f>
        <v>A</v>
      </c>
      <c r="Q986" s="5" t="s">
        <v>448</v>
      </c>
    </row>
    <row r="987" customFormat="false" ht="46.25" hidden="false" customHeight="false" outlineLevel="0" collapsed="false">
      <c r="A987" s="6" t="s">
        <v>2593</v>
      </c>
      <c r="B987" s="6" t="s">
        <v>105</v>
      </c>
      <c r="C987" s="6" t="s">
        <v>106</v>
      </c>
      <c r="D987" s="6" t="s">
        <v>137</v>
      </c>
      <c r="E987" s="6" t="s">
        <v>138</v>
      </c>
      <c r="F987" s="6" t="s">
        <v>215</v>
      </c>
      <c r="G987" s="6" t="s">
        <v>711</v>
      </c>
      <c r="H987" s="6" t="s">
        <v>232</v>
      </c>
      <c r="I987" s="6" t="s">
        <v>2594</v>
      </c>
      <c r="J987" s="6" t="s">
        <v>246</v>
      </c>
      <c r="K987" s="6" t="s">
        <v>2584</v>
      </c>
      <c r="L987" s="6" t="s">
        <v>233</v>
      </c>
      <c r="M987" s="6" t="s">
        <v>729</v>
      </c>
      <c r="N987" s="6" t="s">
        <v>290</v>
      </c>
      <c r="O987" s="6" t="s">
        <v>2483</v>
      </c>
      <c r="P987" s="6" t="str">
        <f aca="false">IF(J987="S0","—",IF(K987="","",IF(L987="E0","QM",INDEX(10_ASIL_Matrix!$D$4:$F$15,MATCH(J987&amp;"-"&amp;L987,10_ASIL_Matrix!$C$4:$C$15,0),MATCH(N987,10_ASIL_Matrix!$D$3:$F$3,0)))))</f>
        <v>QM</v>
      </c>
      <c r="Q987" s="6" t="s">
        <v>448</v>
      </c>
    </row>
    <row r="988" customFormat="false" ht="35.05" hidden="false" customHeight="false" outlineLevel="0" collapsed="false">
      <c r="A988" s="5" t="s">
        <v>2595</v>
      </c>
      <c r="B988" s="5" t="s">
        <v>105</v>
      </c>
      <c r="C988" s="5" t="s">
        <v>106</v>
      </c>
      <c r="D988" s="5" t="s">
        <v>137</v>
      </c>
      <c r="E988" s="5" t="s">
        <v>138</v>
      </c>
      <c r="F988" s="5" t="s">
        <v>217</v>
      </c>
      <c r="G988" s="5" t="s">
        <v>488</v>
      </c>
      <c r="H988" s="5" t="s">
        <v>222</v>
      </c>
      <c r="I988" s="5" t="s">
        <v>2596</v>
      </c>
      <c r="J988" s="5" t="s">
        <v>238</v>
      </c>
      <c r="K988" s="5" t="s">
        <v>2410</v>
      </c>
      <c r="L988" s="5" t="s">
        <v>190</v>
      </c>
      <c r="M988" s="5" t="s">
        <v>733</v>
      </c>
      <c r="N988" s="5" t="s">
        <v>278</v>
      </c>
      <c r="O988" s="5" t="s">
        <v>634</v>
      </c>
      <c r="P988" s="5" t="str">
        <f aca="false">IF(J988="S0","—",IF(K988="","",IF(L988="E0","QM",INDEX(10_ASIL_Matrix!$D$4:$F$15,MATCH(J988&amp;"-"&amp;L988,10_ASIL_Matrix!$C$4:$C$15,0),MATCH(N988,10_ASIL_Matrix!$D$3:$F$3,0)))))</f>
        <v>—</v>
      </c>
      <c r="Q988" s="5" t="s">
        <v>448</v>
      </c>
    </row>
    <row r="989" customFormat="false" ht="35.05" hidden="false" customHeight="false" outlineLevel="0" collapsed="false">
      <c r="A989" s="6" t="s">
        <v>2597</v>
      </c>
      <c r="B989" s="6" t="s">
        <v>105</v>
      </c>
      <c r="C989" s="6" t="s">
        <v>106</v>
      </c>
      <c r="D989" s="6" t="s">
        <v>137</v>
      </c>
      <c r="E989" s="6" t="s">
        <v>138</v>
      </c>
      <c r="F989" s="6" t="s">
        <v>217</v>
      </c>
      <c r="G989" s="6" t="s">
        <v>488</v>
      </c>
      <c r="H989" s="6" t="s">
        <v>224</v>
      </c>
      <c r="I989" s="6" t="s">
        <v>2598</v>
      </c>
      <c r="J989" s="6" t="s">
        <v>238</v>
      </c>
      <c r="K989" s="6" t="s">
        <v>2410</v>
      </c>
      <c r="L989" s="6" t="s">
        <v>190</v>
      </c>
      <c r="M989" s="6" t="s">
        <v>736</v>
      </c>
      <c r="N989" s="6" t="s">
        <v>278</v>
      </c>
      <c r="O989" s="6" t="s">
        <v>634</v>
      </c>
      <c r="P989" s="6" t="str">
        <f aca="false">IF(J989="S0","—",IF(K989="","",IF(L989="E0","QM",INDEX(10_ASIL_Matrix!$D$4:$F$15,MATCH(J989&amp;"-"&amp;L989,10_ASIL_Matrix!$C$4:$C$15,0),MATCH(N989,10_ASIL_Matrix!$D$3:$F$3,0)))))</f>
        <v>—</v>
      </c>
      <c r="Q989" s="6" t="s">
        <v>448</v>
      </c>
    </row>
    <row r="990" customFormat="false" ht="35.05" hidden="false" customHeight="false" outlineLevel="0" collapsed="false">
      <c r="A990" s="5" t="s">
        <v>2599</v>
      </c>
      <c r="B990" s="5" t="s">
        <v>105</v>
      </c>
      <c r="C990" s="5" t="s">
        <v>106</v>
      </c>
      <c r="D990" s="5" t="s">
        <v>137</v>
      </c>
      <c r="E990" s="5" t="s">
        <v>138</v>
      </c>
      <c r="F990" s="5" t="s">
        <v>217</v>
      </c>
      <c r="G990" s="5" t="s">
        <v>488</v>
      </c>
      <c r="H990" s="5" t="s">
        <v>226</v>
      </c>
      <c r="I990" s="5" t="s">
        <v>2600</v>
      </c>
      <c r="J990" s="5" t="s">
        <v>238</v>
      </c>
      <c r="K990" s="5" t="s">
        <v>2410</v>
      </c>
      <c r="L990" s="5" t="s">
        <v>190</v>
      </c>
      <c r="M990" s="5" t="s">
        <v>739</v>
      </c>
      <c r="N990" s="5" t="s">
        <v>278</v>
      </c>
      <c r="O990" s="5" t="s">
        <v>634</v>
      </c>
      <c r="P990" s="5" t="str">
        <f aca="false">IF(J990="S0","—",IF(K990="","",IF(L990="E0","QM",INDEX(10_ASIL_Matrix!$D$4:$F$15,MATCH(J990&amp;"-"&amp;L990,10_ASIL_Matrix!$C$4:$C$15,0),MATCH(N990,10_ASIL_Matrix!$D$3:$F$3,0)))))</f>
        <v>—</v>
      </c>
      <c r="Q990" s="5" t="s">
        <v>448</v>
      </c>
    </row>
    <row r="991" customFormat="false" ht="35.05" hidden="false" customHeight="false" outlineLevel="0" collapsed="false">
      <c r="A991" s="6" t="s">
        <v>2601</v>
      </c>
      <c r="B991" s="6" t="s">
        <v>105</v>
      </c>
      <c r="C991" s="6" t="s">
        <v>106</v>
      </c>
      <c r="D991" s="6" t="s">
        <v>137</v>
      </c>
      <c r="E991" s="6" t="s">
        <v>138</v>
      </c>
      <c r="F991" s="6" t="s">
        <v>217</v>
      </c>
      <c r="G991" s="6" t="s">
        <v>488</v>
      </c>
      <c r="H991" s="6" t="s">
        <v>228</v>
      </c>
      <c r="I991" s="6" t="s">
        <v>2602</v>
      </c>
      <c r="J991" s="6" t="s">
        <v>238</v>
      </c>
      <c r="K991" s="6" t="s">
        <v>2410</v>
      </c>
      <c r="L991" s="6" t="s">
        <v>205</v>
      </c>
      <c r="M991" s="6" t="s">
        <v>742</v>
      </c>
      <c r="N991" s="6" t="s">
        <v>278</v>
      </c>
      <c r="O991" s="6" t="s">
        <v>634</v>
      </c>
      <c r="P991" s="6" t="str">
        <f aca="false">IF(J991="S0","—",IF(K991="","",IF(L991="E0","QM",INDEX(10_ASIL_Matrix!$D$4:$F$15,MATCH(J991&amp;"-"&amp;L991,10_ASIL_Matrix!$C$4:$C$15,0),MATCH(N991,10_ASIL_Matrix!$D$3:$F$3,0)))))</f>
        <v>—</v>
      </c>
      <c r="Q991" s="6" t="s">
        <v>448</v>
      </c>
    </row>
    <row r="992" customFormat="false" ht="35.05" hidden="false" customHeight="false" outlineLevel="0" collapsed="false">
      <c r="A992" s="5" t="s">
        <v>2603</v>
      </c>
      <c r="B992" s="5" t="s">
        <v>105</v>
      </c>
      <c r="C992" s="5" t="s">
        <v>106</v>
      </c>
      <c r="D992" s="5" t="s">
        <v>137</v>
      </c>
      <c r="E992" s="5" t="s">
        <v>138</v>
      </c>
      <c r="F992" s="5" t="s">
        <v>217</v>
      </c>
      <c r="G992" s="5" t="s">
        <v>488</v>
      </c>
      <c r="H992" s="5" t="s">
        <v>230</v>
      </c>
      <c r="I992" s="5" t="s">
        <v>2604</v>
      </c>
      <c r="J992" s="5" t="s">
        <v>238</v>
      </c>
      <c r="K992" s="5" t="s">
        <v>2410</v>
      </c>
      <c r="L992" s="5" t="s">
        <v>205</v>
      </c>
      <c r="M992" s="5" t="s">
        <v>745</v>
      </c>
      <c r="N992" s="5" t="s">
        <v>278</v>
      </c>
      <c r="O992" s="5" t="s">
        <v>634</v>
      </c>
      <c r="P992" s="5" t="str">
        <f aca="false">IF(J992="S0","—",IF(K992="","",IF(L992="E0","QM",INDEX(10_ASIL_Matrix!$D$4:$F$15,MATCH(J992&amp;"-"&amp;L992,10_ASIL_Matrix!$C$4:$C$15,0),MATCH(N992,10_ASIL_Matrix!$D$3:$F$3,0)))))</f>
        <v>—</v>
      </c>
      <c r="Q992" s="5" t="s">
        <v>448</v>
      </c>
    </row>
    <row r="993" customFormat="false" ht="46.25" hidden="false" customHeight="false" outlineLevel="0" collapsed="false">
      <c r="A993" s="6" t="s">
        <v>2605</v>
      </c>
      <c r="B993" s="6" t="s">
        <v>105</v>
      </c>
      <c r="C993" s="6" t="s">
        <v>106</v>
      </c>
      <c r="D993" s="6" t="s">
        <v>137</v>
      </c>
      <c r="E993" s="6" t="s">
        <v>138</v>
      </c>
      <c r="F993" s="6" t="s">
        <v>217</v>
      </c>
      <c r="G993" s="6" t="s">
        <v>488</v>
      </c>
      <c r="H993" s="6" t="s">
        <v>232</v>
      </c>
      <c r="I993" s="6" t="s">
        <v>2606</v>
      </c>
      <c r="J993" s="6" t="s">
        <v>238</v>
      </c>
      <c r="K993" s="6" t="s">
        <v>2410</v>
      </c>
      <c r="L993" s="6" t="s">
        <v>233</v>
      </c>
      <c r="M993" s="6" t="s">
        <v>748</v>
      </c>
      <c r="N993" s="6" t="s">
        <v>278</v>
      </c>
      <c r="O993" s="6" t="s">
        <v>634</v>
      </c>
      <c r="P993" s="6" t="str">
        <f aca="false">IF(J993="S0","—",IF(K993="","",IF(L993="E0","QM",INDEX(10_ASIL_Matrix!$D$4:$F$15,MATCH(J993&amp;"-"&amp;L993,10_ASIL_Matrix!$C$4:$C$15,0),MATCH(N993,10_ASIL_Matrix!$D$3:$F$3,0)))))</f>
        <v>—</v>
      </c>
      <c r="Q993" s="6" t="s">
        <v>448</v>
      </c>
    </row>
    <row r="994" customFormat="false" ht="35.05" hidden="false" customHeight="false" outlineLevel="0" collapsed="false">
      <c r="A994" s="5" t="s">
        <v>2607</v>
      </c>
      <c r="B994" s="5" t="s">
        <v>105</v>
      </c>
      <c r="C994" s="5" t="s">
        <v>106</v>
      </c>
      <c r="D994" s="5" t="s">
        <v>140</v>
      </c>
      <c r="E994" s="5" t="s">
        <v>141</v>
      </c>
      <c r="F994" s="5" t="s">
        <v>186</v>
      </c>
      <c r="G994" s="5" t="s">
        <v>443</v>
      </c>
      <c r="H994" s="5" t="s">
        <v>222</v>
      </c>
      <c r="I994" s="5" t="s">
        <v>2608</v>
      </c>
      <c r="J994" s="5" t="s">
        <v>238</v>
      </c>
      <c r="K994" s="5" t="s">
        <v>2410</v>
      </c>
      <c r="L994" s="5" t="s">
        <v>187</v>
      </c>
      <c r="M994" s="5" t="s">
        <v>446</v>
      </c>
      <c r="N994" s="5" t="s">
        <v>278</v>
      </c>
      <c r="O994" s="5" t="s">
        <v>634</v>
      </c>
      <c r="P994" s="5" t="str">
        <f aca="false">IF(J994="S0","—",IF(K994="","",IF(L994="E0","QM",INDEX(10_ASIL_Matrix!$D$4:$F$15,MATCH(J994&amp;"-"&amp;L994,10_ASIL_Matrix!$C$4:$C$15,0),MATCH(N994,10_ASIL_Matrix!$D$3:$F$3,0)))))</f>
        <v>—</v>
      </c>
      <c r="Q994" s="5" t="s">
        <v>448</v>
      </c>
    </row>
    <row r="995" customFormat="false" ht="35.05" hidden="false" customHeight="false" outlineLevel="0" collapsed="false">
      <c r="A995" s="6" t="s">
        <v>2609</v>
      </c>
      <c r="B995" s="6" t="s">
        <v>105</v>
      </c>
      <c r="C995" s="6" t="s">
        <v>106</v>
      </c>
      <c r="D995" s="6" t="s">
        <v>140</v>
      </c>
      <c r="E995" s="6" t="s">
        <v>141</v>
      </c>
      <c r="F995" s="6" t="s">
        <v>186</v>
      </c>
      <c r="G995" s="6" t="s">
        <v>443</v>
      </c>
      <c r="H995" s="6" t="s">
        <v>224</v>
      </c>
      <c r="I995" s="6" t="s">
        <v>2610</v>
      </c>
      <c r="J995" s="6" t="s">
        <v>238</v>
      </c>
      <c r="K995" s="6" t="s">
        <v>2410</v>
      </c>
      <c r="L995" s="6" t="s">
        <v>190</v>
      </c>
      <c r="M995" s="6" t="s">
        <v>451</v>
      </c>
      <c r="N995" s="6" t="s">
        <v>278</v>
      </c>
      <c r="O995" s="6" t="s">
        <v>634</v>
      </c>
      <c r="P995" s="6" t="str">
        <f aca="false">IF(J995="S0","—",IF(K995="","",IF(L995="E0","QM",INDEX(10_ASIL_Matrix!$D$4:$F$15,MATCH(J995&amp;"-"&amp;L995,10_ASIL_Matrix!$C$4:$C$15,0),MATCH(N995,10_ASIL_Matrix!$D$3:$F$3,0)))))</f>
        <v>—</v>
      </c>
      <c r="Q995" s="6" t="s">
        <v>448</v>
      </c>
    </row>
    <row r="996" customFormat="false" ht="35.05" hidden="false" customHeight="false" outlineLevel="0" collapsed="false">
      <c r="A996" s="5" t="s">
        <v>2611</v>
      </c>
      <c r="B996" s="5" t="s">
        <v>105</v>
      </c>
      <c r="C996" s="5" t="s">
        <v>106</v>
      </c>
      <c r="D996" s="5" t="s">
        <v>140</v>
      </c>
      <c r="E996" s="5" t="s">
        <v>141</v>
      </c>
      <c r="F996" s="5" t="s">
        <v>186</v>
      </c>
      <c r="G996" s="5" t="s">
        <v>443</v>
      </c>
      <c r="H996" s="5" t="s">
        <v>226</v>
      </c>
      <c r="I996" s="5" t="s">
        <v>2612</v>
      </c>
      <c r="J996" s="5" t="s">
        <v>238</v>
      </c>
      <c r="K996" s="5" t="s">
        <v>2410</v>
      </c>
      <c r="L996" s="5" t="s">
        <v>190</v>
      </c>
      <c r="M996" s="5" t="s">
        <v>454</v>
      </c>
      <c r="N996" s="5" t="s">
        <v>278</v>
      </c>
      <c r="O996" s="5" t="s">
        <v>634</v>
      </c>
      <c r="P996" s="5" t="str">
        <f aca="false">IF(J996="S0","—",IF(K996="","",IF(L996="E0","QM",INDEX(10_ASIL_Matrix!$D$4:$F$15,MATCH(J996&amp;"-"&amp;L996,10_ASIL_Matrix!$C$4:$C$15,0),MATCH(N996,10_ASIL_Matrix!$D$3:$F$3,0)))))</f>
        <v>—</v>
      </c>
      <c r="Q996" s="5" t="s">
        <v>448</v>
      </c>
    </row>
    <row r="997" customFormat="false" ht="35.05" hidden="false" customHeight="false" outlineLevel="0" collapsed="false">
      <c r="A997" s="6" t="s">
        <v>2613</v>
      </c>
      <c r="B997" s="6" t="s">
        <v>105</v>
      </c>
      <c r="C997" s="6" t="s">
        <v>106</v>
      </c>
      <c r="D997" s="6" t="s">
        <v>140</v>
      </c>
      <c r="E997" s="6" t="s">
        <v>141</v>
      </c>
      <c r="F997" s="6" t="s">
        <v>186</v>
      </c>
      <c r="G997" s="6" t="s">
        <v>443</v>
      </c>
      <c r="H997" s="6" t="s">
        <v>228</v>
      </c>
      <c r="I997" s="6" t="s">
        <v>2614</v>
      </c>
      <c r="J997" s="6" t="s">
        <v>238</v>
      </c>
      <c r="K997" s="6" t="s">
        <v>2410</v>
      </c>
      <c r="L997" s="6" t="s">
        <v>205</v>
      </c>
      <c r="M997" s="6" t="s">
        <v>457</v>
      </c>
      <c r="N997" s="6" t="s">
        <v>278</v>
      </c>
      <c r="O997" s="6" t="s">
        <v>634</v>
      </c>
      <c r="P997" s="6" t="str">
        <f aca="false">IF(J997="S0","—",IF(K997="","",IF(L997="E0","QM",INDEX(10_ASIL_Matrix!$D$4:$F$15,MATCH(J997&amp;"-"&amp;L997,10_ASIL_Matrix!$C$4:$C$15,0),MATCH(N997,10_ASIL_Matrix!$D$3:$F$3,0)))))</f>
        <v>—</v>
      </c>
      <c r="Q997" s="6" t="s">
        <v>448</v>
      </c>
    </row>
    <row r="998" customFormat="false" ht="35.05" hidden="false" customHeight="false" outlineLevel="0" collapsed="false">
      <c r="A998" s="5" t="s">
        <v>2615</v>
      </c>
      <c r="B998" s="5" t="s">
        <v>105</v>
      </c>
      <c r="C998" s="5" t="s">
        <v>106</v>
      </c>
      <c r="D998" s="5" t="s">
        <v>140</v>
      </c>
      <c r="E998" s="5" t="s">
        <v>141</v>
      </c>
      <c r="F998" s="5" t="s">
        <v>186</v>
      </c>
      <c r="G998" s="5" t="s">
        <v>443</v>
      </c>
      <c r="H998" s="5" t="s">
        <v>230</v>
      </c>
      <c r="I998" s="5" t="s">
        <v>2616</v>
      </c>
      <c r="J998" s="5" t="s">
        <v>238</v>
      </c>
      <c r="K998" s="5" t="s">
        <v>2410</v>
      </c>
      <c r="L998" s="5" t="s">
        <v>205</v>
      </c>
      <c r="M998" s="5" t="s">
        <v>460</v>
      </c>
      <c r="N998" s="5" t="s">
        <v>278</v>
      </c>
      <c r="O998" s="5" t="s">
        <v>634</v>
      </c>
      <c r="P998" s="5" t="str">
        <f aca="false">IF(J998="S0","—",IF(K998="","",IF(L998="E0","QM",INDEX(10_ASIL_Matrix!$D$4:$F$15,MATCH(J998&amp;"-"&amp;L998,10_ASIL_Matrix!$C$4:$C$15,0),MATCH(N998,10_ASIL_Matrix!$D$3:$F$3,0)))))</f>
        <v>—</v>
      </c>
      <c r="Q998" s="5" t="s">
        <v>448</v>
      </c>
    </row>
    <row r="999" customFormat="false" ht="46.25" hidden="false" customHeight="false" outlineLevel="0" collapsed="false">
      <c r="A999" s="6" t="s">
        <v>2617</v>
      </c>
      <c r="B999" s="6" t="s">
        <v>105</v>
      </c>
      <c r="C999" s="6" t="s">
        <v>106</v>
      </c>
      <c r="D999" s="6" t="s">
        <v>140</v>
      </c>
      <c r="E999" s="6" t="s">
        <v>141</v>
      </c>
      <c r="F999" s="6" t="s">
        <v>186</v>
      </c>
      <c r="G999" s="6" t="s">
        <v>443</v>
      </c>
      <c r="H999" s="6" t="s">
        <v>232</v>
      </c>
      <c r="I999" s="6" t="s">
        <v>2618</v>
      </c>
      <c r="J999" s="6" t="s">
        <v>238</v>
      </c>
      <c r="K999" s="6" t="s">
        <v>2410</v>
      </c>
      <c r="L999" s="6" t="s">
        <v>233</v>
      </c>
      <c r="M999" s="6" t="s">
        <v>464</v>
      </c>
      <c r="N999" s="6" t="s">
        <v>278</v>
      </c>
      <c r="O999" s="6" t="s">
        <v>634</v>
      </c>
      <c r="P999" s="6" t="str">
        <f aca="false">IF(J999="S0","—",IF(K999="","",IF(L999="E0","QM",INDEX(10_ASIL_Matrix!$D$4:$F$15,MATCH(J999&amp;"-"&amp;L999,10_ASIL_Matrix!$C$4:$C$15,0),MATCH(N999,10_ASIL_Matrix!$D$3:$F$3,0)))))</f>
        <v>—</v>
      </c>
      <c r="Q999" s="6" t="s">
        <v>448</v>
      </c>
    </row>
    <row r="1000" customFormat="false" ht="35.05" hidden="false" customHeight="false" outlineLevel="0" collapsed="false">
      <c r="A1000" s="5" t="s">
        <v>2619</v>
      </c>
      <c r="B1000" s="5" t="s">
        <v>105</v>
      </c>
      <c r="C1000" s="5" t="s">
        <v>106</v>
      </c>
      <c r="D1000" s="5" t="s">
        <v>140</v>
      </c>
      <c r="E1000" s="5" t="s">
        <v>141</v>
      </c>
      <c r="F1000" s="5" t="s">
        <v>189</v>
      </c>
      <c r="G1000" s="5" t="s">
        <v>466</v>
      </c>
      <c r="H1000" s="5" t="s">
        <v>222</v>
      </c>
      <c r="I1000" s="5" t="s">
        <v>2620</v>
      </c>
      <c r="J1000" s="5" t="s">
        <v>238</v>
      </c>
      <c r="K1000" s="5" t="s">
        <v>2410</v>
      </c>
      <c r="L1000" s="5" t="s">
        <v>190</v>
      </c>
      <c r="M1000" s="5" t="s">
        <v>469</v>
      </c>
      <c r="N1000" s="5" t="s">
        <v>278</v>
      </c>
      <c r="O1000" s="5" t="s">
        <v>634</v>
      </c>
      <c r="P1000" s="5" t="str">
        <f aca="false">IF(J1000="S0","—",IF(K1000="","",IF(L1000="E0","QM",INDEX(10_ASIL_Matrix!$D$4:$F$15,MATCH(J1000&amp;"-"&amp;L1000,10_ASIL_Matrix!$C$4:$C$15,0),MATCH(N1000,10_ASIL_Matrix!$D$3:$F$3,0)))))</f>
        <v>—</v>
      </c>
      <c r="Q1000" s="5" t="s">
        <v>448</v>
      </c>
    </row>
    <row r="1001" customFormat="false" ht="35.05" hidden="false" customHeight="false" outlineLevel="0" collapsed="false">
      <c r="A1001" s="6" t="s">
        <v>2621</v>
      </c>
      <c r="B1001" s="6" t="s">
        <v>105</v>
      </c>
      <c r="C1001" s="6" t="s">
        <v>106</v>
      </c>
      <c r="D1001" s="6" t="s">
        <v>140</v>
      </c>
      <c r="E1001" s="6" t="s">
        <v>141</v>
      </c>
      <c r="F1001" s="6" t="s">
        <v>189</v>
      </c>
      <c r="G1001" s="6" t="s">
        <v>466</v>
      </c>
      <c r="H1001" s="6" t="s">
        <v>224</v>
      </c>
      <c r="I1001" s="6" t="s">
        <v>2622</v>
      </c>
      <c r="J1001" s="6" t="s">
        <v>238</v>
      </c>
      <c r="K1001" s="6" t="s">
        <v>2410</v>
      </c>
      <c r="L1001" s="6" t="s">
        <v>190</v>
      </c>
      <c r="M1001" s="6" t="s">
        <v>473</v>
      </c>
      <c r="N1001" s="6" t="s">
        <v>278</v>
      </c>
      <c r="O1001" s="6" t="s">
        <v>634</v>
      </c>
      <c r="P1001" s="6" t="str">
        <f aca="false">IF(J1001="S0","—",IF(K1001="","",IF(L1001="E0","QM",INDEX(10_ASIL_Matrix!$D$4:$F$15,MATCH(J1001&amp;"-"&amp;L1001,10_ASIL_Matrix!$C$4:$C$15,0),MATCH(N1001,10_ASIL_Matrix!$D$3:$F$3,0)))))</f>
        <v>—</v>
      </c>
      <c r="Q1001" s="6" t="s">
        <v>448</v>
      </c>
    </row>
    <row r="1002" customFormat="false" ht="35.05" hidden="false" customHeight="false" outlineLevel="0" collapsed="false">
      <c r="A1002" s="5" t="s">
        <v>2623</v>
      </c>
      <c r="B1002" s="5" t="s">
        <v>105</v>
      </c>
      <c r="C1002" s="5" t="s">
        <v>106</v>
      </c>
      <c r="D1002" s="5" t="s">
        <v>140</v>
      </c>
      <c r="E1002" s="5" t="s">
        <v>141</v>
      </c>
      <c r="F1002" s="5" t="s">
        <v>189</v>
      </c>
      <c r="G1002" s="5" t="s">
        <v>466</v>
      </c>
      <c r="H1002" s="5" t="s">
        <v>226</v>
      </c>
      <c r="I1002" s="5" t="s">
        <v>2624</v>
      </c>
      <c r="J1002" s="5" t="s">
        <v>238</v>
      </c>
      <c r="K1002" s="5" t="s">
        <v>2410</v>
      </c>
      <c r="L1002" s="5" t="s">
        <v>190</v>
      </c>
      <c r="M1002" s="5" t="s">
        <v>476</v>
      </c>
      <c r="N1002" s="5" t="s">
        <v>278</v>
      </c>
      <c r="O1002" s="5" t="s">
        <v>634</v>
      </c>
      <c r="P1002" s="5" t="str">
        <f aca="false">IF(J1002="S0","—",IF(K1002="","",IF(L1002="E0","QM",INDEX(10_ASIL_Matrix!$D$4:$F$15,MATCH(J1002&amp;"-"&amp;L1002,10_ASIL_Matrix!$C$4:$C$15,0),MATCH(N1002,10_ASIL_Matrix!$D$3:$F$3,0)))))</f>
        <v>—</v>
      </c>
      <c r="Q1002" s="5" t="s">
        <v>448</v>
      </c>
    </row>
    <row r="1003" customFormat="false" ht="35.05" hidden="false" customHeight="false" outlineLevel="0" collapsed="false">
      <c r="A1003" s="6" t="s">
        <v>2625</v>
      </c>
      <c r="B1003" s="6" t="s">
        <v>105</v>
      </c>
      <c r="C1003" s="6" t="s">
        <v>106</v>
      </c>
      <c r="D1003" s="6" t="s">
        <v>140</v>
      </c>
      <c r="E1003" s="6" t="s">
        <v>141</v>
      </c>
      <c r="F1003" s="6" t="s">
        <v>189</v>
      </c>
      <c r="G1003" s="6" t="s">
        <v>466</v>
      </c>
      <c r="H1003" s="6" t="s">
        <v>228</v>
      </c>
      <c r="I1003" s="6" t="s">
        <v>2626</v>
      </c>
      <c r="J1003" s="6" t="s">
        <v>238</v>
      </c>
      <c r="K1003" s="6" t="s">
        <v>2410</v>
      </c>
      <c r="L1003" s="6" t="s">
        <v>205</v>
      </c>
      <c r="M1003" s="6" t="s">
        <v>479</v>
      </c>
      <c r="N1003" s="6" t="s">
        <v>278</v>
      </c>
      <c r="O1003" s="6" t="s">
        <v>634</v>
      </c>
      <c r="P1003" s="6" t="str">
        <f aca="false">IF(J1003="S0","—",IF(K1003="","",IF(L1003="E0","QM",INDEX(10_ASIL_Matrix!$D$4:$F$15,MATCH(J1003&amp;"-"&amp;L1003,10_ASIL_Matrix!$C$4:$C$15,0),MATCH(N1003,10_ASIL_Matrix!$D$3:$F$3,0)))))</f>
        <v>—</v>
      </c>
      <c r="Q1003" s="6" t="s">
        <v>448</v>
      </c>
    </row>
    <row r="1004" customFormat="false" ht="35.05" hidden="false" customHeight="false" outlineLevel="0" collapsed="false">
      <c r="A1004" s="5" t="s">
        <v>2627</v>
      </c>
      <c r="B1004" s="5" t="s">
        <v>105</v>
      </c>
      <c r="C1004" s="5" t="s">
        <v>106</v>
      </c>
      <c r="D1004" s="5" t="s">
        <v>140</v>
      </c>
      <c r="E1004" s="5" t="s">
        <v>141</v>
      </c>
      <c r="F1004" s="5" t="s">
        <v>189</v>
      </c>
      <c r="G1004" s="5" t="s">
        <v>466</v>
      </c>
      <c r="H1004" s="5" t="s">
        <v>230</v>
      </c>
      <c r="I1004" s="5" t="s">
        <v>2628</v>
      </c>
      <c r="J1004" s="5" t="s">
        <v>238</v>
      </c>
      <c r="K1004" s="5" t="s">
        <v>2410</v>
      </c>
      <c r="L1004" s="5" t="s">
        <v>205</v>
      </c>
      <c r="M1004" s="5" t="s">
        <v>482</v>
      </c>
      <c r="N1004" s="5" t="s">
        <v>278</v>
      </c>
      <c r="O1004" s="5" t="s">
        <v>634</v>
      </c>
      <c r="P1004" s="5" t="str">
        <f aca="false">IF(J1004="S0","—",IF(K1004="","",IF(L1004="E0","QM",INDEX(10_ASIL_Matrix!$D$4:$F$15,MATCH(J1004&amp;"-"&amp;L1004,10_ASIL_Matrix!$C$4:$C$15,0),MATCH(N1004,10_ASIL_Matrix!$D$3:$F$3,0)))))</f>
        <v>—</v>
      </c>
      <c r="Q1004" s="5" t="s">
        <v>448</v>
      </c>
    </row>
    <row r="1005" customFormat="false" ht="46.25" hidden="false" customHeight="false" outlineLevel="0" collapsed="false">
      <c r="A1005" s="6" t="s">
        <v>2629</v>
      </c>
      <c r="B1005" s="6" t="s">
        <v>105</v>
      </c>
      <c r="C1005" s="6" t="s">
        <v>106</v>
      </c>
      <c r="D1005" s="6" t="s">
        <v>140</v>
      </c>
      <c r="E1005" s="6" t="s">
        <v>141</v>
      </c>
      <c r="F1005" s="6" t="s">
        <v>189</v>
      </c>
      <c r="G1005" s="6" t="s">
        <v>466</v>
      </c>
      <c r="H1005" s="6" t="s">
        <v>232</v>
      </c>
      <c r="I1005" s="6" t="s">
        <v>2630</v>
      </c>
      <c r="J1005" s="6" t="s">
        <v>238</v>
      </c>
      <c r="K1005" s="6" t="s">
        <v>2410</v>
      </c>
      <c r="L1005" s="6" t="s">
        <v>233</v>
      </c>
      <c r="M1005" s="6" t="s">
        <v>486</v>
      </c>
      <c r="N1005" s="6" t="s">
        <v>278</v>
      </c>
      <c r="O1005" s="6" t="s">
        <v>634</v>
      </c>
      <c r="P1005" s="6" t="str">
        <f aca="false">IF(J1005="S0","—",IF(K1005="","",IF(L1005="E0","QM",INDEX(10_ASIL_Matrix!$D$4:$F$15,MATCH(J1005&amp;"-"&amp;L1005,10_ASIL_Matrix!$C$4:$C$15,0),MATCH(N1005,10_ASIL_Matrix!$D$3:$F$3,0)))))</f>
        <v>—</v>
      </c>
      <c r="Q1005" s="6" t="s">
        <v>448</v>
      </c>
    </row>
    <row r="1006" customFormat="false" ht="35.05" hidden="false" customHeight="false" outlineLevel="0" collapsed="false">
      <c r="A1006" s="5" t="s">
        <v>2631</v>
      </c>
      <c r="B1006" s="5" t="s">
        <v>105</v>
      </c>
      <c r="C1006" s="5" t="s">
        <v>106</v>
      </c>
      <c r="D1006" s="5" t="s">
        <v>140</v>
      </c>
      <c r="E1006" s="5" t="s">
        <v>141</v>
      </c>
      <c r="F1006" s="5" t="s">
        <v>192</v>
      </c>
      <c r="G1006" s="5" t="s">
        <v>488</v>
      </c>
      <c r="H1006" s="5" t="s">
        <v>222</v>
      </c>
      <c r="I1006" s="5" t="s">
        <v>2632</v>
      </c>
      <c r="J1006" s="5" t="s">
        <v>238</v>
      </c>
      <c r="K1006" s="5" t="s">
        <v>2410</v>
      </c>
      <c r="L1006" s="5" t="s">
        <v>187</v>
      </c>
      <c r="M1006" s="5" t="s">
        <v>491</v>
      </c>
      <c r="N1006" s="5" t="s">
        <v>278</v>
      </c>
      <c r="O1006" s="5" t="s">
        <v>634</v>
      </c>
      <c r="P1006" s="5" t="str">
        <f aca="false">IF(J1006="S0","—",IF(K1006="","",IF(L1006="E0","QM",INDEX(10_ASIL_Matrix!$D$4:$F$15,MATCH(J1006&amp;"-"&amp;L1006,10_ASIL_Matrix!$C$4:$C$15,0),MATCH(N1006,10_ASIL_Matrix!$D$3:$F$3,0)))))</f>
        <v>—</v>
      </c>
      <c r="Q1006" s="5" t="s">
        <v>448</v>
      </c>
    </row>
    <row r="1007" customFormat="false" ht="35.05" hidden="false" customHeight="false" outlineLevel="0" collapsed="false">
      <c r="A1007" s="6" t="s">
        <v>2633</v>
      </c>
      <c r="B1007" s="6" t="s">
        <v>105</v>
      </c>
      <c r="C1007" s="6" t="s">
        <v>106</v>
      </c>
      <c r="D1007" s="6" t="s">
        <v>140</v>
      </c>
      <c r="E1007" s="6" t="s">
        <v>141</v>
      </c>
      <c r="F1007" s="6" t="s">
        <v>192</v>
      </c>
      <c r="G1007" s="6" t="s">
        <v>488</v>
      </c>
      <c r="H1007" s="6" t="s">
        <v>224</v>
      </c>
      <c r="I1007" s="6" t="s">
        <v>2634</v>
      </c>
      <c r="J1007" s="6" t="s">
        <v>238</v>
      </c>
      <c r="K1007" s="6" t="s">
        <v>2410</v>
      </c>
      <c r="L1007" s="6" t="s">
        <v>190</v>
      </c>
      <c r="M1007" s="6" t="s">
        <v>494</v>
      </c>
      <c r="N1007" s="6" t="s">
        <v>278</v>
      </c>
      <c r="O1007" s="6" t="s">
        <v>634</v>
      </c>
      <c r="P1007" s="6" t="str">
        <f aca="false">IF(J1007="S0","—",IF(K1007="","",IF(L1007="E0","QM",INDEX(10_ASIL_Matrix!$D$4:$F$15,MATCH(J1007&amp;"-"&amp;L1007,10_ASIL_Matrix!$C$4:$C$15,0),MATCH(N1007,10_ASIL_Matrix!$D$3:$F$3,0)))))</f>
        <v>—</v>
      </c>
      <c r="Q1007" s="6" t="s">
        <v>448</v>
      </c>
    </row>
    <row r="1008" customFormat="false" ht="35.05" hidden="false" customHeight="false" outlineLevel="0" collapsed="false">
      <c r="A1008" s="5" t="s">
        <v>2635</v>
      </c>
      <c r="B1008" s="5" t="s">
        <v>105</v>
      </c>
      <c r="C1008" s="5" t="s">
        <v>106</v>
      </c>
      <c r="D1008" s="5" t="s">
        <v>140</v>
      </c>
      <c r="E1008" s="5" t="s">
        <v>141</v>
      </c>
      <c r="F1008" s="5" t="s">
        <v>192</v>
      </c>
      <c r="G1008" s="5" t="s">
        <v>488</v>
      </c>
      <c r="H1008" s="5" t="s">
        <v>226</v>
      </c>
      <c r="I1008" s="5" t="s">
        <v>2636</v>
      </c>
      <c r="J1008" s="5" t="s">
        <v>238</v>
      </c>
      <c r="K1008" s="5" t="s">
        <v>2410</v>
      </c>
      <c r="L1008" s="5" t="s">
        <v>190</v>
      </c>
      <c r="M1008" s="5" t="s">
        <v>497</v>
      </c>
      <c r="N1008" s="5" t="s">
        <v>278</v>
      </c>
      <c r="O1008" s="5" t="s">
        <v>634</v>
      </c>
      <c r="P1008" s="5" t="str">
        <f aca="false">IF(J1008="S0","—",IF(K1008="","",IF(L1008="E0","QM",INDEX(10_ASIL_Matrix!$D$4:$F$15,MATCH(J1008&amp;"-"&amp;L1008,10_ASIL_Matrix!$C$4:$C$15,0),MATCH(N1008,10_ASIL_Matrix!$D$3:$F$3,0)))))</f>
        <v>—</v>
      </c>
      <c r="Q1008" s="5" t="s">
        <v>448</v>
      </c>
    </row>
    <row r="1009" customFormat="false" ht="35.05" hidden="false" customHeight="false" outlineLevel="0" collapsed="false">
      <c r="A1009" s="6" t="s">
        <v>2637</v>
      </c>
      <c r="B1009" s="6" t="s">
        <v>105</v>
      </c>
      <c r="C1009" s="6" t="s">
        <v>106</v>
      </c>
      <c r="D1009" s="6" t="s">
        <v>140</v>
      </c>
      <c r="E1009" s="6" t="s">
        <v>141</v>
      </c>
      <c r="F1009" s="6" t="s">
        <v>192</v>
      </c>
      <c r="G1009" s="6" t="s">
        <v>488</v>
      </c>
      <c r="H1009" s="6" t="s">
        <v>228</v>
      </c>
      <c r="I1009" s="6" t="s">
        <v>2638</v>
      </c>
      <c r="J1009" s="6" t="s">
        <v>238</v>
      </c>
      <c r="K1009" s="6" t="s">
        <v>2410</v>
      </c>
      <c r="L1009" s="6" t="s">
        <v>205</v>
      </c>
      <c r="M1009" s="6" t="s">
        <v>500</v>
      </c>
      <c r="N1009" s="6" t="s">
        <v>278</v>
      </c>
      <c r="O1009" s="6" t="s">
        <v>634</v>
      </c>
      <c r="P1009" s="6" t="str">
        <f aca="false">IF(J1009="S0","—",IF(K1009="","",IF(L1009="E0","QM",INDEX(10_ASIL_Matrix!$D$4:$F$15,MATCH(J1009&amp;"-"&amp;L1009,10_ASIL_Matrix!$C$4:$C$15,0),MATCH(N1009,10_ASIL_Matrix!$D$3:$F$3,0)))))</f>
        <v>—</v>
      </c>
      <c r="Q1009" s="6" t="s">
        <v>448</v>
      </c>
    </row>
    <row r="1010" customFormat="false" ht="35.05" hidden="false" customHeight="false" outlineLevel="0" collapsed="false">
      <c r="A1010" s="5" t="s">
        <v>2639</v>
      </c>
      <c r="B1010" s="5" t="s">
        <v>105</v>
      </c>
      <c r="C1010" s="5" t="s">
        <v>106</v>
      </c>
      <c r="D1010" s="5" t="s">
        <v>140</v>
      </c>
      <c r="E1010" s="5" t="s">
        <v>141</v>
      </c>
      <c r="F1010" s="5" t="s">
        <v>192</v>
      </c>
      <c r="G1010" s="5" t="s">
        <v>488</v>
      </c>
      <c r="H1010" s="5" t="s">
        <v>230</v>
      </c>
      <c r="I1010" s="5" t="s">
        <v>2640</v>
      </c>
      <c r="J1010" s="5" t="s">
        <v>238</v>
      </c>
      <c r="K1010" s="5" t="s">
        <v>2410</v>
      </c>
      <c r="L1010" s="5" t="s">
        <v>205</v>
      </c>
      <c r="M1010" s="5" t="s">
        <v>503</v>
      </c>
      <c r="N1010" s="5" t="s">
        <v>278</v>
      </c>
      <c r="O1010" s="5" t="s">
        <v>634</v>
      </c>
      <c r="P1010" s="5" t="str">
        <f aca="false">IF(J1010="S0","—",IF(K1010="","",IF(L1010="E0","QM",INDEX(10_ASIL_Matrix!$D$4:$F$15,MATCH(J1010&amp;"-"&amp;L1010,10_ASIL_Matrix!$C$4:$C$15,0),MATCH(N1010,10_ASIL_Matrix!$D$3:$F$3,0)))))</f>
        <v>—</v>
      </c>
      <c r="Q1010" s="5" t="s">
        <v>448</v>
      </c>
    </row>
    <row r="1011" customFormat="false" ht="46.25" hidden="false" customHeight="false" outlineLevel="0" collapsed="false">
      <c r="A1011" s="6" t="s">
        <v>2641</v>
      </c>
      <c r="B1011" s="6" t="s">
        <v>105</v>
      </c>
      <c r="C1011" s="6" t="s">
        <v>106</v>
      </c>
      <c r="D1011" s="6" t="s">
        <v>140</v>
      </c>
      <c r="E1011" s="6" t="s">
        <v>141</v>
      </c>
      <c r="F1011" s="6" t="s">
        <v>192</v>
      </c>
      <c r="G1011" s="6" t="s">
        <v>488</v>
      </c>
      <c r="H1011" s="6" t="s">
        <v>232</v>
      </c>
      <c r="I1011" s="6" t="s">
        <v>2642</v>
      </c>
      <c r="J1011" s="6" t="s">
        <v>238</v>
      </c>
      <c r="K1011" s="6" t="s">
        <v>2410</v>
      </c>
      <c r="L1011" s="6" t="s">
        <v>233</v>
      </c>
      <c r="M1011" s="6" t="s">
        <v>506</v>
      </c>
      <c r="N1011" s="6" t="s">
        <v>278</v>
      </c>
      <c r="O1011" s="6" t="s">
        <v>634</v>
      </c>
      <c r="P1011" s="6" t="str">
        <f aca="false">IF(J1011="S0","—",IF(K1011="","",IF(L1011="E0","QM",INDEX(10_ASIL_Matrix!$D$4:$F$15,MATCH(J1011&amp;"-"&amp;L1011,10_ASIL_Matrix!$C$4:$C$15,0),MATCH(N1011,10_ASIL_Matrix!$D$3:$F$3,0)))))</f>
        <v>—</v>
      </c>
      <c r="Q1011" s="6" t="s">
        <v>448</v>
      </c>
    </row>
    <row r="1012" customFormat="false" ht="35.05" hidden="false" customHeight="false" outlineLevel="0" collapsed="false">
      <c r="A1012" s="5" t="s">
        <v>2643</v>
      </c>
      <c r="B1012" s="5" t="s">
        <v>105</v>
      </c>
      <c r="C1012" s="5" t="s">
        <v>106</v>
      </c>
      <c r="D1012" s="5" t="s">
        <v>140</v>
      </c>
      <c r="E1012" s="5" t="s">
        <v>141</v>
      </c>
      <c r="F1012" s="5" t="s">
        <v>194</v>
      </c>
      <c r="G1012" s="5" t="s">
        <v>508</v>
      </c>
      <c r="H1012" s="5" t="s">
        <v>222</v>
      </c>
      <c r="I1012" s="5" t="s">
        <v>2644</v>
      </c>
      <c r="J1012" s="5" t="s">
        <v>238</v>
      </c>
      <c r="K1012" s="5" t="s">
        <v>2410</v>
      </c>
      <c r="L1012" s="5" t="s">
        <v>190</v>
      </c>
      <c r="M1012" s="5" t="s">
        <v>511</v>
      </c>
      <c r="N1012" s="5" t="s">
        <v>278</v>
      </c>
      <c r="O1012" s="5" t="s">
        <v>634</v>
      </c>
      <c r="P1012" s="5" t="str">
        <f aca="false">IF(J1012="S0","—",IF(K1012="","",IF(L1012="E0","QM",INDEX(10_ASIL_Matrix!$D$4:$F$15,MATCH(J1012&amp;"-"&amp;L1012,10_ASIL_Matrix!$C$4:$C$15,0),MATCH(N1012,10_ASIL_Matrix!$D$3:$F$3,0)))))</f>
        <v>—</v>
      </c>
      <c r="Q1012" s="5" t="s">
        <v>448</v>
      </c>
    </row>
    <row r="1013" customFormat="false" ht="35.05" hidden="false" customHeight="false" outlineLevel="0" collapsed="false">
      <c r="A1013" s="6" t="s">
        <v>2645</v>
      </c>
      <c r="B1013" s="6" t="s">
        <v>105</v>
      </c>
      <c r="C1013" s="6" t="s">
        <v>106</v>
      </c>
      <c r="D1013" s="6" t="s">
        <v>140</v>
      </c>
      <c r="E1013" s="6" t="s">
        <v>141</v>
      </c>
      <c r="F1013" s="6" t="s">
        <v>194</v>
      </c>
      <c r="G1013" s="6" t="s">
        <v>508</v>
      </c>
      <c r="H1013" s="6" t="s">
        <v>224</v>
      </c>
      <c r="I1013" s="6" t="s">
        <v>2646</v>
      </c>
      <c r="J1013" s="6" t="s">
        <v>238</v>
      </c>
      <c r="K1013" s="6" t="s">
        <v>2410</v>
      </c>
      <c r="L1013" s="6" t="s">
        <v>190</v>
      </c>
      <c r="M1013" s="6" t="s">
        <v>514</v>
      </c>
      <c r="N1013" s="6" t="s">
        <v>278</v>
      </c>
      <c r="O1013" s="6" t="s">
        <v>634</v>
      </c>
      <c r="P1013" s="6" t="str">
        <f aca="false">IF(J1013="S0","—",IF(K1013="","",IF(L1013="E0","QM",INDEX(10_ASIL_Matrix!$D$4:$F$15,MATCH(J1013&amp;"-"&amp;L1013,10_ASIL_Matrix!$C$4:$C$15,0),MATCH(N1013,10_ASIL_Matrix!$D$3:$F$3,0)))))</f>
        <v>—</v>
      </c>
      <c r="Q1013" s="6" t="s">
        <v>448</v>
      </c>
    </row>
    <row r="1014" customFormat="false" ht="35.05" hidden="false" customHeight="false" outlineLevel="0" collapsed="false">
      <c r="A1014" s="5" t="s">
        <v>2647</v>
      </c>
      <c r="B1014" s="5" t="s">
        <v>105</v>
      </c>
      <c r="C1014" s="5" t="s">
        <v>106</v>
      </c>
      <c r="D1014" s="5" t="s">
        <v>140</v>
      </c>
      <c r="E1014" s="5" t="s">
        <v>141</v>
      </c>
      <c r="F1014" s="5" t="s">
        <v>194</v>
      </c>
      <c r="G1014" s="5" t="s">
        <v>508</v>
      </c>
      <c r="H1014" s="5" t="s">
        <v>226</v>
      </c>
      <c r="I1014" s="5" t="s">
        <v>2648</v>
      </c>
      <c r="J1014" s="5" t="s">
        <v>238</v>
      </c>
      <c r="K1014" s="5" t="s">
        <v>2410</v>
      </c>
      <c r="L1014" s="5" t="s">
        <v>190</v>
      </c>
      <c r="M1014" s="5" t="s">
        <v>517</v>
      </c>
      <c r="N1014" s="5" t="s">
        <v>278</v>
      </c>
      <c r="O1014" s="5" t="s">
        <v>634</v>
      </c>
      <c r="P1014" s="5" t="str">
        <f aca="false">IF(J1014="S0","—",IF(K1014="","",IF(L1014="E0","QM",INDEX(10_ASIL_Matrix!$D$4:$F$15,MATCH(J1014&amp;"-"&amp;L1014,10_ASIL_Matrix!$C$4:$C$15,0),MATCH(N1014,10_ASIL_Matrix!$D$3:$F$3,0)))))</f>
        <v>—</v>
      </c>
      <c r="Q1014" s="5" t="s">
        <v>448</v>
      </c>
    </row>
    <row r="1015" customFormat="false" ht="35.05" hidden="false" customHeight="false" outlineLevel="0" collapsed="false">
      <c r="A1015" s="6" t="s">
        <v>2649</v>
      </c>
      <c r="B1015" s="6" t="s">
        <v>105</v>
      </c>
      <c r="C1015" s="6" t="s">
        <v>106</v>
      </c>
      <c r="D1015" s="6" t="s">
        <v>140</v>
      </c>
      <c r="E1015" s="6" t="s">
        <v>141</v>
      </c>
      <c r="F1015" s="6" t="s">
        <v>194</v>
      </c>
      <c r="G1015" s="6" t="s">
        <v>508</v>
      </c>
      <c r="H1015" s="6" t="s">
        <v>228</v>
      </c>
      <c r="I1015" s="6" t="s">
        <v>2650</v>
      </c>
      <c r="J1015" s="6" t="s">
        <v>238</v>
      </c>
      <c r="K1015" s="6" t="s">
        <v>2410</v>
      </c>
      <c r="L1015" s="6" t="s">
        <v>205</v>
      </c>
      <c r="M1015" s="6" t="s">
        <v>520</v>
      </c>
      <c r="N1015" s="6" t="s">
        <v>278</v>
      </c>
      <c r="O1015" s="6" t="s">
        <v>634</v>
      </c>
      <c r="P1015" s="6" t="str">
        <f aca="false">IF(J1015="S0","—",IF(K1015="","",IF(L1015="E0","QM",INDEX(10_ASIL_Matrix!$D$4:$F$15,MATCH(J1015&amp;"-"&amp;L1015,10_ASIL_Matrix!$C$4:$C$15,0),MATCH(N1015,10_ASIL_Matrix!$D$3:$F$3,0)))))</f>
        <v>—</v>
      </c>
      <c r="Q1015" s="6" t="s">
        <v>448</v>
      </c>
    </row>
    <row r="1016" customFormat="false" ht="35.05" hidden="false" customHeight="false" outlineLevel="0" collapsed="false">
      <c r="A1016" s="5" t="s">
        <v>2651</v>
      </c>
      <c r="B1016" s="5" t="s">
        <v>105</v>
      </c>
      <c r="C1016" s="5" t="s">
        <v>106</v>
      </c>
      <c r="D1016" s="5" t="s">
        <v>140</v>
      </c>
      <c r="E1016" s="5" t="s">
        <v>141</v>
      </c>
      <c r="F1016" s="5" t="s">
        <v>194</v>
      </c>
      <c r="G1016" s="5" t="s">
        <v>508</v>
      </c>
      <c r="H1016" s="5" t="s">
        <v>230</v>
      </c>
      <c r="I1016" s="5" t="s">
        <v>2652</v>
      </c>
      <c r="J1016" s="5" t="s">
        <v>238</v>
      </c>
      <c r="K1016" s="5" t="s">
        <v>2410</v>
      </c>
      <c r="L1016" s="5" t="s">
        <v>205</v>
      </c>
      <c r="M1016" s="5" t="s">
        <v>523</v>
      </c>
      <c r="N1016" s="5" t="s">
        <v>278</v>
      </c>
      <c r="O1016" s="5" t="s">
        <v>634</v>
      </c>
      <c r="P1016" s="5" t="str">
        <f aca="false">IF(J1016="S0","—",IF(K1016="","",IF(L1016="E0","QM",INDEX(10_ASIL_Matrix!$D$4:$F$15,MATCH(J1016&amp;"-"&amp;L1016,10_ASIL_Matrix!$C$4:$C$15,0),MATCH(N1016,10_ASIL_Matrix!$D$3:$F$3,0)))))</f>
        <v>—</v>
      </c>
      <c r="Q1016" s="5" t="s">
        <v>448</v>
      </c>
    </row>
    <row r="1017" customFormat="false" ht="46.25" hidden="false" customHeight="false" outlineLevel="0" collapsed="false">
      <c r="A1017" s="6" t="s">
        <v>2653</v>
      </c>
      <c r="B1017" s="6" t="s">
        <v>105</v>
      </c>
      <c r="C1017" s="6" t="s">
        <v>106</v>
      </c>
      <c r="D1017" s="6" t="s">
        <v>140</v>
      </c>
      <c r="E1017" s="6" t="s">
        <v>141</v>
      </c>
      <c r="F1017" s="6" t="s">
        <v>194</v>
      </c>
      <c r="G1017" s="6" t="s">
        <v>508</v>
      </c>
      <c r="H1017" s="6" t="s">
        <v>232</v>
      </c>
      <c r="I1017" s="6" t="s">
        <v>2654</v>
      </c>
      <c r="J1017" s="6" t="s">
        <v>238</v>
      </c>
      <c r="K1017" s="6" t="s">
        <v>2410</v>
      </c>
      <c r="L1017" s="6" t="s">
        <v>233</v>
      </c>
      <c r="M1017" s="6" t="s">
        <v>526</v>
      </c>
      <c r="N1017" s="6" t="s">
        <v>278</v>
      </c>
      <c r="O1017" s="6" t="s">
        <v>634</v>
      </c>
      <c r="P1017" s="6" t="str">
        <f aca="false">IF(J1017="S0","—",IF(K1017="","",IF(L1017="E0","QM",INDEX(10_ASIL_Matrix!$D$4:$F$15,MATCH(J1017&amp;"-"&amp;L1017,10_ASIL_Matrix!$C$4:$C$15,0),MATCH(N1017,10_ASIL_Matrix!$D$3:$F$3,0)))))</f>
        <v>—</v>
      </c>
      <c r="Q1017" s="6" t="s">
        <v>448</v>
      </c>
    </row>
    <row r="1018" customFormat="false" ht="35.05" hidden="false" customHeight="false" outlineLevel="0" collapsed="false">
      <c r="A1018" s="5" t="s">
        <v>2655</v>
      </c>
      <c r="B1018" s="5" t="s">
        <v>105</v>
      </c>
      <c r="C1018" s="5" t="s">
        <v>106</v>
      </c>
      <c r="D1018" s="5" t="s">
        <v>140</v>
      </c>
      <c r="E1018" s="5" t="s">
        <v>141</v>
      </c>
      <c r="F1018" s="5" t="s">
        <v>196</v>
      </c>
      <c r="G1018" s="5" t="s">
        <v>528</v>
      </c>
      <c r="H1018" s="5" t="s">
        <v>222</v>
      </c>
      <c r="I1018" s="5" t="s">
        <v>2656</v>
      </c>
      <c r="J1018" s="5" t="s">
        <v>246</v>
      </c>
      <c r="K1018" s="5" t="s">
        <v>2459</v>
      </c>
      <c r="L1018" s="5" t="s">
        <v>187</v>
      </c>
      <c r="M1018" s="5" t="s">
        <v>531</v>
      </c>
      <c r="N1018" s="5" t="s">
        <v>286</v>
      </c>
      <c r="O1018" s="5" t="s">
        <v>2460</v>
      </c>
      <c r="P1018" s="18" t="str">
        <f aca="false">IF(J1018="S0","—",IF(K1018="","",IF(L1018="E0","QM",INDEX(10_ASIL_Matrix!$D$4:$F$15,MATCH(J1018&amp;"-"&amp;L1018,10_ASIL_Matrix!$C$4:$C$15,0),MATCH(N1018,10_ASIL_Matrix!$D$3:$F$3,0)))))</f>
        <v>B</v>
      </c>
      <c r="Q1018" s="5" t="s">
        <v>448</v>
      </c>
    </row>
    <row r="1019" customFormat="false" ht="35.05" hidden="false" customHeight="false" outlineLevel="0" collapsed="false">
      <c r="A1019" s="6" t="s">
        <v>2657</v>
      </c>
      <c r="B1019" s="6" t="s">
        <v>105</v>
      </c>
      <c r="C1019" s="6" t="s">
        <v>106</v>
      </c>
      <c r="D1019" s="6" t="s">
        <v>140</v>
      </c>
      <c r="E1019" s="6" t="s">
        <v>141</v>
      </c>
      <c r="F1019" s="6" t="s">
        <v>196</v>
      </c>
      <c r="G1019" s="6" t="s">
        <v>528</v>
      </c>
      <c r="H1019" s="6" t="s">
        <v>224</v>
      </c>
      <c r="I1019" s="6" t="s">
        <v>2658</v>
      </c>
      <c r="J1019" s="6" t="s">
        <v>246</v>
      </c>
      <c r="K1019" s="6" t="s">
        <v>2459</v>
      </c>
      <c r="L1019" s="6" t="s">
        <v>190</v>
      </c>
      <c r="M1019" s="6" t="s">
        <v>534</v>
      </c>
      <c r="N1019" s="6" t="s">
        <v>286</v>
      </c>
      <c r="O1019" s="6" t="s">
        <v>2460</v>
      </c>
      <c r="P1019" s="19" t="str">
        <f aca="false">IF(J1019="S0","—",IF(K1019="","",IF(L1019="E0","QM",INDEX(10_ASIL_Matrix!$D$4:$F$15,MATCH(J1019&amp;"-"&amp;L1019,10_ASIL_Matrix!$C$4:$C$15,0),MATCH(N1019,10_ASIL_Matrix!$D$3:$F$3,0)))))</f>
        <v>A</v>
      </c>
      <c r="Q1019" s="6" t="s">
        <v>448</v>
      </c>
    </row>
    <row r="1020" customFormat="false" ht="35.05" hidden="false" customHeight="false" outlineLevel="0" collapsed="false">
      <c r="A1020" s="5" t="s">
        <v>2659</v>
      </c>
      <c r="B1020" s="5" t="s">
        <v>105</v>
      </c>
      <c r="C1020" s="5" t="s">
        <v>106</v>
      </c>
      <c r="D1020" s="5" t="s">
        <v>140</v>
      </c>
      <c r="E1020" s="5" t="s">
        <v>141</v>
      </c>
      <c r="F1020" s="5" t="s">
        <v>196</v>
      </c>
      <c r="G1020" s="5" t="s">
        <v>528</v>
      </c>
      <c r="H1020" s="5" t="s">
        <v>226</v>
      </c>
      <c r="I1020" s="5" t="s">
        <v>2660</v>
      </c>
      <c r="J1020" s="5" t="s">
        <v>246</v>
      </c>
      <c r="K1020" s="5" t="s">
        <v>2459</v>
      </c>
      <c r="L1020" s="5" t="s">
        <v>190</v>
      </c>
      <c r="M1020" s="5" t="s">
        <v>537</v>
      </c>
      <c r="N1020" s="5" t="s">
        <v>286</v>
      </c>
      <c r="O1020" s="5" t="s">
        <v>2460</v>
      </c>
      <c r="P1020" s="19" t="str">
        <f aca="false">IF(J1020="S0","—",IF(K1020="","",IF(L1020="E0","QM",INDEX(10_ASIL_Matrix!$D$4:$F$15,MATCH(J1020&amp;"-"&amp;L1020,10_ASIL_Matrix!$C$4:$C$15,0),MATCH(N1020,10_ASIL_Matrix!$D$3:$F$3,0)))))</f>
        <v>A</v>
      </c>
      <c r="Q1020" s="5" t="s">
        <v>448</v>
      </c>
    </row>
    <row r="1021" customFormat="false" ht="35.05" hidden="false" customHeight="false" outlineLevel="0" collapsed="false">
      <c r="A1021" s="6" t="s">
        <v>2661</v>
      </c>
      <c r="B1021" s="6" t="s">
        <v>105</v>
      </c>
      <c r="C1021" s="6" t="s">
        <v>106</v>
      </c>
      <c r="D1021" s="6" t="s">
        <v>140</v>
      </c>
      <c r="E1021" s="6" t="s">
        <v>141</v>
      </c>
      <c r="F1021" s="6" t="s">
        <v>196</v>
      </c>
      <c r="G1021" s="6" t="s">
        <v>528</v>
      </c>
      <c r="H1021" s="6" t="s">
        <v>228</v>
      </c>
      <c r="I1021" s="6" t="s">
        <v>2662</v>
      </c>
      <c r="J1021" s="6" t="s">
        <v>246</v>
      </c>
      <c r="K1021" s="6" t="s">
        <v>2459</v>
      </c>
      <c r="L1021" s="6" t="s">
        <v>205</v>
      </c>
      <c r="M1021" s="6" t="s">
        <v>540</v>
      </c>
      <c r="N1021" s="6" t="s">
        <v>290</v>
      </c>
      <c r="O1021" s="6" t="s">
        <v>2467</v>
      </c>
      <c r="P1021" s="19" t="str">
        <f aca="false">IF(J1021="S0","—",IF(K1021="","",IF(L1021="E0","QM",INDEX(10_ASIL_Matrix!$D$4:$F$15,MATCH(J1021&amp;"-"&amp;L1021,10_ASIL_Matrix!$C$4:$C$15,0),MATCH(N1021,10_ASIL_Matrix!$D$3:$F$3,0)))))</f>
        <v>A</v>
      </c>
      <c r="Q1021" s="6" t="s">
        <v>448</v>
      </c>
    </row>
    <row r="1022" customFormat="false" ht="35.05" hidden="false" customHeight="false" outlineLevel="0" collapsed="false">
      <c r="A1022" s="5" t="s">
        <v>2663</v>
      </c>
      <c r="B1022" s="5" t="s">
        <v>105</v>
      </c>
      <c r="C1022" s="5" t="s">
        <v>106</v>
      </c>
      <c r="D1022" s="5" t="s">
        <v>140</v>
      </c>
      <c r="E1022" s="5" t="s">
        <v>141</v>
      </c>
      <c r="F1022" s="5" t="s">
        <v>196</v>
      </c>
      <c r="G1022" s="5" t="s">
        <v>528</v>
      </c>
      <c r="H1022" s="5" t="s">
        <v>230</v>
      </c>
      <c r="I1022" s="5" t="s">
        <v>2664</v>
      </c>
      <c r="J1022" s="5" t="s">
        <v>246</v>
      </c>
      <c r="K1022" s="5" t="s">
        <v>2459</v>
      </c>
      <c r="L1022" s="5" t="s">
        <v>205</v>
      </c>
      <c r="M1022" s="5" t="s">
        <v>543</v>
      </c>
      <c r="N1022" s="5" t="s">
        <v>290</v>
      </c>
      <c r="O1022" s="5" t="s">
        <v>2470</v>
      </c>
      <c r="P1022" s="19" t="str">
        <f aca="false">IF(J1022="S0","—",IF(K1022="","",IF(L1022="E0","QM",INDEX(10_ASIL_Matrix!$D$4:$F$15,MATCH(J1022&amp;"-"&amp;L1022,10_ASIL_Matrix!$C$4:$C$15,0),MATCH(N1022,10_ASIL_Matrix!$D$3:$F$3,0)))))</f>
        <v>A</v>
      </c>
      <c r="Q1022" s="5" t="s">
        <v>448</v>
      </c>
    </row>
    <row r="1023" customFormat="false" ht="46.25" hidden="false" customHeight="false" outlineLevel="0" collapsed="false">
      <c r="A1023" s="6" t="s">
        <v>2665</v>
      </c>
      <c r="B1023" s="6" t="s">
        <v>105</v>
      </c>
      <c r="C1023" s="6" t="s">
        <v>106</v>
      </c>
      <c r="D1023" s="6" t="s">
        <v>140</v>
      </c>
      <c r="E1023" s="6" t="s">
        <v>141</v>
      </c>
      <c r="F1023" s="6" t="s">
        <v>196</v>
      </c>
      <c r="G1023" s="6" t="s">
        <v>528</v>
      </c>
      <c r="H1023" s="6" t="s">
        <v>232</v>
      </c>
      <c r="I1023" s="6" t="s">
        <v>2666</v>
      </c>
      <c r="J1023" s="6" t="s">
        <v>246</v>
      </c>
      <c r="K1023" s="6" t="s">
        <v>2459</v>
      </c>
      <c r="L1023" s="6" t="s">
        <v>233</v>
      </c>
      <c r="M1023" s="6" t="s">
        <v>546</v>
      </c>
      <c r="N1023" s="6" t="s">
        <v>290</v>
      </c>
      <c r="O1023" s="6" t="s">
        <v>2467</v>
      </c>
      <c r="P1023" s="6" t="str">
        <f aca="false">IF(J1023="S0","—",IF(K1023="","",IF(L1023="E0","QM",INDEX(10_ASIL_Matrix!$D$4:$F$15,MATCH(J1023&amp;"-"&amp;L1023,10_ASIL_Matrix!$C$4:$C$15,0),MATCH(N1023,10_ASIL_Matrix!$D$3:$F$3,0)))))</f>
        <v>QM</v>
      </c>
      <c r="Q1023" s="6" t="s">
        <v>448</v>
      </c>
    </row>
    <row r="1024" customFormat="false" ht="35.05" hidden="false" customHeight="false" outlineLevel="0" collapsed="false">
      <c r="A1024" s="5" t="s">
        <v>2667</v>
      </c>
      <c r="B1024" s="5" t="s">
        <v>105</v>
      </c>
      <c r="C1024" s="5" t="s">
        <v>106</v>
      </c>
      <c r="D1024" s="5" t="s">
        <v>140</v>
      </c>
      <c r="E1024" s="5" t="s">
        <v>141</v>
      </c>
      <c r="F1024" s="5" t="s">
        <v>198</v>
      </c>
      <c r="G1024" s="5" t="s">
        <v>548</v>
      </c>
      <c r="H1024" s="5" t="s">
        <v>222</v>
      </c>
      <c r="I1024" s="5" t="s">
        <v>2668</v>
      </c>
      <c r="J1024" s="5" t="s">
        <v>242</v>
      </c>
      <c r="K1024" s="5" t="s">
        <v>2475</v>
      </c>
      <c r="L1024" s="5" t="s">
        <v>190</v>
      </c>
      <c r="M1024" s="5" t="s">
        <v>551</v>
      </c>
      <c r="N1024" s="5" t="s">
        <v>286</v>
      </c>
      <c r="O1024" s="5" t="s">
        <v>2476</v>
      </c>
      <c r="P1024" s="5" t="str">
        <f aca="false">IF(J1024="S0","—",IF(K1024="","",IF(L1024="E0","QM",INDEX(10_ASIL_Matrix!$D$4:$F$15,MATCH(J1024&amp;"-"&amp;L1024,10_ASIL_Matrix!$C$4:$C$15,0),MATCH(N1024,10_ASIL_Matrix!$D$3:$F$3,0)))))</f>
        <v>QM</v>
      </c>
      <c r="Q1024" s="5" t="s">
        <v>448</v>
      </c>
    </row>
    <row r="1025" customFormat="false" ht="35.05" hidden="false" customHeight="false" outlineLevel="0" collapsed="false">
      <c r="A1025" s="6" t="s">
        <v>2669</v>
      </c>
      <c r="B1025" s="6" t="s">
        <v>105</v>
      </c>
      <c r="C1025" s="6" t="s">
        <v>106</v>
      </c>
      <c r="D1025" s="6" t="s">
        <v>140</v>
      </c>
      <c r="E1025" s="6" t="s">
        <v>141</v>
      </c>
      <c r="F1025" s="6" t="s">
        <v>198</v>
      </c>
      <c r="G1025" s="6" t="s">
        <v>548</v>
      </c>
      <c r="H1025" s="6" t="s">
        <v>224</v>
      </c>
      <c r="I1025" s="6" t="s">
        <v>2670</v>
      </c>
      <c r="J1025" s="6" t="s">
        <v>242</v>
      </c>
      <c r="K1025" s="6" t="s">
        <v>2475</v>
      </c>
      <c r="L1025" s="6" t="s">
        <v>190</v>
      </c>
      <c r="M1025" s="6" t="s">
        <v>555</v>
      </c>
      <c r="N1025" s="6" t="s">
        <v>286</v>
      </c>
      <c r="O1025" s="6" t="s">
        <v>2476</v>
      </c>
      <c r="P1025" s="6" t="str">
        <f aca="false">IF(J1025="S0","—",IF(K1025="","",IF(L1025="E0","QM",INDEX(10_ASIL_Matrix!$D$4:$F$15,MATCH(J1025&amp;"-"&amp;L1025,10_ASIL_Matrix!$C$4:$C$15,0),MATCH(N1025,10_ASIL_Matrix!$D$3:$F$3,0)))))</f>
        <v>QM</v>
      </c>
      <c r="Q1025" s="6" t="s">
        <v>448</v>
      </c>
    </row>
    <row r="1026" customFormat="false" ht="35.05" hidden="false" customHeight="false" outlineLevel="0" collapsed="false">
      <c r="A1026" s="5" t="s">
        <v>2671</v>
      </c>
      <c r="B1026" s="5" t="s">
        <v>105</v>
      </c>
      <c r="C1026" s="5" t="s">
        <v>106</v>
      </c>
      <c r="D1026" s="5" t="s">
        <v>140</v>
      </c>
      <c r="E1026" s="5" t="s">
        <v>141</v>
      </c>
      <c r="F1026" s="5" t="s">
        <v>198</v>
      </c>
      <c r="G1026" s="5" t="s">
        <v>548</v>
      </c>
      <c r="H1026" s="5" t="s">
        <v>226</v>
      </c>
      <c r="I1026" s="5" t="s">
        <v>2672</v>
      </c>
      <c r="J1026" s="5" t="s">
        <v>242</v>
      </c>
      <c r="K1026" s="5" t="s">
        <v>2475</v>
      </c>
      <c r="L1026" s="5" t="s">
        <v>190</v>
      </c>
      <c r="M1026" s="5" t="s">
        <v>558</v>
      </c>
      <c r="N1026" s="5" t="s">
        <v>286</v>
      </c>
      <c r="O1026" s="5" t="s">
        <v>2476</v>
      </c>
      <c r="P1026" s="5" t="str">
        <f aca="false">IF(J1026="S0","—",IF(K1026="","",IF(L1026="E0","QM",INDEX(10_ASIL_Matrix!$D$4:$F$15,MATCH(J1026&amp;"-"&amp;L1026,10_ASIL_Matrix!$C$4:$C$15,0),MATCH(N1026,10_ASIL_Matrix!$D$3:$F$3,0)))))</f>
        <v>QM</v>
      </c>
      <c r="Q1026" s="5" t="s">
        <v>448</v>
      </c>
    </row>
    <row r="1027" customFormat="false" ht="46.25" hidden="false" customHeight="false" outlineLevel="0" collapsed="false">
      <c r="A1027" s="6" t="s">
        <v>2673</v>
      </c>
      <c r="B1027" s="6" t="s">
        <v>105</v>
      </c>
      <c r="C1027" s="6" t="s">
        <v>106</v>
      </c>
      <c r="D1027" s="6" t="s">
        <v>140</v>
      </c>
      <c r="E1027" s="6" t="s">
        <v>141</v>
      </c>
      <c r="F1027" s="6" t="s">
        <v>198</v>
      </c>
      <c r="G1027" s="6" t="s">
        <v>548</v>
      </c>
      <c r="H1027" s="6" t="s">
        <v>228</v>
      </c>
      <c r="I1027" s="6" t="s">
        <v>2674</v>
      </c>
      <c r="J1027" s="6" t="s">
        <v>242</v>
      </c>
      <c r="K1027" s="6" t="s">
        <v>2475</v>
      </c>
      <c r="L1027" s="6" t="s">
        <v>205</v>
      </c>
      <c r="M1027" s="6" t="s">
        <v>561</v>
      </c>
      <c r="N1027" s="6" t="s">
        <v>290</v>
      </c>
      <c r="O1027" s="6" t="s">
        <v>2483</v>
      </c>
      <c r="P1027" s="6" t="str">
        <f aca="false">IF(J1027="S0","—",IF(K1027="","",IF(L1027="E0","QM",INDEX(10_ASIL_Matrix!$D$4:$F$15,MATCH(J1027&amp;"-"&amp;L1027,10_ASIL_Matrix!$C$4:$C$15,0),MATCH(N1027,10_ASIL_Matrix!$D$3:$F$3,0)))))</f>
        <v>QM</v>
      </c>
      <c r="Q1027" s="6" t="s">
        <v>448</v>
      </c>
    </row>
    <row r="1028" customFormat="false" ht="35.05" hidden="false" customHeight="false" outlineLevel="0" collapsed="false">
      <c r="A1028" s="5" t="s">
        <v>2675</v>
      </c>
      <c r="B1028" s="5" t="s">
        <v>105</v>
      </c>
      <c r="C1028" s="5" t="s">
        <v>106</v>
      </c>
      <c r="D1028" s="5" t="s">
        <v>140</v>
      </c>
      <c r="E1028" s="5" t="s">
        <v>141</v>
      </c>
      <c r="F1028" s="5" t="s">
        <v>198</v>
      </c>
      <c r="G1028" s="5" t="s">
        <v>548</v>
      </c>
      <c r="H1028" s="5" t="s">
        <v>230</v>
      </c>
      <c r="I1028" s="5" t="s">
        <v>2676</v>
      </c>
      <c r="J1028" s="5" t="s">
        <v>242</v>
      </c>
      <c r="K1028" s="5" t="s">
        <v>2475</v>
      </c>
      <c r="L1028" s="5" t="s">
        <v>205</v>
      </c>
      <c r="M1028" s="5" t="s">
        <v>564</v>
      </c>
      <c r="N1028" s="5" t="s">
        <v>290</v>
      </c>
      <c r="O1028" s="5" t="s">
        <v>2486</v>
      </c>
      <c r="P1028" s="5" t="str">
        <f aca="false">IF(J1028="S0","—",IF(K1028="","",IF(L1028="E0","QM",INDEX(10_ASIL_Matrix!$D$4:$F$15,MATCH(J1028&amp;"-"&amp;L1028,10_ASIL_Matrix!$C$4:$C$15,0),MATCH(N1028,10_ASIL_Matrix!$D$3:$F$3,0)))))</f>
        <v>QM</v>
      </c>
      <c r="Q1028" s="5" t="s">
        <v>448</v>
      </c>
    </row>
    <row r="1029" customFormat="false" ht="46.25" hidden="false" customHeight="false" outlineLevel="0" collapsed="false">
      <c r="A1029" s="6" t="s">
        <v>2677</v>
      </c>
      <c r="B1029" s="6" t="s">
        <v>105</v>
      </c>
      <c r="C1029" s="6" t="s">
        <v>106</v>
      </c>
      <c r="D1029" s="6" t="s">
        <v>140</v>
      </c>
      <c r="E1029" s="6" t="s">
        <v>141</v>
      </c>
      <c r="F1029" s="6" t="s">
        <v>198</v>
      </c>
      <c r="G1029" s="6" t="s">
        <v>548</v>
      </c>
      <c r="H1029" s="6" t="s">
        <v>232</v>
      </c>
      <c r="I1029" s="6" t="s">
        <v>2678</v>
      </c>
      <c r="J1029" s="6" t="s">
        <v>242</v>
      </c>
      <c r="K1029" s="6" t="s">
        <v>2475</v>
      </c>
      <c r="L1029" s="6" t="s">
        <v>233</v>
      </c>
      <c r="M1029" s="6" t="s">
        <v>568</v>
      </c>
      <c r="N1029" s="6" t="s">
        <v>290</v>
      </c>
      <c r="O1029" s="6" t="s">
        <v>2483</v>
      </c>
      <c r="P1029" s="6" t="str">
        <f aca="false">IF(J1029="S0","—",IF(K1029="","",IF(L1029="E0","QM",INDEX(10_ASIL_Matrix!$D$4:$F$15,MATCH(J1029&amp;"-"&amp;L1029,10_ASIL_Matrix!$C$4:$C$15,0),MATCH(N1029,10_ASIL_Matrix!$D$3:$F$3,0)))))</f>
        <v>QM</v>
      </c>
      <c r="Q1029" s="6" t="s">
        <v>448</v>
      </c>
    </row>
    <row r="1030" customFormat="false" ht="35.05" hidden="false" customHeight="false" outlineLevel="0" collapsed="false">
      <c r="A1030" s="5" t="s">
        <v>2679</v>
      </c>
      <c r="B1030" s="5" t="s">
        <v>105</v>
      </c>
      <c r="C1030" s="5" t="s">
        <v>106</v>
      </c>
      <c r="D1030" s="5" t="s">
        <v>140</v>
      </c>
      <c r="E1030" s="5" t="s">
        <v>141</v>
      </c>
      <c r="F1030" s="5" t="s">
        <v>200</v>
      </c>
      <c r="G1030" s="5" t="s">
        <v>570</v>
      </c>
      <c r="H1030" s="5" t="s">
        <v>222</v>
      </c>
      <c r="I1030" s="5" t="s">
        <v>2680</v>
      </c>
      <c r="J1030" s="5" t="s">
        <v>250</v>
      </c>
      <c r="K1030" s="5" t="s">
        <v>2491</v>
      </c>
      <c r="L1030" s="5" t="s">
        <v>190</v>
      </c>
      <c r="M1030" s="5" t="s">
        <v>573</v>
      </c>
      <c r="N1030" s="5" t="s">
        <v>286</v>
      </c>
      <c r="O1030" s="5" t="s">
        <v>2492</v>
      </c>
      <c r="P1030" s="18" t="str">
        <f aca="false">IF(J1030="S0","—",IF(K1030="","",IF(L1030="E0","QM",INDEX(10_ASIL_Matrix!$D$4:$F$15,MATCH(J1030&amp;"-"&amp;L1030,10_ASIL_Matrix!$C$4:$C$15,0),MATCH(N1030,10_ASIL_Matrix!$D$3:$F$3,0)))))</f>
        <v>B</v>
      </c>
      <c r="Q1030" s="5" t="s">
        <v>448</v>
      </c>
    </row>
    <row r="1031" customFormat="false" ht="35.05" hidden="false" customHeight="false" outlineLevel="0" collapsed="false">
      <c r="A1031" s="6" t="s">
        <v>2681</v>
      </c>
      <c r="B1031" s="6" t="s">
        <v>105</v>
      </c>
      <c r="C1031" s="6" t="s">
        <v>106</v>
      </c>
      <c r="D1031" s="6" t="s">
        <v>140</v>
      </c>
      <c r="E1031" s="6" t="s">
        <v>141</v>
      </c>
      <c r="F1031" s="6" t="s">
        <v>200</v>
      </c>
      <c r="G1031" s="6" t="s">
        <v>570</v>
      </c>
      <c r="H1031" s="6" t="s">
        <v>224</v>
      </c>
      <c r="I1031" s="6" t="s">
        <v>2682</v>
      </c>
      <c r="J1031" s="6" t="s">
        <v>250</v>
      </c>
      <c r="K1031" s="6" t="s">
        <v>2491</v>
      </c>
      <c r="L1031" s="6" t="s">
        <v>190</v>
      </c>
      <c r="M1031" s="6" t="s">
        <v>576</v>
      </c>
      <c r="N1031" s="6" t="s">
        <v>286</v>
      </c>
      <c r="O1031" s="6" t="s">
        <v>2492</v>
      </c>
      <c r="P1031" s="18" t="str">
        <f aca="false">IF(J1031="S0","—",IF(K1031="","",IF(L1031="E0","QM",INDEX(10_ASIL_Matrix!$D$4:$F$15,MATCH(J1031&amp;"-"&amp;L1031,10_ASIL_Matrix!$C$4:$C$15,0),MATCH(N1031,10_ASIL_Matrix!$D$3:$F$3,0)))))</f>
        <v>B</v>
      </c>
      <c r="Q1031" s="6" t="s">
        <v>448</v>
      </c>
    </row>
    <row r="1032" customFormat="false" ht="35.05" hidden="false" customHeight="false" outlineLevel="0" collapsed="false">
      <c r="A1032" s="5" t="s">
        <v>2683</v>
      </c>
      <c r="B1032" s="5" t="s">
        <v>105</v>
      </c>
      <c r="C1032" s="5" t="s">
        <v>106</v>
      </c>
      <c r="D1032" s="5" t="s">
        <v>140</v>
      </c>
      <c r="E1032" s="5" t="s">
        <v>141</v>
      </c>
      <c r="F1032" s="5" t="s">
        <v>200</v>
      </c>
      <c r="G1032" s="5" t="s">
        <v>570</v>
      </c>
      <c r="H1032" s="5" t="s">
        <v>226</v>
      </c>
      <c r="I1032" s="5" t="s">
        <v>2684</v>
      </c>
      <c r="J1032" s="5" t="s">
        <v>250</v>
      </c>
      <c r="K1032" s="5" t="s">
        <v>2491</v>
      </c>
      <c r="L1032" s="5" t="s">
        <v>190</v>
      </c>
      <c r="M1032" s="5" t="s">
        <v>579</v>
      </c>
      <c r="N1032" s="5" t="s">
        <v>286</v>
      </c>
      <c r="O1032" s="5" t="s">
        <v>2492</v>
      </c>
      <c r="P1032" s="18" t="str">
        <f aca="false">IF(J1032="S0","—",IF(K1032="","",IF(L1032="E0","QM",INDEX(10_ASIL_Matrix!$D$4:$F$15,MATCH(J1032&amp;"-"&amp;L1032,10_ASIL_Matrix!$C$4:$C$15,0),MATCH(N1032,10_ASIL_Matrix!$D$3:$F$3,0)))))</f>
        <v>B</v>
      </c>
      <c r="Q1032" s="5" t="s">
        <v>448</v>
      </c>
    </row>
    <row r="1033" customFormat="false" ht="35.05" hidden="false" customHeight="false" outlineLevel="0" collapsed="false">
      <c r="A1033" s="6" t="s">
        <v>2685</v>
      </c>
      <c r="B1033" s="6" t="s">
        <v>105</v>
      </c>
      <c r="C1033" s="6" t="s">
        <v>106</v>
      </c>
      <c r="D1033" s="6" t="s">
        <v>140</v>
      </c>
      <c r="E1033" s="6" t="s">
        <v>141</v>
      </c>
      <c r="F1033" s="6" t="s">
        <v>200</v>
      </c>
      <c r="G1033" s="6" t="s">
        <v>570</v>
      </c>
      <c r="H1033" s="6" t="s">
        <v>228</v>
      </c>
      <c r="I1033" s="6" t="s">
        <v>2686</v>
      </c>
      <c r="J1033" s="6" t="s">
        <v>250</v>
      </c>
      <c r="K1033" s="6" t="s">
        <v>2491</v>
      </c>
      <c r="L1033" s="6" t="s">
        <v>205</v>
      </c>
      <c r="M1033" s="6" t="s">
        <v>582</v>
      </c>
      <c r="N1033" s="6" t="s">
        <v>290</v>
      </c>
      <c r="O1033" s="6" t="s">
        <v>2499</v>
      </c>
      <c r="P1033" s="18" t="str">
        <f aca="false">IF(J1033="S0","—",IF(K1033="","",IF(L1033="E0","QM",INDEX(10_ASIL_Matrix!$D$4:$F$15,MATCH(J1033&amp;"-"&amp;L1033,10_ASIL_Matrix!$C$4:$C$15,0),MATCH(N1033,10_ASIL_Matrix!$D$3:$F$3,0)))))</f>
        <v>B</v>
      </c>
      <c r="Q1033" s="6" t="s">
        <v>448</v>
      </c>
    </row>
    <row r="1034" customFormat="false" ht="35.05" hidden="false" customHeight="false" outlineLevel="0" collapsed="false">
      <c r="A1034" s="5" t="s">
        <v>2687</v>
      </c>
      <c r="B1034" s="5" t="s">
        <v>105</v>
      </c>
      <c r="C1034" s="5" t="s">
        <v>106</v>
      </c>
      <c r="D1034" s="5" t="s">
        <v>140</v>
      </c>
      <c r="E1034" s="5" t="s">
        <v>141</v>
      </c>
      <c r="F1034" s="5" t="s">
        <v>200</v>
      </c>
      <c r="G1034" s="5" t="s">
        <v>570</v>
      </c>
      <c r="H1034" s="5" t="s">
        <v>230</v>
      </c>
      <c r="I1034" s="5" t="s">
        <v>2688</v>
      </c>
      <c r="J1034" s="5" t="s">
        <v>250</v>
      </c>
      <c r="K1034" s="5" t="s">
        <v>2491</v>
      </c>
      <c r="L1034" s="5" t="s">
        <v>205</v>
      </c>
      <c r="M1034" s="5" t="s">
        <v>585</v>
      </c>
      <c r="N1034" s="5" t="s">
        <v>290</v>
      </c>
      <c r="O1034" s="5" t="s">
        <v>2502</v>
      </c>
      <c r="P1034" s="18" t="str">
        <f aca="false">IF(J1034="S0","—",IF(K1034="","",IF(L1034="E0","QM",INDEX(10_ASIL_Matrix!$D$4:$F$15,MATCH(J1034&amp;"-"&amp;L1034,10_ASIL_Matrix!$C$4:$C$15,0),MATCH(N1034,10_ASIL_Matrix!$D$3:$F$3,0)))))</f>
        <v>B</v>
      </c>
      <c r="Q1034" s="5" t="s">
        <v>448</v>
      </c>
    </row>
    <row r="1035" customFormat="false" ht="46.25" hidden="false" customHeight="false" outlineLevel="0" collapsed="false">
      <c r="A1035" s="6" t="s">
        <v>2689</v>
      </c>
      <c r="B1035" s="6" t="s">
        <v>105</v>
      </c>
      <c r="C1035" s="6" t="s">
        <v>106</v>
      </c>
      <c r="D1035" s="6" t="s">
        <v>140</v>
      </c>
      <c r="E1035" s="6" t="s">
        <v>141</v>
      </c>
      <c r="F1035" s="6" t="s">
        <v>200</v>
      </c>
      <c r="G1035" s="6" t="s">
        <v>570</v>
      </c>
      <c r="H1035" s="6" t="s">
        <v>232</v>
      </c>
      <c r="I1035" s="6" t="s">
        <v>2690</v>
      </c>
      <c r="J1035" s="6" t="s">
        <v>250</v>
      </c>
      <c r="K1035" s="6" t="s">
        <v>2491</v>
      </c>
      <c r="L1035" s="6" t="s">
        <v>233</v>
      </c>
      <c r="M1035" s="6" t="s">
        <v>588</v>
      </c>
      <c r="N1035" s="6" t="s">
        <v>290</v>
      </c>
      <c r="O1035" s="6" t="s">
        <v>2499</v>
      </c>
      <c r="P1035" s="19" t="str">
        <f aca="false">IF(J1035="S0","—",IF(K1035="","",IF(L1035="E0","QM",INDEX(10_ASIL_Matrix!$D$4:$F$15,MATCH(J1035&amp;"-"&amp;L1035,10_ASIL_Matrix!$C$4:$C$15,0),MATCH(N1035,10_ASIL_Matrix!$D$3:$F$3,0)))))</f>
        <v>A</v>
      </c>
      <c r="Q1035" s="6" t="s">
        <v>448</v>
      </c>
    </row>
    <row r="1036" customFormat="false" ht="35.05" hidden="false" customHeight="false" outlineLevel="0" collapsed="false">
      <c r="A1036" s="5" t="s">
        <v>2691</v>
      </c>
      <c r="B1036" s="5" t="s">
        <v>105</v>
      </c>
      <c r="C1036" s="5" t="s">
        <v>106</v>
      </c>
      <c r="D1036" s="5" t="s">
        <v>140</v>
      </c>
      <c r="E1036" s="5" t="s">
        <v>141</v>
      </c>
      <c r="F1036" s="5" t="s">
        <v>202</v>
      </c>
      <c r="G1036" s="5" t="s">
        <v>590</v>
      </c>
      <c r="H1036" s="5" t="s">
        <v>222</v>
      </c>
      <c r="I1036" s="5" t="s">
        <v>2692</v>
      </c>
      <c r="J1036" s="5" t="s">
        <v>238</v>
      </c>
      <c r="K1036" s="5" t="s">
        <v>2410</v>
      </c>
      <c r="L1036" s="5" t="s">
        <v>187</v>
      </c>
      <c r="M1036" s="5" t="s">
        <v>592</v>
      </c>
      <c r="N1036" s="5" t="s">
        <v>278</v>
      </c>
      <c r="O1036" s="5" t="s">
        <v>634</v>
      </c>
      <c r="P1036" s="5" t="str">
        <f aca="false">IF(J1036="S0","—",IF(K1036="","",IF(L1036="E0","QM",INDEX(10_ASIL_Matrix!$D$4:$F$15,MATCH(J1036&amp;"-"&amp;L1036,10_ASIL_Matrix!$C$4:$C$15,0),MATCH(N1036,10_ASIL_Matrix!$D$3:$F$3,0)))))</f>
        <v>—</v>
      </c>
      <c r="Q1036" s="5" t="s">
        <v>448</v>
      </c>
    </row>
    <row r="1037" customFormat="false" ht="35.05" hidden="false" customHeight="false" outlineLevel="0" collapsed="false">
      <c r="A1037" s="6" t="s">
        <v>2693</v>
      </c>
      <c r="B1037" s="6" t="s">
        <v>105</v>
      </c>
      <c r="C1037" s="6" t="s">
        <v>106</v>
      </c>
      <c r="D1037" s="6" t="s">
        <v>140</v>
      </c>
      <c r="E1037" s="6" t="s">
        <v>141</v>
      </c>
      <c r="F1037" s="6" t="s">
        <v>202</v>
      </c>
      <c r="G1037" s="6" t="s">
        <v>590</v>
      </c>
      <c r="H1037" s="6" t="s">
        <v>224</v>
      </c>
      <c r="I1037" s="6" t="s">
        <v>2694</v>
      </c>
      <c r="J1037" s="6" t="s">
        <v>238</v>
      </c>
      <c r="K1037" s="6" t="s">
        <v>2410</v>
      </c>
      <c r="L1037" s="6" t="s">
        <v>190</v>
      </c>
      <c r="M1037" s="6" t="s">
        <v>595</v>
      </c>
      <c r="N1037" s="6" t="s">
        <v>278</v>
      </c>
      <c r="O1037" s="6" t="s">
        <v>634</v>
      </c>
      <c r="P1037" s="6" t="str">
        <f aca="false">IF(J1037="S0","—",IF(K1037="","",IF(L1037="E0","QM",INDEX(10_ASIL_Matrix!$D$4:$F$15,MATCH(J1037&amp;"-"&amp;L1037,10_ASIL_Matrix!$C$4:$C$15,0),MATCH(N1037,10_ASIL_Matrix!$D$3:$F$3,0)))))</f>
        <v>—</v>
      </c>
      <c r="Q1037" s="6" t="s">
        <v>448</v>
      </c>
    </row>
    <row r="1038" customFormat="false" ht="35.05" hidden="false" customHeight="false" outlineLevel="0" collapsed="false">
      <c r="A1038" s="5" t="s">
        <v>2695</v>
      </c>
      <c r="B1038" s="5" t="s">
        <v>105</v>
      </c>
      <c r="C1038" s="5" t="s">
        <v>106</v>
      </c>
      <c r="D1038" s="5" t="s">
        <v>140</v>
      </c>
      <c r="E1038" s="5" t="s">
        <v>141</v>
      </c>
      <c r="F1038" s="5" t="s">
        <v>202</v>
      </c>
      <c r="G1038" s="5" t="s">
        <v>590</v>
      </c>
      <c r="H1038" s="5" t="s">
        <v>226</v>
      </c>
      <c r="I1038" s="5" t="s">
        <v>2696</v>
      </c>
      <c r="J1038" s="5" t="s">
        <v>238</v>
      </c>
      <c r="K1038" s="5" t="s">
        <v>2410</v>
      </c>
      <c r="L1038" s="5" t="s">
        <v>190</v>
      </c>
      <c r="M1038" s="5" t="s">
        <v>598</v>
      </c>
      <c r="N1038" s="5" t="s">
        <v>278</v>
      </c>
      <c r="O1038" s="5" t="s">
        <v>634</v>
      </c>
      <c r="P1038" s="5" t="str">
        <f aca="false">IF(J1038="S0","—",IF(K1038="","",IF(L1038="E0","QM",INDEX(10_ASIL_Matrix!$D$4:$F$15,MATCH(J1038&amp;"-"&amp;L1038,10_ASIL_Matrix!$C$4:$C$15,0),MATCH(N1038,10_ASIL_Matrix!$D$3:$F$3,0)))))</f>
        <v>—</v>
      </c>
      <c r="Q1038" s="5" t="s">
        <v>448</v>
      </c>
    </row>
    <row r="1039" customFormat="false" ht="35.05" hidden="false" customHeight="false" outlineLevel="0" collapsed="false">
      <c r="A1039" s="6" t="s">
        <v>2697</v>
      </c>
      <c r="B1039" s="6" t="s">
        <v>105</v>
      </c>
      <c r="C1039" s="6" t="s">
        <v>106</v>
      </c>
      <c r="D1039" s="6" t="s">
        <v>140</v>
      </c>
      <c r="E1039" s="6" t="s">
        <v>141</v>
      </c>
      <c r="F1039" s="6" t="s">
        <v>202</v>
      </c>
      <c r="G1039" s="6" t="s">
        <v>590</v>
      </c>
      <c r="H1039" s="6" t="s">
        <v>228</v>
      </c>
      <c r="I1039" s="6" t="s">
        <v>2698</v>
      </c>
      <c r="J1039" s="6" t="s">
        <v>238</v>
      </c>
      <c r="K1039" s="6" t="s">
        <v>2410</v>
      </c>
      <c r="L1039" s="6" t="s">
        <v>205</v>
      </c>
      <c r="M1039" s="6" t="s">
        <v>601</v>
      </c>
      <c r="N1039" s="6" t="s">
        <v>278</v>
      </c>
      <c r="O1039" s="6" t="s">
        <v>634</v>
      </c>
      <c r="P1039" s="6" t="str">
        <f aca="false">IF(J1039="S0","—",IF(K1039="","",IF(L1039="E0","QM",INDEX(10_ASIL_Matrix!$D$4:$F$15,MATCH(J1039&amp;"-"&amp;L1039,10_ASIL_Matrix!$C$4:$C$15,0),MATCH(N1039,10_ASIL_Matrix!$D$3:$F$3,0)))))</f>
        <v>—</v>
      </c>
      <c r="Q1039" s="6" t="s">
        <v>448</v>
      </c>
    </row>
    <row r="1040" customFormat="false" ht="35.05" hidden="false" customHeight="false" outlineLevel="0" collapsed="false">
      <c r="A1040" s="5" t="s">
        <v>2699</v>
      </c>
      <c r="B1040" s="5" t="s">
        <v>105</v>
      </c>
      <c r="C1040" s="5" t="s">
        <v>106</v>
      </c>
      <c r="D1040" s="5" t="s">
        <v>140</v>
      </c>
      <c r="E1040" s="5" t="s">
        <v>141</v>
      </c>
      <c r="F1040" s="5" t="s">
        <v>202</v>
      </c>
      <c r="G1040" s="5" t="s">
        <v>590</v>
      </c>
      <c r="H1040" s="5" t="s">
        <v>230</v>
      </c>
      <c r="I1040" s="5" t="s">
        <v>2700</v>
      </c>
      <c r="J1040" s="5" t="s">
        <v>238</v>
      </c>
      <c r="K1040" s="5" t="s">
        <v>2410</v>
      </c>
      <c r="L1040" s="5" t="s">
        <v>205</v>
      </c>
      <c r="M1040" s="5" t="s">
        <v>604</v>
      </c>
      <c r="N1040" s="5" t="s">
        <v>278</v>
      </c>
      <c r="O1040" s="5" t="s">
        <v>634</v>
      </c>
      <c r="P1040" s="5" t="str">
        <f aca="false">IF(J1040="S0","—",IF(K1040="","",IF(L1040="E0","QM",INDEX(10_ASIL_Matrix!$D$4:$F$15,MATCH(J1040&amp;"-"&amp;L1040,10_ASIL_Matrix!$C$4:$C$15,0),MATCH(N1040,10_ASIL_Matrix!$D$3:$F$3,0)))))</f>
        <v>—</v>
      </c>
      <c r="Q1040" s="5" t="s">
        <v>448</v>
      </c>
    </row>
    <row r="1041" customFormat="false" ht="46.25" hidden="false" customHeight="false" outlineLevel="0" collapsed="false">
      <c r="A1041" s="6" t="s">
        <v>2701</v>
      </c>
      <c r="B1041" s="6" t="s">
        <v>105</v>
      </c>
      <c r="C1041" s="6" t="s">
        <v>106</v>
      </c>
      <c r="D1041" s="6" t="s">
        <v>140</v>
      </c>
      <c r="E1041" s="6" t="s">
        <v>141</v>
      </c>
      <c r="F1041" s="6" t="s">
        <v>202</v>
      </c>
      <c r="G1041" s="6" t="s">
        <v>590</v>
      </c>
      <c r="H1041" s="6" t="s">
        <v>232</v>
      </c>
      <c r="I1041" s="6" t="s">
        <v>2702</v>
      </c>
      <c r="J1041" s="6" t="s">
        <v>238</v>
      </c>
      <c r="K1041" s="6" t="s">
        <v>2410</v>
      </c>
      <c r="L1041" s="6" t="s">
        <v>233</v>
      </c>
      <c r="M1041" s="6" t="s">
        <v>607</v>
      </c>
      <c r="N1041" s="6" t="s">
        <v>278</v>
      </c>
      <c r="O1041" s="6" t="s">
        <v>634</v>
      </c>
      <c r="P1041" s="6" t="str">
        <f aca="false">IF(J1041="S0","—",IF(K1041="","",IF(L1041="E0","QM",INDEX(10_ASIL_Matrix!$D$4:$F$15,MATCH(J1041&amp;"-"&amp;L1041,10_ASIL_Matrix!$C$4:$C$15,0),MATCH(N1041,10_ASIL_Matrix!$D$3:$F$3,0)))))</f>
        <v>—</v>
      </c>
      <c r="Q1041" s="6" t="s">
        <v>448</v>
      </c>
    </row>
    <row r="1042" customFormat="false" ht="35.05" hidden="false" customHeight="false" outlineLevel="0" collapsed="false">
      <c r="A1042" s="5" t="s">
        <v>2703</v>
      </c>
      <c r="B1042" s="5" t="s">
        <v>105</v>
      </c>
      <c r="C1042" s="5" t="s">
        <v>106</v>
      </c>
      <c r="D1042" s="5" t="s">
        <v>140</v>
      </c>
      <c r="E1042" s="5" t="s">
        <v>141</v>
      </c>
      <c r="F1042" s="5" t="s">
        <v>204</v>
      </c>
      <c r="G1042" s="5" t="s">
        <v>609</v>
      </c>
      <c r="H1042" s="5" t="s">
        <v>222</v>
      </c>
      <c r="I1042" s="5" t="s">
        <v>2704</v>
      </c>
      <c r="J1042" s="5" t="s">
        <v>250</v>
      </c>
      <c r="K1042" s="5" t="s">
        <v>2519</v>
      </c>
      <c r="L1042" s="5" t="s">
        <v>205</v>
      </c>
      <c r="M1042" s="5" t="s">
        <v>612</v>
      </c>
      <c r="N1042" s="5" t="s">
        <v>290</v>
      </c>
      <c r="O1042" s="5" t="s">
        <v>2520</v>
      </c>
      <c r="P1042" s="18" t="str">
        <f aca="false">IF(J1042="S0","—",IF(K1042="","",IF(L1042="E0","QM",INDEX(10_ASIL_Matrix!$D$4:$F$15,MATCH(J1042&amp;"-"&amp;L1042,10_ASIL_Matrix!$C$4:$C$15,0),MATCH(N1042,10_ASIL_Matrix!$D$3:$F$3,0)))))</f>
        <v>B</v>
      </c>
      <c r="Q1042" s="5" t="s">
        <v>448</v>
      </c>
    </row>
    <row r="1043" customFormat="false" ht="35.05" hidden="false" customHeight="false" outlineLevel="0" collapsed="false">
      <c r="A1043" s="6" t="s">
        <v>2705</v>
      </c>
      <c r="B1043" s="6" t="s">
        <v>105</v>
      </c>
      <c r="C1043" s="6" t="s">
        <v>106</v>
      </c>
      <c r="D1043" s="6" t="s">
        <v>140</v>
      </c>
      <c r="E1043" s="6" t="s">
        <v>141</v>
      </c>
      <c r="F1043" s="6" t="s">
        <v>204</v>
      </c>
      <c r="G1043" s="6" t="s">
        <v>609</v>
      </c>
      <c r="H1043" s="6" t="s">
        <v>224</v>
      </c>
      <c r="I1043" s="6" t="s">
        <v>2706</v>
      </c>
      <c r="J1043" s="6" t="s">
        <v>250</v>
      </c>
      <c r="K1043" s="6" t="s">
        <v>2519</v>
      </c>
      <c r="L1043" s="6" t="s">
        <v>205</v>
      </c>
      <c r="M1043" s="6" t="s">
        <v>616</v>
      </c>
      <c r="N1043" s="6" t="s">
        <v>290</v>
      </c>
      <c r="O1043" s="6" t="s">
        <v>2520</v>
      </c>
      <c r="P1043" s="18" t="str">
        <f aca="false">IF(J1043="S0","—",IF(K1043="","",IF(L1043="E0","QM",INDEX(10_ASIL_Matrix!$D$4:$F$15,MATCH(J1043&amp;"-"&amp;L1043,10_ASIL_Matrix!$C$4:$C$15,0),MATCH(N1043,10_ASIL_Matrix!$D$3:$F$3,0)))))</f>
        <v>B</v>
      </c>
      <c r="Q1043" s="6" t="s">
        <v>448</v>
      </c>
    </row>
    <row r="1044" customFormat="false" ht="35.05" hidden="false" customHeight="false" outlineLevel="0" collapsed="false">
      <c r="A1044" s="5" t="s">
        <v>2707</v>
      </c>
      <c r="B1044" s="5" t="s">
        <v>105</v>
      </c>
      <c r="C1044" s="5" t="s">
        <v>106</v>
      </c>
      <c r="D1044" s="5" t="s">
        <v>140</v>
      </c>
      <c r="E1044" s="5" t="s">
        <v>141</v>
      </c>
      <c r="F1044" s="5" t="s">
        <v>204</v>
      </c>
      <c r="G1044" s="5" t="s">
        <v>609</v>
      </c>
      <c r="H1044" s="5" t="s">
        <v>226</v>
      </c>
      <c r="I1044" s="5" t="s">
        <v>2708</v>
      </c>
      <c r="J1044" s="5" t="s">
        <v>250</v>
      </c>
      <c r="K1044" s="5" t="s">
        <v>2519</v>
      </c>
      <c r="L1044" s="5" t="s">
        <v>205</v>
      </c>
      <c r="M1044" s="5" t="s">
        <v>619</v>
      </c>
      <c r="N1044" s="5" t="s">
        <v>290</v>
      </c>
      <c r="O1044" s="5" t="s">
        <v>2520</v>
      </c>
      <c r="P1044" s="18" t="str">
        <f aca="false">IF(J1044="S0","—",IF(K1044="","",IF(L1044="E0","QM",INDEX(10_ASIL_Matrix!$D$4:$F$15,MATCH(J1044&amp;"-"&amp;L1044,10_ASIL_Matrix!$C$4:$C$15,0),MATCH(N1044,10_ASIL_Matrix!$D$3:$F$3,0)))))</f>
        <v>B</v>
      </c>
      <c r="Q1044" s="5" t="s">
        <v>448</v>
      </c>
    </row>
    <row r="1045" customFormat="false" ht="35.05" hidden="false" customHeight="false" outlineLevel="0" collapsed="false">
      <c r="A1045" s="6" t="s">
        <v>2709</v>
      </c>
      <c r="B1045" s="6" t="s">
        <v>105</v>
      </c>
      <c r="C1045" s="6" t="s">
        <v>106</v>
      </c>
      <c r="D1045" s="6" t="s">
        <v>140</v>
      </c>
      <c r="E1045" s="6" t="s">
        <v>141</v>
      </c>
      <c r="F1045" s="6" t="s">
        <v>204</v>
      </c>
      <c r="G1045" s="6" t="s">
        <v>609</v>
      </c>
      <c r="H1045" s="6" t="s">
        <v>228</v>
      </c>
      <c r="I1045" s="6" t="s">
        <v>2710</v>
      </c>
      <c r="J1045" s="6" t="s">
        <v>250</v>
      </c>
      <c r="K1045" s="6" t="s">
        <v>2519</v>
      </c>
      <c r="L1045" s="6" t="s">
        <v>205</v>
      </c>
      <c r="M1045" s="6" t="s">
        <v>622</v>
      </c>
      <c r="N1045" s="6" t="s">
        <v>290</v>
      </c>
      <c r="O1045" s="6" t="s">
        <v>2527</v>
      </c>
      <c r="P1045" s="18" t="str">
        <f aca="false">IF(J1045="S0","—",IF(K1045="","",IF(L1045="E0","QM",INDEX(10_ASIL_Matrix!$D$4:$F$15,MATCH(J1045&amp;"-"&amp;L1045,10_ASIL_Matrix!$C$4:$C$15,0),MATCH(N1045,10_ASIL_Matrix!$D$3:$F$3,0)))))</f>
        <v>B</v>
      </c>
      <c r="Q1045" s="6" t="s">
        <v>448</v>
      </c>
    </row>
    <row r="1046" customFormat="false" ht="35.05" hidden="false" customHeight="false" outlineLevel="0" collapsed="false">
      <c r="A1046" s="5" t="s">
        <v>2711</v>
      </c>
      <c r="B1046" s="5" t="s">
        <v>105</v>
      </c>
      <c r="C1046" s="5" t="s">
        <v>106</v>
      </c>
      <c r="D1046" s="5" t="s">
        <v>140</v>
      </c>
      <c r="E1046" s="5" t="s">
        <v>141</v>
      </c>
      <c r="F1046" s="5" t="s">
        <v>204</v>
      </c>
      <c r="G1046" s="5" t="s">
        <v>609</v>
      </c>
      <c r="H1046" s="5" t="s">
        <v>230</v>
      </c>
      <c r="I1046" s="5" t="s">
        <v>2712</v>
      </c>
      <c r="J1046" s="5" t="s">
        <v>250</v>
      </c>
      <c r="K1046" s="5" t="s">
        <v>2519</v>
      </c>
      <c r="L1046" s="5" t="s">
        <v>205</v>
      </c>
      <c r="M1046" s="5" t="s">
        <v>625</v>
      </c>
      <c r="N1046" s="5" t="s">
        <v>290</v>
      </c>
      <c r="O1046" s="5" t="s">
        <v>2530</v>
      </c>
      <c r="P1046" s="18" t="str">
        <f aca="false">IF(J1046="S0","—",IF(K1046="","",IF(L1046="E0","QM",INDEX(10_ASIL_Matrix!$D$4:$F$15,MATCH(J1046&amp;"-"&amp;L1046,10_ASIL_Matrix!$C$4:$C$15,0),MATCH(N1046,10_ASIL_Matrix!$D$3:$F$3,0)))))</f>
        <v>B</v>
      </c>
      <c r="Q1046" s="5" t="s">
        <v>448</v>
      </c>
    </row>
    <row r="1047" customFormat="false" ht="46.25" hidden="false" customHeight="false" outlineLevel="0" collapsed="false">
      <c r="A1047" s="6" t="s">
        <v>2713</v>
      </c>
      <c r="B1047" s="6" t="s">
        <v>105</v>
      </c>
      <c r="C1047" s="6" t="s">
        <v>106</v>
      </c>
      <c r="D1047" s="6" t="s">
        <v>140</v>
      </c>
      <c r="E1047" s="6" t="s">
        <v>141</v>
      </c>
      <c r="F1047" s="6" t="s">
        <v>204</v>
      </c>
      <c r="G1047" s="6" t="s">
        <v>609</v>
      </c>
      <c r="H1047" s="6" t="s">
        <v>232</v>
      </c>
      <c r="I1047" s="6" t="s">
        <v>2714</v>
      </c>
      <c r="J1047" s="6" t="s">
        <v>250</v>
      </c>
      <c r="K1047" s="6" t="s">
        <v>2519</v>
      </c>
      <c r="L1047" s="6" t="s">
        <v>233</v>
      </c>
      <c r="M1047" s="6" t="s">
        <v>629</v>
      </c>
      <c r="N1047" s="6" t="s">
        <v>290</v>
      </c>
      <c r="O1047" s="6" t="s">
        <v>2527</v>
      </c>
      <c r="P1047" s="19" t="str">
        <f aca="false">IF(J1047="S0","—",IF(K1047="","",IF(L1047="E0","QM",INDEX(10_ASIL_Matrix!$D$4:$F$15,MATCH(J1047&amp;"-"&amp;L1047,10_ASIL_Matrix!$C$4:$C$15,0),MATCH(N1047,10_ASIL_Matrix!$D$3:$F$3,0)))))</f>
        <v>A</v>
      </c>
      <c r="Q1047" s="6" t="s">
        <v>448</v>
      </c>
    </row>
    <row r="1048" customFormat="false" ht="35.05" hidden="false" customHeight="false" outlineLevel="0" collapsed="false">
      <c r="A1048" s="5" t="s">
        <v>2715</v>
      </c>
      <c r="B1048" s="5" t="s">
        <v>105</v>
      </c>
      <c r="C1048" s="5" t="s">
        <v>106</v>
      </c>
      <c r="D1048" s="5" t="s">
        <v>140</v>
      </c>
      <c r="E1048" s="5" t="s">
        <v>141</v>
      </c>
      <c r="F1048" s="5" t="s">
        <v>207</v>
      </c>
      <c r="G1048" s="5" t="s">
        <v>609</v>
      </c>
      <c r="H1048" s="5" t="s">
        <v>222</v>
      </c>
      <c r="I1048" s="5" t="s">
        <v>2716</v>
      </c>
      <c r="J1048" s="5" t="s">
        <v>238</v>
      </c>
      <c r="K1048" s="5" t="s">
        <v>2410</v>
      </c>
      <c r="L1048" s="5" t="s">
        <v>190</v>
      </c>
      <c r="M1048" s="5" t="s">
        <v>633</v>
      </c>
      <c r="N1048" s="5" t="s">
        <v>278</v>
      </c>
      <c r="O1048" s="5" t="s">
        <v>634</v>
      </c>
      <c r="P1048" s="5" t="str">
        <f aca="false">IF(J1048="S0","—",IF(K1048="","",IF(L1048="E0","QM",INDEX(10_ASIL_Matrix!$D$4:$F$15,MATCH(J1048&amp;"-"&amp;L1048,10_ASIL_Matrix!$C$4:$C$15,0),MATCH(N1048,10_ASIL_Matrix!$D$3:$F$3,0)))))</f>
        <v>—</v>
      </c>
      <c r="Q1048" s="5" t="s">
        <v>448</v>
      </c>
    </row>
    <row r="1049" customFormat="false" ht="35.05" hidden="false" customHeight="false" outlineLevel="0" collapsed="false">
      <c r="A1049" s="6" t="s">
        <v>2717</v>
      </c>
      <c r="B1049" s="6" t="s">
        <v>105</v>
      </c>
      <c r="C1049" s="6" t="s">
        <v>106</v>
      </c>
      <c r="D1049" s="6" t="s">
        <v>140</v>
      </c>
      <c r="E1049" s="6" t="s">
        <v>141</v>
      </c>
      <c r="F1049" s="6" t="s">
        <v>207</v>
      </c>
      <c r="G1049" s="6" t="s">
        <v>609</v>
      </c>
      <c r="H1049" s="6" t="s">
        <v>224</v>
      </c>
      <c r="I1049" s="6" t="s">
        <v>2718</v>
      </c>
      <c r="J1049" s="6" t="s">
        <v>238</v>
      </c>
      <c r="K1049" s="6" t="s">
        <v>2410</v>
      </c>
      <c r="L1049" s="6" t="s">
        <v>190</v>
      </c>
      <c r="M1049" s="6" t="s">
        <v>637</v>
      </c>
      <c r="N1049" s="6" t="s">
        <v>278</v>
      </c>
      <c r="O1049" s="6" t="s">
        <v>634</v>
      </c>
      <c r="P1049" s="6" t="str">
        <f aca="false">IF(J1049="S0","—",IF(K1049="","",IF(L1049="E0","QM",INDEX(10_ASIL_Matrix!$D$4:$F$15,MATCH(J1049&amp;"-"&amp;L1049,10_ASIL_Matrix!$C$4:$C$15,0),MATCH(N1049,10_ASIL_Matrix!$D$3:$F$3,0)))))</f>
        <v>—</v>
      </c>
      <c r="Q1049" s="6" t="s">
        <v>448</v>
      </c>
    </row>
    <row r="1050" customFormat="false" ht="35.05" hidden="false" customHeight="false" outlineLevel="0" collapsed="false">
      <c r="A1050" s="5" t="s">
        <v>2719</v>
      </c>
      <c r="B1050" s="5" t="s">
        <v>105</v>
      </c>
      <c r="C1050" s="5" t="s">
        <v>106</v>
      </c>
      <c r="D1050" s="5" t="s">
        <v>140</v>
      </c>
      <c r="E1050" s="5" t="s">
        <v>141</v>
      </c>
      <c r="F1050" s="5" t="s">
        <v>207</v>
      </c>
      <c r="G1050" s="5" t="s">
        <v>609</v>
      </c>
      <c r="H1050" s="5" t="s">
        <v>226</v>
      </c>
      <c r="I1050" s="5" t="s">
        <v>2720</v>
      </c>
      <c r="J1050" s="5" t="s">
        <v>238</v>
      </c>
      <c r="K1050" s="5" t="s">
        <v>2410</v>
      </c>
      <c r="L1050" s="5" t="s">
        <v>190</v>
      </c>
      <c r="M1050" s="5" t="s">
        <v>640</v>
      </c>
      <c r="N1050" s="5" t="s">
        <v>278</v>
      </c>
      <c r="O1050" s="5" t="s">
        <v>634</v>
      </c>
      <c r="P1050" s="5" t="str">
        <f aca="false">IF(J1050="S0","—",IF(K1050="","",IF(L1050="E0","QM",INDEX(10_ASIL_Matrix!$D$4:$F$15,MATCH(J1050&amp;"-"&amp;L1050,10_ASIL_Matrix!$C$4:$C$15,0),MATCH(N1050,10_ASIL_Matrix!$D$3:$F$3,0)))))</f>
        <v>—</v>
      </c>
      <c r="Q1050" s="5" t="s">
        <v>448</v>
      </c>
    </row>
    <row r="1051" customFormat="false" ht="46.25" hidden="false" customHeight="false" outlineLevel="0" collapsed="false">
      <c r="A1051" s="6" t="s">
        <v>2721</v>
      </c>
      <c r="B1051" s="6" t="s">
        <v>105</v>
      </c>
      <c r="C1051" s="6" t="s">
        <v>106</v>
      </c>
      <c r="D1051" s="6" t="s">
        <v>140</v>
      </c>
      <c r="E1051" s="6" t="s">
        <v>141</v>
      </c>
      <c r="F1051" s="6" t="s">
        <v>207</v>
      </c>
      <c r="G1051" s="6" t="s">
        <v>609</v>
      </c>
      <c r="H1051" s="6" t="s">
        <v>228</v>
      </c>
      <c r="I1051" s="6" t="s">
        <v>2722</v>
      </c>
      <c r="J1051" s="6" t="s">
        <v>238</v>
      </c>
      <c r="K1051" s="6" t="s">
        <v>2410</v>
      </c>
      <c r="L1051" s="6" t="s">
        <v>205</v>
      </c>
      <c r="M1051" s="6" t="s">
        <v>643</v>
      </c>
      <c r="N1051" s="6" t="s">
        <v>278</v>
      </c>
      <c r="O1051" s="6" t="s">
        <v>634</v>
      </c>
      <c r="P1051" s="6" t="str">
        <f aca="false">IF(J1051="S0","—",IF(K1051="","",IF(L1051="E0","QM",INDEX(10_ASIL_Matrix!$D$4:$F$15,MATCH(J1051&amp;"-"&amp;L1051,10_ASIL_Matrix!$C$4:$C$15,0),MATCH(N1051,10_ASIL_Matrix!$D$3:$F$3,0)))))</f>
        <v>—</v>
      </c>
      <c r="Q1051" s="6" t="s">
        <v>448</v>
      </c>
    </row>
    <row r="1052" customFormat="false" ht="35.05" hidden="false" customHeight="false" outlineLevel="0" collapsed="false">
      <c r="A1052" s="5" t="s">
        <v>2723</v>
      </c>
      <c r="B1052" s="5" t="s">
        <v>105</v>
      </c>
      <c r="C1052" s="5" t="s">
        <v>106</v>
      </c>
      <c r="D1052" s="5" t="s">
        <v>140</v>
      </c>
      <c r="E1052" s="5" t="s">
        <v>141</v>
      </c>
      <c r="F1052" s="5" t="s">
        <v>207</v>
      </c>
      <c r="G1052" s="5" t="s">
        <v>609</v>
      </c>
      <c r="H1052" s="5" t="s">
        <v>230</v>
      </c>
      <c r="I1052" s="5" t="s">
        <v>2724</v>
      </c>
      <c r="J1052" s="5" t="s">
        <v>238</v>
      </c>
      <c r="K1052" s="5" t="s">
        <v>2410</v>
      </c>
      <c r="L1052" s="5" t="s">
        <v>205</v>
      </c>
      <c r="M1052" s="5" t="s">
        <v>646</v>
      </c>
      <c r="N1052" s="5" t="s">
        <v>278</v>
      </c>
      <c r="O1052" s="5" t="s">
        <v>634</v>
      </c>
      <c r="P1052" s="5" t="str">
        <f aca="false">IF(J1052="S0","—",IF(K1052="","",IF(L1052="E0","QM",INDEX(10_ASIL_Matrix!$D$4:$F$15,MATCH(J1052&amp;"-"&amp;L1052,10_ASIL_Matrix!$C$4:$C$15,0),MATCH(N1052,10_ASIL_Matrix!$D$3:$F$3,0)))))</f>
        <v>—</v>
      </c>
      <c r="Q1052" s="5" t="s">
        <v>448</v>
      </c>
    </row>
    <row r="1053" customFormat="false" ht="46.25" hidden="false" customHeight="false" outlineLevel="0" collapsed="false">
      <c r="A1053" s="6" t="s">
        <v>2725</v>
      </c>
      <c r="B1053" s="6" t="s">
        <v>105</v>
      </c>
      <c r="C1053" s="6" t="s">
        <v>106</v>
      </c>
      <c r="D1053" s="6" t="s">
        <v>140</v>
      </c>
      <c r="E1053" s="6" t="s">
        <v>141</v>
      </c>
      <c r="F1053" s="6" t="s">
        <v>207</v>
      </c>
      <c r="G1053" s="6" t="s">
        <v>609</v>
      </c>
      <c r="H1053" s="6" t="s">
        <v>232</v>
      </c>
      <c r="I1053" s="6" t="s">
        <v>2726</v>
      </c>
      <c r="J1053" s="6" t="s">
        <v>238</v>
      </c>
      <c r="K1053" s="6" t="s">
        <v>2410</v>
      </c>
      <c r="L1053" s="6" t="s">
        <v>233</v>
      </c>
      <c r="M1053" s="6" t="s">
        <v>649</v>
      </c>
      <c r="N1053" s="6" t="s">
        <v>278</v>
      </c>
      <c r="O1053" s="6" t="s">
        <v>634</v>
      </c>
      <c r="P1053" s="6" t="str">
        <f aca="false">IF(J1053="S0","—",IF(K1053="","",IF(L1053="E0","QM",INDEX(10_ASIL_Matrix!$D$4:$F$15,MATCH(J1053&amp;"-"&amp;L1053,10_ASIL_Matrix!$C$4:$C$15,0),MATCH(N1053,10_ASIL_Matrix!$D$3:$F$3,0)))))</f>
        <v>—</v>
      </c>
      <c r="Q1053" s="6" t="s">
        <v>448</v>
      </c>
    </row>
    <row r="1054" customFormat="false" ht="35.05" hidden="false" customHeight="false" outlineLevel="0" collapsed="false">
      <c r="A1054" s="5" t="s">
        <v>2727</v>
      </c>
      <c r="B1054" s="5" t="s">
        <v>105</v>
      </c>
      <c r="C1054" s="5" t="s">
        <v>106</v>
      </c>
      <c r="D1054" s="5" t="s">
        <v>140</v>
      </c>
      <c r="E1054" s="5" t="s">
        <v>141</v>
      </c>
      <c r="F1054" s="5" t="s">
        <v>209</v>
      </c>
      <c r="G1054" s="5" t="s">
        <v>570</v>
      </c>
      <c r="H1054" s="5" t="s">
        <v>222</v>
      </c>
      <c r="I1054" s="5" t="s">
        <v>2728</v>
      </c>
      <c r="J1054" s="5" t="s">
        <v>238</v>
      </c>
      <c r="K1054" s="5" t="s">
        <v>2410</v>
      </c>
      <c r="L1054" s="5" t="s">
        <v>190</v>
      </c>
      <c r="M1054" s="5" t="s">
        <v>653</v>
      </c>
      <c r="N1054" s="5" t="s">
        <v>278</v>
      </c>
      <c r="O1054" s="5" t="s">
        <v>634</v>
      </c>
      <c r="P1054" s="5" t="str">
        <f aca="false">IF(J1054="S0","—",IF(K1054="","",IF(L1054="E0","QM",INDEX(10_ASIL_Matrix!$D$4:$F$15,MATCH(J1054&amp;"-"&amp;L1054,10_ASIL_Matrix!$C$4:$C$15,0),MATCH(N1054,10_ASIL_Matrix!$D$3:$F$3,0)))))</f>
        <v>—</v>
      </c>
      <c r="Q1054" s="5" t="s">
        <v>448</v>
      </c>
    </row>
    <row r="1055" customFormat="false" ht="35.05" hidden="false" customHeight="false" outlineLevel="0" collapsed="false">
      <c r="A1055" s="6" t="s">
        <v>2729</v>
      </c>
      <c r="B1055" s="6" t="s">
        <v>105</v>
      </c>
      <c r="C1055" s="6" t="s">
        <v>106</v>
      </c>
      <c r="D1055" s="6" t="s">
        <v>140</v>
      </c>
      <c r="E1055" s="6" t="s">
        <v>141</v>
      </c>
      <c r="F1055" s="6" t="s">
        <v>209</v>
      </c>
      <c r="G1055" s="6" t="s">
        <v>570</v>
      </c>
      <c r="H1055" s="6" t="s">
        <v>224</v>
      </c>
      <c r="I1055" s="6" t="s">
        <v>2730</v>
      </c>
      <c r="J1055" s="6" t="s">
        <v>238</v>
      </c>
      <c r="K1055" s="6" t="s">
        <v>2410</v>
      </c>
      <c r="L1055" s="6" t="s">
        <v>190</v>
      </c>
      <c r="M1055" s="6" t="s">
        <v>656</v>
      </c>
      <c r="N1055" s="6" t="s">
        <v>278</v>
      </c>
      <c r="O1055" s="6" t="s">
        <v>634</v>
      </c>
      <c r="P1055" s="6" t="str">
        <f aca="false">IF(J1055="S0","—",IF(K1055="","",IF(L1055="E0","QM",INDEX(10_ASIL_Matrix!$D$4:$F$15,MATCH(J1055&amp;"-"&amp;L1055,10_ASIL_Matrix!$C$4:$C$15,0),MATCH(N1055,10_ASIL_Matrix!$D$3:$F$3,0)))))</f>
        <v>—</v>
      </c>
      <c r="Q1055" s="6" t="s">
        <v>448</v>
      </c>
    </row>
    <row r="1056" customFormat="false" ht="35.05" hidden="false" customHeight="false" outlineLevel="0" collapsed="false">
      <c r="A1056" s="5" t="s">
        <v>2731</v>
      </c>
      <c r="B1056" s="5" t="s">
        <v>105</v>
      </c>
      <c r="C1056" s="5" t="s">
        <v>106</v>
      </c>
      <c r="D1056" s="5" t="s">
        <v>140</v>
      </c>
      <c r="E1056" s="5" t="s">
        <v>141</v>
      </c>
      <c r="F1056" s="5" t="s">
        <v>209</v>
      </c>
      <c r="G1056" s="5" t="s">
        <v>570</v>
      </c>
      <c r="H1056" s="5" t="s">
        <v>226</v>
      </c>
      <c r="I1056" s="5" t="s">
        <v>2732</v>
      </c>
      <c r="J1056" s="5" t="s">
        <v>238</v>
      </c>
      <c r="K1056" s="5" t="s">
        <v>2410</v>
      </c>
      <c r="L1056" s="5" t="s">
        <v>190</v>
      </c>
      <c r="M1056" s="5" t="s">
        <v>659</v>
      </c>
      <c r="N1056" s="5" t="s">
        <v>278</v>
      </c>
      <c r="O1056" s="5" t="s">
        <v>634</v>
      </c>
      <c r="P1056" s="5" t="str">
        <f aca="false">IF(J1056="S0","—",IF(K1056="","",IF(L1056="E0","QM",INDEX(10_ASIL_Matrix!$D$4:$F$15,MATCH(J1056&amp;"-"&amp;L1056,10_ASIL_Matrix!$C$4:$C$15,0),MATCH(N1056,10_ASIL_Matrix!$D$3:$F$3,0)))))</f>
        <v>—</v>
      </c>
      <c r="Q1056" s="5" t="s">
        <v>448</v>
      </c>
    </row>
    <row r="1057" customFormat="false" ht="35.05" hidden="false" customHeight="false" outlineLevel="0" collapsed="false">
      <c r="A1057" s="6" t="s">
        <v>2733</v>
      </c>
      <c r="B1057" s="6" t="s">
        <v>105</v>
      </c>
      <c r="C1057" s="6" t="s">
        <v>106</v>
      </c>
      <c r="D1057" s="6" t="s">
        <v>140</v>
      </c>
      <c r="E1057" s="6" t="s">
        <v>141</v>
      </c>
      <c r="F1057" s="6" t="s">
        <v>209</v>
      </c>
      <c r="G1057" s="6" t="s">
        <v>570</v>
      </c>
      <c r="H1057" s="6" t="s">
        <v>228</v>
      </c>
      <c r="I1057" s="6" t="s">
        <v>2734</v>
      </c>
      <c r="J1057" s="6" t="s">
        <v>238</v>
      </c>
      <c r="K1057" s="6" t="s">
        <v>2410</v>
      </c>
      <c r="L1057" s="6" t="s">
        <v>205</v>
      </c>
      <c r="M1057" s="6" t="s">
        <v>662</v>
      </c>
      <c r="N1057" s="6" t="s">
        <v>278</v>
      </c>
      <c r="O1057" s="6" t="s">
        <v>634</v>
      </c>
      <c r="P1057" s="6" t="str">
        <f aca="false">IF(J1057="S0","—",IF(K1057="","",IF(L1057="E0","QM",INDEX(10_ASIL_Matrix!$D$4:$F$15,MATCH(J1057&amp;"-"&amp;L1057,10_ASIL_Matrix!$C$4:$C$15,0),MATCH(N1057,10_ASIL_Matrix!$D$3:$F$3,0)))))</f>
        <v>—</v>
      </c>
      <c r="Q1057" s="6" t="s">
        <v>448</v>
      </c>
    </row>
    <row r="1058" customFormat="false" ht="35.05" hidden="false" customHeight="false" outlineLevel="0" collapsed="false">
      <c r="A1058" s="5" t="s">
        <v>2735</v>
      </c>
      <c r="B1058" s="5" t="s">
        <v>105</v>
      </c>
      <c r="C1058" s="5" t="s">
        <v>106</v>
      </c>
      <c r="D1058" s="5" t="s">
        <v>140</v>
      </c>
      <c r="E1058" s="5" t="s">
        <v>141</v>
      </c>
      <c r="F1058" s="5" t="s">
        <v>209</v>
      </c>
      <c r="G1058" s="5" t="s">
        <v>570</v>
      </c>
      <c r="H1058" s="5" t="s">
        <v>230</v>
      </c>
      <c r="I1058" s="5" t="s">
        <v>2736</v>
      </c>
      <c r="J1058" s="5" t="s">
        <v>238</v>
      </c>
      <c r="K1058" s="5" t="s">
        <v>2410</v>
      </c>
      <c r="L1058" s="5" t="s">
        <v>205</v>
      </c>
      <c r="M1058" s="5" t="s">
        <v>665</v>
      </c>
      <c r="N1058" s="5" t="s">
        <v>278</v>
      </c>
      <c r="O1058" s="5" t="s">
        <v>634</v>
      </c>
      <c r="P1058" s="5" t="str">
        <f aca="false">IF(J1058="S0","—",IF(K1058="","",IF(L1058="E0","QM",INDEX(10_ASIL_Matrix!$D$4:$F$15,MATCH(J1058&amp;"-"&amp;L1058,10_ASIL_Matrix!$C$4:$C$15,0),MATCH(N1058,10_ASIL_Matrix!$D$3:$F$3,0)))))</f>
        <v>—</v>
      </c>
      <c r="Q1058" s="5" t="s">
        <v>448</v>
      </c>
    </row>
    <row r="1059" customFormat="false" ht="46.25" hidden="false" customHeight="false" outlineLevel="0" collapsed="false">
      <c r="A1059" s="6" t="s">
        <v>2737</v>
      </c>
      <c r="B1059" s="6" t="s">
        <v>105</v>
      </c>
      <c r="C1059" s="6" t="s">
        <v>106</v>
      </c>
      <c r="D1059" s="6" t="s">
        <v>140</v>
      </c>
      <c r="E1059" s="6" t="s">
        <v>141</v>
      </c>
      <c r="F1059" s="6" t="s">
        <v>209</v>
      </c>
      <c r="G1059" s="6" t="s">
        <v>570</v>
      </c>
      <c r="H1059" s="6" t="s">
        <v>232</v>
      </c>
      <c r="I1059" s="6" t="s">
        <v>2738</v>
      </c>
      <c r="J1059" s="6" t="s">
        <v>238</v>
      </c>
      <c r="K1059" s="6" t="s">
        <v>2410</v>
      </c>
      <c r="L1059" s="6" t="s">
        <v>233</v>
      </c>
      <c r="M1059" s="6" t="s">
        <v>668</v>
      </c>
      <c r="N1059" s="6" t="s">
        <v>278</v>
      </c>
      <c r="O1059" s="6" t="s">
        <v>634</v>
      </c>
      <c r="P1059" s="6" t="str">
        <f aca="false">IF(J1059="S0","—",IF(K1059="","",IF(L1059="E0","QM",INDEX(10_ASIL_Matrix!$D$4:$F$15,MATCH(J1059&amp;"-"&amp;L1059,10_ASIL_Matrix!$C$4:$C$15,0),MATCH(N1059,10_ASIL_Matrix!$D$3:$F$3,0)))))</f>
        <v>—</v>
      </c>
      <c r="Q1059" s="6" t="s">
        <v>448</v>
      </c>
    </row>
    <row r="1060" customFormat="false" ht="35.05" hidden="false" customHeight="false" outlineLevel="0" collapsed="false">
      <c r="A1060" s="5" t="s">
        <v>2739</v>
      </c>
      <c r="B1060" s="5" t="s">
        <v>105</v>
      </c>
      <c r="C1060" s="5" t="s">
        <v>106</v>
      </c>
      <c r="D1060" s="5" t="s">
        <v>140</v>
      </c>
      <c r="E1060" s="5" t="s">
        <v>141</v>
      </c>
      <c r="F1060" s="5" t="s">
        <v>211</v>
      </c>
      <c r="G1060" s="5" t="s">
        <v>609</v>
      </c>
      <c r="H1060" s="5" t="s">
        <v>222</v>
      </c>
      <c r="I1060" s="5" t="s">
        <v>2740</v>
      </c>
      <c r="J1060" s="5" t="s">
        <v>238</v>
      </c>
      <c r="K1060" s="5" t="s">
        <v>883</v>
      </c>
      <c r="L1060" s="5" t="s">
        <v>187</v>
      </c>
      <c r="M1060" s="5" t="s">
        <v>672</v>
      </c>
      <c r="N1060" s="5" t="s">
        <v>278</v>
      </c>
      <c r="O1060" s="5" t="s">
        <v>634</v>
      </c>
      <c r="P1060" s="5" t="str">
        <f aca="false">IF(J1060="S0","—",IF(K1060="","",IF(L1060="E0","QM",INDEX(10_ASIL_Matrix!$D$4:$F$15,MATCH(J1060&amp;"-"&amp;L1060,10_ASIL_Matrix!$C$4:$C$15,0),MATCH(N1060,10_ASIL_Matrix!$D$3:$F$3,0)))))</f>
        <v>—</v>
      </c>
      <c r="Q1060" s="5" t="s">
        <v>448</v>
      </c>
    </row>
    <row r="1061" customFormat="false" ht="35.05" hidden="false" customHeight="false" outlineLevel="0" collapsed="false">
      <c r="A1061" s="6" t="s">
        <v>2741</v>
      </c>
      <c r="B1061" s="6" t="s">
        <v>105</v>
      </c>
      <c r="C1061" s="6" t="s">
        <v>106</v>
      </c>
      <c r="D1061" s="6" t="s">
        <v>140</v>
      </c>
      <c r="E1061" s="6" t="s">
        <v>141</v>
      </c>
      <c r="F1061" s="6" t="s">
        <v>211</v>
      </c>
      <c r="G1061" s="6" t="s">
        <v>609</v>
      </c>
      <c r="H1061" s="6" t="s">
        <v>224</v>
      </c>
      <c r="I1061" s="6" t="s">
        <v>2742</v>
      </c>
      <c r="J1061" s="6" t="s">
        <v>238</v>
      </c>
      <c r="K1061" s="6" t="s">
        <v>883</v>
      </c>
      <c r="L1061" s="6" t="s">
        <v>190</v>
      </c>
      <c r="M1061" s="6" t="s">
        <v>675</v>
      </c>
      <c r="N1061" s="6" t="s">
        <v>278</v>
      </c>
      <c r="O1061" s="6" t="s">
        <v>634</v>
      </c>
      <c r="P1061" s="6" t="str">
        <f aca="false">IF(J1061="S0","—",IF(K1061="","",IF(L1061="E0","QM",INDEX(10_ASIL_Matrix!$D$4:$F$15,MATCH(J1061&amp;"-"&amp;L1061,10_ASIL_Matrix!$C$4:$C$15,0),MATCH(N1061,10_ASIL_Matrix!$D$3:$F$3,0)))))</f>
        <v>—</v>
      </c>
      <c r="Q1061" s="6" t="s">
        <v>448</v>
      </c>
    </row>
    <row r="1062" customFormat="false" ht="35.05" hidden="false" customHeight="false" outlineLevel="0" collapsed="false">
      <c r="A1062" s="5" t="s">
        <v>2743</v>
      </c>
      <c r="B1062" s="5" t="s">
        <v>105</v>
      </c>
      <c r="C1062" s="5" t="s">
        <v>106</v>
      </c>
      <c r="D1062" s="5" t="s">
        <v>140</v>
      </c>
      <c r="E1062" s="5" t="s">
        <v>141</v>
      </c>
      <c r="F1062" s="5" t="s">
        <v>211</v>
      </c>
      <c r="G1062" s="5" t="s">
        <v>609</v>
      </c>
      <c r="H1062" s="5" t="s">
        <v>226</v>
      </c>
      <c r="I1062" s="5" t="s">
        <v>2744</v>
      </c>
      <c r="J1062" s="5" t="s">
        <v>238</v>
      </c>
      <c r="K1062" s="5" t="s">
        <v>883</v>
      </c>
      <c r="L1062" s="5" t="s">
        <v>190</v>
      </c>
      <c r="M1062" s="5" t="s">
        <v>678</v>
      </c>
      <c r="N1062" s="5" t="s">
        <v>278</v>
      </c>
      <c r="O1062" s="5" t="s">
        <v>634</v>
      </c>
      <c r="P1062" s="5" t="str">
        <f aca="false">IF(J1062="S0","—",IF(K1062="","",IF(L1062="E0","QM",INDEX(10_ASIL_Matrix!$D$4:$F$15,MATCH(J1062&amp;"-"&amp;L1062,10_ASIL_Matrix!$C$4:$C$15,0),MATCH(N1062,10_ASIL_Matrix!$D$3:$F$3,0)))))</f>
        <v>—</v>
      </c>
      <c r="Q1062" s="5" t="s">
        <v>448</v>
      </c>
    </row>
    <row r="1063" customFormat="false" ht="35.05" hidden="false" customHeight="false" outlineLevel="0" collapsed="false">
      <c r="A1063" s="6" t="s">
        <v>2745</v>
      </c>
      <c r="B1063" s="6" t="s">
        <v>105</v>
      </c>
      <c r="C1063" s="6" t="s">
        <v>106</v>
      </c>
      <c r="D1063" s="6" t="s">
        <v>140</v>
      </c>
      <c r="E1063" s="6" t="s">
        <v>141</v>
      </c>
      <c r="F1063" s="6" t="s">
        <v>211</v>
      </c>
      <c r="G1063" s="6" t="s">
        <v>609</v>
      </c>
      <c r="H1063" s="6" t="s">
        <v>228</v>
      </c>
      <c r="I1063" s="6" t="s">
        <v>2746</v>
      </c>
      <c r="J1063" s="6" t="s">
        <v>238</v>
      </c>
      <c r="K1063" s="6" t="s">
        <v>883</v>
      </c>
      <c r="L1063" s="6" t="s">
        <v>205</v>
      </c>
      <c r="M1063" s="6" t="s">
        <v>681</v>
      </c>
      <c r="N1063" s="6" t="s">
        <v>278</v>
      </c>
      <c r="O1063" s="6" t="s">
        <v>634</v>
      </c>
      <c r="P1063" s="6" t="str">
        <f aca="false">IF(J1063="S0","—",IF(K1063="","",IF(L1063="E0","QM",INDEX(10_ASIL_Matrix!$D$4:$F$15,MATCH(J1063&amp;"-"&amp;L1063,10_ASIL_Matrix!$C$4:$C$15,0),MATCH(N1063,10_ASIL_Matrix!$D$3:$F$3,0)))))</f>
        <v>—</v>
      </c>
      <c r="Q1063" s="6" t="s">
        <v>448</v>
      </c>
    </row>
    <row r="1064" customFormat="false" ht="35.05" hidden="false" customHeight="false" outlineLevel="0" collapsed="false">
      <c r="A1064" s="5" t="s">
        <v>2747</v>
      </c>
      <c r="B1064" s="5" t="s">
        <v>105</v>
      </c>
      <c r="C1064" s="5" t="s">
        <v>106</v>
      </c>
      <c r="D1064" s="5" t="s">
        <v>140</v>
      </c>
      <c r="E1064" s="5" t="s">
        <v>141</v>
      </c>
      <c r="F1064" s="5" t="s">
        <v>211</v>
      </c>
      <c r="G1064" s="5" t="s">
        <v>609</v>
      </c>
      <c r="H1064" s="5" t="s">
        <v>230</v>
      </c>
      <c r="I1064" s="5" t="s">
        <v>2748</v>
      </c>
      <c r="J1064" s="5" t="s">
        <v>238</v>
      </c>
      <c r="K1064" s="5" t="s">
        <v>883</v>
      </c>
      <c r="L1064" s="5" t="s">
        <v>205</v>
      </c>
      <c r="M1064" s="5" t="s">
        <v>684</v>
      </c>
      <c r="N1064" s="5" t="s">
        <v>278</v>
      </c>
      <c r="O1064" s="5" t="s">
        <v>634</v>
      </c>
      <c r="P1064" s="5" t="str">
        <f aca="false">IF(J1064="S0","—",IF(K1064="","",IF(L1064="E0","QM",INDEX(10_ASIL_Matrix!$D$4:$F$15,MATCH(J1064&amp;"-"&amp;L1064,10_ASIL_Matrix!$C$4:$C$15,0),MATCH(N1064,10_ASIL_Matrix!$D$3:$F$3,0)))))</f>
        <v>—</v>
      </c>
      <c r="Q1064" s="5" t="s">
        <v>448</v>
      </c>
    </row>
    <row r="1065" customFormat="false" ht="46.25" hidden="false" customHeight="false" outlineLevel="0" collapsed="false">
      <c r="A1065" s="6" t="s">
        <v>2749</v>
      </c>
      <c r="B1065" s="6" t="s">
        <v>105</v>
      </c>
      <c r="C1065" s="6" t="s">
        <v>106</v>
      </c>
      <c r="D1065" s="6" t="s">
        <v>140</v>
      </c>
      <c r="E1065" s="6" t="s">
        <v>141</v>
      </c>
      <c r="F1065" s="6" t="s">
        <v>211</v>
      </c>
      <c r="G1065" s="6" t="s">
        <v>609</v>
      </c>
      <c r="H1065" s="6" t="s">
        <v>232</v>
      </c>
      <c r="I1065" s="6" t="s">
        <v>2750</v>
      </c>
      <c r="J1065" s="6" t="s">
        <v>238</v>
      </c>
      <c r="K1065" s="6" t="s">
        <v>883</v>
      </c>
      <c r="L1065" s="6" t="s">
        <v>233</v>
      </c>
      <c r="M1065" s="6" t="s">
        <v>687</v>
      </c>
      <c r="N1065" s="6" t="s">
        <v>278</v>
      </c>
      <c r="O1065" s="6" t="s">
        <v>634</v>
      </c>
      <c r="P1065" s="6" t="str">
        <f aca="false">IF(J1065="S0","—",IF(K1065="","",IF(L1065="E0","QM",INDEX(10_ASIL_Matrix!$D$4:$F$15,MATCH(J1065&amp;"-"&amp;L1065,10_ASIL_Matrix!$C$4:$C$15,0),MATCH(N1065,10_ASIL_Matrix!$D$3:$F$3,0)))))</f>
        <v>—</v>
      </c>
      <c r="Q1065" s="6" t="s">
        <v>448</v>
      </c>
    </row>
    <row r="1066" customFormat="false" ht="46.25" hidden="false" customHeight="false" outlineLevel="0" collapsed="false">
      <c r="A1066" s="5" t="s">
        <v>2751</v>
      </c>
      <c r="B1066" s="5" t="s">
        <v>105</v>
      </c>
      <c r="C1066" s="5" t="s">
        <v>106</v>
      </c>
      <c r="D1066" s="5" t="s">
        <v>140</v>
      </c>
      <c r="E1066" s="5" t="s">
        <v>141</v>
      </c>
      <c r="F1066" s="5" t="s">
        <v>213</v>
      </c>
      <c r="G1066" s="5" t="s">
        <v>689</v>
      </c>
      <c r="H1066" s="5" t="s">
        <v>222</v>
      </c>
      <c r="I1066" s="5" t="s">
        <v>2752</v>
      </c>
      <c r="J1066" s="5" t="s">
        <v>246</v>
      </c>
      <c r="K1066" s="5" t="s">
        <v>2571</v>
      </c>
      <c r="L1066" s="5" t="s">
        <v>205</v>
      </c>
      <c r="M1066" s="5" t="s">
        <v>692</v>
      </c>
      <c r="N1066" s="5" t="s">
        <v>286</v>
      </c>
      <c r="O1066" s="5" t="s">
        <v>2476</v>
      </c>
      <c r="P1066" s="5" t="str">
        <f aca="false">IF(J1066="S0","—",IF(K1066="","",IF(L1066="E0","QM",INDEX(10_ASIL_Matrix!$D$4:$F$15,MATCH(J1066&amp;"-"&amp;L1066,10_ASIL_Matrix!$C$4:$C$15,0),MATCH(N1066,10_ASIL_Matrix!$D$3:$F$3,0)))))</f>
        <v>QM</v>
      </c>
      <c r="Q1066" s="5" t="s">
        <v>448</v>
      </c>
    </row>
    <row r="1067" customFormat="false" ht="46.25" hidden="false" customHeight="false" outlineLevel="0" collapsed="false">
      <c r="A1067" s="6" t="s">
        <v>2753</v>
      </c>
      <c r="B1067" s="6" t="s">
        <v>105</v>
      </c>
      <c r="C1067" s="6" t="s">
        <v>106</v>
      </c>
      <c r="D1067" s="6" t="s">
        <v>140</v>
      </c>
      <c r="E1067" s="6" t="s">
        <v>141</v>
      </c>
      <c r="F1067" s="6" t="s">
        <v>213</v>
      </c>
      <c r="G1067" s="6" t="s">
        <v>689</v>
      </c>
      <c r="H1067" s="6" t="s">
        <v>224</v>
      </c>
      <c r="I1067" s="6" t="s">
        <v>2754</v>
      </c>
      <c r="J1067" s="6" t="s">
        <v>246</v>
      </c>
      <c r="K1067" s="6" t="s">
        <v>2571</v>
      </c>
      <c r="L1067" s="6" t="s">
        <v>205</v>
      </c>
      <c r="M1067" s="6" t="s">
        <v>696</v>
      </c>
      <c r="N1067" s="6" t="s">
        <v>286</v>
      </c>
      <c r="O1067" s="6" t="s">
        <v>2476</v>
      </c>
      <c r="P1067" s="6" t="str">
        <f aca="false">IF(J1067="S0","—",IF(K1067="","",IF(L1067="E0","QM",INDEX(10_ASIL_Matrix!$D$4:$F$15,MATCH(J1067&amp;"-"&amp;L1067,10_ASIL_Matrix!$C$4:$C$15,0),MATCH(N1067,10_ASIL_Matrix!$D$3:$F$3,0)))))</f>
        <v>QM</v>
      </c>
      <c r="Q1067" s="6" t="s">
        <v>448</v>
      </c>
    </row>
    <row r="1068" customFormat="false" ht="46.25" hidden="false" customHeight="false" outlineLevel="0" collapsed="false">
      <c r="A1068" s="5" t="s">
        <v>2755</v>
      </c>
      <c r="B1068" s="5" t="s">
        <v>105</v>
      </c>
      <c r="C1068" s="5" t="s">
        <v>106</v>
      </c>
      <c r="D1068" s="5" t="s">
        <v>140</v>
      </c>
      <c r="E1068" s="5" t="s">
        <v>141</v>
      </c>
      <c r="F1068" s="5" t="s">
        <v>213</v>
      </c>
      <c r="G1068" s="5" t="s">
        <v>689</v>
      </c>
      <c r="H1068" s="5" t="s">
        <v>226</v>
      </c>
      <c r="I1068" s="5" t="s">
        <v>2756</v>
      </c>
      <c r="J1068" s="5" t="s">
        <v>246</v>
      </c>
      <c r="K1068" s="5" t="s">
        <v>2571</v>
      </c>
      <c r="L1068" s="5" t="s">
        <v>205</v>
      </c>
      <c r="M1068" s="5" t="s">
        <v>699</v>
      </c>
      <c r="N1068" s="5" t="s">
        <v>286</v>
      </c>
      <c r="O1068" s="5" t="s">
        <v>2476</v>
      </c>
      <c r="P1068" s="5" t="str">
        <f aca="false">IF(J1068="S0","—",IF(K1068="","",IF(L1068="E0","QM",INDEX(10_ASIL_Matrix!$D$4:$F$15,MATCH(J1068&amp;"-"&amp;L1068,10_ASIL_Matrix!$C$4:$C$15,0),MATCH(N1068,10_ASIL_Matrix!$D$3:$F$3,0)))))</f>
        <v>QM</v>
      </c>
      <c r="Q1068" s="5" t="s">
        <v>448</v>
      </c>
    </row>
    <row r="1069" customFormat="false" ht="46.25" hidden="false" customHeight="false" outlineLevel="0" collapsed="false">
      <c r="A1069" s="6" t="s">
        <v>2757</v>
      </c>
      <c r="B1069" s="6" t="s">
        <v>105</v>
      </c>
      <c r="C1069" s="6" t="s">
        <v>106</v>
      </c>
      <c r="D1069" s="6" t="s">
        <v>140</v>
      </c>
      <c r="E1069" s="6" t="s">
        <v>141</v>
      </c>
      <c r="F1069" s="6" t="s">
        <v>213</v>
      </c>
      <c r="G1069" s="6" t="s">
        <v>689</v>
      </c>
      <c r="H1069" s="6" t="s">
        <v>228</v>
      </c>
      <c r="I1069" s="6" t="s">
        <v>2758</v>
      </c>
      <c r="J1069" s="6" t="s">
        <v>246</v>
      </c>
      <c r="K1069" s="6" t="s">
        <v>2571</v>
      </c>
      <c r="L1069" s="6" t="s">
        <v>205</v>
      </c>
      <c r="M1069" s="6" t="s">
        <v>702</v>
      </c>
      <c r="N1069" s="6" t="s">
        <v>290</v>
      </c>
      <c r="O1069" s="6" t="s">
        <v>2483</v>
      </c>
      <c r="P1069" s="19" t="str">
        <f aca="false">IF(J1069="S0","—",IF(K1069="","",IF(L1069="E0","QM",INDEX(10_ASIL_Matrix!$D$4:$F$15,MATCH(J1069&amp;"-"&amp;L1069,10_ASIL_Matrix!$C$4:$C$15,0),MATCH(N1069,10_ASIL_Matrix!$D$3:$F$3,0)))))</f>
        <v>A</v>
      </c>
      <c r="Q1069" s="6" t="s">
        <v>448</v>
      </c>
    </row>
    <row r="1070" customFormat="false" ht="46.25" hidden="false" customHeight="false" outlineLevel="0" collapsed="false">
      <c r="A1070" s="5" t="s">
        <v>2759</v>
      </c>
      <c r="B1070" s="5" t="s">
        <v>105</v>
      </c>
      <c r="C1070" s="5" t="s">
        <v>106</v>
      </c>
      <c r="D1070" s="5" t="s">
        <v>140</v>
      </c>
      <c r="E1070" s="5" t="s">
        <v>141</v>
      </c>
      <c r="F1070" s="5" t="s">
        <v>213</v>
      </c>
      <c r="G1070" s="5" t="s">
        <v>689</v>
      </c>
      <c r="H1070" s="5" t="s">
        <v>230</v>
      </c>
      <c r="I1070" s="5" t="s">
        <v>2760</v>
      </c>
      <c r="J1070" s="5" t="s">
        <v>246</v>
      </c>
      <c r="K1070" s="5" t="s">
        <v>2571</v>
      </c>
      <c r="L1070" s="5" t="s">
        <v>205</v>
      </c>
      <c r="M1070" s="5" t="s">
        <v>705</v>
      </c>
      <c r="N1070" s="5" t="s">
        <v>290</v>
      </c>
      <c r="O1070" s="5" t="s">
        <v>2486</v>
      </c>
      <c r="P1070" s="19" t="str">
        <f aca="false">IF(J1070="S0","—",IF(K1070="","",IF(L1070="E0","QM",INDEX(10_ASIL_Matrix!$D$4:$F$15,MATCH(J1070&amp;"-"&amp;L1070,10_ASIL_Matrix!$C$4:$C$15,0),MATCH(N1070,10_ASIL_Matrix!$D$3:$F$3,0)))))</f>
        <v>A</v>
      </c>
      <c r="Q1070" s="5" t="s">
        <v>448</v>
      </c>
    </row>
    <row r="1071" customFormat="false" ht="46.25" hidden="false" customHeight="false" outlineLevel="0" collapsed="false">
      <c r="A1071" s="6" t="s">
        <v>2761</v>
      </c>
      <c r="B1071" s="6" t="s">
        <v>105</v>
      </c>
      <c r="C1071" s="6" t="s">
        <v>106</v>
      </c>
      <c r="D1071" s="6" t="s">
        <v>140</v>
      </c>
      <c r="E1071" s="6" t="s">
        <v>141</v>
      </c>
      <c r="F1071" s="6" t="s">
        <v>213</v>
      </c>
      <c r="G1071" s="6" t="s">
        <v>689</v>
      </c>
      <c r="H1071" s="6" t="s">
        <v>232</v>
      </c>
      <c r="I1071" s="6" t="s">
        <v>2762</v>
      </c>
      <c r="J1071" s="6" t="s">
        <v>246</v>
      </c>
      <c r="K1071" s="6" t="s">
        <v>2571</v>
      </c>
      <c r="L1071" s="6" t="s">
        <v>233</v>
      </c>
      <c r="M1071" s="6" t="s">
        <v>709</v>
      </c>
      <c r="N1071" s="6" t="s">
        <v>290</v>
      </c>
      <c r="O1071" s="6" t="s">
        <v>2483</v>
      </c>
      <c r="P1071" s="6" t="str">
        <f aca="false">IF(J1071="S0","—",IF(K1071="","",IF(L1071="E0","QM",INDEX(10_ASIL_Matrix!$D$4:$F$15,MATCH(J1071&amp;"-"&amp;L1071,10_ASIL_Matrix!$C$4:$C$15,0),MATCH(N1071,10_ASIL_Matrix!$D$3:$F$3,0)))))</f>
        <v>QM</v>
      </c>
      <c r="Q1071" s="6" t="s">
        <v>448</v>
      </c>
    </row>
    <row r="1072" customFormat="false" ht="35.05" hidden="false" customHeight="false" outlineLevel="0" collapsed="false">
      <c r="A1072" s="5" t="s">
        <v>2763</v>
      </c>
      <c r="B1072" s="5" t="s">
        <v>105</v>
      </c>
      <c r="C1072" s="5" t="s">
        <v>106</v>
      </c>
      <c r="D1072" s="5" t="s">
        <v>140</v>
      </c>
      <c r="E1072" s="5" t="s">
        <v>141</v>
      </c>
      <c r="F1072" s="5" t="s">
        <v>215</v>
      </c>
      <c r="G1072" s="5" t="s">
        <v>711</v>
      </c>
      <c r="H1072" s="5" t="s">
        <v>222</v>
      </c>
      <c r="I1072" s="5" t="s">
        <v>2764</v>
      </c>
      <c r="J1072" s="5" t="s">
        <v>246</v>
      </c>
      <c r="K1072" s="5" t="s">
        <v>2584</v>
      </c>
      <c r="L1072" s="5" t="s">
        <v>190</v>
      </c>
      <c r="M1072" s="5" t="s">
        <v>714</v>
      </c>
      <c r="N1072" s="5" t="s">
        <v>286</v>
      </c>
      <c r="O1072" s="5" t="s">
        <v>2476</v>
      </c>
      <c r="P1072" s="19" t="str">
        <f aca="false">IF(J1072="S0","—",IF(K1072="","",IF(L1072="E0","QM",INDEX(10_ASIL_Matrix!$D$4:$F$15,MATCH(J1072&amp;"-"&amp;L1072,10_ASIL_Matrix!$C$4:$C$15,0),MATCH(N1072,10_ASIL_Matrix!$D$3:$F$3,0)))))</f>
        <v>A</v>
      </c>
      <c r="Q1072" s="5" t="s">
        <v>448</v>
      </c>
    </row>
    <row r="1073" customFormat="false" ht="35.05" hidden="false" customHeight="false" outlineLevel="0" collapsed="false">
      <c r="A1073" s="6" t="s">
        <v>2765</v>
      </c>
      <c r="B1073" s="6" t="s">
        <v>105</v>
      </c>
      <c r="C1073" s="6" t="s">
        <v>106</v>
      </c>
      <c r="D1073" s="6" t="s">
        <v>140</v>
      </c>
      <c r="E1073" s="6" t="s">
        <v>141</v>
      </c>
      <c r="F1073" s="6" t="s">
        <v>215</v>
      </c>
      <c r="G1073" s="6" t="s">
        <v>711</v>
      </c>
      <c r="H1073" s="6" t="s">
        <v>224</v>
      </c>
      <c r="I1073" s="6" t="s">
        <v>2766</v>
      </c>
      <c r="J1073" s="6" t="s">
        <v>246</v>
      </c>
      <c r="K1073" s="6" t="s">
        <v>2584</v>
      </c>
      <c r="L1073" s="6" t="s">
        <v>190</v>
      </c>
      <c r="M1073" s="6" t="s">
        <v>717</v>
      </c>
      <c r="N1073" s="6" t="s">
        <v>286</v>
      </c>
      <c r="O1073" s="6" t="s">
        <v>2476</v>
      </c>
      <c r="P1073" s="19" t="str">
        <f aca="false">IF(J1073="S0","—",IF(K1073="","",IF(L1073="E0","QM",INDEX(10_ASIL_Matrix!$D$4:$F$15,MATCH(J1073&amp;"-"&amp;L1073,10_ASIL_Matrix!$C$4:$C$15,0),MATCH(N1073,10_ASIL_Matrix!$D$3:$F$3,0)))))</f>
        <v>A</v>
      </c>
      <c r="Q1073" s="6" t="s">
        <v>448</v>
      </c>
    </row>
    <row r="1074" customFormat="false" ht="35.05" hidden="false" customHeight="false" outlineLevel="0" collapsed="false">
      <c r="A1074" s="5" t="s">
        <v>2767</v>
      </c>
      <c r="B1074" s="5" t="s">
        <v>105</v>
      </c>
      <c r="C1074" s="5" t="s">
        <v>106</v>
      </c>
      <c r="D1074" s="5" t="s">
        <v>140</v>
      </c>
      <c r="E1074" s="5" t="s">
        <v>141</v>
      </c>
      <c r="F1074" s="5" t="s">
        <v>215</v>
      </c>
      <c r="G1074" s="5" t="s">
        <v>711</v>
      </c>
      <c r="H1074" s="5" t="s">
        <v>226</v>
      </c>
      <c r="I1074" s="5" t="s">
        <v>2768</v>
      </c>
      <c r="J1074" s="5" t="s">
        <v>246</v>
      </c>
      <c r="K1074" s="5" t="s">
        <v>2584</v>
      </c>
      <c r="L1074" s="5" t="s">
        <v>190</v>
      </c>
      <c r="M1074" s="5" t="s">
        <v>720</v>
      </c>
      <c r="N1074" s="5" t="s">
        <v>286</v>
      </c>
      <c r="O1074" s="5" t="s">
        <v>2476</v>
      </c>
      <c r="P1074" s="19" t="str">
        <f aca="false">IF(J1074="S0","—",IF(K1074="","",IF(L1074="E0","QM",INDEX(10_ASIL_Matrix!$D$4:$F$15,MATCH(J1074&amp;"-"&amp;L1074,10_ASIL_Matrix!$C$4:$C$15,0),MATCH(N1074,10_ASIL_Matrix!$D$3:$F$3,0)))))</f>
        <v>A</v>
      </c>
      <c r="Q1074" s="5" t="s">
        <v>448</v>
      </c>
    </row>
    <row r="1075" customFormat="false" ht="35.05" hidden="false" customHeight="false" outlineLevel="0" collapsed="false">
      <c r="A1075" s="6" t="s">
        <v>2769</v>
      </c>
      <c r="B1075" s="6" t="s">
        <v>105</v>
      </c>
      <c r="C1075" s="6" t="s">
        <v>106</v>
      </c>
      <c r="D1075" s="6" t="s">
        <v>140</v>
      </c>
      <c r="E1075" s="6" t="s">
        <v>141</v>
      </c>
      <c r="F1075" s="6" t="s">
        <v>215</v>
      </c>
      <c r="G1075" s="6" t="s">
        <v>711</v>
      </c>
      <c r="H1075" s="6" t="s">
        <v>228</v>
      </c>
      <c r="I1075" s="6" t="s">
        <v>2770</v>
      </c>
      <c r="J1075" s="6" t="s">
        <v>246</v>
      </c>
      <c r="K1075" s="6" t="s">
        <v>2584</v>
      </c>
      <c r="L1075" s="6" t="s">
        <v>205</v>
      </c>
      <c r="M1075" s="6" t="s">
        <v>723</v>
      </c>
      <c r="N1075" s="6" t="s">
        <v>290</v>
      </c>
      <c r="O1075" s="6" t="s">
        <v>2483</v>
      </c>
      <c r="P1075" s="19" t="str">
        <f aca="false">IF(J1075="S0","—",IF(K1075="","",IF(L1075="E0","QM",INDEX(10_ASIL_Matrix!$D$4:$F$15,MATCH(J1075&amp;"-"&amp;L1075,10_ASIL_Matrix!$C$4:$C$15,0),MATCH(N1075,10_ASIL_Matrix!$D$3:$F$3,0)))))</f>
        <v>A</v>
      </c>
      <c r="Q1075" s="6" t="s">
        <v>448</v>
      </c>
    </row>
    <row r="1076" customFormat="false" ht="35.05" hidden="false" customHeight="false" outlineLevel="0" collapsed="false">
      <c r="A1076" s="5" t="s">
        <v>2771</v>
      </c>
      <c r="B1076" s="5" t="s">
        <v>105</v>
      </c>
      <c r="C1076" s="5" t="s">
        <v>106</v>
      </c>
      <c r="D1076" s="5" t="s">
        <v>140</v>
      </c>
      <c r="E1076" s="5" t="s">
        <v>141</v>
      </c>
      <c r="F1076" s="5" t="s">
        <v>215</v>
      </c>
      <c r="G1076" s="5" t="s">
        <v>711</v>
      </c>
      <c r="H1076" s="5" t="s">
        <v>230</v>
      </c>
      <c r="I1076" s="5" t="s">
        <v>2772</v>
      </c>
      <c r="J1076" s="5" t="s">
        <v>246</v>
      </c>
      <c r="K1076" s="5" t="s">
        <v>2584</v>
      </c>
      <c r="L1076" s="5" t="s">
        <v>205</v>
      </c>
      <c r="M1076" s="5" t="s">
        <v>726</v>
      </c>
      <c r="N1076" s="5" t="s">
        <v>290</v>
      </c>
      <c r="O1076" s="5" t="s">
        <v>2486</v>
      </c>
      <c r="P1076" s="19" t="str">
        <f aca="false">IF(J1076="S0","—",IF(K1076="","",IF(L1076="E0","QM",INDEX(10_ASIL_Matrix!$D$4:$F$15,MATCH(J1076&amp;"-"&amp;L1076,10_ASIL_Matrix!$C$4:$C$15,0),MATCH(N1076,10_ASIL_Matrix!$D$3:$F$3,0)))))</f>
        <v>A</v>
      </c>
      <c r="Q1076" s="5" t="s">
        <v>448</v>
      </c>
    </row>
    <row r="1077" customFormat="false" ht="46.25" hidden="false" customHeight="false" outlineLevel="0" collapsed="false">
      <c r="A1077" s="6" t="s">
        <v>2773</v>
      </c>
      <c r="B1077" s="6" t="s">
        <v>105</v>
      </c>
      <c r="C1077" s="6" t="s">
        <v>106</v>
      </c>
      <c r="D1077" s="6" t="s">
        <v>140</v>
      </c>
      <c r="E1077" s="6" t="s">
        <v>141</v>
      </c>
      <c r="F1077" s="6" t="s">
        <v>215</v>
      </c>
      <c r="G1077" s="6" t="s">
        <v>711</v>
      </c>
      <c r="H1077" s="6" t="s">
        <v>232</v>
      </c>
      <c r="I1077" s="6" t="s">
        <v>2774</v>
      </c>
      <c r="J1077" s="6" t="s">
        <v>246</v>
      </c>
      <c r="K1077" s="6" t="s">
        <v>2584</v>
      </c>
      <c r="L1077" s="6" t="s">
        <v>233</v>
      </c>
      <c r="M1077" s="6" t="s">
        <v>729</v>
      </c>
      <c r="N1077" s="6" t="s">
        <v>290</v>
      </c>
      <c r="O1077" s="6" t="s">
        <v>2483</v>
      </c>
      <c r="P1077" s="6" t="str">
        <f aca="false">IF(J1077="S0","—",IF(K1077="","",IF(L1077="E0","QM",INDEX(10_ASIL_Matrix!$D$4:$F$15,MATCH(J1077&amp;"-"&amp;L1077,10_ASIL_Matrix!$C$4:$C$15,0),MATCH(N1077,10_ASIL_Matrix!$D$3:$F$3,0)))))</f>
        <v>QM</v>
      </c>
      <c r="Q1077" s="6" t="s">
        <v>448</v>
      </c>
    </row>
    <row r="1078" customFormat="false" ht="35.05" hidden="false" customHeight="false" outlineLevel="0" collapsed="false">
      <c r="A1078" s="5" t="s">
        <v>2775</v>
      </c>
      <c r="B1078" s="5" t="s">
        <v>105</v>
      </c>
      <c r="C1078" s="5" t="s">
        <v>106</v>
      </c>
      <c r="D1078" s="5" t="s">
        <v>140</v>
      </c>
      <c r="E1078" s="5" t="s">
        <v>141</v>
      </c>
      <c r="F1078" s="5" t="s">
        <v>217</v>
      </c>
      <c r="G1078" s="5" t="s">
        <v>488</v>
      </c>
      <c r="H1078" s="5" t="s">
        <v>222</v>
      </c>
      <c r="I1078" s="5" t="s">
        <v>2776</v>
      </c>
      <c r="J1078" s="5" t="s">
        <v>238</v>
      </c>
      <c r="K1078" s="5" t="s">
        <v>2410</v>
      </c>
      <c r="L1078" s="5" t="s">
        <v>190</v>
      </c>
      <c r="M1078" s="5" t="s">
        <v>733</v>
      </c>
      <c r="N1078" s="5" t="s">
        <v>278</v>
      </c>
      <c r="O1078" s="5" t="s">
        <v>634</v>
      </c>
      <c r="P1078" s="5" t="str">
        <f aca="false">IF(J1078="S0","—",IF(K1078="","",IF(L1078="E0","QM",INDEX(10_ASIL_Matrix!$D$4:$F$15,MATCH(J1078&amp;"-"&amp;L1078,10_ASIL_Matrix!$C$4:$C$15,0),MATCH(N1078,10_ASIL_Matrix!$D$3:$F$3,0)))))</f>
        <v>—</v>
      </c>
      <c r="Q1078" s="5" t="s">
        <v>448</v>
      </c>
    </row>
    <row r="1079" customFormat="false" ht="35.05" hidden="false" customHeight="false" outlineLevel="0" collapsed="false">
      <c r="A1079" s="6" t="s">
        <v>2777</v>
      </c>
      <c r="B1079" s="6" t="s">
        <v>105</v>
      </c>
      <c r="C1079" s="6" t="s">
        <v>106</v>
      </c>
      <c r="D1079" s="6" t="s">
        <v>140</v>
      </c>
      <c r="E1079" s="6" t="s">
        <v>141</v>
      </c>
      <c r="F1079" s="6" t="s">
        <v>217</v>
      </c>
      <c r="G1079" s="6" t="s">
        <v>488</v>
      </c>
      <c r="H1079" s="6" t="s">
        <v>224</v>
      </c>
      <c r="I1079" s="6" t="s">
        <v>2778</v>
      </c>
      <c r="J1079" s="6" t="s">
        <v>238</v>
      </c>
      <c r="K1079" s="6" t="s">
        <v>2410</v>
      </c>
      <c r="L1079" s="6" t="s">
        <v>190</v>
      </c>
      <c r="M1079" s="6" t="s">
        <v>736</v>
      </c>
      <c r="N1079" s="6" t="s">
        <v>278</v>
      </c>
      <c r="O1079" s="6" t="s">
        <v>634</v>
      </c>
      <c r="P1079" s="6" t="str">
        <f aca="false">IF(J1079="S0","—",IF(K1079="","",IF(L1079="E0","QM",INDEX(10_ASIL_Matrix!$D$4:$F$15,MATCH(J1079&amp;"-"&amp;L1079,10_ASIL_Matrix!$C$4:$C$15,0),MATCH(N1079,10_ASIL_Matrix!$D$3:$F$3,0)))))</f>
        <v>—</v>
      </c>
      <c r="Q1079" s="6" t="s">
        <v>448</v>
      </c>
    </row>
    <row r="1080" customFormat="false" ht="35.05" hidden="false" customHeight="false" outlineLevel="0" collapsed="false">
      <c r="A1080" s="5" t="s">
        <v>2779</v>
      </c>
      <c r="B1080" s="5" t="s">
        <v>105</v>
      </c>
      <c r="C1080" s="5" t="s">
        <v>106</v>
      </c>
      <c r="D1080" s="5" t="s">
        <v>140</v>
      </c>
      <c r="E1080" s="5" t="s">
        <v>141</v>
      </c>
      <c r="F1080" s="5" t="s">
        <v>217</v>
      </c>
      <c r="G1080" s="5" t="s">
        <v>488</v>
      </c>
      <c r="H1080" s="5" t="s">
        <v>226</v>
      </c>
      <c r="I1080" s="5" t="s">
        <v>2780</v>
      </c>
      <c r="J1080" s="5" t="s">
        <v>238</v>
      </c>
      <c r="K1080" s="5" t="s">
        <v>2410</v>
      </c>
      <c r="L1080" s="5" t="s">
        <v>190</v>
      </c>
      <c r="M1080" s="5" t="s">
        <v>739</v>
      </c>
      <c r="N1080" s="5" t="s">
        <v>278</v>
      </c>
      <c r="O1080" s="5" t="s">
        <v>634</v>
      </c>
      <c r="P1080" s="5" t="str">
        <f aca="false">IF(J1080="S0","—",IF(K1080="","",IF(L1080="E0","QM",INDEX(10_ASIL_Matrix!$D$4:$F$15,MATCH(J1080&amp;"-"&amp;L1080,10_ASIL_Matrix!$C$4:$C$15,0),MATCH(N1080,10_ASIL_Matrix!$D$3:$F$3,0)))))</f>
        <v>—</v>
      </c>
      <c r="Q1080" s="5" t="s">
        <v>448</v>
      </c>
    </row>
    <row r="1081" customFormat="false" ht="35.05" hidden="false" customHeight="false" outlineLevel="0" collapsed="false">
      <c r="A1081" s="6" t="s">
        <v>2781</v>
      </c>
      <c r="B1081" s="6" t="s">
        <v>105</v>
      </c>
      <c r="C1081" s="6" t="s">
        <v>106</v>
      </c>
      <c r="D1081" s="6" t="s">
        <v>140</v>
      </c>
      <c r="E1081" s="6" t="s">
        <v>141</v>
      </c>
      <c r="F1081" s="6" t="s">
        <v>217</v>
      </c>
      <c r="G1081" s="6" t="s">
        <v>488</v>
      </c>
      <c r="H1081" s="6" t="s">
        <v>228</v>
      </c>
      <c r="I1081" s="6" t="s">
        <v>2782</v>
      </c>
      <c r="J1081" s="6" t="s">
        <v>238</v>
      </c>
      <c r="K1081" s="6" t="s">
        <v>2410</v>
      </c>
      <c r="L1081" s="6" t="s">
        <v>205</v>
      </c>
      <c r="M1081" s="6" t="s">
        <v>742</v>
      </c>
      <c r="N1081" s="6" t="s">
        <v>278</v>
      </c>
      <c r="O1081" s="6" t="s">
        <v>634</v>
      </c>
      <c r="P1081" s="6" t="str">
        <f aca="false">IF(J1081="S0","—",IF(K1081="","",IF(L1081="E0","QM",INDEX(10_ASIL_Matrix!$D$4:$F$15,MATCH(J1081&amp;"-"&amp;L1081,10_ASIL_Matrix!$C$4:$C$15,0),MATCH(N1081,10_ASIL_Matrix!$D$3:$F$3,0)))))</f>
        <v>—</v>
      </c>
      <c r="Q1081" s="6" t="s">
        <v>448</v>
      </c>
    </row>
    <row r="1082" customFormat="false" ht="35.05" hidden="false" customHeight="false" outlineLevel="0" collapsed="false">
      <c r="A1082" s="5" t="s">
        <v>2783</v>
      </c>
      <c r="B1082" s="5" t="s">
        <v>105</v>
      </c>
      <c r="C1082" s="5" t="s">
        <v>106</v>
      </c>
      <c r="D1082" s="5" t="s">
        <v>140</v>
      </c>
      <c r="E1082" s="5" t="s">
        <v>141</v>
      </c>
      <c r="F1082" s="5" t="s">
        <v>217</v>
      </c>
      <c r="G1082" s="5" t="s">
        <v>488</v>
      </c>
      <c r="H1082" s="5" t="s">
        <v>230</v>
      </c>
      <c r="I1082" s="5" t="s">
        <v>2784</v>
      </c>
      <c r="J1082" s="5" t="s">
        <v>238</v>
      </c>
      <c r="K1082" s="5" t="s">
        <v>2410</v>
      </c>
      <c r="L1082" s="5" t="s">
        <v>205</v>
      </c>
      <c r="M1082" s="5" t="s">
        <v>745</v>
      </c>
      <c r="N1082" s="5" t="s">
        <v>278</v>
      </c>
      <c r="O1082" s="5" t="s">
        <v>634</v>
      </c>
      <c r="P1082" s="5" t="str">
        <f aca="false">IF(J1082="S0","—",IF(K1082="","",IF(L1082="E0","QM",INDEX(10_ASIL_Matrix!$D$4:$F$15,MATCH(J1082&amp;"-"&amp;L1082,10_ASIL_Matrix!$C$4:$C$15,0),MATCH(N1082,10_ASIL_Matrix!$D$3:$F$3,0)))))</f>
        <v>—</v>
      </c>
      <c r="Q1082" s="5" t="s">
        <v>448</v>
      </c>
    </row>
    <row r="1083" customFormat="false" ht="46.25" hidden="false" customHeight="false" outlineLevel="0" collapsed="false">
      <c r="A1083" s="6" t="s">
        <v>2785</v>
      </c>
      <c r="B1083" s="6" t="s">
        <v>105</v>
      </c>
      <c r="C1083" s="6" t="s">
        <v>106</v>
      </c>
      <c r="D1083" s="6" t="s">
        <v>140</v>
      </c>
      <c r="E1083" s="6" t="s">
        <v>141</v>
      </c>
      <c r="F1083" s="6" t="s">
        <v>217</v>
      </c>
      <c r="G1083" s="6" t="s">
        <v>488</v>
      </c>
      <c r="H1083" s="6" t="s">
        <v>232</v>
      </c>
      <c r="I1083" s="6" t="s">
        <v>2786</v>
      </c>
      <c r="J1083" s="6" t="s">
        <v>238</v>
      </c>
      <c r="K1083" s="6" t="s">
        <v>2410</v>
      </c>
      <c r="L1083" s="6" t="s">
        <v>233</v>
      </c>
      <c r="M1083" s="6" t="s">
        <v>748</v>
      </c>
      <c r="N1083" s="6" t="s">
        <v>278</v>
      </c>
      <c r="O1083" s="6" t="s">
        <v>634</v>
      </c>
      <c r="P1083" s="6" t="str">
        <f aca="false">IF(J1083="S0","—",IF(K1083="","",IF(L1083="E0","QM",INDEX(10_ASIL_Matrix!$D$4:$F$15,MATCH(J1083&amp;"-"&amp;L1083,10_ASIL_Matrix!$C$4:$C$15,0),MATCH(N1083,10_ASIL_Matrix!$D$3:$F$3,0)))))</f>
        <v>—</v>
      </c>
      <c r="Q1083" s="6" t="s">
        <v>448</v>
      </c>
    </row>
    <row r="1084" customFormat="false" ht="35.05" hidden="false" customHeight="false" outlineLevel="0" collapsed="false">
      <c r="A1084" s="5" t="s">
        <v>2787</v>
      </c>
      <c r="B1084" s="5" t="s">
        <v>105</v>
      </c>
      <c r="C1084" s="5" t="s">
        <v>106</v>
      </c>
      <c r="D1084" s="5" t="s">
        <v>143</v>
      </c>
      <c r="E1084" s="5" t="s">
        <v>144</v>
      </c>
      <c r="F1084" s="5" t="s">
        <v>186</v>
      </c>
      <c r="G1084" s="5" t="s">
        <v>443</v>
      </c>
      <c r="H1084" s="5" t="s">
        <v>222</v>
      </c>
      <c r="I1084" s="5" t="s">
        <v>2788</v>
      </c>
      <c r="J1084" s="5" t="s">
        <v>246</v>
      </c>
      <c r="K1084" s="5" t="s">
        <v>2789</v>
      </c>
      <c r="L1084" s="5" t="s">
        <v>187</v>
      </c>
      <c r="M1084" s="5" t="s">
        <v>446</v>
      </c>
      <c r="N1084" s="5" t="s">
        <v>282</v>
      </c>
      <c r="O1084" s="5" t="s">
        <v>2790</v>
      </c>
      <c r="P1084" s="19" t="str">
        <f aca="false">IF(J1084="S0","—",IF(K1084="","",IF(L1084="E0","QM",INDEX(10_ASIL_Matrix!$D$4:$F$15,MATCH(J1084&amp;"-"&amp;L1084,10_ASIL_Matrix!$C$4:$C$15,0),MATCH(N1084,10_ASIL_Matrix!$D$3:$F$3,0)))))</f>
        <v>A</v>
      </c>
      <c r="Q1084" s="5" t="s">
        <v>448</v>
      </c>
    </row>
    <row r="1085" customFormat="false" ht="35.05" hidden="false" customHeight="false" outlineLevel="0" collapsed="false">
      <c r="A1085" s="6" t="s">
        <v>2791</v>
      </c>
      <c r="B1085" s="6" t="s">
        <v>105</v>
      </c>
      <c r="C1085" s="6" t="s">
        <v>106</v>
      </c>
      <c r="D1085" s="6" t="s">
        <v>143</v>
      </c>
      <c r="E1085" s="6" t="s">
        <v>144</v>
      </c>
      <c r="F1085" s="6" t="s">
        <v>186</v>
      </c>
      <c r="G1085" s="6" t="s">
        <v>443</v>
      </c>
      <c r="H1085" s="6" t="s">
        <v>224</v>
      </c>
      <c r="I1085" s="6" t="s">
        <v>2792</v>
      </c>
      <c r="J1085" s="6" t="s">
        <v>246</v>
      </c>
      <c r="K1085" s="6" t="s">
        <v>2789</v>
      </c>
      <c r="L1085" s="6" t="s">
        <v>190</v>
      </c>
      <c r="M1085" s="6" t="s">
        <v>451</v>
      </c>
      <c r="N1085" s="6" t="s">
        <v>282</v>
      </c>
      <c r="O1085" s="6" t="s">
        <v>2790</v>
      </c>
      <c r="P1085" s="6" t="str">
        <f aca="false">IF(J1085="S0","—",IF(K1085="","",IF(L1085="E0","QM",INDEX(10_ASIL_Matrix!$D$4:$F$15,MATCH(J1085&amp;"-"&amp;L1085,10_ASIL_Matrix!$C$4:$C$15,0),MATCH(N1085,10_ASIL_Matrix!$D$3:$F$3,0)))))</f>
        <v>QM</v>
      </c>
      <c r="Q1085" s="6" t="s">
        <v>448</v>
      </c>
    </row>
    <row r="1086" customFormat="false" ht="35.05" hidden="false" customHeight="false" outlineLevel="0" collapsed="false">
      <c r="A1086" s="5" t="s">
        <v>2793</v>
      </c>
      <c r="B1086" s="5" t="s">
        <v>105</v>
      </c>
      <c r="C1086" s="5" t="s">
        <v>106</v>
      </c>
      <c r="D1086" s="5" t="s">
        <v>143</v>
      </c>
      <c r="E1086" s="5" t="s">
        <v>144</v>
      </c>
      <c r="F1086" s="5" t="s">
        <v>186</v>
      </c>
      <c r="G1086" s="5" t="s">
        <v>443</v>
      </c>
      <c r="H1086" s="5" t="s">
        <v>226</v>
      </c>
      <c r="I1086" s="5" t="s">
        <v>2794</v>
      </c>
      <c r="J1086" s="5" t="s">
        <v>246</v>
      </c>
      <c r="K1086" s="5" t="s">
        <v>2789</v>
      </c>
      <c r="L1086" s="5" t="s">
        <v>190</v>
      </c>
      <c r="M1086" s="5" t="s">
        <v>454</v>
      </c>
      <c r="N1086" s="5" t="s">
        <v>282</v>
      </c>
      <c r="O1086" s="5" t="s">
        <v>2790</v>
      </c>
      <c r="P1086" s="5" t="str">
        <f aca="false">IF(J1086="S0","—",IF(K1086="","",IF(L1086="E0","QM",INDEX(10_ASIL_Matrix!$D$4:$F$15,MATCH(J1086&amp;"-"&amp;L1086,10_ASIL_Matrix!$C$4:$C$15,0),MATCH(N1086,10_ASIL_Matrix!$D$3:$F$3,0)))))</f>
        <v>QM</v>
      </c>
      <c r="Q1086" s="5" t="s">
        <v>448</v>
      </c>
    </row>
    <row r="1087" customFormat="false" ht="35.05" hidden="false" customHeight="false" outlineLevel="0" collapsed="false">
      <c r="A1087" s="6" t="s">
        <v>2795</v>
      </c>
      <c r="B1087" s="6" t="s">
        <v>105</v>
      </c>
      <c r="C1087" s="6" t="s">
        <v>106</v>
      </c>
      <c r="D1087" s="6" t="s">
        <v>143</v>
      </c>
      <c r="E1087" s="6" t="s">
        <v>144</v>
      </c>
      <c r="F1087" s="6" t="s">
        <v>186</v>
      </c>
      <c r="G1087" s="6" t="s">
        <v>443</v>
      </c>
      <c r="H1087" s="6" t="s">
        <v>228</v>
      </c>
      <c r="I1087" s="6" t="s">
        <v>2796</v>
      </c>
      <c r="J1087" s="6" t="s">
        <v>246</v>
      </c>
      <c r="K1087" s="6" t="s">
        <v>2789</v>
      </c>
      <c r="L1087" s="6" t="s">
        <v>205</v>
      </c>
      <c r="M1087" s="6" t="s">
        <v>457</v>
      </c>
      <c r="N1087" s="6" t="s">
        <v>282</v>
      </c>
      <c r="O1087" s="6" t="s">
        <v>2790</v>
      </c>
      <c r="P1087" s="6" t="str">
        <f aca="false">IF(J1087="S0","—",IF(K1087="","",IF(L1087="E0","QM",INDEX(10_ASIL_Matrix!$D$4:$F$15,MATCH(J1087&amp;"-"&amp;L1087,10_ASIL_Matrix!$C$4:$C$15,0),MATCH(N1087,10_ASIL_Matrix!$D$3:$F$3,0)))))</f>
        <v>QM</v>
      </c>
      <c r="Q1087" s="6" t="s">
        <v>448</v>
      </c>
    </row>
    <row r="1088" customFormat="false" ht="35.05" hidden="false" customHeight="false" outlineLevel="0" collapsed="false">
      <c r="A1088" s="5" t="s">
        <v>2797</v>
      </c>
      <c r="B1088" s="5" t="s">
        <v>105</v>
      </c>
      <c r="C1088" s="5" t="s">
        <v>106</v>
      </c>
      <c r="D1088" s="5" t="s">
        <v>143</v>
      </c>
      <c r="E1088" s="5" t="s">
        <v>144</v>
      </c>
      <c r="F1088" s="5" t="s">
        <v>186</v>
      </c>
      <c r="G1088" s="5" t="s">
        <v>443</v>
      </c>
      <c r="H1088" s="5" t="s">
        <v>230</v>
      </c>
      <c r="I1088" s="5" t="s">
        <v>2798</v>
      </c>
      <c r="J1088" s="5" t="s">
        <v>250</v>
      </c>
      <c r="K1088" s="5" t="s">
        <v>2799</v>
      </c>
      <c r="L1088" s="5" t="s">
        <v>205</v>
      </c>
      <c r="M1088" s="5" t="s">
        <v>460</v>
      </c>
      <c r="N1088" s="5" t="s">
        <v>286</v>
      </c>
      <c r="O1088" s="5" t="s">
        <v>2800</v>
      </c>
      <c r="P1088" s="19" t="str">
        <f aca="false">IF(J1088="S0","—",IF(K1088="","",IF(L1088="E0","QM",INDEX(10_ASIL_Matrix!$D$4:$F$15,MATCH(J1088&amp;"-"&amp;L1088,10_ASIL_Matrix!$C$4:$C$15,0),MATCH(N1088,10_ASIL_Matrix!$D$3:$F$3,0)))))</f>
        <v>A</v>
      </c>
      <c r="Q1088" s="5" t="s">
        <v>448</v>
      </c>
    </row>
    <row r="1089" customFormat="false" ht="46.25" hidden="false" customHeight="false" outlineLevel="0" collapsed="false">
      <c r="A1089" s="6" t="s">
        <v>2801</v>
      </c>
      <c r="B1089" s="6" t="s">
        <v>105</v>
      </c>
      <c r="C1089" s="6" t="s">
        <v>106</v>
      </c>
      <c r="D1089" s="6" t="s">
        <v>143</v>
      </c>
      <c r="E1089" s="6" t="s">
        <v>144</v>
      </c>
      <c r="F1089" s="6" t="s">
        <v>186</v>
      </c>
      <c r="G1089" s="6" t="s">
        <v>443</v>
      </c>
      <c r="H1089" s="6" t="s">
        <v>232</v>
      </c>
      <c r="I1089" s="6" t="s">
        <v>2802</v>
      </c>
      <c r="J1089" s="6" t="s">
        <v>246</v>
      </c>
      <c r="K1089" s="6" t="s">
        <v>2789</v>
      </c>
      <c r="L1089" s="6" t="s">
        <v>233</v>
      </c>
      <c r="M1089" s="6" t="s">
        <v>464</v>
      </c>
      <c r="N1089" s="6" t="s">
        <v>282</v>
      </c>
      <c r="O1089" s="6" t="s">
        <v>2790</v>
      </c>
      <c r="P1089" s="6" t="str">
        <f aca="false">IF(J1089="S0","—",IF(K1089="","",IF(L1089="E0","QM",INDEX(10_ASIL_Matrix!$D$4:$F$15,MATCH(J1089&amp;"-"&amp;L1089,10_ASIL_Matrix!$C$4:$C$15,0),MATCH(N1089,10_ASIL_Matrix!$D$3:$F$3,0)))))</f>
        <v>QM</v>
      </c>
      <c r="Q1089" s="6" t="s">
        <v>448</v>
      </c>
    </row>
    <row r="1090" customFormat="false" ht="35.05" hidden="false" customHeight="false" outlineLevel="0" collapsed="false">
      <c r="A1090" s="5" t="s">
        <v>2803</v>
      </c>
      <c r="B1090" s="5" t="s">
        <v>105</v>
      </c>
      <c r="C1090" s="5" t="s">
        <v>106</v>
      </c>
      <c r="D1090" s="5" t="s">
        <v>143</v>
      </c>
      <c r="E1090" s="5" t="s">
        <v>144</v>
      </c>
      <c r="F1090" s="5" t="s">
        <v>189</v>
      </c>
      <c r="G1090" s="5" t="s">
        <v>466</v>
      </c>
      <c r="H1090" s="5" t="s">
        <v>222</v>
      </c>
      <c r="I1090" s="5" t="s">
        <v>2804</v>
      </c>
      <c r="J1090" s="5" t="s">
        <v>246</v>
      </c>
      <c r="K1090" s="5" t="s">
        <v>2805</v>
      </c>
      <c r="L1090" s="5" t="s">
        <v>190</v>
      </c>
      <c r="M1090" s="5" t="s">
        <v>469</v>
      </c>
      <c r="N1090" s="5" t="s">
        <v>282</v>
      </c>
      <c r="O1090" s="5" t="s">
        <v>2790</v>
      </c>
      <c r="P1090" s="5" t="str">
        <f aca="false">IF(J1090="S0","—",IF(K1090="","",IF(L1090="E0","QM",INDEX(10_ASIL_Matrix!$D$4:$F$15,MATCH(J1090&amp;"-"&amp;L1090,10_ASIL_Matrix!$C$4:$C$15,0),MATCH(N1090,10_ASIL_Matrix!$D$3:$F$3,0)))))</f>
        <v>QM</v>
      </c>
      <c r="Q1090" s="5" t="s">
        <v>448</v>
      </c>
    </row>
    <row r="1091" customFormat="false" ht="35.05" hidden="false" customHeight="false" outlineLevel="0" collapsed="false">
      <c r="A1091" s="6" t="s">
        <v>2806</v>
      </c>
      <c r="B1091" s="6" t="s">
        <v>105</v>
      </c>
      <c r="C1091" s="6" t="s">
        <v>106</v>
      </c>
      <c r="D1091" s="6" t="s">
        <v>143</v>
      </c>
      <c r="E1091" s="6" t="s">
        <v>144</v>
      </c>
      <c r="F1091" s="6" t="s">
        <v>189</v>
      </c>
      <c r="G1091" s="6" t="s">
        <v>466</v>
      </c>
      <c r="H1091" s="6" t="s">
        <v>224</v>
      </c>
      <c r="I1091" s="6" t="s">
        <v>2807</v>
      </c>
      <c r="J1091" s="6" t="s">
        <v>250</v>
      </c>
      <c r="K1091" s="6" t="s">
        <v>2808</v>
      </c>
      <c r="L1091" s="6" t="s">
        <v>190</v>
      </c>
      <c r="M1091" s="6" t="s">
        <v>473</v>
      </c>
      <c r="N1091" s="6" t="s">
        <v>282</v>
      </c>
      <c r="O1091" s="6" t="s">
        <v>2809</v>
      </c>
      <c r="P1091" s="19" t="str">
        <f aca="false">IF(J1091="S0","—",IF(K1091="","",IF(L1091="E0","QM",INDEX(10_ASIL_Matrix!$D$4:$F$15,MATCH(J1091&amp;"-"&amp;L1091,10_ASIL_Matrix!$C$4:$C$15,0),MATCH(N1091,10_ASIL_Matrix!$D$3:$F$3,0)))))</f>
        <v>A</v>
      </c>
      <c r="Q1091" s="6" t="s">
        <v>448</v>
      </c>
    </row>
    <row r="1092" customFormat="false" ht="35.05" hidden="false" customHeight="false" outlineLevel="0" collapsed="false">
      <c r="A1092" s="5" t="s">
        <v>2810</v>
      </c>
      <c r="B1092" s="5" t="s">
        <v>105</v>
      </c>
      <c r="C1092" s="5" t="s">
        <v>106</v>
      </c>
      <c r="D1092" s="5" t="s">
        <v>143</v>
      </c>
      <c r="E1092" s="5" t="s">
        <v>144</v>
      </c>
      <c r="F1092" s="5" t="s">
        <v>189</v>
      </c>
      <c r="G1092" s="5" t="s">
        <v>466</v>
      </c>
      <c r="H1092" s="5" t="s">
        <v>226</v>
      </c>
      <c r="I1092" s="5" t="s">
        <v>2811</v>
      </c>
      <c r="J1092" s="5" t="s">
        <v>246</v>
      </c>
      <c r="K1092" s="5" t="s">
        <v>2805</v>
      </c>
      <c r="L1092" s="5" t="s">
        <v>190</v>
      </c>
      <c r="M1092" s="5" t="s">
        <v>476</v>
      </c>
      <c r="N1092" s="5" t="s">
        <v>282</v>
      </c>
      <c r="O1092" s="5" t="s">
        <v>2790</v>
      </c>
      <c r="P1092" s="5" t="str">
        <f aca="false">IF(J1092="S0","—",IF(K1092="","",IF(L1092="E0","QM",INDEX(10_ASIL_Matrix!$D$4:$F$15,MATCH(J1092&amp;"-"&amp;L1092,10_ASIL_Matrix!$C$4:$C$15,0),MATCH(N1092,10_ASIL_Matrix!$D$3:$F$3,0)))))</f>
        <v>QM</v>
      </c>
      <c r="Q1092" s="5" t="s">
        <v>448</v>
      </c>
    </row>
    <row r="1093" customFormat="false" ht="35.05" hidden="false" customHeight="false" outlineLevel="0" collapsed="false">
      <c r="A1093" s="6" t="s">
        <v>2812</v>
      </c>
      <c r="B1093" s="6" t="s">
        <v>105</v>
      </c>
      <c r="C1093" s="6" t="s">
        <v>106</v>
      </c>
      <c r="D1093" s="6" t="s">
        <v>143</v>
      </c>
      <c r="E1093" s="6" t="s">
        <v>144</v>
      </c>
      <c r="F1093" s="6" t="s">
        <v>189</v>
      </c>
      <c r="G1093" s="6" t="s">
        <v>466</v>
      </c>
      <c r="H1093" s="6" t="s">
        <v>228</v>
      </c>
      <c r="I1093" s="6" t="s">
        <v>2813</v>
      </c>
      <c r="J1093" s="6" t="s">
        <v>250</v>
      </c>
      <c r="K1093" s="6" t="s">
        <v>2808</v>
      </c>
      <c r="L1093" s="6" t="s">
        <v>205</v>
      </c>
      <c r="M1093" s="6" t="s">
        <v>479</v>
      </c>
      <c r="N1093" s="6" t="s">
        <v>282</v>
      </c>
      <c r="O1093" s="6" t="s">
        <v>2809</v>
      </c>
      <c r="P1093" s="6" t="str">
        <f aca="false">IF(J1093="S0","—",IF(K1093="","",IF(L1093="E0","QM",INDEX(10_ASIL_Matrix!$D$4:$F$15,MATCH(J1093&amp;"-"&amp;L1093,10_ASIL_Matrix!$C$4:$C$15,0),MATCH(N1093,10_ASIL_Matrix!$D$3:$F$3,0)))))</f>
        <v>QM</v>
      </c>
      <c r="Q1093" s="6" t="s">
        <v>448</v>
      </c>
    </row>
    <row r="1094" customFormat="false" ht="35.05" hidden="false" customHeight="false" outlineLevel="0" collapsed="false">
      <c r="A1094" s="5" t="s">
        <v>2814</v>
      </c>
      <c r="B1094" s="5" t="s">
        <v>105</v>
      </c>
      <c r="C1094" s="5" t="s">
        <v>106</v>
      </c>
      <c r="D1094" s="5" t="s">
        <v>143</v>
      </c>
      <c r="E1094" s="5" t="s">
        <v>144</v>
      </c>
      <c r="F1094" s="5" t="s">
        <v>189</v>
      </c>
      <c r="G1094" s="5" t="s">
        <v>466</v>
      </c>
      <c r="H1094" s="5" t="s">
        <v>230</v>
      </c>
      <c r="I1094" s="5" t="s">
        <v>2815</v>
      </c>
      <c r="J1094" s="5" t="s">
        <v>250</v>
      </c>
      <c r="K1094" s="5" t="s">
        <v>2816</v>
      </c>
      <c r="L1094" s="5" t="s">
        <v>205</v>
      </c>
      <c r="M1094" s="5" t="s">
        <v>482</v>
      </c>
      <c r="N1094" s="5" t="s">
        <v>286</v>
      </c>
      <c r="O1094" s="5" t="s">
        <v>2800</v>
      </c>
      <c r="P1094" s="19" t="str">
        <f aca="false">IF(J1094="S0","—",IF(K1094="","",IF(L1094="E0","QM",INDEX(10_ASIL_Matrix!$D$4:$F$15,MATCH(J1094&amp;"-"&amp;L1094,10_ASIL_Matrix!$C$4:$C$15,0),MATCH(N1094,10_ASIL_Matrix!$D$3:$F$3,0)))))</f>
        <v>A</v>
      </c>
      <c r="Q1094" s="5" t="s">
        <v>448</v>
      </c>
    </row>
    <row r="1095" customFormat="false" ht="46.25" hidden="false" customHeight="false" outlineLevel="0" collapsed="false">
      <c r="A1095" s="6" t="s">
        <v>2817</v>
      </c>
      <c r="B1095" s="6" t="s">
        <v>105</v>
      </c>
      <c r="C1095" s="6" t="s">
        <v>106</v>
      </c>
      <c r="D1095" s="6" t="s">
        <v>143</v>
      </c>
      <c r="E1095" s="6" t="s">
        <v>144</v>
      </c>
      <c r="F1095" s="6" t="s">
        <v>189</v>
      </c>
      <c r="G1095" s="6" t="s">
        <v>466</v>
      </c>
      <c r="H1095" s="6" t="s">
        <v>232</v>
      </c>
      <c r="I1095" s="6" t="s">
        <v>2818</v>
      </c>
      <c r="J1095" s="6" t="s">
        <v>246</v>
      </c>
      <c r="K1095" s="6" t="s">
        <v>2805</v>
      </c>
      <c r="L1095" s="6" t="s">
        <v>233</v>
      </c>
      <c r="M1095" s="6" t="s">
        <v>486</v>
      </c>
      <c r="N1095" s="6" t="s">
        <v>282</v>
      </c>
      <c r="O1095" s="6" t="s">
        <v>2790</v>
      </c>
      <c r="P1095" s="6" t="str">
        <f aca="false">IF(J1095="S0","—",IF(K1095="","",IF(L1095="E0","QM",INDEX(10_ASIL_Matrix!$D$4:$F$15,MATCH(J1095&amp;"-"&amp;L1095,10_ASIL_Matrix!$C$4:$C$15,0),MATCH(N1095,10_ASIL_Matrix!$D$3:$F$3,0)))))</f>
        <v>QM</v>
      </c>
      <c r="Q1095" s="6" t="s">
        <v>448</v>
      </c>
    </row>
    <row r="1096" customFormat="false" ht="35.05" hidden="false" customHeight="false" outlineLevel="0" collapsed="false">
      <c r="A1096" s="5" t="s">
        <v>2819</v>
      </c>
      <c r="B1096" s="5" t="s">
        <v>105</v>
      </c>
      <c r="C1096" s="5" t="s">
        <v>106</v>
      </c>
      <c r="D1096" s="5" t="s">
        <v>143</v>
      </c>
      <c r="E1096" s="5" t="s">
        <v>144</v>
      </c>
      <c r="F1096" s="5" t="s">
        <v>192</v>
      </c>
      <c r="G1096" s="5" t="s">
        <v>488</v>
      </c>
      <c r="H1096" s="5" t="s">
        <v>222</v>
      </c>
      <c r="I1096" s="5" t="s">
        <v>2820</v>
      </c>
      <c r="J1096" s="5" t="s">
        <v>246</v>
      </c>
      <c r="K1096" s="5" t="s">
        <v>2821</v>
      </c>
      <c r="L1096" s="5" t="s">
        <v>187</v>
      </c>
      <c r="M1096" s="5" t="s">
        <v>491</v>
      </c>
      <c r="N1096" s="5" t="s">
        <v>282</v>
      </c>
      <c r="O1096" s="5" t="s">
        <v>2790</v>
      </c>
      <c r="P1096" s="19" t="str">
        <f aca="false">IF(J1096="S0","—",IF(K1096="","",IF(L1096="E0","QM",INDEX(10_ASIL_Matrix!$D$4:$F$15,MATCH(J1096&amp;"-"&amp;L1096,10_ASIL_Matrix!$C$4:$C$15,0),MATCH(N1096,10_ASIL_Matrix!$D$3:$F$3,0)))))</f>
        <v>A</v>
      </c>
      <c r="Q1096" s="5" t="s">
        <v>448</v>
      </c>
    </row>
    <row r="1097" customFormat="false" ht="35.05" hidden="false" customHeight="false" outlineLevel="0" collapsed="false">
      <c r="A1097" s="6" t="s">
        <v>2822</v>
      </c>
      <c r="B1097" s="6" t="s">
        <v>105</v>
      </c>
      <c r="C1097" s="6" t="s">
        <v>106</v>
      </c>
      <c r="D1097" s="6" t="s">
        <v>143</v>
      </c>
      <c r="E1097" s="6" t="s">
        <v>144</v>
      </c>
      <c r="F1097" s="6" t="s">
        <v>192</v>
      </c>
      <c r="G1097" s="6" t="s">
        <v>488</v>
      </c>
      <c r="H1097" s="6" t="s">
        <v>224</v>
      </c>
      <c r="I1097" s="6" t="s">
        <v>2823</v>
      </c>
      <c r="J1097" s="6" t="s">
        <v>246</v>
      </c>
      <c r="K1097" s="6" t="s">
        <v>2821</v>
      </c>
      <c r="L1097" s="6" t="s">
        <v>190</v>
      </c>
      <c r="M1097" s="6" t="s">
        <v>494</v>
      </c>
      <c r="N1097" s="6" t="s">
        <v>282</v>
      </c>
      <c r="O1097" s="6" t="s">
        <v>2790</v>
      </c>
      <c r="P1097" s="6" t="str">
        <f aca="false">IF(J1097="S0","—",IF(K1097="","",IF(L1097="E0","QM",INDEX(10_ASIL_Matrix!$D$4:$F$15,MATCH(J1097&amp;"-"&amp;L1097,10_ASIL_Matrix!$C$4:$C$15,0),MATCH(N1097,10_ASIL_Matrix!$D$3:$F$3,0)))))</f>
        <v>QM</v>
      </c>
      <c r="Q1097" s="6" t="s">
        <v>448</v>
      </c>
    </row>
    <row r="1098" customFormat="false" ht="35.05" hidden="false" customHeight="false" outlineLevel="0" collapsed="false">
      <c r="A1098" s="5" t="s">
        <v>2824</v>
      </c>
      <c r="B1098" s="5" t="s">
        <v>105</v>
      </c>
      <c r="C1098" s="5" t="s">
        <v>106</v>
      </c>
      <c r="D1098" s="5" t="s">
        <v>143</v>
      </c>
      <c r="E1098" s="5" t="s">
        <v>144</v>
      </c>
      <c r="F1098" s="5" t="s">
        <v>192</v>
      </c>
      <c r="G1098" s="5" t="s">
        <v>488</v>
      </c>
      <c r="H1098" s="5" t="s">
        <v>226</v>
      </c>
      <c r="I1098" s="5" t="s">
        <v>2825</v>
      </c>
      <c r="J1098" s="5" t="s">
        <v>246</v>
      </c>
      <c r="K1098" s="5" t="s">
        <v>2821</v>
      </c>
      <c r="L1098" s="5" t="s">
        <v>190</v>
      </c>
      <c r="M1098" s="5" t="s">
        <v>497</v>
      </c>
      <c r="N1098" s="5" t="s">
        <v>282</v>
      </c>
      <c r="O1098" s="5" t="s">
        <v>2790</v>
      </c>
      <c r="P1098" s="5" t="str">
        <f aca="false">IF(J1098="S0","—",IF(K1098="","",IF(L1098="E0","QM",INDEX(10_ASIL_Matrix!$D$4:$F$15,MATCH(J1098&amp;"-"&amp;L1098,10_ASIL_Matrix!$C$4:$C$15,0),MATCH(N1098,10_ASIL_Matrix!$D$3:$F$3,0)))))</f>
        <v>QM</v>
      </c>
      <c r="Q1098" s="5" t="s">
        <v>448</v>
      </c>
    </row>
    <row r="1099" customFormat="false" ht="35.05" hidden="false" customHeight="false" outlineLevel="0" collapsed="false">
      <c r="A1099" s="6" t="s">
        <v>2826</v>
      </c>
      <c r="B1099" s="6" t="s">
        <v>105</v>
      </c>
      <c r="C1099" s="6" t="s">
        <v>106</v>
      </c>
      <c r="D1099" s="6" t="s">
        <v>143</v>
      </c>
      <c r="E1099" s="6" t="s">
        <v>144</v>
      </c>
      <c r="F1099" s="6" t="s">
        <v>192</v>
      </c>
      <c r="G1099" s="6" t="s">
        <v>488</v>
      </c>
      <c r="H1099" s="6" t="s">
        <v>228</v>
      </c>
      <c r="I1099" s="6" t="s">
        <v>2827</v>
      </c>
      <c r="J1099" s="6" t="s">
        <v>246</v>
      </c>
      <c r="K1099" s="6" t="s">
        <v>2821</v>
      </c>
      <c r="L1099" s="6" t="s">
        <v>205</v>
      </c>
      <c r="M1099" s="6" t="s">
        <v>500</v>
      </c>
      <c r="N1099" s="6" t="s">
        <v>282</v>
      </c>
      <c r="O1099" s="6" t="s">
        <v>2790</v>
      </c>
      <c r="P1099" s="6" t="str">
        <f aca="false">IF(J1099="S0","—",IF(K1099="","",IF(L1099="E0","QM",INDEX(10_ASIL_Matrix!$D$4:$F$15,MATCH(J1099&amp;"-"&amp;L1099,10_ASIL_Matrix!$C$4:$C$15,0),MATCH(N1099,10_ASIL_Matrix!$D$3:$F$3,0)))))</f>
        <v>QM</v>
      </c>
      <c r="Q1099" s="6" t="s">
        <v>448</v>
      </c>
    </row>
    <row r="1100" customFormat="false" ht="35.05" hidden="false" customHeight="false" outlineLevel="0" collapsed="false">
      <c r="A1100" s="5" t="s">
        <v>2828</v>
      </c>
      <c r="B1100" s="5" t="s">
        <v>105</v>
      </c>
      <c r="C1100" s="5" t="s">
        <v>106</v>
      </c>
      <c r="D1100" s="5" t="s">
        <v>143</v>
      </c>
      <c r="E1100" s="5" t="s">
        <v>144</v>
      </c>
      <c r="F1100" s="5" t="s">
        <v>192</v>
      </c>
      <c r="G1100" s="5" t="s">
        <v>488</v>
      </c>
      <c r="H1100" s="5" t="s">
        <v>230</v>
      </c>
      <c r="I1100" s="5" t="s">
        <v>2829</v>
      </c>
      <c r="J1100" s="5" t="s">
        <v>250</v>
      </c>
      <c r="K1100" s="5" t="s">
        <v>2830</v>
      </c>
      <c r="L1100" s="5" t="s">
        <v>205</v>
      </c>
      <c r="M1100" s="5" t="s">
        <v>503</v>
      </c>
      <c r="N1100" s="5" t="s">
        <v>286</v>
      </c>
      <c r="O1100" s="5" t="s">
        <v>2800</v>
      </c>
      <c r="P1100" s="19" t="str">
        <f aca="false">IF(J1100="S0","—",IF(K1100="","",IF(L1100="E0","QM",INDEX(10_ASIL_Matrix!$D$4:$F$15,MATCH(J1100&amp;"-"&amp;L1100,10_ASIL_Matrix!$C$4:$C$15,0),MATCH(N1100,10_ASIL_Matrix!$D$3:$F$3,0)))))</f>
        <v>A</v>
      </c>
      <c r="Q1100" s="5" t="s">
        <v>448</v>
      </c>
    </row>
    <row r="1101" customFormat="false" ht="46.25" hidden="false" customHeight="false" outlineLevel="0" collapsed="false">
      <c r="A1101" s="6" t="s">
        <v>2831</v>
      </c>
      <c r="B1101" s="6" t="s">
        <v>105</v>
      </c>
      <c r="C1101" s="6" t="s">
        <v>106</v>
      </c>
      <c r="D1101" s="6" t="s">
        <v>143</v>
      </c>
      <c r="E1101" s="6" t="s">
        <v>144</v>
      </c>
      <c r="F1101" s="6" t="s">
        <v>192</v>
      </c>
      <c r="G1101" s="6" t="s">
        <v>488</v>
      </c>
      <c r="H1101" s="6" t="s">
        <v>232</v>
      </c>
      <c r="I1101" s="6" t="s">
        <v>2832</v>
      </c>
      <c r="J1101" s="6" t="s">
        <v>246</v>
      </c>
      <c r="K1101" s="6" t="s">
        <v>2821</v>
      </c>
      <c r="L1101" s="6" t="s">
        <v>233</v>
      </c>
      <c r="M1101" s="6" t="s">
        <v>506</v>
      </c>
      <c r="N1101" s="6" t="s">
        <v>282</v>
      </c>
      <c r="O1101" s="6" t="s">
        <v>2790</v>
      </c>
      <c r="P1101" s="6" t="str">
        <f aca="false">IF(J1101="S0","—",IF(K1101="","",IF(L1101="E0","QM",INDEX(10_ASIL_Matrix!$D$4:$F$15,MATCH(J1101&amp;"-"&amp;L1101,10_ASIL_Matrix!$C$4:$C$15,0),MATCH(N1101,10_ASIL_Matrix!$D$3:$F$3,0)))))</f>
        <v>QM</v>
      </c>
      <c r="Q1101" s="6" t="s">
        <v>448</v>
      </c>
    </row>
    <row r="1102" customFormat="false" ht="35.05" hidden="false" customHeight="false" outlineLevel="0" collapsed="false">
      <c r="A1102" s="5" t="s">
        <v>2833</v>
      </c>
      <c r="B1102" s="5" t="s">
        <v>105</v>
      </c>
      <c r="C1102" s="5" t="s">
        <v>106</v>
      </c>
      <c r="D1102" s="5" t="s">
        <v>143</v>
      </c>
      <c r="E1102" s="5" t="s">
        <v>144</v>
      </c>
      <c r="F1102" s="5" t="s">
        <v>194</v>
      </c>
      <c r="G1102" s="5" t="s">
        <v>508</v>
      </c>
      <c r="H1102" s="5" t="s">
        <v>222</v>
      </c>
      <c r="I1102" s="5" t="s">
        <v>2834</v>
      </c>
      <c r="J1102" s="5" t="s">
        <v>242</v>
      </c>
      <c r="K1102" s="5" t="s">
        <v>2835</v>
      </c>
      <c r="L1102" s="5" t="s">
        <v>190</v>
      </c>
      <c r="M1102" s="5" t="s">
        <v>511</v>
      </c>
      <c r="N1102" s="5" t="s">
        <v>282</v>
      </c>
      <c r="O1102" s="5" t="s">
        <v>2790</v>
      </c>
      <c r="P1102" s="5" t="str">
        <f aca="false">IF(J1102="S0","—",IF(K1102="","",IF(L1102="E0","QM",INDEX(10_ASIL_Matrix!$D$4:$F$15,MATCH(J1102&amp;"-"&amp;L1102,10_ASIL_Matrix!$C$4:$C$15,0),MATCH(N1102,10_ASIL_Matrix!$D$3:$F$3,0)))))</f>
        <v>QM</v>
      </c>
      <c r="Q1102" s="5" t="s">
        <v>448</v>
      </c>
    </row>
    <row r="1103" customFormat="false" ht="35.05" hidden="false" customHeight="false" outlineLevel="0" collapsed="false">
      <c r="A1103" s="6" t="s">
        <v>2836</v>
      </c>
      <c r="B1103" s="6" t="s">
        <v>105</v>
      </c>
      <c r="C1103" s="6" t="s">
        <v>106</v>
      </c>
      <c r="D1103" s="6" t="s">
        <v>143</v>
      </c>
      <c r="E1103" s="6" t="s">
        <v>144</v>
      </c>
      <c r="F1103" s="6" t="s">
        <v>194</v>
      </c>
      <c r="G1103" s="6" t="s">
        <v>508</v>
      </c>
      <c r="H1103" s="6" t="s">
        <v>224</v>
      </c>
      <c r="I1103" s="6" t="s">
        <v>2837</v>
      </c>
      <c r="J1103" s="6" t="s">
        <v>242</v>
      </c>
      <c r="K1103" s="6" t="s">
        <v>2835</v>
      </c>
      <c r="L1103" s="6" t="s">
        <v>190</v>
      </c>
      <c r="M1103" s="6" t="s">
        <v>514</v>
      </c>
      <c r="N1103" s="6" t="s">
        <v>282</v>
      </c>
      <c r="O1103" s="6" t="s">
        <v>2790</v>
      </c>
      <c r="P1103" s="6" t="str">
        <f aca="false">IF(J1103="S0","—",IF(K1103="","",IF(L1103="E0","QM",INDEX(10_ASIL_Matrix!$D$4:$F$15,MATCH(J1103&amp;"-"&amp;L1103,10_ASIL_Matrix!$C$4:$C$15,0),MATCH(N1103,10_ASIL_Matrix!$D$3:$F$3,0)))))</f>
        <v>QM</v>
      </c>
      <c r="Q1103" s="6" t="s">
        <v>448</v>
      </c>
    </row>
    <row r="1104" customFormat="false" ht="35.05" hidden="false" customHeight="false" outlineLevel="0" collapsed="false">
      <c r="A1104" s="5" t="s">
        <v>2838</v>
      </c>
      <c r="B1104" s="5" t="s">
        <v>105</v>
      </c>
      <c r="C1104" s="5" t="s">
        <v>106</v>
      </c>
      <c r="D1104" s="5" t="s">
        <v>143</v>
      </c>
      <c r="E1104" s="5" t="s">
        <v>144</v>
      </c>
      <c r="F1104" s="5" t="s">
        <v>194</v>
      </c>
      <c r="G1104" s="5" t="s">
        <v>508</v>
      </c>
      <c r="H1104" s="5" t="s">
        <v>226</v>
      </c>
      <c r="I1104" s="5" t="s">
        <v>2839</v>
      </c>
      <c r="J1104" s="5" t="s">
        <v>242</v>
      </c>
      <c r="K1104" s="5" t="s">
        <v>2835</v>
      </c>
      <c r="L1104" s="5" t="s">
        <v>190</v>
      </c>
      <c r="M1104" s="5" t="s">
        <v>517</v>
      </c>
      <c r="N1104" s="5" t="s">
        <v>282</v>
      </c>
      <c r="O1104" s="5" t="s">
        <v>2790</v>
      </c>
      <c r="P1104" s="5" t="str">
        <f aca="false">IF(J1104="S0","—",IF(K1104="","",IF(L1104="E0","QM",INDEX(10_ASIL_Matrix!$D$4:$F$15,MATCH(J1104&amp;"-"&amp;L1104,10_ASIL_Matrix!$C$4:$C$15,0),MATCH(N1104,10_ASIL_Matrix!$D$3:$F$3,0)))))</f>
        <v>QM</v>
      </c>
      <c r="Q1104" s="5" t="s">
        <v>448</v>
      </c>
    </row>
    <row r="1105" customFormat="false" ht="35.05" hidden="false" customHeight="false" outlineLevel="0" collapsed="false">
      <c r="A1105" s="6" t="s">
        <v>2840</v>
      </c>
      <c r="B1105" s="6" t="s">
        <v>105</v>
      </c>
      <c r="C1105" s="6" t="s">
        <v>106</v>
      </c>
      <c r="D1105" s="6" t="s">
        <v>143</v>
      </c>
      <c r="E1105" s="6" t="s">
        <v>144</v>
      </c>
      <c r="F1105" s="6" t="s">
        <v>194</v>
      </c>
      <c r="G1105" s="6" t="s">
        <v>508</v>
      </c>
      <c r="H1105" s="6" t="s">
        <v>228</v>
      </c>
      <c r="I1105" s="6" t="s">
        <v>2841</v>
      </c>
      <c r="J1105" s="6" t="s">
        <v>242</v>
      </c>
      <c r="K1105" s="6" t="s">
        <v>2835</v>
      </c>
      <c r="L1105" s="6" t="s">
        <v>205</v>
      </c>
      <c r="M1105" s="6" t="s">
        <v>520</v>
      </c>
      <c r="N1105" s="6" t="s">
        <v>282</v>
      </c>
      <c r="O1105" s="6" t="s">
        <v>2790</v>
      </c>
      <c r="P1105" s="6" t="str">
        <f aca="false">IF(J1105="S0","—",IF(K1105="","",IF(L1105="E0","QM",INDEX(10_ASIL_Matrix!$D$4:$F$15,MATCH(J1105&amp;"-"&amp;L1105,10_ASIL_Matrix!$C$4:$C$15,0),MATCH(N1105,10_ASIL_Matrix!$D$3:$F$3,0)))))</f>
        <v>QM</v>
      </c>
      <c r="Q1105" s="6" t="s">
        <v>448</v>
      </c>
    </row>
    <row r="1106" customFormat="false" ht="35.05" hidden="false" customHeight="false" outlineLevel="0" collapsed="false">
      <c r="A1106" s="5" t="s">
        <v>2842</v>
      </c>
      <c r="B1106" s="5" t="s">
        <v>105</v>
      </c>
      <c r="C1106" s="5" t="s">
        <v>106</v>
      </c>
      <c r="D1106" s="5" t="s">
        <v>143</v>
      </c>
      <c r="E1106" s="5" t="s">
        <v>144</v>
      </c>
      <c r="F1106" s="5" t="s">
        <v>194</v>
      </c>
      <c r="G1106" s="5" t="s">
        <v>508</v>
      </c>
      <c r="H1106" s="5" t="s">
        <v>230</v>
      </c>
      <c r="I1106" s="5" t="s">
        <v>2843</v>
      </c>
      <c r="J1106" s="5" t="s">
        <v>246</v>
      </c>
      <c r="K1106" s="5" t="s">
        <v>2844</v>
      </c>
      <c r="L1106" s="5" t="s">
        <v>205</v>
      </c>
      <c r="M1106" s="5" t="s">
        <v>523</v>
      </c>
      <c r="N1106" s="5" t="s">
        <v>286</v>
      </c>
      <c r="O1106" s="5" t="s">
        <v>2800</v>
      </c>
      <c r="P1106" s="5" t="str">
        <f aca="false">IF(J1106="S0","—",IF(K1106="","",IF(L1106="E0","QM",INDEX(10_ASIL_Matrix!$D$4:$F$15,MATCH(J1106&amp;"-"&amp;L1106,10_ASIL_Matrix!$C$4:$C$15,0),MATCH(N1106,10_ASIL_Matrix!$D$3:$F$3,0)))))</f>
        <v>QM</v>
      </c>
      <c r="Q1106" s="5" t="s">
        <v>448</v>
      </c>
    </row>
    <row r="1107" customFormat="false" ht="46.25" hidden="false" customHeight="false" outlineLevel="0" collapsed="false">
      <c r="A1107" s="6" t="s">
        <v>2845</v>
      </c>
      <c r="B1107" s="6" t="s">
        <v>105</v>
      </c>
      <c r="C1107" s="6" t="s">
        <v>106</v>
      </c>
      <c r="D1107" s="6" t="s">
        <v>143</v>
      </c>
      <c r="E1107" s="6" t="s">
        <v>144</v>
      </c>
      <c r="F1107" s="6" t="s">
        <v>194</v>
      </c>
      <c r="G1107" s="6" t="s">
        <v>508</v>
      </c>
      <c r="H1107" s="6" t="s">
        <v>232</v>
      </c>
      <c r="I1107" s="6" t="s">
        <v>2846</v>
      </c>
      <c r="J1107" s="6" t="s">
        <v>242</v>
      </c>
      <c r="K1107" s="6" t="s">
        <v>2835</v>
      </c>
      <c r="L1107" s="6" t="s">
        <v>233</v>
      </c>
      <c r="M1107" s="6" t="s">
        <v>526</v>
      </c>
      <c r="N1107" s="6" t="s">
        <v>282</v>
      </c>
      <c r="O1107" s="6" t="s">
        <v>2790</v>
      </c>
      <c r="P1107" s="6" t="str">
        <f aca="false">IF(J1107="S0","—",IF(K1107="","",IF(L1107="E0","QM",INDEX(10_ASIL_Matrix!$D$4:$F$15,MATCH(J1107&amp;"-"&amp;L1107,10_ASIL_Matrix!$C$4:$C$15,0),MATCH(N1107,10_ASIL_Matrix!$D$3:$F$3,0)))))</f>
        <v>QM</v>
      </c>
      <c r="Q1107" s="6" t="s">
        <v>448</v>
      </c>
    </row>
    <row r="1108" customFormat="false" ht="35.05" hidden="false" customHeight="false" outlineLevel="0" collapsed="false">
      <c r="A1108" s="5" t="s">
        <v>2847</v>
      </c>
      <c r="B1108" s="5" t="s">
        <v>105</v>
      </c>
      <c r="C1108" s="5" t="s">
        <v>106</v>
      </c>
      <c r="D1108" s="5" t="s">
        <v>143</v>
      </c>
      <c r="E1108" s="5" t="s">
        <v>144</v>
      </c>
      <c r="F1108" s="5" t="s">
        <v>196</v>
      </c>
      <c r="G1108" s="5" t="s">
        <v>528</v>
      </c>
      <c r="H1108" s="5" t="s">
        <v>222</v>
      </c>
      <c r="I1108" s="5" t="s">
        <v>2848</v>
      </c>
      <c r="J1108" s="5" t="s">
        <v>246</v>
      </c>
      <c r="K1108" s="5" t="s">
        <v>2849</v>
      </c>
      <c r="L1108" s="5" t="s">
        <v>187</v>
      </c>
      <c r="M1108" s="5" t="s">
        <v>531</v>
      </c>
      <c r="N1108" s="5" t="s">
        <v>286</v>
      </c>
      <c r="O1108" s="5" t="s">
        <v>2850</v>
      </c>
      <c r="P1108" s="18" t="str">
        <f aca="false">IF(J1108="S0","—",IF(K1108="","",IF(L1108="E0","QM",INDEX(10_ASIL_Matrix!$D$4:$F$15,MATCH(J1108&amp;"-"&amp;L1108,10_ASIL_Matrix!$C$4:$C$15,0),MATCH(N1108,10_ASIL_Matrix!$D$3:$F$3,0)))))</f>
        <v>B</v>
      </c>
      <c r="Q1108" s="5" t="s">
        <v>448</v>
      </c>
    </row>
    <row r="1109" customFormat="false" ht="35.05" hidden="false" customHeight="false" outlineLevel="0" collapsed="false">
      <c r="A1109" s="6" t="s">
        <v>2851</v>
      </c>
      <c r="B1109" s="6" t="s">
        <v>105</v>
      </c>
      <c r="C1109" s="6" t="s">
        <v>106</v>
      </c>
      <c r="D1109" s="6" t="s">
        <v>143</v>
      </c>
      <c r="E1109" s="6" t="s">
        <v>144</v>
      </c>
      <c r="F1109" s="6" t="s">
        <v>196</v>
      </c>
      <c r="G1109" s="6" t="s">
        <v>528</v>
      </c>
      <c r="H1109" s="6" t="s">
        <v>224</v>
      </c>
      <c r="I1109" s="6" t="s">
        <v>2852</v>
      </c>
      <c r="J1109" s="6" t="s">
        <v>246</v>
      </c>
      <c r="K1109" s="6" t="s">
        <v>2849</v>
      </c>
      <c r="L1109" s="6" t="s">
        <v>190</v>
      </c>
      <c r="M1109" s="6" t="s">
        <v>534</v>
      </c>
      <c r="N1109" s="6" t="s">
        <v>286</v>
      </c>
      <c r="O1109" s="6" t="s">
        <v>2850</v>
      </c>
      <c r="P1109" s="19" t="str">
        <f aca="false">IF(J1109="S0","—",IF(K1109="","",IF(L1109="E0","QM",INDEX(10_ASIL_Matrix!$D$4:$F$15,MATCH(J1109&amp;"-"&amp;L1109,10_ASIL_Matrix!$C$4:$C$15,0),MATCH(N1109,10_ASIL_Matrix!$D$3:$F$3,0)))))</f>
        <v>A</v>
      </c>
      <c r="Q1109" s="6" t="s">
        <v>448</v>
      </c>
    </row>
    <row r="1110" customFormat="false" ht="35.05" hidden="false" customHeight="false" outlineLevel="0" collapsed="false">
      <c r="A1110" s="5" t="s">
        <v>2853</v>
      </c>
      <c r="B1110" s="5" t="s">
        <v>105</v>
      </c>
      <c r="C1110" s="5" t="s">
        <v>106</v>
      </c>
      <c r="D1110" s="5" t="s">
        <v>143</v>
      </c>
      <c r="E1110" s="5" t="s">
        <v>144</v>
      </c>
      <c r="F1110" s="5" t="s">
        <v>196</v>
      </c>
      <c r="G1110" s="5" t="s">
        <v>528</v>
      </c>
      <c r="H1110" s="5" t="s">
        <v>226</v>
      </c>
      <c r="I1110" s="5" t="s">
        <v>2854</v>
      </c>
      <c r="J1110" s="5" t="s">
        <v>246</v>
      </c>
      <c r="K1110" s="5" t="s">
        <v>2849</v>
      </c>
      <c r="L1110" s="5" t="s">
        <v>190</v>
      </c>
      <c r="M1110" s="5" t="s">
        <v>537</v>
      </c>
      <c r="N1110" s="5" t="s">
        <v>286</v>
      </c>
      <c r="O1110" s="5" t="s">
        <v>2850</v>
      </c>
      <c r="P1110" s="19" t="str">
        <f aca="false">IF(J1110="S0","—",IF(K1110="","",IF(L1110="E0","QM",INDEX(10_ASIL_Matrix!$D$4:$F$15,MATCH(J1110&amp;"-"&amp;L1110,10_ASIL_Matrix!$C$4:$C$15,0),MATCH(N1110,10_ASIL_Matrix!$D$3:$F$3,0)))))</f>
        <v>A</v>
      </c>
      <c r="Q1110" s="5" t="s">
        <v>448</v>
      </c>
    </row>
    <row r="1111" customFormat="false" ht="35.05" hidden="false" customHeight="false" outlineLevel="0" collapsed="false">
      <c r="A1111" s="6" t="s">
        <v>2855</v>
      </c>
      <c r="B1111" s="6" t="s">
        <v>105</v>
      </c>
      <c r="C1111" s="6" t="s">
        <v>106</v>
      </c>
      <c r="D1111" s="6" t="s">
        <v>143</v>
      </c>
      <c r="E1111" s="6" t="s">
        <v>144</v>
      </c>
      <c r="F1111" s="6" t="s">
        <v>196</v>
      </c>
      <c r="G1111" s="6" t="s">
        <v>528</v>
      </c>
      <c r="H1111" s="6" t="s">
        <v>228</v>
      </c>
      <c r="I1111" s="6" t="s">
        <v>2856</v>
      </c>
      <c r="J1111" s="6" t="s">
        <v>246</v>
      </c>
      <c r="K1111" s="6" t="s">
        <v>2849</v>
      </c>
      <c r="L1111" s="6" t="s">
        <v>205</v>
      </c>
      <c r="M1111" s="6" t="s">
        <v>540</v>
      </c>
      <c r="N1111" s="6" t="s">
        <v>286</v>
      </c>
      <c r="O1111" s="6" t="s">
        <v>2850</v>
      </c>
      <c r="P1111" s="6" t="str">
        <f aca="false">IF(J1111="S0","—",IF(K1111="","",IF(L1111="E0","QM",INDEX(10_ASIL_Matrix!$D$4:$F$15,MATCH(J1111&amp;"-"&amp;L1111,10_ASIL_Matrix!$C$4:$C$15,0),MATCH(N1111,10_ASIL_Matrix!$D$3:$F$3,0)))))</f>
        <v>QM</v>
      </c>
      <c r="Q1111" s="6" t="s">
        <v>448</v>
      </c>
    </row>
    <row r="1112" customFormat="false" ht="35.05" hidden="false" customHeight="false" outlineLevel="0" collapsed="false">
      <c r="A1112" s="5" t="s">
        <v>2857</v>
      </c>
      <c r="B1112" s="5" t="s">
        <v>105</v>
      </c>
      <c r="C1112" s="5" t="s">
        <v>106</v>
      </c>
      <c r="D1112" s="5" t="s">
        <v>143</v>
      </c>
      <c r="E1112" s="5" t="s">
        <v>144</v>
      </c>
      <c r="F1112" s="5" t="s">
        <v>196</v>
      </c>
      <c r="G1112" s="5" t="s">
        <v>528</v>
      </c>
      <c r="H1112" s="5" t="s">
        <v>230</v>
      </c>
      <c r="I1112" s="5" t="s">
        <v>2858</v>
      </c>
      <c r="J1112" s="5" t="s">
        <v>250</v>
      </c>
      <c r="K1112" s="5" t="s">
        <v>2859</v>
      </c>
      <c r="L1112" s="5" t="s">
        <v>205</v>
      </c>
      <c r="M1112" s="5" t="s">
        <v>543</v>
      </c>
      <c r="N1112" s="5" t="s">
        <v>290</v>
      </c>
      <c r="O1112" s="5" t="s">
        <v>2860</v>
      </c>
      <c r="P1112" s="18" t="str">
        <f aca="false">IF(J1112="S0","—",IF(K1112="","",IF(L1112="E0","QM",INDEX(10_ASIL_Matrix!$D$4:$F$15,MATCH(J1112&amp;"-"&amp;L1112,10_ASIL_Matrix!$C$4:$C$15,0),MATCH(N1112,10_ASIL_Matrix!$D$3:$F$3,0)))))</f>
        <v>B</v>
      </c>
      <c r="Q1112" s="5" t="s">
        <v>448</v>
      </c>
    </row>
    <row r="1113" customFormat="false" ht="46.25" hidden="false" customHeight="false" outlineLevel="0" collapsed="false">
      <c r="A1113" s="6" t="s">
        <v>2861</v>
      </c>
      <c r="B1113" s="6" t="s">
        <v>105</v>
      </c>
      <c r="C1113" s="6" t="s">
        <v>106</v>
      </c>
      <c r="D1113" s="6" t="s">
        <v>143</v>
      </c>
      <c r="E1113" s="6" t="s">
        <v>144</v>
      </c>
      <c r="F1113" s="6" t="s">
        <v>196</v>
      </c>
      <c r="G1113" s="6" t="s">
        <v>528</v>
      </c>
      <c r="H1113" s="6" t="s">
        <v>232</v>
      </c>
      <c r="I1113" s="6" t="s">
        <v>2862</v>
      </c>
      <c r="J1113" s="6" t="s">
        <v>246</v>
      </c>
      <c r="K1113" s="6" t="s">
        <v>2849</v>
      </c>
      <c r="L1113" s="6" t="s">
        <v>233</v>
      </c>
      <c r="M1113" s="6" t="s">
        <v>546</v>
      </c>
      <c r="N1113" s="6" t="s">
        <v>286</v>
      </c>
      <c r="O1113" s="6" t="s">
        <v>2850</v>
      </c>
      <c r="P1113" s="6" t="str">
        <f aca="false">IF(J1113="S0","—",IF(K1113="","",IF(L1113="E0","QM",INDEX(10_ASIL_Matrix!$D$4:$F$15,MATCH(J1113&amp;"-"&amp;L1113,10_ASIL_Matrix!$C$4:$C$15,0),MATCH(N1113,10_ASIL_Matrix!$D$3:$F$3,0)))))</f>
        <v>QM</v>
      </c>
      <c r="Q1113" s="6" t="s">
        <v>448</v>
      </c>
    </row>
    <row r="1114" customFormat="false" ht="35.05" hidden="false" customHeight="false" outlineLevel="0" collapsed="false">
      <c r="A1114" s="5" t="s">
        <v>2863</v>
      </c>
      <c r="B1114" s="5" t="s">
        <v>105</v>
      </c>
      <c r="C1114" s="5" t="s">
        <v>106</v>
      </c>
      <c r="D1114" s="5" t="s">
        <v>143</v>
      </c>
      <c r="E1114" s="5" t="s">
        <v>144</v>
      </c>
      <c r="F1114" s="5" t="s">
        <v>198</v>
      </c>
      <c r="G1114" s="5" t="s">
        <v>548</v>
      </c>
      <c r="H1114" s="5" t="s">
        <v>222</v>
      </c>
      <c r="I1114" s="5" t="s">
        <v>2864</v>
      </c>
      <c r="J1114" s="5" t="s">
        <v>242</v>
      </c>
      <c r="K1114" s="5" t="s">
        <v>2865</v>
      </c>
      <c r="L1114" s="5" t="s">
        <v>190</v>
      </c>
      <c r="M1114" s="5" t="s">
        <v>551</v>
      </c>
      <c r="N1114" s="5" t="s">
        <v>282</v>
      </c>
      <c r="O1114" s="5" t="s">
        <v>2790</v>
      </c>
      <c r="P1114" s="5" t="str">
        <f aca="false">IF(J1114="S0","—",IF(K1114="","",IF(L1114="E0","QM",INDEX(10_ASIL_Matrix!$D$4:$F$15,MATCH(J1114&amp;"-"&amp;L1114,10_ASIL_Matrix!$C$4:$C$15,0),MATCH(N1114,10_ASIL_Matrix!$D$3:$F$3,0)))))</f>
        <v>QM</v>
      </c>
      <c r="Q1114" s="5" t="s">
        <v>448</v>
      </c>
    </row>
    <row r="1115" customFormat="false" ht="35.05" hidden="false" customHeight="false" outlineLevel="0" collapsed="false">
      <c r="A1115" s="6" t="s">
        <v>2866</v>
      </c>
      <c r="B1115" s="6" t="s">
        <v>105</v>
      </c>
      <c r="C1115" s="6" t="s">
        <v>106</v>
      </c>
      <c r="D1115" s="6" t="s">
        <v>143</v>
      </c>
      <c r="E1115" s="6" t="s">
        <v>144</v>
      </c>
      <c r="F1115" s="6" t="s">
        <v>198</v>
      </c>
      <c r="G1115" s="6" t="s">
        <v>548</v>
      </c>
      <c r="H1115" s="6" t="s">
        <v>224</v>
      </c>
      <c r="I1115" s="6" t="s">
        <v>2867</v>
      </c>
      <c r="J1115" s="6" t="s">
        <v>242</v>
      </c>
      <c r="K1115" s="6" t="s">
        <v>2865</v>
      </c>
      <c r="L1115" s="6" t="s">
        <v>190</v>
      </c>
      <c r="M1115" s="6" t="s">
        <v>555</v>
      </c>
      <c r="N1115" s="6" t="s">
        <v>282</v>
      </c>
      <c r="O1115" s="6" t="s">
        <v>2790</v>
      </c>
      <c r="P1115" s="6" t="str">
        <f aca="false">IF(J1115="S0","—",IF(K1115="","",IF(L1115="E0","QM",INDEX(10_ASIL_Matrix!$D$4:$F$15,MATCH(J1115&amp;"-"&amp;L1115,10_ASIL_Matrix!$C$4:$C$15,0),MATCH(N1115,10_ASIL_Matrix!$D$3:$F$3,0)))))</f>
        <v>QM</v>
      </c>
      <c r="Q1115" s="6" t="s">
        <v>448</v>
      </c>
    </row>
    <row r="1116" customFormat="false" ht="35.05" hidden="false" customHeight="false" outlineLevel="0" collapsed="false">
      <c r="A1116" s="5" t="s">
        <v>2868</v>
      </c>
      <c r="B1116" s="5" t="s">
        <v>105</v>
      </c>
      <c r="C1116" s="5" t="s">
        <v>106</v>
      </c>
      <c r="D1116" s="5" t="s">
        <v>143</v>
      </c>
      <c r="E1116" s="5" t="s">
        <v>144</v>
      </c>
      <c r="F1116" s="5" t="s">
        <v>198</v>
      </c>
      <c r="G1116" s="5" t="s">
        <v>548</v>
      </c>
      <c r="H1116" s="5" t="s">
        <v>226</v>
      </c>
      <c r="I1116" s="5" t="s">
        <v>2869</v>
      </c>
      <c r="J1116" s="5" t="s">
        <v>242</v>
      </c>
      <c r="K1116" s="5" t="s">
        <v>2865</v>
      </c>
      <c r="L1116" s="5" t="s">
        <v>190</v>
      </c>
      <c r="M1116" s="5" t="s">
        <v>558</v>
      </c>
      <c r="N1116" s="5" t="s">
        <v>282</v>
      </c>
      <c r="O1116" s="5" t="s">
        <v>2790</v>
      </c>
      <c r="P1116" s="5" t="str">
        <f aca="false">IF(J1116="S0","—",IF(K1116="","",IF(L1116="E0","QM",INDEX(10_ASIL_Matrix!$D$4:$F$15,MATCH(J1116&amp;"-"&amp;L1116,10_ASIL_Matrix!$C$4:$C$15,0),MATCH(N1116,10_ASIL_Matrix!$D$3:$F$3,0)))))</f>
        <v>QM</v>
      </c>
      <c r="Q1116" s="5" t="s">
        <v>448</v>
      </c>
    </row>
    <row r="1117" customFormat="false" ht="46.25" hidden="false" customHeight="false" outlineLevel="0" collapsed="false">
      <c r="A1117" s="6" t="s">
        <v>2870</v>
      </c>
      <c r="B1117" s="6" t="s">
        <v>105</v>
      </c>
      <c r="C1117" s="6" t="s">
        <v>106</v>
      </c>
      <c r="D1117" s="6" t="s">
        <v>143</v>
      </c>
      <c r="E1117" s="6" t="s">
        <v>144</v>
      </c>
      <c r="F1117" s="6" t="s">
        <v>198</v>
      </c>
      <c r="G1117" s="6" t="s">
        <v>548</v>
      </c>
      <c r="H1117" s="6" t="s">
        <v>228</v>
      </c>
      <c r="I1117" s="6" t="s">
        <v>2871</v>
      </c>
      <c r="J1117" s="6" t="s">
        <v>242</v>
      </c>
      <c r="K1117" s="6" t="s">
        <v>2865</v>
      </c>
      <c r="L1117" s="6" t="s">
        <v>205</v>
      </c>
      <c r="M1117" s="6" t="s">
        <v>561</v>
      </c>
      <c r="N1117" s="6" t="s">
        <v>282</v>
      </c>
      <c r="O1117" s="6" t="s">
        <v>2790</v>
      </c>
      <c r="P1117" s="6" t="str">
        <f aca="false">IF(J1117="S0","—",IF(K1117="","",IF(L1117="E0","QM",INDEX(10_ASIL_Matrix!$D$4:$F$15,MATCH(J1117&amp;"-"&amp;L1117,10_ASIL_Matrix!$C$4:$C$15,0),MATCH(N1117,10_ASIL_Matrix!$D$3:$F$3,0)))))</f>
        <v>QM</v>
      </c>
      <c r="Q1117" s="6" t="s">
        <v>448</v>
      </c>
    </row>
    <row r="1118" customFormat="false" ht="35.05" hidden="false" customHeight="false" outlineLevel="0" collapsed="false">
      <c r="A1118" s="5" t="s">
        <v>2872</v>
      </c>
      <c r="B1118" s="5" t="s">
        <v>105</v>
      </c>
      <c r="C1118" s="5" t="s">
        <v>106</v>
      </c>
      <c r="D1118" s="5" t="s">
        <v>143</v>
      </c>
      <c r="E1118" s="5" t="s">
        <v>144</v>
      </c>
      <c r="F1118" s="5" t="s">
        <v>198</v>
      </c>
      <c r="G1118" s="5" t="s">
        <v>548</v>
      </c>
      <c r="H1118" s="5" t="s">
        <v>230</v>
      </c>
      <c r="I1118" s="5" t="s">
        <v>2873</v>
      </c>
      <c r="J1118" s="5" t="s">
        <v>246</v>
      </c>
      <c r="K1118" s="5" t="s">
        <v>2874</v>
      </c>
      <c r="L1118" s="5" t="s">
        <v>205</v>
      </c>
      <c r="M1118" s="5" t="s">
        <v>564</v>
      </c>
      <c r="N1118" s="5" t="s">
        <v>286</v>
      </c>
      <c r="O1118" s="5" t="s">
        <v>2800</v>
      </c>
      <c r="P1118" s="5" t="str">
        <f aca="false">IF(J1118="S0","—",IF(K1118="","",IF(L1118="E0","QM",INDEX(10_ASIL_Matrix!$D$4:$F$15,MATCH(J1118&amp;"-"&amp;L1118,10_ASIL_Matrix!$C$4:$C$15,0),MATCH(N1118,10_ASIL_Matrix!$D$3:$F$3,0)))))</f>
        <v>QM</v>
      </c>
      <c r="Q1118" s="5" t="s">
        <v>448</v>
      </c>
    </row>
    <row r="1119" customFormat="false" ht="46.25" hidden="false" customHeight="false" outlineLevel="0" collapsed="false">
      <c r="A1119" s="6" t="s">
        <v>2875</v>
      </c>
      <c r="B1119" s="6" t="s">
        <v>105</v>
      </c>
      <c r="C1119" s="6" t="s">
        <v>106</v>
      </c>
      <c r="D1119" s="6" t="s">
        <v>143</v>
      </c>
      <c r="E1119" s="6" t="s">
        <v>144</v>
      </c>
      <c r="F1119" s="6" t="s">
        <v>198</v>
      </c>
      <c r="G1119" s="6" t="s">
        <v>548</v>
      </c>
      <c r="H1119" s="6" t="s">
        <v>232</v>
      </c>
      <c r="I1119" s="6" t="s">
        <v>2876</v>
      </c>
      <c r="J1119" s="6" t="s">
        <v>242</v>
      </c>
      <c r="K1119" s="6" t="s">
        <v>2865</v>
      </c>
      <c r="L1119" s="6" t="s">
        <v>233</v>
      </c>
      <c r="M1119" s="6" t="s">
        <v>568</v>
      </c>
      <c r="N1119" s="6" t="s">
        <v>282</v>
      </c>
      <c r="O1119" s="6" t="s">
        <v>2790</v>
      </c>
      <c r="P1119" s="6" t="str">
        <f aca="false">IF(J1119="S0","—",IF(K1119="","",IF(L1119="E0","QM",INDEX(10_ASIL_Matrix!$D$4:$F$15,MATCH(J1119&amp;"-"&amp;L1119,10_ASIL_Matrix!$C$4:$C$15,0),MATCH(N1119,10_ASIL_Matrix!$D$3:$F$3,0)))))</f>
        <v>QM</v>
      </c>
      <c r="Q1119" s="6" t="s">
        <v>448</v>
      </c>
    </row>
    <row r="1120" customFormat="false" ht="35.05" hidden="false" customHeight="false" outlineLevel="0" collapsed="false">
      <c r="A1120" s="5" t="s">
        <v>2877</v>
      </c>
      <c r="B1120" s="5" t="s">
        <v>105</v>
      </c>
      <c r="C1120" s="5" t="s">
        <v>106</v>
      </c>
      <c r="D1120" s="5" t="s">
        <v>143</v>
      </c>
      <c r="E1120" s="5" t="s">
        <v>144</v>
      </c>
      <c r="F1120" s="5" t="s">
        <v>200</v>
      </c>
      <c r="G1120" s="5" t="s">
        <v>570</v>
      </c>
      <c r="H1120" s="5" t="s">
        <v>222</v>
      </c>
      <c r="I1120" s="5" t="s">
        <v>2878</v>
      </c>
      <c r="J1120" s="5" t="s">
        <v>242</v>
      </c>
      <c r="K1120" s="5" t="s">
        <v>2879</v>
      </c>
      <c r="L1120" s="5" t="s">
        <v>190</v>
      </c>
      <c r="M1120" s="5" t="s">
        <v>573</v>
      </c>
      <c r="N1120" s="5" t="s">
        <v>282</v>
      </c>
      <c r="O1120" s="5" t="s">
        <v>2790</v>
      </c>
      <c r="P1120" s="5" t="str">
        <f aca="false">IF(J1120="S0","—",IF(K1120="","",IF(L1120="E0","QM",INDEX(10_ASIL_Matrix!$D$4:$F$15,MATCH(J1120&amp;"-"&amp;L1120,10_ASIL_Matrix!$C$4:$C$15,0),MATCH(N1120,10_ASIL_Matrix!$D$3:$F$3,0)))))</f>
        <v>QM</v>
      </c>
      <c r="Q1120" s="5" t="s">
        <v>448</v>
      </c>
    </row>
    <row r="1121" customFormat="false" ht="35.05" hidden="false" customHeight="false" outlineLevel="0" collapsed="false">
      <c r="A1121" s="6" t="s">
        <v>2880</v>
      </c>
      <c r="B1121" s="6" t="s">
        <v>105</v>
      </c>
      <c r="C1121" s="6" t="s">
        <v>106</v>
      </c>
      <c r="D1121" s="6" t="s">
        <v>143</v>
      </c>
      <c r="E1121" s="6" t="s">
        <v>144</v>
      </c>
      <c r="F1121" s="6" t="s">
        <v>200</v>
      </c>
      <c r="G1121" s="6" t="s">
        <v>570</v>
      </c>
      <c r="H1121" s="6" t="s">
        <v>224</v>
      </c>
      <c r="I1121" s="6" t="s">
        <v>2881</v>
      </c>
      <c r="J1121" s="6" t="s">
        <v>242</v>
      </c>
      <c r="K1121" s="6" t="s">
        <v>2879</v>
      </c>
      <c r="L1121" s="6" t="s">
        <v>190</v>
      </c>
      <c r="M1121" s="6" t="s">
        <v>576</v>
      </c>
      <c r="N1121" s="6" t="s">
        <v>282</v>
      </c>
      <c r="O1121" s="6" t="s">
        <v>2790</v>
      </c>
      <c r="P1121" s="6" t="str">
        <f aca="false">IF(J1121="S0","—",IF(K1121="","",IF(L1121="E0","QM",INDEX(10_ASIL_Matrix!$D$4:$F$15,MATCH(J1121&amp;"-"&amp;L1121,10_ASIL_Matrix!$C$4:$C$15,0),MATCH(N1121,10_ASIL_Matrix!$D$3:$F$3,0)))))</f>
        <v>QM</v>
      </c>
      <c r="Q1121" s="6" t="s">
        <v>448</v>
      </c>
    </row>
    <row r="1122" customFormat="false" ht="35.05" hidden="false" customHeight="false" outlineLevel="0" collapsed="false">
      <c r="A1122" s="5" t="s">
        <v>2882</v>
      </c>
      <c r="B1122" s="5" t="s">
        <v>105</v>
      </c>
      <c r="C1122" s="5" t="s">
        <v>106</v>
      </c>
      <c r="D1122" s="5" t="s">
        <v>143</v>
      </c>
      <c r="E1122" s="5" t="s">
        <v>144</v>
      </c>
      <c r="F1122" s="5" t="s">
        <v>200</v>
      </c>
      <c r="G1122" s="5" t="s">
        <v>570</v>
      </c>
      <c r="H1122" s="5" t="s">
        <v>226</v>
      </c>
      <c r="I1122" s="5" t="s">
        <v>2883</v>
      </c>
      <c r="J1122" s="5" t="s">
        <v>242</v>
      </c>
      <c r="K1122" s="5" t="s">
        <v>2879</v>
      </c>
      <c r="L1122" s="5" t="s">
        <v>190</v>
      </c>
      <c r="M1122" s="5" t="s">
        <v>579</v>
      </c>
      <c r="N1122" s="5" t="s">
        <v>282</v>
      </c>
      <c r="O1122" s="5" t="s">
        <v>2790</v>
      </c>
      <c r="P1122" s="5" t="str">
        <f aca="false">IF(J1122="S0","—",IF(K1122="","",IF(L1122="E0","QM",INDEX(10_ASIL_Matrix!$D$4:$F$15,MATCH(J1122&amp;"-"&amp;L1122,10_ASIL_Matrix!$C$4:$C$15,0),MATCH(N1122,10_ASIL_Matrix!$D$3:$F$3,0)))))</f>
        <v>QM</v>
      </c>
      <c r="Q1122" s="5" t="s">
        <v>448</v>
      </c>
    </row>
    <row r="1123" customFormat="false" ht="46.25" hidden="false" customHeight="false" outlineLevel="0" collapsed="false">
      <c r="A1123" s="6" t="s">
        <v>2884</v>
      </c>
      <c r="B1123" s="6" t="s">
        <v>105</v>
      </c>
      <c r="C1123" s="6" t="s">
        <v>106</v>
      </c>
      <c r="D1123" s="6" t="s">
        <v>143</v>
      </c>
      <c r="E1123" s="6" t="s">
        <v>144</v>
      </c>
      <c r="F1123" s="6" t="s">
        <v>200</v>
      </c>
      <c r="G1123" s="6" t="s">
        <v>570</v>
      </c>
      <c r="H1123" s="6" t="s">
        <v>228</v>
      </c>
      <c r="I1123" s="6" t="s">
        <v>2885</v>
      </c>
      <c r="J1123" s="6" t="s">
        <v>242</v>
      </c>
      <c r="K1123" s="6" t="s">
        <v>2879</v>
      </c>
      <c r="L1123" s="6" t="s">
        <v>205</v>
      </c>
      <c r="M1123" s="6" t="s">
        <v>582</v>
      </c>
      <c r="N1123" s="6" t="s">
        <v>282</v>
      </c>
      <c r="O1123" s="6" t="s">
        <v>2790</v>
      </c>
      <c r="P1123" s="6" t="str">
        <f aca="false">IF(J1123="S0","—",IF(K1123="","",IF(L1123="E0","QM",INDEX(10_ASIL_Matrix!$D$4:$F$15,MATCH(J1123&amp;"-"&amp;L1123,10_ASIL_Matrix!$C$4:$C$15,0),MATCH(N1123,10_ASIL_Matrix!$D$3:$F$3,0)))))</f>
        <v>QM</v>
      </c>
      <c r="Q1123" s="6" t="s">
        <v>448</v>
      </c>
    </row>
    <row r="1124" customFormat="false" ht="35.05" hidden="false" customHeight="false" outlineLevel="0" collapsed="false">
      <c r="A1124" s="5" t="s">
        <v>2886</v>
      </c>
      <c r="B1124" s="5" t="s">
        <v>105</v>
      </c>
      <c r="C1124" s="5" t="s">
        <v>106</v>
      </c>
      <c r="D1124" s="5" t="s">
        <v>143</v>
      </c>
      <c r="E1124" s="5" t="s">
        <v>144</v>
      </c>
      <c r="F1124" s="5" t="s">
        <v>200</v>
      </c>
      <c r="G1124" s="5" t="s">
        <v>570</v>
      </c>
      <c r="H1124" s="5" t="s">
        <v>230</v>
      </c>
      <c r="I1124" s="5" t="s">
        <v>2887</v>
      </c>
      <c r="J1124" s="5" t="s">
        <v>246</v>
      </c>
      <c r="K1124" s="5" t="s">
        <v>2888</v>
      </c>
      <c r="L1124" s="5" t="s">
        <v>205</v>
      </c>
      <c r="M1124" s="5" t="s">
        <v>585</v>
      </c>
      <c r="N1124" s="5" t="s">
        <v>286</v>
      </c>
      <c r="O1124" s="5" t="s">
        <v>2800</v>
      </c>
      <c r="P1124" s="5" t="str">
        <f aca="false">IF(J1124="S0","—",IF(K1124="","",IF(L1124="E0","QM",INDEX(10_ASIL_Matrix!$D$4:$F$15,MATCH(J1124&amp;"-"&amp;L1124,10_ASIL_Matrix!$C$4:$C$15,0),MATCH(N1124,10_ASIL_Matrix!$D$3:$F$3,0)))))</f>
        <v>QM</v>
      </c>
      <c r="Q1124" s="5" t="s">
        <v>448</v>
      </c>
    </row>
    <row r="1125" customFormat="false" ht="46.25" hidden="false" customHeight="false" outlineLevel="0" collapsed="false">
      <c r="A1125" s="6" t="s">
        <v>2889</v>
      </c>
      <c r="B1125" s="6" t="s">
        <v>105</v>
      </c>
      <c r="C1125" s="6" t="s">
        <v>106</v>
      </c>
      <c r="D1125" s="6" t="s">
        <v>143</v>
      </c>
      <c r="E1125" s="6" t="s">
        <v>144</v>
      </c>
      <c r="F1125" s="6" t="s">
        <v>200</v>
      </c>
      <c r="G1125" s="6" t="s">
        <v>570</v>
      </c>
      <c r="H1125" s="6" t="s">
        <v>232</v>
      </c>
      <c r="I1125" s="6" t="s">
        <v>2890</v>
      </c>
      <c r="J1125" s="6" t="s">
        <v>242</v>
      </c>
      <c r="K1125" s="6" t="s">
        <v>2879</v>
      </c>
      <c r="L1125" s="6" t="s">
        <v>233</v>
      </c>
      <c r="M1125" s="6" t="s">
        <v>588</v>
      </c>
      <c r="N1125" s="6" t="s">
        <v>282</v>
      </c>
      <c r="O1125" s="6" t="s">
        <v>2790</v>
      </c>
      <c r="P1125" s="6" t="str">
        <f aca="false">IF(J1125="S0","—",IF(K1125="","",IF(L1125="E0","QM",INDEX(10_ASIL_Matrix!$D$4:$F$15,MATCH(J1125&amp;"-"&amp;L1125,10_ASIL_Matrix!$C$4:$C$15,0),MATCH(N1125,10_ASIL_Matrix!$D$3:$F$3,0)))))</f>
        <v>QM</v>
      </c>
      <c r="Q1125" s="6" t="s">
        <v>448</v>
      </c>
    </row>
    <row r="1126" customFormat="false" ht="35.05" hidden="false" customHeight="false" outlineLevel="0" collapsed="false">
      <c r="A1126" s="5" t="s">
        <v>2891</v>
      </c>
      <c r="B1126" s="5" t="s">
        <v>105</v>
      </c>
      <c r="C1126" s="5" t="s">
        <v>106</v>
      </c>
      <c r="D1126" s="5" t="s">
        <v>143</v>
      </c>
      <c r="E1126" s="5" t="s">
        <v>144</v>
      </c>
      <c r="F1126" s="5" t="s">
        <v>202</v>
      </c>
      <c r="G1126" s="5" t="s">
        <v>590</v>
      </c>
      <c r="H1126" s="5" t="s">
        <v>222</v>
      </c>
      <c r="I1126" s="5" t="s">
        <v>2892</v>
      </c>
      <c r="J1126" s="5" t="s">
        <v>246</v>
      </c>
      <c r="K1126" s="5" t="s">
        <v>2893</v>
      </c>
      <c r="L1126" s="5" t="s">
        <v>187</v>
      </c>
      <c r="M1126" s="5" t="s">
        <v>592</v>
      </c>
      <c r="N1126" s="5" t="s">
        <v>286</v>
      </c>
      <c r="O1126" s="5" t="s">
        <v>2850</v>
      </c>
      <c r="P1126" s="18" t="str">
        <f aca="false">IF(J1126="S0","—",IF(K1126="","",IF(L1126="E0","QM",INDEX(10_ASIL_Matrix!$D$4:$F$15,MATCH(J1126&amp;"-"&amp;L1126,10_ASIL_Matrix!$C$4:$C$15,0),MATCH(N1126,10_ASIL_Matrix!$D$3:$F$3,0)))))</f>
        <v>B</v>
      </c>
      <c r="Q1126" s="5" t="s">
        <v>448</v>
      </c>
    </row>
    <row r="1127" customFormat="false" ht="35.05" hidden="false" customHeight="false" outlineLevel="0" collapsed="false">
      <c r="A1127" s="6" t="s">
        <v>2894</v>
      </c>
      <c r="B1127" s="6" t="s">
        <v>105</v>
      </c>
      <c r="C1127" s="6" t="s">
        <v>106</v>
      </c>
      <c r="D1127" s="6" t="s">
        <v>143</v>
      </c>
      <c r="E1127" s="6" t="s">
        <v>144</v>
      </c>
      <c r="F1127" s="6" t="s">
        <v>202</v>
      </c>
      <c r="G1127" s="6" t="s">
        <v>590</v>
      </c>
      <c r="H1127" s="6" t="s">
        <v>224</v>
      </c>
      <c r="I1127" s="6" t="s">
        <v>2895</v>
      </c>
      <c r="J1127" s="6" t="s">
        <v>246</v>
      </c>
      <c r="K1127" s="6" t="s">
        <v>2893</v>
      </c>
      <c r="L1127" s="6" t="s">
        <v>190</v>
      </c>
      <c r="M1127" s="6" t="s">
        <v>595</v>
      </c>
      <c r="N1127" s="6" t="s">
        <v>286</v>
      </c>
      <c r="O1127" s="6" t="s">
        <v>2850</v>
      </c>
      <c r="P1127" s="19" t="str">
        <f aca="false">IF(J1127="S0","—",IF(K1127="","",IF(L1127="E0","QM",INDEX(10_ASIL_Matrix!$D$4:$F$15,MATCH(J1127&amp;"-"&amp;L1127,10_ASIL_Matrix!$C$4:$C$15,0),MATCH(N1127,10_ASIL_Matrix!$D$3:$F$3,0)))))</f>
        <v>A</v>
      </c>
      <c r="Q1127" s="6" t="s">
        <v>448</v>
      </c>
    </row>
    <row r="1128" customFormat="false" ht="35.05" hidden="false" customHeight="false" outlineLevel="0" collapsed="false">
      <c r="A1128" s="5" t="s">
        <v>2896</v>
      </c>
      <c r="B1128" s="5" t="s">
        <v>105</v>
      </c>
      <c r="C1128" s="5" t="s">
        <v>106</v>
      </c>
      <c r="D1128" s="5" t="s">
        <v>143</v>
      </c>
      <c r="E1128" s="5" t="s">
        <v>144</v>
      </c>
      <c r="F1128" s="5" t="s">
        <v>202</v>
      </c>
      <c r="G1128" s="5" t="s">
        <v>590</v>
      </c>
      <c r="H1128" s="5" t="s">
        <v>226</v>
      </c>
      <c r="I1128" s="5" t="s">
        <v>2897</v>
      </c>
      <c r="J1128" s="5" t="s">
        <v>246</v>
      </c>
      <c r="K1128" s="5" t="s">
        <v>2893</v>
      </c>
      <c r="L1128" s="5" t="s">
        <v>190</v>
      </c>
      <c r="M1128" s="5" t="s">
        <v>598</v>
      </c>
      <c r="N1128" s="5" t="s">
        <v>286</v>
      </c>
      <c r="O1128" s="5" t="s">
        <v>2850</v>
      </c>
      <c r="P1128" s="19" t="str">
        <f aca="false">IF(J1128="S0","—",IF(K1128="","",IF(L1128="E0","QM",INDEX(10_ASIL_Matrix!$D$4:$F$15,MATCH(J1128&amp;"-"&amp;L1128,10_ASIL_Matrix!$C$4:$C$15,0),MATCH(N1128,10_ASIL_Matrix!$D$3:$F$3,0)))))</f>
        <v>A</v>
      </c>
      <c r="Q1128" s="5" t="s">
        <v>448</v>
      </c>
    </row>
    <row r="1129" customFormat="false" ht="35.05" hidden="false" customHeight="false" outlineLevel="0" collapsed="false">
      <c r="A1129" s="6" t="s">
        <v>2898</v>
      </c>
      <c r="B1129" s="6" t="s">
        <v>105</v>
      </c>
      <c r="C1129" s="6" t="s">
        <v>106</v>
      </c>
      <c r="D1129" s="6" t="s">
        <v>143</v>
      </c>
      <c r="E1129" s="6" t="s">
        <v>144</v>
      </c>
      <c r="F1129" s="6" t="s">
        <v>202</v>
      </c>
      <c r="G1129" s="6" t="s">
        <v>590</v>
      </c>
      <c r="H1129" s="6" t="s">
        <v>228</v>
      </c>
      <c r="I1129" s="6" t="s">
        <v>2899</v>
      </c>
      <c r="J1129" s="6" t="s">
        <v>246</v>
      </c>
      <c r="K1129" s="6" t="s">
        <v>2893</v>
      </c>
      <c r="L1129" s="6" t="s">
        <v>205</v>
      </c>
      <c r="M1129" s="6" t="s">
        <v>601</v>
      </c>
      <c r="N1129" s="6" t="s">
        <v>286</v>
      </c>
      <c r="O1129" s="6" t="s">
        <v>2850</v>
      </c>
      <c r="P1129" s="6" t="str">
        <f aca="false">IF(J1129="S0","—",IF(K1129="","",IF(L1129="E0","QM",INDEX(10_ASIL_Matrix!$D$4:$F$15,MATCH(J1129&amp;"-"&amp;L1129,10_ASIL_Matrix!$C$4:$C$15,0),MATCH(N1129,10_ASIL_Matrix!$D$3:$F$3,0)))))</f>
        <v>QM</v>
      </c>
      <c r="Q1129" s="6" t="s">
        <v>448</v>
      </c>
    </row>
    <row r="1130" customFormat="false" ht="35.05" hidden="false" customHeight="false" outlineLevel="0" collapsed="false">
      <c r="A1130" s="5" t="s">
        <v>2900</v>
      </c>
      <c r="B1130" s="5" t="s">
        <v>105</v>
      </c>
      <c r="C1130" s="5" t="s">
        <v>106</v>
      </c>
      <c r="D1130" s="5" t="s">
        <v>143</v>
      </c>
      <c r="E1130" s="5" t="s">
        <v>144</v>
      </c>
      <c r="F1130" s="5" t="s">
        <v>202</v>
      </c>
      <c r="G1130" s="5" t="s">
        <v>590</v>
      </c>
      <c r="H1130" s="5" t="s">
        <v>230</v>
      </c>
      <c r="I1130" s="5" t="s">
        <v>2901</v>
      </c>
      <c r="J1130" s="5" t="s">
        <v>250</v>
      </c>
      <c r="K1130" s="5" t="s">
        <v>2902</v>
      </c>
      <c r="L1130" s="5" t="s">
        <v>205</v>
      </c>
      <c r="M1130" s="5" t="s">
        <v>604</v>
      </c>
      <c r="N1130" s="5" t="s">
        <v>290</v>
      </c>
      <c r="O1130" s="5" t="s">
        <v>2860</v>
      </c>
      <c r="P1130" s="18" t="str">
        <f aca="false">IF(J1130="S0","—",IF(K1130="","",IF(L1130="E0","QM",INDEX(10_ASIL_Matrix!$D$4:$F$15,MATCH(J1130&amp;"-"&amp;L1130,10_ASIL_Matrix!$C$4:$C$15,0),MATCH(N1130,10_ASIL_Matrix!$D$3:$F$3,0)))))</f>
        <v>B</v>
      </c>
      <c r="Q1130" s="5" t="s">
        <v>448</v>
      </c>
    </row>
    <row r="1131" customFormat="false" ht="46.25" hidden="false" customHeight="false" outlineLevel="0" collapsed="false">
      <c r="A1131" s="6" t="s">
        <v>2903</v>
      </c>
      <c r="B1131" s="6" t="s">
        <v>105</v>
      </c>
      <c r="C1131" s="6" t="s">
        <v>106</v>
      </c>
      <c r="D1131" s="6" t="s">
        <v>143</v>
      </c>
      <c r="E1131" s="6" t="s">
        <v>144</v>
      </c>
      <c r="F1131" s="6" t="s">
        <v>202</v>
      </c>
      <c r="G1131" s="6" t="s">
        <v>590</v>
      </c>
      <c r="H1131" s="6" t="s">
        <v>232</v>
      </c>
      <c r="I1131" s="6" t="s">
        <v>2904</v>
      </c>
      <c r="J1131" s="6" t="s">
        <v>246</v>
      </c>
      <c r="K1131" s="6" t="s">
        <v>2893</v>
      </c>
      <c r="L1131" s="6" t="s">
        <v>233</v>
      </c>
      <c r="M1131" s="6" t="s">
        <v>607</v>
      </c>
      <c r="N1131" s="6" t="s">
        <v>286</v>
      </c>
      <c r="O1131" s="6" t="s">
        <v>2850</v>
      </c>
      <c r="P1131" s="6" t="str">
        <f aca="false">IF(J1131="S0","—",IF(K1131="","",IF(L1131="E0","QM",INDEX(10_ASIL_Matrix!$D$4:$F$15,MATCH(J1131&amp;"-"&amp;L1131,10_ASIL_Matrix!$C$4:$C$15,0),MATCH(N1131,10_ASIL_Matrix!$D$3:$F$3,0)))))</f>
        <v>QM</v>
      </c>
      <c r="Q1131" s="6" t="s">
        <v>448</v>
      </c>
    </row>
    <row r="1132" customFormat="false" ht="35.05" hidden="false" customHeight="false" outlineLevel="0" collapsed="false">
      <c r="A1132" s="5" t="s">
        <v>2905</v>
      </c>
      <c r="B1132" s="5" t="s">
        <v>105</v>
      </c>
      <c r="C1132" s="5" t="s">
        <v>106</v>
      </c>
      <c r="D1132" s="5" t="s">
        <v>143</v>
      </c>
      <c r="E1132" s="5" t="s">
        <v>144</v>
      </c>
      <c r="F1132" s="5" t="s">
        <v>204</v>
      </c>
      <c r="G1132" s="5" t="s">
        <v>609</v>
      </c>
      <c r="H1132" s="5" t="s">
        <v>222</v>
      </c>
      <c r="I1132" s="5" t="s">
        <v>2906</v>
      </c>
      <c r="J1132" s="5" t="s">
        <v>238</v>
      </c>
      <c r="K1132" s="5" t="s">
        <v>2907</v>
      </c>
      <c r="L1132" s="5" t="s">
        <v>205</v>
      </c>
      <c r="M1132" s="5" t="s">
        <v>612</v>
      </c>
      <c r="N1132" s="5" t="s">
        <v>278</v>
      </c>
      <c r="O1132" s="5" t="s">
        <v>634</v>
      </c>
      <c r="P1132" s="5" t="str">
        <f aca="false">IF(J1132="S0","—",IF(K1132="","",IF(L1132="E0","QM",INDEX(10_ASIL_Matrix!$D$4:$F$15,MATCH(J1132&amp;"-"&amp;L1132,10_ASIL_Matrix!$C$4:$C$15,0),MATCH(N1132,10_ASIL_Matrix!$D$3:$F$3,0)))))</f>
        <v>—</v>
      </c>
      <c r="Q1132" s="5" t="s">
        <v>448</v>
      </c>
    </row>
    <row r="1133" customFormat="false" ht="35.05" hidden="false" customHeight="false" outlineLevel="0" collapsed="false">
      <c r="A1133" s="6" t="s">
        <v>2908</v>
      </c>
      <c r="B1133" s="6" t="s">
        <v>105</v>
      </c>
      <c r="C1133" s="6" t="s">
        <v>106</v>
      </c>
      <c r="D1133" s="6" t="s">
        <v>143</v>
      </c>
      <c r="E1133" s="6" t="s">
        <v>144</v>
      </c>
      <c r="F1133" s="6" t="s">
        <v>204</v>
      </c>
      <c r="G1133" s="6" t="s">
        <v>609</v>
      </c>
      <c r="H1133" s="6" t="s">
        <v>224</v>
      </c>
      <c r="I1133" s="6" t="s">
        <v>2909</v>
      </c>
      <c r="J1133" s="6" t="s">
        <v>238</v>
      </c>
      <c r="K1133" s="6" t="s">
        <v>2907</v>
      </c>
      <c r="L1133" s="6" t="s">
        <v>205</v>
      </c>
      <c r="M1133" s="6" t="s">
        <v>616</v>
      </c>
      <c r="N1133" s="6" t="s">
        <v>278</v>
      </c>
      <c r="O1133" s="6" t="s">
        <v>634</v>
      </c>
      <c r="P1133" s="6" t="str">
        <f aca="false">IF(J1133="S0","—",IF(K1133="","",IF(L1133="E0","QM",INDEX(10_ASIL_Matrix!$D$4:$F$15,MATCH(J1133&amp;"-"&amp;L1133,10_ASIL_Matrix!$C$4:$C$15,0),MATCH(N1133,10_ASIL_Matrix!$D$3:$F$3,0)))))</f>
        <v>—</v>
      </c>
      <c r="Q1133" s="6" t="s">
        <v>448</v>
      </c>
    </row>
    <row r="1134" customFormat="false" ht="35.05" hidden="false" customHeight="false" outlineLevel="0" collapsed="false">
      <c r="A1134" s="5" t="s">
        <v>2910</v>
      </c>
      <c r="B1134" s="5" t="s">
        <v>105</v>
      </c>
      <c r="C1134" s="5" t="s">
        <v>106</v>
      </c>
      <c r="D1134" s="5" t="s">
        <v>143</v>
      </c>
      <c r="E1134" s="5" t="s">
        <v>144</v>
      </c>
      <c r="F1134" s="5" t="s">
        <v>204</v>
      </c>
      <c r="G1134" s="5" t="s">
        <v>609</v>
      </c>
      <c r="H1134" s="5" t="s">
        <v>226</v>
      </c>
      <c r="I1134" s="5" t="s">
        <v>2911</v>
      </c>
      <c r="J1134" s="5" t="s">
        <v>238</v>
      </c>
      <c r="K1134" s="5" t="s">
        <v>2907</v>
      </c>
      <c r="L1134" s="5" t="s">
        <v>205</v>
      </c>
      <c r="M1134" s="5" t="s">
        <v>619</v>
      </c>
      <c r="N1134" s="5" t="s">
        <v>278</v>
      </c>
      <c r="O1134" s="5" t="s">
        <v>634</v>
      </c>
      <c r="P1134" s="5" t="str">
        <f aca="false">IF(J1134="S0","—",IF(K1134="","",IF(L1134="E0","QM",INDEX(10_ASIL_Matrix!$D$4:$F$15,MATCH(J1134&amp;"-"&amp;L1134,10_ASIL_Matrix!$C$4:$C$15,0),MATCH(N1134,10_ASIL_Matrix!$D$3:$F$3,0)))))</f>
        <v>—</v>
      </c>
      <c r="Q1134" s="5" t="s">
        <v>448</v>
      </c>
    </row>
    <row r="1135" customFormat="false" ht="46.25" hidden="false" customHeight="false" outlineLevel="0" collapsed="false">
      <c r="A1135" s="6" t="s">
        <v>2912</v>
      </c>
      <c r="B1135" s="6" t="s">
        <v>105</v>
      </c>
      <c r="C1135" s="6" t="s">
        <v>106</v>
      </c>
      <c r="D1135" s="6" t="s">
        <v>143</v>
      </c>
      <c r="E1135" s="6" t="s">
        <v>144</v>
      </c>
      <c r="F1135" s="6" t="s">
        <v>204</v>
      </c>
      <c r="G1135" s="6" t="s">
        <v>609</v>
      </c>
      <c r="H1135" s="6" t="s">
        <v>228</v>
      </c>
      <c r="I1135" s="6" t="s">
        <v>2913</v>
      </c>
      <c r="J1135" s="6" t="s">
        <v>238</v>
      </c>
      <c r="K1135" s="6" t="s">
        <v>2907</v>
      </c>
      <c r="L1135" s="6" t="s">
        <v>205</v>
      </c>
      <c r="M1135" s="6" t="s">
        <v>622</v>
      </c>
      <c r="N1135" s="6" t="s">
        <v>278</v>
      </c>
      <c r="O1135" s="6" t="s">
        <v>634</v>
      </c>
      <c r="P1135" s="6" t="str">
        <f aca="false">IF(J1135="S0","—",IF(K1135="","",IF(L1135="E0","QM",INDEX(10_ASIL_Matrix!$D$4:$F$15,MATCH(J1135&amp;"-"&amp;L1135,10_ASIL_Matrix!$C$4:$C$15,0),MATCH(N1135,10_ASIL_Matrix!$D$3:$F$3,0)))))</f>
        <v>—</v>
      </c>
      <c r="Q1135" s="6" t="s">
        <v>448</v>
      </c>
    </row>
    <row r="1136" customFormat="false" ht="35.05" hidden="false" customHeight="false" outlineLevel="0" collapsed="false">
      <c r="A1136" s="5" t="s">
        <v>2914</v>
      </c>
      <c r="B1136" s="5" t="s">
        <v>105</v>
      </c>
      <c r="C1136" s="5" t="s">
        <v>106</v>
      </c>
      <c r="D1136" s="5" t="s">
        <v>143</v>
      </c>
      <c r="E1136" s="5" t="s">
        <v>144</v>
      </c>
      <c r="F1136" s="5" t="s">
        <v>204</v>
      </c>
      <c r="G1136" s="5" t="s">
        <v>609</v>
      </c>
      <c r="H1136" s="5" t="s">
        <v>230</v>
      </c>
      <c r="I1136" s="5" t="s">
        <v>2915</v>
      </c>
      <c r="J1136" s="5" t="s">
        <v>238</v>
      </c>
      <c r="K1136" s="5" t="s">
        <v>2907</v>
      </c>
      <c r="L1136" s="5" t="s">
        <v>205</v>
      </c>
      <c r="M1136" s="5" t="s">
        <v>625</v>
      </c>
      <c r="N1136" s="5" t="s">
        <v>278</v>
      </c>
      <c r="O1136" s="5" t="s">
        <v>634</v>
      </c>
      <c r="P1136" s="5" t="str">
        <f aca="false">IF(J1136="S0","—",IF(K1136="","",IF(L1136="E0","QM",INDEX(10_ASIL_Matrix!$D$4:$F$15,MATCH(J1136&amp;"-"&amp;L1136,10_ASIL_Matrix!$C$4:$C$15,0),MATCH(N1136,10_ASIL_Matrix!$D$3:$F$3,0)))))</f>
        <v>—</v>
      </c>
      <c r="Q1136" s="5" t="s">
        <v>448</v>
      </c>
    </row>
    <row r="1137" customFormat="false" ht="46.25" hidden="false" customHeight="false" outlineLevel="0" collapsed="false">
      <c r="A1137" s="6" t="s">
        <v>2916</v>
      </c>
      <c r="B1137" s="6" t="s">
        <v>105</v>
      </c>
      <c r="C1137" s="6" t="s">
        <v>106</v>
      </c>
      <c r="D1137" s="6" t="s">
        <v>143</v>
      </c>
      <c r="E1137" s="6" t="s">
        <v>144</v>
      </c>
      <c r="F1137" s="6" t="s">
        <v>204</v>
      </c>
      <c r="G1137" s="6" t="s">
        <v>609</v>
      </c>
      <c r="H1137" s="6" t="s">
        <v>232</v>
      </c>
      <c r="I1137" s="6" t="s">
        <v>2917</v>
      </c>
      <c r="J1137" s="6" t="s">
        <v>238</v>
      </c>
      <c r="K1137" s="6" t="s">
        <v>2907</v>
      </c>
      <c r="L1137" s="6" t="s">
        <v>233</v>
      </c>
      <c r="M1137" s="6" t="s">
        <v>629</v>
      </c>
      <c r="N1137" s="6" t="s">
        <v>278</v>
      </c>
      <c r="O1137" s="6" t="s">
        <v>634</v>
      </c>
      <c r="P1137" s="6" t="str">
        <f aca="false">IF(J1137="S0","—",IF(K1137="","",IF(L1137="E0","QM",INDEX(10_ASIL_Matrix!$D$4:$F$15,MATCH(J1137&amp;"-"&amp;L1137,10_ASIL_Matrix!$C$4:$C$15,0),MATCH(N1137,10_ASIL_Matrix!$D$3:$F$3,0)))))</f>
        <v>—</v>
      </c>
      <c r="Q1137" s="6" t="s">
        <v>448</v>
      </c>
    </row>
    <row r="1138" customFormat="false" ht="35.05" hidden="false" customHeight="false" outlineLevel="0" collapsed="false">
      <c r="A1138" s="5" t="s">
        <v>2918</v>
      </c>
      <c r="B1138" s="5" t="s">
        <v>105</v>
      </c>
      <c r="C1138" s="5" t="s">
        <v>106</v>
      </c>
      <c r="D1138" s="5" t="s">
        <v>143</v>
      </c>
      <c r="E1138" s="5" t="s">
        <v>144</v>
      </c>
      <c r="F1138" s="5" t="s">
        <v>207</v>
      </c>
      <c r="G1138" s="5" t="s">
        <v>609</v>
      </c>
      <c r="H1138" s="5" t="s">
        <v>222</v>
      </c>
      <c r="I1138" s="5" t="s">
        <v>2919</v>
      </c>
      <c r="J1138" s="5" t="s">
        <v>246</v>
      </c>
      <c r="K1138" s="5" t="s">
        <v>2920</v>
      </c>
      <c r="L1138" s="5" t="s">
        <v>190</v>
      </c>
      <c r="M1138" s="5" t="s">
        <v>633</v>
      </c>
      <c r="N1138" s="5" t="s">
        <v>282</v>
      </c>
      <c r="O1138" s="5" t="s">
        <v>2790</v>
      </c>
      <c r="P1138" s="5" t="str">
        <f aca="false">IF(J1138="S0","—",IF(K1138="","",IF(L1138="E0","QM",INDEX(10_ASIL_Matrix!$D$4:$F$15,MATCH(J1138&amp;"-"&amp;L1138,10_ASIL_Matrix!$C$4:$C$15,0),MATCH(N1138,10_ASIL_Matrix!$D$3:$F$3,0)))))</f>
        <v>QM</v>
      </c>
      <c r="Q1138" s="5" t="s">
        <v>448</v>
      </c>
    </row>
    <row r="1139" customFormat="false" ht="35.05" hidden="false" customHeight="false" outlineLevel="0" collapsed="false">
      <c r="A1139" s="6" t="s">
        <v>2921</v>
      </c>
      <c r="B1139" s="6" t="s">
        <v>105</v>
      </c>
      <c r="C1139" s="6" t="s">
        <v>106</v>
      </c>
      <c r="D1139" s="6" t="s">
        <v>143</v>
      </c>
      <c r="E1139" s="6" t="s">
        <v>144</v>
      </c>
      <c r="F1139" s="6" t="s">
        <v>207</v>
      </c>
      <c r="G1139" s="6" t="s">
        <v>609</v>
      </c>
      <c r="H1139" s="6" t="s">
        <v>224</v>
      </c>
      <c r="I1139" s="6" t="s">
        <v>2922</v>
      </c>
      <c r="J1139" s="6" t="s">
        <v>246</v>
      </c>
      <c r="K1139" s="6" t="s">
        <v>2920</v>
      </c>
      <c r="L1139" s="6" t="s">
        <v>190</v>
      </c>
      <c r="M1139" s="6" t="s">
        <v>637</v>
      </c>
      <c r="N1139" s="6" t="s">
        <v>282</v>
      </c>
      <c r="O1139" s="6" t="s">
        <v>2790</v>
      </c>
      <c r="P1139" s="6" t="str">
        <f aca="false">IF(J1139="S0","—",IF(K1139="","",IF(L1139="E0","QM",INDEX(10_ASIL_Matrix!$D$4:$F$15,MATCH(J1139&amp;"-"&amp;L1139,10_ASIL_Matrix!$C$4:$C$15,0),MATCH(N1139,10_ASIL_Matrix!$D$3:$F$3,0)))))</f>
        <v>QM</v>
      </c>
      <c r="Q1139" s="6" t="s">
        <v>448</v>
      </c>
    </row>
    <row r="1140" customFormat="false" ht="35.05" hidden="false" customHeight="false" outlineLevel="0" collapsed="false">
      <c r="A1140" s="5" t="s">
        <v>2923</v>
      </c>
      <c r="B1140" s="5" t="s">
        <v>105</v>
      </c>
      <c r="C1140" s="5" t="s">
        <v>106</v>
      </c>
      <c r="D1140" s="5" t="s">
        <v>143</v>
      </c>
      <c r="E1140" s="5" t="s">
        <v>144</v>
      </c>
      <c r="F1140" s="5" t="s">
        <v>207</v>
      </c>
      <c r="G1140" s="5" t="s">
        <v>609</v>
      </c>
      <c r="H1140" s="5" t="s">
        <v>226</v>
      </c>
      <c r="I1140" s="5" t="s">
        <v>2924</v>
      </c>
      <c r="J1140" s="5" t="s">
        <v>246</v>
      </c>
      <c r="K1140" s="5" t="s">
        <v>2920</v>
      </c>
      <c r="L1140" s="5" t="s">
        <v>190</v>
      </c>
      <c r="M1140" s="5" t="s">
        <v>640</v>
      </c>
      <c r="N1140" s="5" t="s">
        <v>282</v>
      </c>
      <c r="O1140" s="5" t="s">
        <v>2790</v>
      </c>
      <c r="P1140" s="5" t="str">
        <f aca="false">IF(J1140="S0","—",IF(K1140="","",IF(L1140="E0","QM",INDEX(10_ASIL_Matrix!$D$4:$F$15,MATCH(J1140&amp;"-"&amp;L1140,10_ASIL_Matrix!$C$4:$C$15,0),MATCH(N1140,10_ASIL_Matrix!$D$3:$F$3,0)))))</f>
        <v>QM</v>
      </c>
      <c r="Q1140" s="5" t="s">
        <v>448</v>
      </c>
    </row>
    <row r="1141" customFormat="false" ht="46.25" hidden="false" customHeight="false" outlineLevel="0" collapsed="false">
      <c r="A1141" s="6" t="s">
        <v>2925</v>
      </c>
      <c r="B1141" s="6" t="s">
        <v>105</v>
      </c>
      <c r="C1141" s="6" t="s">
        <v>106</v>
      </c>
      <c r="D1141" s="6" t="s">
        <v>143</v>
      </c>
      <c r="E1141" s="6" t="s">
        <v>144</v>
      </c>
      <c r="F1141" s="6" t="s">
        <v>207</v>
      </c>
      <c r="G1141" s="6" t="s">
        <v>609</v>
      </c>
      <c r="H1141" s="6" t="s">
        <v>228</v>
      </c>
      <c r="I1141" s="6" t="s">
        <v>2926</v>
      </c>
      <c r="J1141" s="6" t="s">
        <v>246</v>
      </c>
      <c r="K1141" s="6" t="s">
        <v>2920</v>
      </c>
      <c r="L1141" s="6" t="s">
        <v>205</v>
      </c>
      <c r="M1141" s="6" t="s">
        <v>643</v>
      </c>
      <c r="N1141" s="6" t="s">
        <v>282</v>
      </c>
      <c r="O1141" s="6" t="s">
        <v>2790</v>
      </c>
      <c r="P1141" s="6" t="str">
        <f aca="false">IF(J1141="S0","—",IF(K1141="","",IF(L1141="E0","QM",INDEX(10_ASIL_Matrix!$D$4:$F$15,MATCH(J1141&amp;"-"&amp;L1141,10_ASIL_Matrix!$C$4:$C$15,0),MATCH(N1141,10_ASIL_Matrix!$D$3:$F$3,0)))))</f>
        <v>QM</v>
      </c>
      <c r="Q1141" s="6" t="s">
        <v>448</v>
      </c>
    </row>
    <row r="1142" customFormat="false" ht="35.05" hidden="false" customHeight="false" outlineLevel="0" collapsed="false">
      <c r="A1142" s="5" t="s">
        <v>2927</v>
      </c>
      <c r="B1142" s="5" t="s">
        <v>105</v>
      </c>
      <c r="C1142" s="5" t="s">
        <v>106</v>
      </c>
      <c r="D1142" s="5" t="s">
        <v>143</v>
      </c>
      <c r="E1142" s="5" t="s">
        <v>144</v>
      </c>
      <c r="F1142" s="5" t="s">
        <v>207</v>
      </c>
      <c r="G1142" s="5" t="s">
        <v>609</v>
      </c>
      <c r="H1142" s="5" t="s">
        <v>230</v>
      </c>
      <c r="I1142" s="5" t="s">
        <v>2928</v>
      </c>
      <c r="J1142" s="5" t="s">
        <v>250</v>
      </c>
      <c r="K1142" s="5" t="s">
        <v>2929</v>
      </c>
      <c r="L1142" s="5" t="s">
        <v>205</v>
      </c>
      <c r="M1142" s="5" t="s">
        <v>646</v>
      </c>
      <c r="N1142" s="5" t="s">
        <v>286</v>
      </c>
      <c r="O1142" s="5" t="s">
        <v>2800</v>
      </c>
      <c r="P1142" s="19" t="str">
        <f aca="false">IF(J1142="S0","—",IF(K1142="","",IF(L1142="E0","QM",INDEX(10_ASIL_Matrix!$D$4:$F$15,MATCH(J1142&amp;"-"&amp;L1142,10_ASIL_Matrix!$C$4:$C$15,0),MATCH(N1142,10_ASIL_Matrix!$D$3:$F$3,0)))))</f>
        <v>A</v>
      </c>
      <c r="Q1142" s="5" t="s">
        <v>448</v>
      </c>
    </row>
    <row r="1143" customFormat="false" ht="46.25" hidden="false" customHeight="false" outlineLevel="0" collapsed="false">
      <c r="A1143" s="6" t="s">
        <v>2930</v>
      </c>
      <c r="B1143" s="6" t="s">
        <v>105</v>
      </c>
      <c r="C1143" s="6" t="s">
        <v>106</v>
      </c>
      <c r="D1143" s="6" t="s">
        <v>143</v>
      </c>
      <c r="E1143" s="6" t="s">
        <v>144</v>
      </c>
      <c r="F1143" s="6" t="s">
        <v>207</v>
      </c>
      <c r="G1143" s="6" t="s">
        <v>609</v>
      </c>
      <c r="H1143" s="6" t="s">
        <v>232</v>
      </c>
      <c r="I1143" s="6" t="s">
        <v>2931</v>
      </c>
      <c r="J1143" s="6" t="s">
        <v>246</v>
      </c>
      <c r="K1143" s="6" t="s">
        <v>2920</v>
      </c>
      <c r="L1143" s="6" t="s">
        <v>233</v>
      </c>
      <c r="M1143" s="6" t="s">
        <v>649</v>
      </c>
      <c r="N1143" s="6" t="s">
        <v>282</v>
      </c>
      <c r="O1143" s="6" t="s">
        <v>2790</v>
      </c>
      <c r="P1143" s="6" t="str">
        <f aca="false">IF(J1143="S0","—",IF(K1143="","",IF(L1143="E0","QM",INDEX(10_ASIL_Matrix!$D$4:$F$15,MATCH(J1143&amp;"-"&amp;L1143,10_ASIL_Matrix!$C$4:$C$15,0),MATCH(N1143,10_ASIL_Matrix!$D$3:$F$3,0)))))</f>
        <v>QM</v>
      </c>
      <c r="Q1143" s="6" t="s">
        <v>448</v>
      </c>
    </row>
    <row r="1144" customFormat="false" ht="35.05" hidden="false" customHeight="false" outlineLevel="0" collapsed="false">
      <c r="A1144" s="5" t="s">
        <v>2932</v>
      </c>
      <c r="B1144" s="5" t="s">
        <v>105</v>
      </c>
      <c r="C1144" s="5" t="s">
        <v>106</v>
      </c>
      <c r="D1144" s="5" t="s">
        <v>143</v>
      </c>
      <c r="E1144" s="5" t="s">
        <v>144</v>
      </c>
      <c r="F1144" s="5" t="s">
        <v>209</v>
      </c>
      <c r="G1144" s="5" t="s">
        <v>570</v>
      </c>
      <c r="H1144" s="5" t="s">
        <v>222</v>
      </c>
      <c r="I1144" s="5" t="s">
        <v>2933</v>
      </c>
      <c r="J1144" s="5" t="s">
        <v>246</v>
      </c>
      <c r="K1144" s="5" t="s">
        <v>2934</v>
      </c>
      <c r="L1144" s="5" t="s">
        <v>190</v>
      </c>
      <c r="M1144" s="5" t="s">
        <v>653</v>
      </c>
      <c r="N1144" s="5" t="s">
        <v>286</v>
      </c>
      <c r="O1144" s="5" t="s">
        <v>2850</v>
      </c>
      <c r="P1144" s="19" t="str">
        <f aca="false">IF(J1144="S0","—",IF(K1144="","",IF(L1144="E0","QM",INDEX(10_ASIL_Matrix!$D$4:$F$15,MATCH(J1144&amp;"-"&amp;L1144,10_ASIL_Matrix!$C$4:$C$15,0),MATCH(N1144,10_ASIL_Matrix!$D$3:$F$3,0)))))</f>
        <v>A</v>
      </c>
      <c r="Q1144" s="5" t="s">
        <v>448</v>
      </c>
    </row>
    <row r="1145" customFormat="false" ht="35.05" hidden="false" customHeight="false" outlineLevel="0" collapsed="false">
      <c r="A1145" s="6" t="s">
        <v>2935</v>
      </c>
      <c r="B1145" s="6" t="s">
        <v>105</v>
      </c>
      <c r="C1145" s="6" t="s">
        <v>106</v>
      </c>
      <c r="D1145" s="6" t="s">
        <v>143</v>
      </c>
      <c r="E1145" s="6" t="s">
        <v>144</v>
      </c>
      <c r="F1145" s="6" t="s">
        <v>209</v>
      </c>
      <c r="G1145" s="6" t="s">
        <v>570</v>
      </c>
      <c r="H1145" s="6" t="s">
        <v>224</v>
      </c>
      <c r="I1145" s="6" t="s">
        <v>2936</v>
      </c>
      <c r="J1145" s="6" t="s">
        <v>246</v>
      </c>
      <c r="K1145" s="6" t="s">
        <v>2934</v>
      </c>
      <c r="L1145" s="6" t="s">
        <v>190</v>
      </c>
      <c r="M1145" s="6" t="s">
        <v>656</v>
      </c>
      <c r="N1145" s="6" t="s">
        <v>286</v>
      </c>
      <c r="O1145" s="6" t="s">
        <v>2850</v>
      </c>
      <c r="P1145" s="19" t="str">
        <f aca="false">IF(J1145="S0","—",IF(K1145="","",IF(L1145="E0","QM",INDEX(10_ASIL_Matrix!$D$4:$F$15,MATCH(J1145&amp;"-"&amp;L1145,10_ASIL_Matrix!$C$4:$C$15,0),MATCH(N1145,10_ASIL_Matrix!$D$3:$F$3,0)))))</f>
        <v>A</v>
      </c>
      <c r="Q1145" s="6" t="s">
        <v>448</v>
      </c>
    </row>
    <row r="1146" customFormat="false" ht="35.05" hidden="false" customHeight="false" outlineLevel="0" collapsed="false">
      <c r="A1146" s="5" t="s">
        <v>2937</v>
      </c>
      <c r="B1146" s="5" t="s">
        <v>105</v>
      </c>
      <c r="C1146" s="5" t="s">
        <v>106</v>
      </c>
      <c r="D1146" s="5" t="s">
        <v>143</v>
      </c>
      <c r="E1146" s="5" t="s">
        <v>144</v>
      </c>
      <c r="F1146" s="5" t="s">
        <v>209</v>
      </c>
      <c r="G1146" s="5" t="s">
        <v>570</v>
      </c>
      <c r="H1146" s="5" t="s">
        <v>226</v>
      </c>
      <c r="I1146" s="5" t="s">
        <v>2938</v>
      </c>
      <c r="J1146" s="5" t="s">
        <v>246</v>
      </c>
      <c r="K1146" s="5" t="s">
        <v>2934</v>
      </c>
      <c r="L1146" s="5" t="s">
        <v>190</v>
      </c>
      <c r="M1146" s="5" t="s">
        <v>659</v>
      </c>
      <c r="N1146" s="5" t="s">
        <v>286</v>
      </c>
      <c r="O1146" s="5" t="s">
        <v>2850</v>
      </c>
      <c r="P1146" s="19" t="str">
        <f aca="false">IF(J1146="S0","—",IF(K1146="","",IF(L1146="E0","QM",INDEX(10_ASIL_Matrix!$D$4:$F$15,MATCH(J1146&amp;"-"&amp;L1146,10_ASIL_Matrix!$C$4:$C$15,0),MATCH(N1146,10_ASIL_Matrix!$D$3:$F$3,0)))))</f>
        <v>A</v>
      </c>
      <c r="Q1146" s="5" t="s">
        <v>448</v>
      </c>
    </row>
    <row r="1147" customFormat="false" ht="35.05" hidden="false" customHeight="false" outlineLevel="0" collapsed="false">
      <c r="A1147" s="6" t="s">
        <v>2939</v>
      </c>
      <c r="B1147" s="6" t="s">
        <v>105</v>
      </c>
      <c r="C1147" s="6" t="s">
        <v>106</v>
      </c>
      <c r="D1147" s="6" t="s">
        <v>143</v>
      </c>
      <c r="E1147" s="6" t="s">
        <v>144</v>
      </c>
      <c r="F1147" s="6" t="s">
        <v>209</v>
      </c>
      <c r="G1147" s="6" t="s">
        <v>570</v>
      </c>
      <c r="H1147" s="6" t="s">
        <v>228</v>
      </c>
      <c r="I1147" s="6" t="s">
        <v>2940</v>
      </c>
      <c r="J1147" s="6" t="s">
        <v>246</v>
      </c>
      <c r="K1147" s="6" t="s">
        <v>2934</v>
      </c>
      <c r="L1147" s="6" t="s">
        <v>205</v>
      </c>
      <c r="M1147" s="6" t="s">
        <v>662</v>
      </c>
      <c r="N1147" s="6" t="s">
        <v>286</v>
      </c>
      <c r="O1147" s="6" t="s">
        <v>2850</v>
      </c>
      <c r="P1147" s="6" t="str">
        <f aca="false">IF(J1147="S0","—",IF(K1147="","",IF(L1147="E0","QM",INDEX(10_ASIL_Matrix!$D$4:$F$15,MATCH(J1147&amp;"-"&amp;L1147,10_ASIL_Matrix!$C$4:$C$15,0),MATCH(N1147,10_ASIL_Matrix!$D$3:$F$3,0)))))</f>
        <v>QM</v>
      </c>
      <c r="Q1147" s="6" t="s">
        <v>448</v>
      </c>
    </row>
    <row r="1148" customFormat="false" ht="35.05" hidden="false" customHeight="false" outlineLevel="0" collapsed="false">
      <c r="A1148" s="5" t="s">
        <v>2941</v>
      </c>
      <c r="B1148" s="5" t="s">
        <v>105</v>
      </c>
      <c r="C1148" s="5" t="s">
        <v>106</v>
      </c>
      <c r="D1148" s="5" t="s">
        <v>143</v>
      </c>
      <c r="E1148" s="5" t="s">
        <v>144</v>
      </c>
      <c r="F1148" s="5" t="s">
        <v>209</v>
      </c>
      <c r="G1148" s="5" t="s">
        <v>570</v>
      </c>
      <c r="H1148" s="5" t="s">
        <v>230</v>
      </c>
      <c r="I1148" s="5" t="s">
        <v>2942</v>
      </c>
      <c r="J1148" s="5" t="s">
        <v>250</v>
      </c>
      <c r="K1148" s="5" t="s">
        <v>2943</v>
      </c>
      <c r="L1148" s="5" t="s">
        <v>205</v>
      </c>
      <c r="M1148" s="5" t="s">
        <v>665</v>
      </c>
      <c r="N1148" s="5" t="s">
        <v>290</v>
      </c>
      <c r="O1148" s="5" t="s">
        <v>2860</v>
      </c>
      <c r="P1148" s="18" t="str">
        <f aca="false">IF(J1148="S0","—",IF(K1148="","",IF(L1148="E0","QM",INDEX(10_ASIL_Matrix!$D$4:$F$15,MATCH(J1148&amp;"-"&amp;L1148,10_ASIL_Matrix!$C$4:$C$15,0),MATCH(N1148,10_ASIL_Matrix!$D$3:$F$3,0)))))</f>
        <v>B</v>
      </c>
      <c r="Q1148" s="5" t="s">
        <v>448</v>
      </c>
    </row>
    <row r="1149" customFormat="false" ht="46.25" hidden="false" customHeight="false" outlineLevel="0" collapsed="false">
      <c r="A1149" s="6" t="s">
        <v>2944</v>
      </c>
      <c r="B1149" s="6" t="s">
        <v>105</v>
      </c>
      <c r="C1149" s="6" t="s">
        <v>106</v>
      </c>
      <c r="D1149" s="6" t="s">
        <v>143</v>
      </c>
      <c r="E1149" s="6" t="s">
        <v>144</v>
      </c>
      <c r="F1149" s="6" t="s">
        <v>209</v>
      </c>
      <c r="G1149" s="6" t="s">
        <v>570</v>
      </c>
      <c r="H1149" s="6" t="s">
        <v>232</v>
      </c>
      <c r="I1149" s="6" t="s">
        <v>2945</v>
      </c>
      <c r="J1149" s="6" t="s">
        <v>246</v>
      </c>
      <c r="K1149" s="6" t="s">
        <v>2934</v>
      </c>
      <c r="L1149" s="6" t="s">
        <v>233</v>
      </c>
      <c r="M1149" s="6" t="s">
        <v>668</v>
      </c>
      <c r="N1149" s="6" t="s">
        <v>286</v>
      </c>
      <c r="O1149" s="6" t="s">
        <v>2850</v>
      </c>
      <c r="P1149" s="6" t="str">
        <f aca="false">IF(J1149="S0","—",IF(K1149="","",IF(L1149="E0","QM",INDEX(10_ASIL_Matrix!$D$4:$F$15,MATCH(J1149&amp;"-"&amp;L1149,10_ASIL_Matrix!$C$4:$C$15,0),MATCH(N1149,10_ASIL_Matrix!$D$3:$F$3,0)))))</f>
        <v>QM</v>
      </c>
      <c r="Q1149" s="6" t="s">
        <v>448</v>
      </c>
    </row>
    <row r="1150" customFormat="false" ht="35.05" hidden="false" customHeight="false" outlineLevel="0" collapsed="false">
      <c r="A1150" s="5" t="s">
        <v>2946</v>
      </c>
      <c r="B1150" s="5" t="s">
        <v>105</v>
      </c>
      <c r="C1150" s="5" t="s">
        <v>106</v>
      </c>
      <c r="D1150" s="5" t="s">
        <v>143</v>
      </c>
      <c r="E1150" s="5" t="s">
        <v>144</v>
      </c>
      <c r="F1150" s="5" t="s">
        <v>211</v>
      </c>
      <c r="G1150" s="5" t="s">
        <v>609</v>
      </c>
      <c r="H1150" s="5" t="s">
        <v>222</v>
      </c>
      <c r="I1150" s="5" t="s">
        <v>2947</v>
      </c>
      <c r="J1150" s="5" t="s">
        <v>246</v>
      </c>
      <c r="K1150" s="5" t="s">
        <v>2948</v>
      </c>
      <c r="L1150" s="5" t="s">
        <v>187</v>
      </c>
      <c r="M1150" s="5" t="s">
        <v>672</v>
      </c>
      <c r="N1150" s="5" t="s">
        <v>286</v>
      </c>
      <c r="O1150" s="5" t="s">
        <v>2850</v>
      </c>
      <c r="P1150" s="18" t="str">
        <f aca="false">IF(J1150="S0","—",IF(K1150="","",IF(L1150="E0","QM",INDEX(10_ASIL_Matrix!$D$4:$F$15,MATCH(J1150&amp;"-"&amp;L1150,10_ASIL_Matrix!$C$4:$C$15,0),MATCH(N1150,10_ASIL_Matrix!$D$3:$F$3,0)))))</f>
        <v>B</v>
      </c>
      <c r="Q1150" s="5" t="s">
        <v>448</v>
      </c>
    </row>
    <row r="1151" customFormat="false" ht="35.05" hidden="false" customHeight="false" outlineLevel="0" collapsed="false">
      <c r="A1151" s="6" t="s">
        <v>2949</v>
      </c>
      <c r="B1151" s="6" t="s">
        <v>105</v>
      </c>
      <c r="C1151" s="6" t="s">
        <v>106</v>
      </c>
      <c r="D1151" s="6" t="s">
        <v>143</v>
      </c>
      <c r="E1151" s="6" t="s">
        <v>144</v>
      </c>
      <c r="F1151" s="6" t="s">
        <v>211</v>
      </c>
      <c r="G1151" s="6" t="s">
        <v>609</v>
      </c>
      <c r="H1151" s="6" t="s">
        <v>224</v>
      </c>
      <c r="I1151" s="6" t="s">
        <v>2950</v>
      </c>
      <c r="J1151" s="6" t="s">
        <v>246</v>
      </c>
      <c r="K1151" s="6" t="s">
        <v>2948</v>
      </c>
      <c r="L1151" s="6" t="s">
        <v>190</v>
      </c>
      <c r="M1151" s="6" t="s">
        <v>675</v>
      </c>
      <c r="N1151" s="6" t="s">
        <v>286</v>
      </c>
      <c r="O1151" s="6" t="s">
        <v>2850</v>
      </c>
      <c r="P1151" s="19" t="str">
        <f aca="false">IF(J1151="S0","—",IF(K1151="","",IF(L1151="E0","QM",INDEX(10_ASIL_Matrix!$D$4:$F$15,MATCH(J1151&amp;"-"&amp;L1151,10_ASIL_Matrix!$C$4:$C$15,0),MATCH(N1151,10_ASIL_Matrix!$D$3:$F$3,0)))))</f>
        <v>A</v>
      </c>
      <c r="Q1151" s="6" t="s">
        <v>448</v>
      </c>
    </row>
    <row r="1152" customFormat="false" ht="35.05" hidden="false" customHeight="false" outlineLevel="0" collapsed="false">
      <c r="A1152" s="5" t="s">
        <v>2951</v>
      </c>
      <c r="B1152" s="5" t="s">
        <v>105</v>
      </c>
      <c r="C1152" s="5" t="s">
        <v>106</v>
      </c>
      <c r="D1152" s="5" t="s">
        <v>143</v>
      </c>
      <c r="E1152" s="5" t="s">
        <v>144</v>
      </c>
      <c r="F1152" s="5" t="s">
        <v>211</v>
      </c>
      <c r="G1152" s="5" t="s">
        <v>609</v>
      </c>
      <c r="H1152" s="5" t="s">
        <v>226</v>
      </c>
      <c r="I1152" s="5" t="s">
        <v>2952</v>
      </c>
      <c r="J1152" s="5" t="s">
        <v>246</v>
      </c>
      <c r="K1152" s="5" t="s">
        <v>2948</v>
      </c>
      <c r="L1152" s="5" t="s">
        <v>190</v>
      </c>
      <c r="M1152" s="5" t="s">
        <v>678</v>
      </c>
      <c r="N1152" s="5" t="s">
        <v>286</v>
      </c>
      <c r="O1152" s="5" t="s">
        <v>2850</v>
      </c>
      <c r="P1152" s="19" t="str">
        <f aca="false">IF(J1152="S0","—",IF(K1152="","",IF(L1152="E0","QM",INDEX(10_ASIL_Matrix!$D$4:$F$15,MATCH(J1152&amp;"-"&amp;L1152,10_ASIL_Matrix!$C$4:$C$15,0),MATCH(N1152,10_ASIL_Matrix!$D$3:$F$3,0)))))</f>
        <v>A</v>
      </c>
      <c r="Q1152" s="5" t="s">
        <v>448</v>
      </c>
    </row>
    <row r="1153" customFormat="false" ht="35.05" hidden="false" customHeight="false" outlineLevel="0" collapsed="false">
      <c r="A1153" s="6" t="s">
        <v>2953</v>
      </c>
      <c r="B1153" s="6" t="s">
        <v>105</v>
      </c>
      <c r="C1153" s="6" t="s">
        <v>106</v>
      </c>
      <c r="D1153" s="6" t="s">
        <v>143</v>
      </c>
      <c r="E1153" s="6" t="s">
        <v>144</v>
      </c>
      <c r="F1153" s="6" t="s">
        <v>211</v>
      </c>
      <c r="G1153" s="6" t="s">
        <v>609</v>
      </c>
      <c r="H1153" s="6" t="s">
        <v>228</v>
      </c>
      <c r="I1153" s="6" t="s">
        <v>2954</v>
      </c>
      <c r="J1153" s="6" t="s">
        <v>246</v>
      </c>
      <c r="K1153" s="6" t="s">
        <v>2948</v>
      </c>
      <c r="L1153" s="6" t="s">
        <v>205</v>
      </c>
      <c r="M1153" s="6" t="s">
        <v>681</v>
      </c>
      <c r="N1153" s="6" t="s">
        <v>286</v>
      </c>
      <c r="O1153" s="6" t="s">
        <v>2850</v>
      </c>
      <c r="P1153" s="6" t="str">
        <f aca="false">IF(J1153="S0","—",IF(K1153="","",IF(L1153="E0","QM",INDEX(10_ASIL_Matrix!$D$4:$F$15,MATCH(J1153&amp;"-"&amp;L1153,10_ASIL_Matrix!$C$4:$C$15,0),MATCH(N1153,10_ASIL_Matrix!$D$3:$F$3,0)))))</f>
        <v>QM</v>
      </c>
      <c r="Q1153" s="6" t="s">
        <v>448</v>
      </c>
    </row>
    <row r="1154" customFormat="false" ht="35.05" hidden="false" customHeight="false" outlineLevel="0" collapsed="false">
      <c r="A1154" s="5" t="s">
        <v>2955</v>
      </c>
      <c r="B1154" s="5" t="s">
        <v>105</v>
      </c>
      <c r="C1154" s="5" t="s">
        <v>106</v>
      </c>
      <c r="D1154" s="5" t="s">
        <v>143</v>
      </c>
      <c r="E1154" s="5" t="s">
        <v>144</v>
      </c>
      <c r="F1154" s="5" t="s">
        <v>211</v>
      </c>
      <c r="G1154" s="5" t="s">
        <v>609</v>
      </c>
      <c r="H1154" s="5" t="s">
        <v>230</v>
      </c>
      <c r="I1154" s="5" t="s">
        <v>2956</v>
      </c>
      <c r="J1154" s="5" t="s">
        <v>250</v>
      </c>
      <c r="K1154" s="5" t="s">
        <v>2957</v>
      </c>
      <c r="L1154" s="5" t="s">
        <v>205</v>
      </c>
      <c r="M1154" s="5" t="s">
        <v>684</v>
      </c>
      <c r="N1154" s="5" t="s">
        <v>290</v>
      </c>
      <c r="O1154" s="5" t="s">
        <v>2860</v>
      </c>
      <c r="P1154" s="18" t="str">
        <f aca="false">IF(J1154="S0","—",IF(K1154="","",IF(L1154="E0","QM",INDEX(10_ASIL_Matrix!$D$4:$F$15,MATCH(J1154&amp;"-"&amp;L1154,10_ASIL_Matrix!$C$4:$C$15,0),MATCH(N1154,10_ASIL_Matrix!$D$3:$F$3,0)))))</f>
        <v>B</v>
      </c>
      <c r="Q1154" s="5" t="s">
        <v>448</v>
      </c>
    </row>
    <row r="1155" customFormat="false" ht="46.25" hidden="false" customHeight="false" outlineLevel="0" collapsed="false">
      <c r="A1155" s="6" t="s">
        <v>2958</v>
      </c>
      <c r="B1155" s="6" t="s">
        <v>105</v>
      </c>
      <c r="C1155" s="6" t="s">
        <v>106</v>
      </c>
      <c r="D1155" s="6" t="s">
        <v>143</v>
      </c>
      <c r="E1155" s="6" t="s">
        <v>144</v>
      </c>
      <c r="F1155" s="6" t="s">
        <v>211</v>
      </c>
      <c r="G1155" s="6" t="s">
        <v>609</v>
      </c>
      <c r="H1155" s="6" t="s">
        <v>232</v>
      </c>
      <c r="I1155" s="6" t="s">
        <v>2959</v>
      </c>
      <c r="J1155" s="6" t="s">
        <v>246</v>
      </c>
      <c r="K1155" s="6" t="s">
        <v>2948</v>
      </c>
      <c r="L1155" s="6" t="s">
        <v>233</v>
      </c>
      <c r="M1155" s="6" t="s">
        <v>687</v>
      </c>
      <c r="N1155" s="6" t="s">
        <v>286</v>
      </c>
      <c r="O1155" s="6" t="s">
        <v>2850</v>
      </c>
      <c r="P1155" s="6" t="str">
        <f aca="false">IF(J1155="S0","—",IF(K1155="","",IF(L1155="E0","QM",INDEX(10_ASIL_Matrix!$D$4:$F$15,MATCH(J1155&amp;"-"&amp;L1155,10_ASIL_Matrix!$C$4:$C$15,0),MATCH(N1155,10_ASIL_Matrix!$D$3:$F$3,0)))))</f>
        <v>QM</v>
      </c>
      <c r="Q1155" s="6" t="s">
        <v>448</v>
      </c>
    </row>
    <row r="1156" customFormat="false" ht="46.25" hidden="false" customHeight="false" outlineLevel="0" collapsed="false">
      <c r="A1156" s="5" t="s">
        <v>2960</v>
      </c>
      <c r="B1156" s="5" t="s">
        <v>105</v>
      </c>
      <c r="C1156" s="5" t="s">
        <v>106</v>
      </c>
      <c r="D1156" s="5" t="s">
        <v>143</v>
      </c>
      <c r="E1156" s="5" t="s">
        <v>144</v>
      </c>
      <c r="F1156" s="5" t="s">
        <v>213</v>
      </c>
      <c r="G1156" s="5" t="s">
        <v>689</v>
      </c>
      <c r="H1156" s="5" t="s">
        <v>222</v>
      </c>
      <c r="I1156" s="5" t="s">
        <v>2961</v>
      </c>
      <c r="J1156" s="5" t="s">
        <v>242</v>
      </c>
      <c r="K1156" s="5" t="s">
        <v>2962</v>
      </c>
      <c r="L1156" s="5" t="s">
        <v>205</v>
      </c>
      <c r="M1156" s="5" t="s">
        <v>692</v>
      </c>
      <c r="N1156" s="5" t="s">
        <v>282</v>
      </c>
      <c r="O1156" s="5" t="s">
        <v>2790</v>
      </c>
      <c r="P1156" s="5" t="str">
        <f aca="false">IF(J1156="S0","—",IF(K1156="","",IF(L1156="E0","QM",INDEX(10_ASIL_Matrix!$D$4:$F$15,MATCH(J1156&amp;"-"&amp;L1156,10_ASIL_Matrix!$C$4:$C$15,0),MATCH(N1156,10_ASIL_Matrix!$D$3:$F$3,0)))))</f>
        <v>QM</v>
      </c>
      <c r="Q1156" s="5" t="s">
        <v>448</v>
      </c>
    </row>
    <row r="1157" customFormat="false" ht="46.25" hidden="false" customHeight="false" outlineLevel="0" collapsed="false">
      <c r="A1157" s="6" t="s">
        <v>2963</v>
      </c>
      <c r="B1157" s="6" t="s">
        <v>105</v>
      </c>
      <c r="C1157" s="6" t="s">
        <v>106</v>
      </c>
      <c r="D1157" s="6" t="s">
        <v>143</v>
      </c>
      <c r="E1157" s="6" t="s">
        <v>144</v>
      </c>
      <c r="F1157" s="6" t="s">
        <v>213</v>
      </c>
      <c r="G1157" s="6" t="s">
        <v>689</v>
      </c>
      <c r="H1157" s="6" t="s">
        <v>224</v>
      </c>
      <c r="I1157" s="6" t="s">
        <v>2964</v>
      </c>
      <c r="J1157" s="6" t="s">
        <v>250</v>
      </c>
      <c r="K1157" s="6" t="s">
        <v>2965</v>
      </c>
      <c r="L1157" s="6" t="s">
        <v>205</v>
      </c>
      <c r="M1157" s="6" t="s">
        <v>696</v>
      </c>
      <c r="N1157" s="6" t="s">
        <v>282</v>
      </c>
      <c r="O1157" s="6" t="s">
        <v>2809</v>
      </c>
      <c r="P1157" s="6" t="str">
        <f aca="false">IF(J1157="S0","—",IF(K1157="","",IF(L1157="E0","QM",INDEX(10_ASIL_Matrix!$D$4:$F$15,MATCH(J1157&amp;"-"&amp;L1157,10_ASIL_Matrix!$C$4:$C$15,0),MATCH(N1157,10_ASIL_Matrix!$D$3:$F$3,0)))))</f>
        <v>QM</v>
      </c>
      <c r="Q1157" s="6" t="s">
        <v>448</v>
      </c>
    </row>
    <row r="1158" customFormat="false" ht="46.25" hidden="false" customHeight="false" outlineLevel="0" collapsed="false">
      <c r="A1158" s="5" t="s">
        <v>2966</v>
      </c>
      <c r="B1158" s="5" t="s">
        <v>105</v>
      </c>
      <c r="C1158" s="5" t="s">
        <v>106</v>
      </c>
      <c r="D1158" s="5" t="s">
        <v>143</v>
      </c>
      <c r="E1158" s="5" t="s">
        <v>144</v>
      </c>
      <c r="F1158" s="5" t="s">
        <v>213</v>
      </c>
      <c r="G1158" s="5" t="s">
        <v>689</v>
      </c>
      <c r="H1158" s="5" t="s">
        <v>226</v>
      </c>
      <c r="I1158" s="5" t="s">
        <v>2967</v>
      </c>
      <c r="J1158" s="5" t="s">
        <v>242</v>
      </c>
      <c r="K1158" s="5" t="s">
        <v>2962</v>
      </c>
      <c r="L1158" s="5" t="s">
        <v>205</v>
      </c>
      <c r="M1158" s="5" t="s">
        <v>699</v>
      </c>
      <c r="N1158" s="5" t="s">
        <v>282</v>
      </c>
      <c r="O1158" s="5" t="s">
        <v>2790</v>
      </c>
      <c r="P1158" s="5" t="str">
        <f aca="false">IF(J1158="S0","—",IF(K1158="","",IF(L1158="E0","QM",INDEX(10_ASIL_Matrix!$D$4:$F$15,MATCH(J1158&amp;"-"&amp;L1158,10_ASIL_Matrix!$C$4:$C$15,0),MATCH(N1158,10_ASIL_Matrix!$D$3:$F$3,0)))))</f>
        <v>QM</v>
      </c>
      <c r="Q1158" s="5" t="s">
        <v>448</v>
      </c>
    </row>
    <row r="1159" customFormat="false" ht="46.25" hidden="false" customHeight="false" outlineLevel="0" collapsed="false">
      <c r="A1159" s="6" t="s">
        <v>2968</v>
      </c>
      <c r="B1159" s="6" t="s">
        <v>105</v>
      </c>
      <c r="C1159" s="6" t="s">
        <v>106</v>
      </c>
      <c r="D1159" s="6" t="s">
        <v>143</v>
      </c>
      <c r="E1159" s="6" t="s">
        <v>144</v>
      </c>
      <c r="F1159" s="6" t="s">
        <v>213</v>
      </c>
      <c r="G1159" s="6" t="s">
        <v>689</v>
      </c>
      <c r="H1159" s="6" t="s">
        <v>228</v>
      </c>
      <c r="I1159" s="6" t="s">
        <v>2969</v>
      </c>
      <c r="J1159" s="6" t="s">
        <v>250</v>
      </c>
      <c r="K1159" s="6" t="s">
        <v>2965</v>
      </c>
      <c r="L1159" s="6" t="s">
        <v>205</v>
      </c>
      <c r="M1159" s="6" t="s">
        <v>702</v>
      </c>
      <c r="N1159" s="6" t="s">
        <v>282</v>
      </c>
      <c r="O1159" s="6" t="s">
        <v>2809</v>
      </c>
      <c r="P1159" s="6" t="str">
        <f aca="false">IF(J1159="S0","—",IF(K1159="","",IF(L1159="E0","QM",INDEX(10_ASIL_Matrix!$D$4:$F$15,MATCH(J1159&amp;"-"&amp;L1159,10_ASIL_Matrix!$C$4:$C$15,0),MATCH(N1159,10_ASIL_Matrix!$D$3:$F$3,0)))))</f>
        <v>QM</v>
      </c>
      <c r="Q1159" s="6" t="s">
        <v>448</v>
      </c>
    </row>
    <row r="1160" customFormat="false" ht="46.25" hidden="false" customHeight="false" outlineLevel="0" collapsed="false">
      <c r="A1160" s="5" t="s">
        <v>2970</v>
      </c>
      <c r="B1160" s="5" t="s">
        <v>105</v>
      </c>
      <c r="C1160" s="5" t="s">
        <v>106</v>
      </c>
      <c r="D1160" s="5" t="s">
        <v>143</v>
      </c>
      <c r="E1160" s="5" t="s">
        <v>144</v>
      </c>
      <c r="F1160" s="5" t="s">
        <v>213</v>
      </c>
      <c r="G1160" s="5" t="s">
        <v>689</v>
      </c>
      <c r="H1160" s="5" t="s">
        <v>230</v>
      </c>
      <c r="I1160" s="5" t="s">
        <v>2971</v>
      </c>
      <c r="J1160" s="5" t="s">
        <v>246</v>
      </c>
      <c r="K1160" s="5" t="s">
        <v>2972</v>
      </c>
      <c r="L1160" s="5" t="s">
        <v>205</v>
      </c>
      <c r="M1160" s="5" t="s">
        <v>705</v>
      </c>
      <c r="N1160" s="5" t="s">
        <v>286</v>
      </c>
      <c r="O1160" s="5" t="s">
        <v>2800</v>
      </c>
      <c r="P1160" s="5" t="str">
        <f aca="false">IF(J1160="S0","—",IF(K1160="","",IF(L1160="E0","QM",INDEX(10_ASIL_Matrix!$D$4:$F$15,MATCH(J1160&amp;"-"&amp;L1160,10_ASIL_Matrix!$C$4:$C$15,0),MATCH(N1160,10_ASIL_Matrix!$D$3:$F$3,0)))))</f>
        <v>QM</v>
      </c>
      <c r="Q1160" s="5" t="s">
        <v>448</v>
      </c>
    </row>
    <row r="1161" customFormat="false" ht="46.25" hidden="false" customHeight="false" outlineLevel="0" collapsed="false">
      <c r="A1161" s="6" t="s">
        <v>2973</v>
      </c>
      <c r="B1161" s="6" t="s">
        <v>105</v>
      </c>
      <c r="C1161" s="6" t="s">
        <v>106</v>
      </c>
      <c r="D1161" s="6" t="s">
        <v>143</v>
      </c>
      <c r="E1161" s="6" t="s">
        <v>144</v>
      </c>
      <c r="F1161" s="6" t="s">
        <v>213</v>
      </c>
      <c r="G1161" s="6" t="s">
        <v>689</v>
      </c>
      <c r="H1161" s="6" t="s">
        <v>232</v>
      </c>
      <c r="I1161" s="6" t="s">
        <v>2974</v>
      </c>
      <c r="J1161" s="6" t="s">
        <v>242</v>
      </c>
      <c r="K1161" s="6" t="s">
        <v>2962</v>
      </c>
      <c r="L1161" s="6" t="s">
        <v>233</v>
      </c>
      <c r="M1161" s="6" t="s">
        <v>709</v>
      </c>
      <c r="N1161" s="6" t="s">
        <v>282</v>
      </c>
      <c r="O1161" s="6" t="s">
        <v>2790</v>
      </c>
      <c r="P1161" s="6" t="str">
        <f aca="false">IF(J1161="S0","—",IF(K1161="","",IF(L1161="E0","QM",INDEX(10_ASIL_Matrix!$D$4:$F$15,MATCH(J1161&amp;"-"&amp;L1161,10_ASIL_Matrix!$C$4:$C$15,0),MATCH(N1161,10_ASIL_Matrix!$D$3:$F$3,0)))))</f>
        <v>QM</v>
      </c>
      <c r="Q1161" s="6" t="s">
        <v>448</v>
      </c>
    </row>
    <row r="1162" customFormat="false" ht="35.05" hidden="false" customHeight="false" outlineLevel="0" collapsed="false">
      <c r="A1162" s="5" t="s">
        <v>2975</v>
      </c>
      <c r="B1162" s="5" t="s">
        <v>105</v>
      </c>
      <c r="C1162" s="5" t="s">
        <v>106</v>
      </c>
      <c r="D1162" s="5" t="s">
        <v>143</v>
      </c>
      <c r="E1162" s="5" t="s">
        <v>144</v>
      </c>
      <c r="F1162" s="5" t="s">
        <v>215</v>
      </c>
      <c r="G1162" s="5" t="s">
        <v>711</v>
      </c>
      <c r="H1162" s="5" t="s">
        <v>222</v>
      </c>
      <c r="I1162" s="5" t="s">
        <v>2976</v>
      </c>
      <c r="J1162" s="5" t="s">
        <v>246</v>
      </c>
      <c r="K1162" s="5" t="s">
        <v>2977</v>
      </c>
      <c r="L1162" s="5" t="s">
        <v>190</v>
      </c>
      <c r="M1162" s="5" t="s">
        <v>714</v>
      </c>
      <c r="N1162" s="5" t="s">
        <v>282</v>
      </c>
      <c r="O1162" s="5" t="s">
        <v>2790</v>
      </c>
      <c r="P1162" s="5" t="str">
        <f aca="false">IF(J1162="S0","—",IF(K1162="","",IF(L1162="E0","QM",INDEX(10_ASIL_Matrix!$D$4:$F$15,MATCH(J1162&amp;"-"&amp;L1162,10_ASIL_Matrix!$C$4:$C$15,0),MATCH(N1162,10_ASIL_Matrix!$D$3:$F$3,0)))))</f>
        <v>QM</v>
      </c>
      <c r="Q1162" s="5" t="s">
        <v>448</v>
      </c>
    </row>
    <row r="1163" customFormat="false" ht="35.05" hidden="false" customHeight="false" outlineLevel="0" collapsed="false">
      <c r="A1163" s="6" t="s">
        <v>2978</v>
      </c>
      <c r="B1163" s="6" t="s">
        <v>105</v>
      </c>
      <c r="C1163" s="6" t="s">
        <v>106</v>
      </c>
      <c r="D1163" s="6" t="s">
        <v>143</v>
      </c>
      <c r="E1163" s="6" t="s">
        <v>144</v>
      </c>
      <c r="F1163" s="6" t="s">
        <v>215</v>
      </c>
      <c r="G1163" s="6" t="s">
        <v>711</v>
      </c>
      <c r="H1163" s="6" t="s">
        <v>224</v>
      </c>
      <c r="I1163" s="6" t="s">
        <v>2979</v>
      </c>
      <c r="J1163" s="6" t="s">
        <v>246</v>
      </c>
      <c r="K1163" s="6" t="s">
        <v>2977</v>
      </c>
      <c r="L1163" s="6" t="s">
        <v>190</v>
      </c>
      <c r="M1163" s="6" t="s">
        <v>717</v>
      </c>
      <c r="N1163" s="6" t="s">
        <v>282</v>
      </c>
      <c r="O1163" s="6" t="s">
        <v>2790</v>
      </c>
      <c r="P1163" s="6" t="str">
        <f aca="false">IF(J1163="S0","—",IF(K1163="","",IF(L1163="E0","QM",INDEX(10_ASIL_Matrix!$D$4:$F$15,MATCH(J1163&amp;"-"&amp;L1163,10_ASIL_Matrix!$C$4:$C$15,0),MATCH(N1163,10_ASIL_Matrix!$D$3:$F$3,0)))))</f>
        <v>QM</v>
      </c>
      <c r="Q1163" s="6" t="s">
        <v>448</v>
      </c>
    </row>
    <row r="1164" customFormat="false" ht="35.05" hidden="false" customHeight="false" outlineLevel="0" collapsed="false">
      <c r="A1164" s="5" t="s">
        <v>2980</v>
      </c>
      <c r="B1164" s="5" t="s">
        <v>105</v>
      </c>
      <c r="C1164" s="5" t="s">
        <v>106</v>
      </c>
      <c r="D1164" s="5" t="s">
        <v>143</v>
      </c>
      <c r="E1164" s="5" t="s">
        <v>144</v>
      </c>
      <c r="F1164" s="5" t="s">
        <v>215</v>
      </c>
      <c r="G1164" s="5" t="s">
        <v>711</v>
      </c>
      <c r="H1164" s="5" t="s">
        <v>226</v>
      </c>
      <c r="I1164" s="5" t="s">
        <v>2981</v>
      </c>
      <c r="J1164" s="5" t="s">
        <v>246</v>
      </c>
      <c r="K1164" s="5" t="s">
        <v>2977</v>
      </c>
      <c r="L1164" s="5" t="s">
        <v>190</v>
      </c>
      <c r="M1164" s="5" t="s">
        <v>720</v>
      </c>
      <c r="N1164" s="5" t="s">
        <v>282</v>
      </c>
      <c r="O1164" s="5" t="s">
        <v>2790</v>
      </c>
      <c r="P1164" s="5" t="str">
        <f aca="false">IF(J1164="S0","—",IF(K1164="","",IF(L1164="E0","QM",INDEX(10_ASIL_Matrix!$D$4:$F$15,MATCH(J1164&amp;"-"&amp;L1164,10_ASIL_Matrix!$C$4:$C$15,0),MATCH(N1164,10_ASIL_Matrix!$D$3:$F$3,0)))))</f>
        <v>QM</v>
      </c>
      <c r="Q1164" s="5" t="s">
        <v>448</v>
      </c>
    </row>
    <row r="1165" customFormat="false" ht="46.25" hidden="false" customHeight="false" outlineLevel="0" collapsed="false">
      <c r="A1165" s="6" t="s">
        <v>2982</v>
      </c>
      <c r="B1165" s="6" t="s">
        <v>105</v>
      </c>
      <c r="C1165" s="6" t="s">
        <v>106</v>
      </c>
      <c r="D1165" s="6" t="s">
        <v>143</v>
      </c>
      <c r="E1165" s="6" t="s">
        <v>144</v>
      </c>
      <c r="F1165" s="6" t="s">
        <v>215</v>
      </c>
      <c r="G1165" s="6" t="s">
        <v>711</v>
      </c>
      <c r="H1165" s="6" t="s">
        <v>228</v>
      </c>
      <c r="I1165" s="6" t="s">
        <v>2983</v>
      </c>
      <c r="J1165" s="6" t="s">
        <v>246</v>
      </c>
      <c r="K1165" s="6" t="s">
        <v>2977</v>
      </c>
      <c r="L1165" s="6" t="s">
        <v>205</v>
      </c>
      <c r="M1165" s="6" t="s">
        <v>723</v>
      </c>
      <c r="N1165" s="6" t="s">
        <v>282</v>
      </c>
      <c r="O1165" s="6" t="s">
        <v>2790</v>
      </c>
      <c r="P1165" s="6" t="str">
        <f aca="false">IF(J1165="S0","—",IF(K1165="","",IF(L1165="E0","QM",INDEX(10_ASIL_Matrix!$D$4:$F$15,MATCH(J1165&amp;"-"&amp;L1165,10_ASIL_Matrix!$C$4:$C$15,0),MATCH(N1165,10_ASIL_Matrix!$D$3:$F$3,0)))))</f>
        <v>QM</v>
      </c>
      <c r="Q1165" s="6" t="s">
        <v>448</v>
      </c>
    </row>
    <row r="1166" customFormat="false" ht="35.05" hidden="false" customHeight="false" outlineLevel="0" collapsed="false">
      <c r="A1166" s="5" t="s">
        <v>2984</v>
      </c>
      <c r="B1166" s="5" t="s">
        <v>105</v>
      </c>
      <c r="C1166" s="5" t="s">
        <v>106</v>
      </c>
      <c r="D1166" s="5" t="s">
        <v>143</v>
      </c>
      <c r="E1166" s="5" t="s">
        <v>144</v>
      </c>
      <c r="F1166" s="5" t="s">
        <v>215</v>
      </c>
      <c r="G1166" s="5" t="s">
        <v>711</v>
      </c>
      <c r="H1166" s="5" t="s">
        <v>230</v>
      </c>
      <c r="I1166" s="5" t="s">
        <v>2985</v>
      </c>
      <c r="J1166" s="5" t="s">
        <v>250</v>
      </c>
      <c r="K1166" s="5" t="s">
        <v>2986</v>
      </c>
      <c r="L1166" s="5" t="s">
        <v>205</v>
      </c>
      <c r="M1166" s="5" t="s">
        <v>726</v>
      </c>
      <c r="N1166" s="5" t="s">
        <v>286</v>
      </c>
      <c r="O1166" s="5" t="s">
        <v>2800</v>
      </c>
      <c r="P1166" s="19" t="str">
        <f aca="false">IF(J1166="S0","—",IF(K1166="","",IF(L1166="E0","QM",INDEX(10_ASIL_Matrix!$D$4:$F$15,MATCH(J1166&amp;"-"&amp;L1166,10_ASIL_Matrix!$C$4:$C$15,0),MATCH(N1166,10_ASIL_Matrix!$D$3:$F$3,0)))))</f>
        <v>A</v>
      </c>
      <c r="Q1166" s="5" t="s">
        <v>448</v>
      </c>
    </row>
    <row r="1167" customFormat="false" ht="46.25" hidden="false" customHeight="false" outlineLevel="0" collapsed="false">
      <c r="A1167" s="6" t="s">
        <v>2987</v>
      </c>
      <c r="B1167" s="6" t="s">
        <v>105</v>
      </c>
      <c r="C1167" s="6" t="s">
        <v>106</v>
      </c>
      <c r="D1167" s="6" t="s">
        <v>143</v>
      </c>
      <c r="E1167" s="6" t="s">
        <v>144</v>
      </c>
      <c r="F1167" s="6" t="s">
        <v>215</v>
      </c>
      <c r="G1167" s="6" t="s">
        <v>711</v>
      </c>
      <c r="H1167" s="6" t="s">
        <v>232</v>
      </c>
      <c r="I1167" s="6" t="s">
        <v>2988</v>
      </c>
      <c r="J1167" s="6" t="s">
        <v>246</v>
      </c>
      <c r="K1167" s="6" t="s">
        <v>2977</v>
      </c>
      <c r="L1167" s="6" t="s">
        <v>233</v>
      </c>
      <c r="M1167" s="6" t="s">
        <v>729</v>
      </c>
      <c r="N1167" s="6" t="s">
        <v>282</v>
      </c>
      <c r="O1167" s="6" t="s">
        <v>2790</v>
      </c>
      <c r="P1167" s="6" t="str">
        <f aca="false">IF(J1167="S0","—",IF(K1167="","",IF(L1167="E0","QM",INDEX(10_ASIL_Matrix!$D$4:$F$15,MATCH(J1167&amp;"-"&amp;L1167,10_ASIL_Matrix!$C$4:$C$15,0),MATCH(N1167,10_ASIL_Matrix!$D$3:$F$3,0)))))</f>
        <v>QM</v>
      </c>
      <c r="Q1167" s="6" t="s">
        <v>448</v>
      </c>
    </row>
    <row r="1168" customFormat="false" ht="35.05" hidden="false" customHeight="false" outlineLevel="0" collapsed="false">
      <c r="A1168" s="5" t="s">
        <v>2989</v>
      </c>
      <c r="B1168" s="5" t="s">
        <v>105</v>
      </c>
      <c r="C1168" s="5" t="s">
        <v>106</v>
      </c>
      <c r="D1168" s="5" t="s">
        <v>143</v>
      </c>
      <c r="E1168" s="5" t="s">
        <v>144</v>
      </c>
      <c r="F1168" s="5" t="s">
        <v>217</v>
      </c>
      <c r="G1168" s="5" t="s">
        <v>488</v>
      </c>
      <c r="H1168" s="5" t="s">
        <v>222</v>
      </c>
      <c r="I1168" s="5" t="s">
        <v>2990</v>
      </c>
      <c r="J1168" s="5" t="s">
        <v>246</v>
      </c>
      <c r="K1168" s="5" t="s">
        <v>2991</v>
      </c>
      <c r="L1168" s="5" t="s">
        <v>190</v>
      </c>
      <c r="M1168" s="5" t="s">
        <v>733</v>
      </c>
      <c r="N1168" s="5" t="s">
        <v>282</v>
      </c>
      <c r="O1168" s="5" t="s">
        <v>2790</v>
      </c>
      <c r="P1168" s="5" t="str">
        <f aca="false">IF(J1168="S0","—",IF(K1168="","",IF(L1168="E0","QM",INDEX(10_ASIL_Matrix!$D$4:$F$15,MATCH(J1168&amp;"-"&amp;L1168,10_ASIL_Matrix!$C$4:$C$15,0),MATCH(N1168,10_ASIL_Matrix!$D$3:$F$3,0)))))</f>
        <v>QM</v>
      </c>
      <c r="Q1168" s="5" t="s">
        <v>448</v>
      </c>
    </row>
    <row r="1169" customFormat="false" ht="35.05" hidden="false" customHeight="false" outlineLevel="0" collapsed="false">
      <c r="A1169" s="6" t="s">
        <v>2992</v>
      </c>
      <c r="B1169" s="6" t="s">
        <v>105</v>
      </c>
      <c r="C1169" s="6" t="s">
        <v>106</v>
      </c>
      <c r="D1169" s="6" t="s">
        <v>143</v>
      </c>
      <c r="E1169" s="6" t="s">
        <v>144</v>
      </c>
      <c r="F1169" s="6" t="s">
        <v>217</v>
      </c>
      <c r="G1169" s="6" t="s">
        <v>488</v>
      </c>
      <c r="H1169" s="6" t="s">
        <v>224</v>
      </c>
      <c r="I1169" s="6" t="s">
        <v>2993</v>
      </c>
      <c r="J1169" s="6" t="s">
        <v>250</v>
      </c>
      <c r="K1169" s="6" t="s">
        <v>2994</v>
      </c>
      <c r="L1169" s="6" t="s">
        <v>190</v>
      </c>
      <c r="M1169" s="6" t="s">
        <v>736</v>
      </c>
      <c r="N1169" s="6" t="s">
        <v>282</v>
      </c>
      <c r="O1169" s="6" t="s">
        <v>2809</v>
      </c>
      <c r="P1169" s="19" t="str">
        <f aca="false">IF(J1169="S0","—",IF(K1169="","",IF(L1169="E0","QM",INDEX(10_ASIL_Matrix!$D$4:$F$15,MATCH(J1169&amp;"-"&amp;L1169,10_ASIL_Matrix!$C$4:$C$15,0),MATCH(N1169,10_ASIL_Matrix!$D$3:$F$3,0)))))</f>
        <v>A</v>
      </c>
      <c r="Q1169" s="6" t="s">
        <v>448</v>
      </c>
    </row>
    <row r="1170" customFormat="false" ht="35.05" hidden="false" customHeight="false" outlineLevel="0" collapsed="false">
      <c r="A1170" s="5" t="s">
        <v>2995</v>
      </c>
      <c r="B1170" s="5" t="s">
        <v>105</v>
      </c>
      <c r="C1170" s="5" t="s">
        <v>106</v>
      </c>
      <c r="D1170" s="5" t="s">
        <v>143</v>
      </c>
      <c r="E1170" s="5" t="s">
        <v>144</v>
      </c>
      <c r="F1170" s="5" t="s">
        <v>217</v>
      </c>
      <c r="G1170" s="5" t="s">
        <v>488</v>
      </c>
      <c r="H1170" s="5" t="s">
        <v>226</v>
      </c>
      <c r="I1170" s="5" t="s">
        <v>2996</v>
      </c>
      <c r="J1170" s="5" t="s">
        <v>246</v>
      </c>
      <c r="K1170" s="5" t="s">
        <v>2991</v>
      </c>
      <c r="L1170" s="5" t="s">
        <v>190</v>
      </c>
      <c r="M1170" s="5" t="s">
        <v>739</v>
      </c>
      <c r="N1170" s="5" t="s">
        <v>282</v>
      </c>
      <c r="O1170" s="5" t="s">
        <v>2790</v>
      </c>
      <c r="P1170" s="5" t="str">
        <f aca="false">IF(J1170="S0","—",IF(K1170="","",IF(L1170="E0","QM",INDEX(10_ASIL_Matrix!$D$4:$F$15,MATCH(J1170&amp;"-"&amp;L1170,10_ASIL_Matrix!$C$4:$C$15,0),MATCH(N1170,10_ASIL_Matrix!$D$3:$F$3,0)))))</f>
        <v>QM</v>
      </c>
      <c r="Q1170" s="5" t="s">
        <v>448</v>
      </c>
    </row>
    <row r="1171" customFormat="false" ht="35.05" hidden="false" customHeight="false" outlineLevel="0" collapsed="false">
      <c r="A1171" s="6" t="s">
        <v>2997</v>
      </c>
      <c r="B1171" s="6" t="s">
        <v>105</v>
      </c>
      <c r="C1171" s="6" t="s">
        <v>106</v>
      </c>
      <c r="D1171" s="6" t="s">
        <v>143</v>
      </c>
      <c r="E1171" s="6" t="s">
        <v>144</v>
      </c>
      <c r="F1171" s="6" t="s">
        <v>217</v>
      </c>
      <c r="G1171" s="6" t="s">
        <v>488</v>
      </c>
      <c r="H1171" s="6" t="s">
        <v>228</v>
      </c>
      <c r="I1171" s="6" t="s">
        <v>2998</v>
      </c>
      <c r="J1171" s="6" t="s">
        <v>250</v>
      </c>
      <c r="K1171" s="6" t="s">
        <v>2994</v>
      </c>
      <c r="L1171" s="6" t="s">
        <v>205</v>
      </c>
      <c r="M1171" s="6" t="s">
        <v>742</v>
      </c>
      <c r="N1171" s="6" t="s">
        <v>282</v>
      </c>
      <c r="O1171" s="6" t="s">
        <v>2809</v>
      </c>
      <c r="P1171" s="6" t="str">
        <f aca="false">IF(J1171="S0","—",IF(K1171="","",IF(L1171="E0","QM",INDEX(10_ASIL_Matrix!$D$4:$F$15,MATCH(J1171&amp;"-"&amp;L1171,10_ASIL_Matrix!$C$4:$C$15,0),MATCH(N1171,10_ASIL_Matrix!$D$3:$F$3,0)))))</f>
        <v>QM</v>
      </c>
      <c r="Q1171" s="6" t="s">
        <v>448</v>
      </c>
    </row>
    <row r="1172" customFormat="false" ht="35.05" hidden="false" customHeight="false" outlineLevel="0" collapsed="false">
      <c r="A1172" s="5" t="s">
        <v>2999</v>
      </c>
      <c r="B1172" s="5" t="s">
        <v>105</v>
      </c>
      <c r="C1172" s="5" t="s">
        <v>106</v>
      </c>
      <c r="D1172" s="5" t="s">
        <v>143</v>
      </c>
      <c r="E1172" s="5" t="s">
        <v>144</v>
      </c>
      <c r="F1172" s="5" t="s">
        <v>217</v>
      </c>
      <c r="G1172" s="5" t="s">
        <v>488</v>
      </c>
      <c r="H1172" s="5" t="s">
        <v>230</v>
      </c>
      <c r="I1172" s="5" t="s">
        <v>3000</v>
      </c>
      <c r="J1172" s="5" t="s">
        <v>250</v>
      </c>
      <c r="K1172" s="5" t="s">
        <v>3001</v>
      </c>
      <c r="L1172" s="5" t="s">
        <v>205</v>
      </c>
      <c r="M1172" s="5" t="s">
        <v>745</v>
      </c>
      <c r="N1172" s="5" t="s">
        <v>286</v>
      </c>
      <c r="O1172" s="5" t="s">
        <v>2800</v>
      </c>
      <c r="P1172" s="19" t="str">
        <f aca="false">IF(J1172="S0","—",IF(K1172="","",IF(L1172="E0","QM",INDEX(10_ASIL_Matrix!$D$4:$F$15,MATCH(J1172&amp;"-"&amp;L1172,10_ASIL_Matrix!$C$4:$C$15,0),MATCH(N1172,10_ASIL_Matrix!$D$3:$F$3,0)))))</f>
        <v>A</v>
      </c>
      <c r="Q1172" s="5" t="s">
        <v>448</v>
      </c>
    </row>
    <row r="1173" customFormat="false" ht="46.25" hidden="false" customHeight="false" outlineLevel="0" collapsed="false">
      <c r="A1173" s="6" t="s">
        <v>3002</v>
      </c>
      <c r="B1173" s="6" t="s">
        <v>105</v>
      </c>
      <c r="C1173" s="6" t="s">
        <v>106</v>
      </c>
      <c r="D1173" s="6" t="s">
        <v>143</v>
      </c>
      <c r="E1173" s="6" t="s">
        <v>144</v>
      </c>
      <c r="F1173" s="6" t="s">
        <v>217</v>
      </c>
      <c r="G1173" s="6" t="s">
        <v>488</v>
      </c>
      <c r="H1173" s="6" t="s">
        <v>232</v>
      </c>
      <c r="I1173" s="6" t="s">
        <v>3003</v>
      </c>
      <c r="J1173" s="6" t="s">
        <v>246</v>
      </c>
      <c r="K1173" s="6" t="s">
        <v>2991</v>
      </c>
      <c r="L1173" s="6" t="s">
        <v>233</v>
      </c>
      <c r="M1173" s="6" t="s">
        <v>748</v>
      </c>
      <c r="N1173" s="6" t="s">
        <v>282</v>
      </c>
      <c r="O1173" s="6" t="s">
        <v>2790</v>
      </c>
      <c r="P1173" s="6" t="str">
        <f aca="false">IF(J1173="S0","—",IF(K1173="","",IF(L1173="E0","QM",INDEX(10_ASIL_Matrix!$D$4:$F$15,MATCH(J1173&amp;"-"&amp;L1173,10_ASIL_Matrix!$C$4:$C$15,0),MATCH(N1173,10_ASIL_Matrix!$D$3:$F$3,0)))))</f>
        <v>QM</v>
      </c>
      <c r="Q1173" s="6" t="s">
        <v>448</v>
      </c>
    </row>
    <row r="1174" customFormat="false" ht="35.05" hidden="false" customHeight="false" outlineLevel="0" collapsed="false">
      <c r="A1174" s="5" t="s">
        <v>3004</v>
      </c>
      <c r="B1174" s="5" t="s">
        <v>105</v>
      </c>
      <c r="C1174" s="5" t="s">
        <v>106</v>
      </c>
      <c r="D1174" s="5" t="s">
        <v>146</v>
      </c>
      <c r="E1174" s="5" t="s">
        <v>147</v>
      </c>
      <c r="F1174" s="5" t="s">
        <v>186</v>
      </c>
      <c r="G1174" s="5" t="s">
        <v>443</v>
      </c>
      <c r="H1174" s="5" t="s">
        <v>222</v>
      </c>
      <c r="I1174" s="5" t="s">
        <v>3005</v>
      </c>
      <c r="J1174" s="5" t="s">
        <v>246</v>
      </c>
      <c r="K1174" s="5" t="s">
        <v>3006</v>
      </c>
      <c r="L1174" s="5" t="s">
        <v>187</v>
      </c>
      <c r="M1174" s="5" t="s">
        <v>446</v>
      </c>
      <c r="N1174" s="5" t="s">
        <v>282</v>
      </c>
      <c r="O1174" s="5" t="s">
        <v>3007</v>
      </c>
      <c r="P1174" s="19" t="str">
        <f aca="false">IF(J1174="S0","—",IF(K1174="","",IF(L1174="E0","QM",INDEX(10_ASIL_Matrix!$D$4:$F$15,MATCH(J1174&amp;"-"&amp;L1174,10_ASIL_Matrix!$C$4:$C$15,0),MATCH(N1174,10_ASIL_Matrix!$D$3:$F$3,0)))))</f>
        <v>A</v>
      </c>
      <c r="Q1174" s="5" t="s">
        <v>448</v>
      </c>
    </row>
    <row r="1175" customFormat="false" ht="35.05" hidden="false" customHeight="false" outlineLevel="0" collapsed="false">
      <c r="A1175" s="6" t="s">
        <v>3008</v>
      </c>
      <c r="B1175" s="6" t="s">
        <v>105</v>
      </c>
      <c r="C1175" s="6" t="s">
        <v>106</v>
      </c>
      <c r="D1175" s="6" t="s">
        <v>146</v>
      </c>
      <c r="E1175" s="6" t="s">
        <v>147</v>
      </c>
      <c r="F1175" s="6" t="s">
        <v>186</v>
      </c>
      <c r="G1175" s="6" t="s">
        <v>443</v>
      </c>
      <c r="H1175" s="6" t="s">
        <v>224</v>
      </c>
      <c r="I1175" s="6" t="s">
        <v>3009</v>
      </c>
      <c r="J1175" s="6" t="s">
        <v>246</v>
      </c>
      <c r="K1175" s="6" t="s">
        <v>3006</v>
      </c>
      <c r="L1175" s="6" t="s">
        <v>190</v>
      </c>
      <c r="M1175" s="6" t="s">
        <v>451</v>
      </c>
      <c r="N1175" s="6" t="s">
        <v>282</v>
      </c>
      <c r="O1175" s="6" t="s">
        <v>3007</v>
      </c>
      <c r="P1175" s="6" t="str">
        <f aca="false">IF(J1175="S0","—",IF(K1175="","",IF(L1175="E0","QM",INDEX(10_ASIL_Matrix!$D$4:$F$15,MATCH(J1175&amp;"-"&amp;L1175,10_ASIL_Matrix!$C$4:$C$15,0),MATCH(N1175,10_ASIL_Matrix!$D$3:$F$3,0)))))</f>
        <v>QM</v>
      </c>
      <c r="Q1175" s="6" t="s">
        <v>448</v>
      </c>
    </row>
    <row r="1176" customFormat="false" ht="35.05" hidden="false" customHeight="false" outlineLevel="0" collapsed="false">
      <c r="A1176" s="5" t="s">
        <v>3010</v>
      </c>
      <c r="B1176" s="5" t="s">
        <v>105</v>
      </c>
      <c r="C1176" s="5" t="s">
        <v>106</v>
      </c>
      <c r="D1176" s="5" t="s">
        <v>146</v>
      </c>
      <c r="E1176" s="5" t="s">
        <v>147</v>
      </c>
      <c r="F1176" s="5" t="s">
        <v>186</v>
      </c>
      <c r="G1176" s="5" t="s">
        <v>443</v>
      </c>
      <c r="H1176" s="5" t="s">
        <v>226</v>
      </c>
      <c r="I1176" s="5" t="s">
        <v>3011</v>
      </c>
      <c r="J1176" s="5" t="s">
        <v>246</v>
      </c>
      <c r="K1176" s="5" t="s">
        <v>3006</v>
      </c>
      <c r="L1176" s="5" t="s">
        <v>190</v>
      </c>
      <c r="M1176" s="5" t="s">
        <v>454</v>
      </c>
      <c r="N1176" s="5" t="s">
        <v>282</v>
      </c>
      <c r="O1176" s="5" t="s">
        <v>3007</v>
      </c>
      <c r="P1176" s="5" t="str">
        <f aca="false">IF(J1176="S0","—",IF(K1176="","",IF(L1176="E0","QM",INDEX(10_ASIL_Matrix!$D$4:$F$15,MATCH(J1176&amp;"-"&amp;L1176,10_ASIL_Matrix!$C$4:$C$15,0),MATCH(N1176,10_ASIL_Matrix!$D$3:$F$3,0)))))</f>
        <v>QM</v>
      </c>
      <c r="Q1176" s="5" t="s">
        <v>448</v>
      </c>
    </row>
    <row r="1177" customFormat="false" ht="35.05" hidden="false" customHeight="false" outlineLevel="0" collapsed="false">
      <c r="A1177" s="6" t="s">
        <v>3012</v>
      </c>
      <c r="B1177" s="6" t="s">
        <v>105</v>
      </c>
      <c r="C1177" s="6" t="s">
        <v>106</v>
      </c>
      <c r="D1177" s="6" t="s">
        <v>146</v>
      </c>
      <c r="E1177" s="6" t="s">
        <v>147</v>
      </c>
      <c r="F1177" s="6" t="s">
        <v>186</v>
      </c>
      <c r="G1177" s="6" t="s">
        <v>443</v>
      </c>
      <c r="H1177" s="6" t="s">
        <v>228</v>
      </c>
      <c r="I1177" s="6" t="s">
        <v>3013</v>
      </c>
      <c r="J1177" s="6" t="s">
        <v>246</v>
      </c>
      <c r="K1177" s="6" t="s">
        <v>3006</v>
      </c>
      <c r="L1177" s="6" t="s">
        <v>205</v>
      </c>
      <c r="M1177" s="6" t="s">
        <v>457</v>
      </c>
      <c r="N1177" s="6" t="s">
        <v>282</v>
      </c>
      <c r="O1177" s="6" t="s">
        <v>3007</v>
      </c>
      <c r="P1177" s="6" t="str">
        <f aca="false">IF(J1177="S0","—",IF(K1177="","",IF(L1177="E0","QM",INDEX(10_ASIL_Matrix!$D$4:$F$15,MATCH(J1177&amp;"-"&amp;L1177,10_ASIL_Matrix!$C$4:$C$15,0),MATCH(N1177,10_ASIL_Matrix!$D$3:$F$3,0)))))</f>
        <v>QM</v>
      </c>
      <c r="Q1177" s="6" t="s">
        <v>448</v>
      </c>
    </row>
    <row r="1178" customFormat="false" ht="35.05" hidden="false" customHeight="false" outlineLevel="0" collapsed="false">
      <c r="A1178" s="5" t="s">
        <v>3014</v>
      </c>
      <c r="B1178" s="5" t="s">
        <v>105</v>
      </c>
      <c r="C1178" s="5" t="s">
        <v>106</v>
      </c>
      <c r="D1178" s="5" t="s">
        <v>146</v>
      </c>
      <c r="E1178" s="5" t="s">
        <v>147</v>
      </c>
      <c r="F1178" s="5" t="s">
        <v>186</v>
      </c>
      <c r="G1178" s="5" t="s">
        <v>443</v>
      </c>
      <c r="H1178" s="5" t="s">
        <v>230</v>
      </c>
      <c r="I1178" s="5" t="s">
        <v>3015</v>
      </c>
      <c r="J1178" s="5" t="s">
        <v>246</v>
      </c>
      <c r="K1178" s="5" t="s">
        <v>3006</v>
      </c>
      <c r="L1178" s="5" t="s">
        <v>205</v>
      </c>
      <c r="M1178" s="5" t="s">
        <v>460</v>
      </c>
      <c r="N1178" s="5" t="s">
        <v>286</v>
      </c>
      <c r="O1178" s="5" t="s">
        <v>3016</v>
      </c>
      <c r="P1178" s="5" t="str">
        <f aca="false">IF(J1178="S0","—",IF(K1178="","",IF(L1178="E0","QM",INDEX(10_ASIL_Matrix!$D$4:$F$15,MATCH(J1178&amp;"-"&amp;L1178,10_ASIL_Matrix!$C$4:$C$15,0),MATCH(N1178,10_ASIL_Matrix!$D$3:$F$3,0)))))</f>
        <v>QM</v>
      </c>
      <c r="Q1178" s="5" t="s">
        <v>448</v>
      </c>
    </row>
    <row r="1179" customFormat="false" ht="46.25" hidden="false" customHeight="false" outlineLevel="0" collapsed="false">
      <c r="A1179" s="6" t="s">
        <v>3017</v>
      </c>
      <c r="B1179" s="6" t="s">
        <v>105</v>
      </c>
      <c r="C1179" s="6" t="s">
        <v>106</v>
      </c>
      <c r="D1179" s="6" t="s">
        <v>146</v>
      </c>
      <c r="E1179" s="6" t="s">
        <v>147</v>
      </c>
      <c r="F1179" s="6" t="s">
        <v>186</v>
      </c>
      <c r="G1179" s="6" t="s">
        <v>443</v>
      </c>
      <c r="H1179" s="6" t="s">
        <v>232</v>
      </c>
      <c r="I1179" s="6" t="s">
        <v>3018</v>
      </c>
      <c r="J1179" s="6" t="s">
        <v>246</v>
      </c>
      <c r="K1179" s="6" t="s">
        <v>3006</v>
      </c>
      <c r="L1179" s="6" t="s">
        <v>233</v>
      </c>
      <c r="M1179" s="6" t="s">
        <v>464</v>
      </c>
      <c r="N1179" s="6" t="s">
        <v>282</v>
      </c>
      <c r="O1179" s="6" t="s">
        <v>3007</v>
      </c>
      <c r="P1179" s="6" t="str">
        <f aca="false">IF(J1179="S0","—",IF(K1179="","",IF(L1179="E0","QM",INDEX(10_ASIL_Matrix!$D$4:$F$15,MATCH(J1179&amp;"-"&amp;L1179,10_ASIL_Matrix!$C$4:$C$15,0),MATCH(N1179,10_ASIL_Matrix!$D$3:$F$3,0)))))</f>
        <v>QM</v>
      </c>
      <c r="Q1179" s="6" t="s">
        <v>448</v>
      </c>
    </row>
    <row r="1180" customFormat="false" ht="35.05" hidden="false" customHeight="false" outlineLevel="0" collapsed="false">
      <c r="A1180" s="5" t="s">
        <v>3019</v>
      </c>
      <c r="B1180" s="5" t="s">
        <v>105</v>
      </c>
      <c r="C1180" s="5" t="s">
        <v>106</v>
      </c>
      <c r="D1180" s="5" t="s">
        <v>146</v>
      </c>
      <c r="E1180" s="5" t="s">
        <v>147</v>
      </c>
      <c r="F1180" s="5" t="s">
        <v>189</v>
      </c>
      <c r="G1180" s="5" t="s">
        <v>466</v>
      </c>
      <c r="H1180" s="5" t="s">
        <v>222</v>
      </c>
      <c r="I1180" s="5" t="s">
        <v>3020</v>
      </c>
      <c r="J1180" s="5" t="s">
        <v>250</v>
      </c>
      <c r="K1180" s="5" t="s">
        <v>3021</v>
      </c>
      <c r="L1180" s="5" t="s">
        <v>190</v>
      </c>
      <c r="M1180" s="5" t="s">
        <v>469</v>
      </c>
      <c r="N1180" s="5" t="s">
        <v>286</v>
      </c>
      <c r="O1180" s="5" t="s">
        <v>3022</v>
      </c>
      <c r="P1180" s="18" t="str">
        <f aca="false">IF(J1180="S0","—",IF(K1180="","",IF(L1180="E0","QM",INDEX(10_ASIL_Matrix!$D$4:$F$15,MATCH(J1180&amp;"-"&amp;L1180,10_ASIL_Matrix!$C$4:$C$15,0),MATCH(N1180,10_ASIL_Matrix!$D$3:$F$3,0)))))</f>
        <v>B</v>
      </c>
      <c r="Q1180" s="5" t="s">
        <v>448</v>
      </c>
    </row>
    <row r="1181" customFormat="false" ht="35.05" hidden="false" customHeight="false" outlineLevel="0" collapsed="false">
      <c r="A1181" s="6" t="s">
        <v>3023</v>
      </c>
      <c r="B1181" s="6" t="s">
        <v>105</v>
      </c>
      <c r="C1181" s="6" t="s">
        <v>106</v>
      </c>
      <c r="D1181" s="6" t="s">
        <v>146</v>
      </c>
      <c r="E1181" s="6" t="s">
        <v>147</v>
      </c>
      <c r="F1181" s="6" t="s">
        <v>189</v>
      </c>
      <c r="G1181" s="6" t="s">
        <v>466</v>
      </c>
      <c r="H1181" s="6" t="s">
        <v>224</v>
      </c>
      <c r="I1181" s="6" t="s">
        <v>3024</v>
      </c>
      <c r="J1181" s="6" t="s">
        <v>250</v>
      </c>
      <c r="K1181" s="6" t="s">
        <v>3021</v>
      </c>
      <c r="L1181" s="6" t="s">
        <v>190</v>
      </c>
      <c r="M1181" s="6" t="s">
        <v>473</v>
      </c>
      <c r="N1181" s="6" t="s">
        <v>286</v>
      </c>
      <c r="O1181" s="6" t="s">
        <v>3022</v>
      </c>
      <c r="P1181" s="18" t="str">
        <f aca="false">IF(J1181="S0","—",IF(K1181="","",IF(L1181="E0","QM",INDEX(10_ASIL_Matrix!$D$4:$F$15,MATCH(J1181&amp;"-"&amp;L1181,10_ASIL_Matrix!$C$4:$C$15,0),MATCH(N1181,10_ASIL_Matrix!$D$3:$F$3,0)))))</f>
        <v>B</v>
      </c>
      <c r="Q1181" s="6" t="s">
        <v>448</v>
      </c>
    </row>
    <row r="1182" customFormat="false" ht="35.05" hidden="false" customHeight="false" outlineLevel="0" collapsed="false">
      <c r="A1182" s="5" t="s">
        <v>3025</v>
      </c>
      <c r="B1182" s="5" t="s">
        <v>105</v>
      </c>
      <c r="C1182" s="5" t="s">
        <v>106</v>
      </c>
      <c r="D1182" s="5" t="s">
        <v>146</v>
      </c>
      <c r="E1182" s="5" t="s">
        <v>147</v>
      </c>
      <c r="F1182" s="5" t="s">
        <v>189</v>
      </c>
      <c r="G1182" s="5" t="s">
        <v>466</v>
      </c>
      <c r="H1182" s="5" t="s">
        <v>226</v>
      </c>
      <c r="I1182" s="5" t="s">
        <v>3026</v>
      </c>
      <c r="J1182" s="5" t="s">
        <v>250</v>
      </c>
      <c r="K1182" s="5" t="s">
        <v>3021</v>
      </c>
      <c r="L1182" s="5" t="s">
        <v>190</v>
      </c>
      <c r="M1182" s="5" t="s">
        <v>476</v>
      </c>
      <c r="N1182" s="5" t="s">
        <v>286</v>
      </c>
      <c r="O1182" s="5" t="s">
        <v>3022</v>
      </c>
      <c r="P1182" s="18" t="str">
        <f aca="false">IF(J1182="S0","—",IF(K1182="","",IF(L1182="E0","QM",INDEX(10_ASIL_Matrix!$D$4:$F$15,MATCH(J1182&amp;"-"&amp;L1182,10_ASIL_Matrix!$C$4:$C$15,0),MATCH(N1182,10_ASIL_Matrix!$D$3:$F$3,0)))))</f>
        <v>B</v>
      </c>
      <c r="Q1182" s="5" t="s">
        <v>448</v>
      </c>
    </row>
    <row r="1183" customFormat="false" ht="35.05" hidden="false" customHeight="false" outlineLevel="0" collapsed="false">
      <c r="A1183" s="6" t="s">
        <v>3027</v>
      </c>
      <c r="B1183" s="6" t="s">
        <v>105</v>
      </c>
      <c r="C1183" s="6" t="s">
        <v>106</v>
      </c>
      <c r="D1183" s="6" t="s">
        <v>146</v>
      </c>
      <c r="E1183" s="6" t="s">
        <v>147</v>
      </c>
      <c r="F1183" s="6" t="s">
        <v>189</v>
      </c>
      <c r="G1183" s="6" t="s">
        <v>466</v>
      </c>
      <c r="H1183" s="6" t="s">
        <v>228</v>
      </c>
      <c r="I1183" s="6" t="s">
        <v>3028</v>
      </c>
      <c r="J1183" s="6" t="s">
        <v>250</v>
      </c>
      <c r="K1183" s="6" t="s">
        <v>3021</v>
      </c>
      <c r="L1183" s="6" t="s">
        <v>205</v>
      </c>
      <c r="M1183" s="6" t="s">
        <v>479</v>
      </c>
      <c r="N1183" s="6" t="s">
        <v>286</v>
      </c>
      <c r="O1183" s="6" t="s">
        <v>3022</v>
      </c>
      <c r="P1183" s="19" t="str">
        <f aca="false">IF(J1183="S0","—",IF(K1183="","",IF(L1183="E0","QM",INDEX(10_ASIL_Matrix!$D$4:$F$15,MATCH(J1183&amp;"-"&amp;L1183,10_ASIL_Matrix!$C$4:$C$15,0),MATCH(N1183,10_ASIL_Matrix!$D$3:$F$3,0)))))</f>
        <v>A</v>
      </c>
      <c r="Q1183" s="6" t="s">
        <v>448</v>
      </c>
    </row>
    <row r="1184" customFormat="false" ht="35.05" hidden="false" customHeight="false" outlineLevel="0" collapsed="false">
      <c r="A1184" s="5" t="s">
        <v>3029</v>
      </c>
      <c r="B1184" s="5" t="s">
        <v>105</v>
      </c>
      <c r="C1184" s="5" t="s">
        <v>106</v>
      </c>
      <c r="D1184" s="5" t="s">
        <v>146</v>
      </c>
      <c r="E1184" s="5" t="s">
        <v>147</v>
      </c>
      <c r="F1184" s="5" t="s">
        <v>189</v>
      </c>
      <c r="G1184" s="5" t="s">
        <v>466</v>
      </c>
      <c r="H1184" s="5" t="s">
        <v>230</v>
      </c>
      <c r="I1184" s="5" t="s">
        <v>3030</v>
      </c>
      <c r="J1184" s="5" t="s">
        <v>250</v>
      </c>
      <c r="K1184" s="5" t="s">
        <v>3021</v>
      </c>
      <c r="L1184" s="5" t="s">
        <v>205</v>
      </c>
      <c r="M1184" s="5" t="s">
        <v>482</v>
      </c>
      <c r="N1184" s="5" t="s">
        <v>290</v>
      </c>
      <c r="O1184" s="5" t="s">
        <v>3031</v>
      </c>
      <c r="P1184" s="18" t="str">
        <f aca="false">IF(J1184="S0","—",IF(K1184="","",IF(L1184="E0","QM",INDEX(10_ASIL_Matrix!$D$4:$F$15,MATCH(J1184&amp;"-"&amp;L1184,10_ASIL_Matrix!$C$4:$C$15,0),MATCH(N1184,10_ASIL_Matrix!$D$3:$F$3,0)))))</f>
        <v>B</v>
      </c>
      <c r="Q1184" s="5" t="s">
        <v>448</v>
      </c>
    </row>
    <row r="1185" customFormat="false" ht="46.25" hidden="false" customHeight="false" outlineLevel="0" collapsed="false">
      <c r="A1185" s="6" t="s">
        <v>3032</v>
      </c>
      <c r="B1185" s="6" t="s">
        <v>105</v>
      </c>
      <c r="C1185" s="6" t="s">
        <v>106</v>
      </c>
      <c r="D1185" s="6" t="s">
        <v>146</v>
      </c>
      <c r="E1185" s="6" t="s">
        <v>147</v>
      </c>
      <c r="F1185" s="6" t="s">
        <v>189</v>
      </c>
      <c r="G1185" s="6" t="s">
        <v>466</v>
      </c>
      <c r="H1185" s="6" t="s">
        <v>232</v>
      </c>
      <c r="I1185" s="6" t="s">
        <v>3033</v>
      </c>
      <c r="J1185" s="6" t="s">
        <v>250</v>
      </c>
      <c r="K1185" s="6" t="s">
        <v>3021</v>
      </c>
      <c r="L1185" s="6" t="s">
        <v>233</v>
      </c>
      <c r="M1185" s="6" t="s">
        <v>486</v>
      </c>
      <c r="N1185" s="6" t="s">
        <v>286</v>
      </c>
      <c r="O1185" s="6" t="s">
        <v>3022</v>
      </c>
      <c r="P1185" s="6" t="str">
        <f aca="false">IF(J1185="S0","—",IF(K1185="","",IF(L1185="E0","QM",INDEX(10_ASIL_Matrix!$D$4:$F$15,MATCH(J1185&amp;"-"&amp;L1185,10_ASIL_Matrix!$C$4:$C$15,0),MATCH(N1185,10_ASIL_Matrix!$D$3:$F$3,0)))))</f>
        <v>QM</v>
      </c>
      <c r="Q1185" s="6" t="s">
        <v>448</v>
      </c>
    </row>
    <row r="1186" customFormat="false" ht="35.05" hidden="false" customHeight="false" outlineLevel="0" collapsed="false">
      <c r="A1186" s="5" t="s">
        <v>3034</v>
      </c>
      <c r="B1186" s="5" t="s">
        <v>105</v>
      </c>
      <c r="C1186" s="5" t="s">
        <v>106</v>
      </c>
      <c r="D1186" s="5" t="s">
        <v>146</v>
      </c>
      <c r="E1186" s="5" t="s">
        <v>147</v>
      </c>
      <c r="F1186" s="5" t="s">
        <v>192</v>
      </c>
      <c r="G1186" s="5" t="s">
        <v>488</v>
      </c>
      <c r="H1186" s="5" t="s">
        <v>222</v>
      </c>
      <c r="I1186" s="5" t="s">
        <v>3035</v>
      </c>
      <c r="J1186" s="5" t="s">
        <v>246</v>
      </c>
      <c r="K1186" s="5" t="s">
        <v>3036</v>
      </c>
      <c r="L1186" s="5" t="s">
        <v>187</v>
      </c>
      <c r="M1186" s="5" t="s">
        <v>491</v>
      </c>
      <c r="N1186" s="5" t="s">
        <v>282</v>
      </c>
      <c r="O1186" s="5" t="s">
        <v>3037</v>
      </c>
      <c r="P1186" s="19" t="str">
        <f aca="false">IF(J1186="S0","—",IF(K1186="","",IF(L1186="E0","QM",INDEX(10_ASIL_Matrix!$D$4:$F$15,MATCH(J1186&amp;"-"&amp;L1186,10_ASIL_Matrix!$C$4:$C$15,0),MATCH(N1186,10_ASIL_Matrix!$D$3:$F$3,0)))))</f>
        <v>A</v>
      </c>
      <c r="Q1186" s="5" t="s">
        <v>448</v>
      </c>
    </row>
    <row r="1187" customFormat="false" ht="35.05" hidden="false" customHeight="false" outlineLevel="0" collapsed="false">
      <c r="A1187" s="6" t="s">
        <v>3038</v>
      </c>
      <c r="B1187" s="6" t="s">
        <v>105</v>
      </c>
      <c r="C1187" s="6" t="s">
        <v>106</v>
      </c>
      <c r="D1187" s="6" t="s">
        <v>146</v>
      </c>
      <c r="E1187" s="6" t="s">
        <v>147</v>
      </c>
      <c r="F1187" s="6" t="s">
        <v>192</v>
      </c>
      <c r="G1187" s="6" t="s">
        <v>488</v>
      </c>
      <c r="H1187" s="6" t="s">
        <v>224</v>
      </c>
      <c r="I1187" s="6" t="s">
        <v>3039</v>
      </c>
      <c r="J1187" s="6" t="s">
        <v>246</v>
      </c>
      <c r="K1187" s="6" t="s">
        <v>3036</v>
      </c>
      <c r="L1187" s="6" t="s">
        <v>190</v>
      </c>
      <c r="M1187" s="6" t="s">
        <v>494</v>
      </c>
      <c r="N1187" s="6" t="s">
        <v>282</v>
      </c>
      <c r="O1187" s="6" t="s">
        <v>3037</v>
      </c>
      <c r="P1187" s="6" t="str">
        <f aca="false">IF(J1187="S0","—",IF(K1187="","",IF(L1187="E0","QM",INDEX(10_ASIL_Matrix!$D$4:$F$15,MATCH(J1187&amp;"-"&amp;L1187,10_ASIL_Matrix!$C$4:$C$15,0),MATCH(N1187,10_ASIL_Matrix!$D$3:$F$3,0)))))</f>
        <v>QM</v>
      </c>
      <c r="Q1187" s="6" t="s">
        <v>448</v>
      </c>
    </row>
    <row r="1188" customFormat="false" ht="35.05" hidden="false" customHeight="false" outlineLevel="0" collapsed="false">
      <c r="A1188" s="5" t="s">
        <v>3040</v>
      </c>
      <c r="B1188" s="5" t="s">
        <v>105</v>
      </c>
      <c r="C1188" s="5" t="s">
        <v>106</v>
      </c>
      <c r="D1188" s="5" t="s">
        <v>146</v>
      </c>
      <c r="E1188" s="5" t="s">
        <v>147</v>
      </c>
      <c r="F1188" s="5" t="s">
        <v>192</v>
      </c>
      <c r="G1188" s="5" t="s">
        <v>488</v>
      </c>
      <c r="H1188" s="5" t="s">
        <v>226</v>
      </c>
      <c r="I1188" s="5" t="s">
        <v>3041</v>
      </c>
      <c r="J1188" s="5" t="s">
        <v>246</v>
      </c>
      <c r="K1188" s="5" t="s">
        <v>3036</v>
      </c>
      <c r="L1188" s="5" t="s">
        <v>190</v>
      </c>
      <c r="M1188" s="5" t="s">
        <v>497</v>
      </c>
      <c r="N1188" s="5" t="s">
        <v>282</v>
      </c>
      <c r="O1188" s="5" t="s">
        <v>3037</v>
      </c>
      <c r="P1188" s="5" t="str">
        <f aca="false">IF(J1188="S0","—",IF(K1188="","",IF(L1188="E0","QM",INDEX(10_ASIL_Matrix!$D$4:$F$15,MATCH(J1188&amp;"-"&amp;L1188,10_ASIL_Matrix!$C$4:$C$15,0),MATCH(N1188,10_ASIL_Matrix!$D$3:$F$3,0)))))</f>
        <v>QM</v>
      </c>
      <c r="Q1188" s="5" t="s">
        <v>448</v>
      </c>
    </row>
    <row r="1189" customFormat="false" ht="35.05" hidden="false" customHeight="false" outlineLevel="0" collapsed="false">
      <c r="A1189" s="6" t="s">
        <v>3042</v>
      </c>
      <c r="B1189" s="6" t="s">
        <v>105</v>
      </c>
      <c r="C1189" s="6" t="s">
        <v>106</v>
      </c>
      <c r="D1189" s="6" t="s">
        <v>146</v>
      </c>
      <c r="E1189" s="6" t="s">
        <v>147</v>
      </c>
      <c r="F1189" s="6" t="s">
        <v>192</v>
      </c>
      <c r="G1189" s="6" t="s">
        <v>488</v>
      </c>
      <c r="H1189" s="6" t="s">
        <v>228</v>
      </c>
      <c r="I1189" s="6" t="s">
        <v>3043</v>
      </c>
      <c r="J1189" s="6" t="s">
        <v>246</v>
      </c>
      <c r="K1189" s="6" t="s">
        <v>3036</v>
      </c>
      <c r="L1189" s="6" t="s">
        <v>205</v>
      </c>
      <c r="M1189" s="6" t="s">
        <v>500</v>
      </c>
      <c r="N1189" s="6" t="s">
        <v>282</v>
      </c>
      <c r="O1189" s="6" t="s">
        <v>3037</v>
      </c>
      <c r="P1189" s="6" t="str">
        <f aca="false">IF(J1189="S0","—",IF(K1189="","",IF(L1189="E0","QM",INDEX(10_ASIL_Matrix!$D$4:$F$15,MATCH(J1189&amp;"-"&amp;L1189,10_ASIL_Matrix!$C$4:$C$15,0),MATCH(N1189,10_ASIL_Matrix!$D$3:$F$3,0)))))</f>
        <v>QM</v>
      </c>
      <c r="Q1189" s="6" t="s">
        <v>448</v>
      </c>
    </row>
    <row r="1190" customFormat="false" ht="35.05" hidden="false" customHeight="false" outlineLevel="0" collapsed="false">
      <c r="A1190" s="5" t="s">
        <v>3044</v>
      </c>
      <c r="B1190" s="5" t="s">
        <v>105</v>
      </c>
      <c r="C1190" s="5" t="s">
        <v>106</v>
      </c>
      <c r="D1190" s="5" t="s">
        <v>146</v>
      </c>
      <c r="E1190" s="5" t="s">
        <v>147</v>
      </c>
      <c r="F1190" s="5" t="s">
        <v>192</v>
      </c>
      <c r="G1190" s="5" t="s">
        <v>488</v>
      </c>
      <c r="H1190" s="5" t="s">
        <v>230</v>
      </c>
      <c r="I1190" s="5" t="s">
        <v>3045</v>
      </c>
      <c r="J1190" s="5" t="s">
        <v>246</v>
      </c>
      <c r="K1190" s="5" t="s">
        <v>3036</v>
      </c>
      <c r="L1190" s="5" t="s">
        <v>205</v>
      </c>
      <c r="M1190" s="5" t="s">
        <v>503</v>
      </c>
      <c r="N1190" s="5" t="s">
        <v>286</v>
      </c>
      <c r="O1190" s="5" t="s">
        <v>3046</v>
      </c>
      <c r="P1190" s="5" t="str">
        <f aca="false">IF(J1190="S0","—",IF(K1190="","",IF(L1190="E0","QM",INDEX(10_ASIL_Matrix!$D$4:$F$15,MATCH(J1190&amp;"-"&amp;L1190,10_ASIL_Matrix!$C$4:$C$15,0),MATCH(N1190,10_ASIL_Matrix!$D$3:$F$3,0)))))</f>
        <v>QM</v>
      </c>
      <c r="Q1190" s="5" t="s">
        <v>448</v>
      </c>
    </row>
    <row r="1191" customFormat="false" ht="46.25" hidden="false" customHeight="false" outlineLevel="0" collapsed="false">
      <c r="A1191" s="6" t="s">
        <v>3047</v>
      </c>
      <c r="B1191" s="6" t="s">
        <v>105</v>
      </c>
      <c r="C1191" s="6" t="s">
        <v>106</v>
      </c>
      <c r="D1191" s="6" t="s">
        <v>146</v>
      </c>
      <c r="E1191" s="6" t="s">
        <v>147</v>
      </c>
      <c r="F1191" s="6" t="s">
        <v>192</v>
      </c>
      <c r="G1191" s="6" t="s">
        <v>488</v>
      </c>
      <c r="H1191" s="6" t="s">
        <v>232</v>
      </c>
      <c r="I1191" s="6" t="s">
        <v>3048</v>
      </c>
      <c r="J1191" s="6" t="s">
        <v>246</v>
      </c>
      <c r="K1191" s="6" t="s">
        <v>3036</v>
      </c>
      <c r="L1191" s="6" t="s">
        <v>233</v>
      </c>
      <c r="M1191" s="6" t="s">
        <v>506</v>
      </c>
      <c r="N1191" s="6" t="s">
        <v>282</v>
      </c>
      <c r="O1191" s="6" t="s">
        <v>3037</v>
      </c>
      <c r="P1191" s="6" t="str">
        <f aca="false">IF(J1191="S0","—",IF(K1191="","",IF(L1191="E0","QM",INDEX(10_ASIL_Matrix!$D$4:$F$15,MATCH(J1191&amp;"-"&amp;L1191,10_ASIL_Matrix!$C$4:$C$15,0),MATCH(N1191,10_ASIL_Matrix!$D$3:$F$3,0)))))</f>
        <v>QM</v>
      </c>
      <c r="Q1191" s="6" t="s">
        <v>448</v>
      </c>
    </row>
    <row r="1192" customFormat="false" ht="35.05" hidden="false" customHeight="false" outlineLevel="0" collapsed="false">
      <c r="A1192" s="5" t="s">
        <v>3049</v>
      </c>
      <c r="B1192" s="5" t="s">
        <v>105</v>
      </c>
      <c r="C1192" s="5" t="s">
        <v>106</v>
      </c>
      <c r="D1192" s="5" t="s">
        <v>146</v>
      </c>
      <c r="E1192" s="5" t="s">
        <v>147</v>
      </c>
      <c r="F1192" s="5" t="s">
        <v>194</v>
      </c>
      <c r="G1192" s="5" t="s">
        <v>508</v>
      </c>
      <c r="H1192" s="5" t="s">
        <v>222</v>
      </c>
      <c r="I1192" s="5" t="s">
        <v>3050</v>
      </c>
      <c r="J1192" s="5" t="s">
        <v>250</v>
      </c>
      <c r="K1192" s="5" t="s">
        <v>3051</v>
      </c>
      <c r="L1192" s="5" t="s">
        <v>190</v>
      </c>
      <c r="M1192" s="5" t="s">
        <v>511</v>
      </c>
      <c r="N1192" s="5" t="s">
        <v>286</v>
      </c>
      <c r="O1192" s="5" t="s">
        <v>3022</v>
      </c>
      <c r="P1192" s="18" t="str">
        <f aca="false">IF(J1192="S0","—",IF(K1192="","",IF(L1192="E0","QM",INDEX(10_ASIL_Matrix!$D$4:$F$15,MATCH(J1192&amp;"-"&amp;L1192,10_ASIL_Matrix!$C$4:$C$15,0),MATCH(N1192,10_ASIL_Matrix!$D$3:$F$3,0)))))</f>
        <v>B</v>
      </c>
      <c r="Q1192" s="5" t="s">
        <v>448</v>
      </c>
    </row>
    <row r="1193" customFormat="false" ht="35.05" hidden="false" customHeight="false" outlineLevel="0" collapsed="false">
      <c r="A1193" s="6" t="s">
        <v>3052</v>
      </c>
      <c r="B1193" s="6" t="s">
        <v>105</v>
      </c>
      <c r="C1193" s="6" t="s">
        <v>106</v>
      </c>
      <c r="D1193" s="6" t="s">
        <v>146</v>
      </c>
      <c r="E1193" s="6" t="s">
        <v>147</v>
      </c>
      <c r="F1193" s="6" t="s">
        <v>194</v>
      </c>
      <c r="G1193" s="6" t="s">
        <v>508</v>
      </c>
      <c r="H1193" s="6" t="s">
        <v>224</v>
      </c>
      <c r="I1193" s="6" t="s">
        <v>3053</v>
      </c>
      <c r="J1193" s="6" t="s">
        <v>250</v>
      </c>
      <c r="K1193" s="6" t="s">
        <v>3051</v>
      </c>
      <c r="L1193" s="6" t="s">
        <v>190</v>
      </c>
      <c r="M1193" s="6" t="s">
        <v>514</v>
      </c>
      <c r="N1193" s="6" t="s">
        <v>286</v>
      </c>
      <c r="O1193" s="6" t="s">
        <v>3022</v>
      </c>
      <c r="P1193" s="18" t="str">
        <f aca="false">IF(J1193="S0","—",IF(K1193="","",IF(L1193="E0","QM",INDEX(10_ASIL_Matrix!$D$4:$F$15,MATCH(J1193&amp;"-"&amp;L1193,10_ASIL_Matrix!$C$4:$C$15,0),MATCH(N1193,10_ASIL_Matrix!$D$3:$F$3,0)))))</f>
        <v>B</v>
      </c>
      <c r="Q1193" s="6" t="s">
        <v>448</v>
      </c>
    </row>
    <row r="1194" customFormat="false" ht="35.05" hidden="false" customHeight="false" outlineLevel="0" collapsed="false">
      <c r="A1194" s="5" t="s">
        <v>3054</v>
      </c>
      <c r="B1194" s="5" t="s">
        <v>105</v>
      </c>
      <c r="C1194" s="5" t="s">
        <v>106</v>
      </c>
      <c r="D1194" s="5" t="s">
        <v>146</v>
      </c>
      <c r="E1194" s="5" t="s">
        <v>147</v>
      </c>
      <c r="F1194" s="5" t="s">
        <v>194</v>
      </c>
      <c r="G1194" s="5" t="s">
        <v>508</v>
      </c>
      <c r="H1194" s="5" t="s">
        <v>226</v>
      </c>
      <c r="I1194" s="5" t="s">
        <v>3055</v>
      </c>
      <c r="J1194" s="5" t="s">
        <v>250</v>
      </c>
      <c r="K1194" s="5" t="s">
        <v>3051</v>
      </c>
      <c r="L1194" s="5" t="s">
        <v>190</v>
      </c>
      <c r="M1194" s="5" t="s">
        <v>517</v>
      </c>
      <c r="N1194" s="5" t="s">
        <v>286</v>
      </c>
      <c r="O1194" s="5" t="s">
        <v>3022</v>
      </c>
      <c r="P1194" s="18" t="str">
        <f aca="false">IF(J1194="S0","—",IF(K1194="","",IF(L1194="E0","QM",INDEX(10_ASIL_Matrix!$D$4:$F$15,MATCH(J1194&amp;"-"&amp;L1194,10_ASIL_Matrix!$C$4:$C$15,0),MATCH(N1194,10_ASIL_Matrix!$D$3:$F$3,0)))))</f>
        <v>B</v>
      </c>
      <c r="Q1194" s="5" t="s">
        <v>448</v>
      </c>
    </row>
    <row r="1195" customFormat="false" ht="35.05" hidden="false" customHeight="false" outlineLevel="0" collapsed="false">
      <c r="A1195" s="6" t="s">
        <v>3056</v>
      </c>
      <c r="B1195" s="6" t="s">
        <v>105</v>
      </c>
      <c r="C1195" s="6" t="s">
        <v>106</v>
      </c>
      <c r="D1195" s="6" t="s">
        <v>146</v>
      </c>
      <c r="E1195" s="6" t="s">
        <v>147</v>
      </c>
      <c r="F1195" s="6" t="s">
        <v>194</v>
      </c>
      <c r="G1195" s="6" t="s">
        <v>508</v>
      </c>
      <c r="H1195" s="6" t="s">
        <v>228</v>
      </c>
      <c r="I1195" s="6" t="s">
        <v>3057</v>
      </c>
      <c r="J1195" s="6" t="s">
        <v>250</v>
      </c>
      <c r="K1195" s="6" t="s">
        <v>3051</v>
      </c>
      <c r="L1195" s="6" t="s">
        <v>205</v>
      </c>
      <c r="M1195" s="6" t="s">
        <v>520</v>
      </c>
      <c r="N1195" s="6" t="s">
        <v>286</v>
      </c>
      <c r="O1195" s="6" t="s">
        <v>3022</v>
      </c>
      <c r="P1195" s="19" t="str">
        <f aca="false">IF(J1195="S0","—",IF(K1195="","",IF(L1195="E0","QM",INDEX(10_ASIL_Matrix!$D$4:$F$15,MATCH(J1195&amp;"-"&amp;L1195,10_ASIL_Matrix!$C$4:$C$15,0),MATCH(N1195,10_ASIL_Matrix!$D$3:$F$3,0)))))</f>
        <v>A</v>
      </c>
      <c r="Q1195" s="6" t="s">
        <v>448</v>
      </c>
    </row>
    <row r="1196" customFormat="false" ht="35.05" hidden="false" customHeight="false" outlineLevel="0" collapsed="false">
      <c r="A1196" s="5" t="s">
        <v>3058</v>
      </c>
      <c r="B1196" s="5" t="s">
        <v>105</v>
      </c>
      <c r="C1196" s="5" t="s">
        <v>106</v>
      </c>
      <c r="D1196" s="5" t="s">
        <v>146</v>
      </c>
      <c r="E1196" s="5" t="s">
        <v>147</v>
      </c>
      <c r="F1196" s="5" t="s">
        <v>194</v>
      </c>
      <c r="G1196" s="5" t="s">
        <v>508</v>
      </c>
      <c r="H1196" s="5" t="s">
        <v>230</v>
      </c>
      <c r="I1196" s="5" t="s">
        <v>3059</v>
      </c>
      <c r="J1196" s="5" t="s">
        <v>250</v>
      </c>
      <c r="K1196" s="5" t="s">
        <v>3051</v>
      </c>
      <c r="L1196" s="5" t="s">
        <v>205</v>
      </c>
      <c r="M1196" s="5" t="s">
        <v>523</v>
      </c>
      <c r="N1196" s="5" t="s">
        <v>290</v>
      </c>
      <c r="O1196" s="5" t="s">
        <v>3031</v>
      </c>
      <c r="P1196" s="18" t="str">
        <f aca="false">IF(J1196="S0","—",IF(K1196="","",IF(L1196="E0","QM",INDEX(10_ASIL_Matrix!$D$4:$F$15,MATCH(J1196&amp;"-"&amp;L1196,10_ASIL_Matrix!$C$4:$C$15,0),MATCH(N1196,10_ASIL_Matrix!$D$3:$F$3,0)))))</f>
        <v>B</v>
      </c>
      <c r="Q1196" s="5" t="s">
        <v>448</v>
      </c>
    </row>
    <row r="1197" customFormat="false" ht="46.25" hidden="false" customHeight="false" outlineLevel="0" collapsed="false">
      <c r="A1197" s="6" t="s">
        <v>3060</v>
      </c>
      <c r="B1197" s="6" t="s">
        <v>105</v>
      </c>
      <c r="C1197" s="6" t="s">
        <v>106</v>
      </c>
      <c r="D1197" s="6" t="s">
        <v>146</v>
      </c>
      <c r="E1197" s="6" t="s">
        <v>147</v>
      </c>
      <c r="F1197" s="6" t="s">
        <v>194</v>
      </c>
      <c r="G1197" s="6" t="s">
        <v>508</v>
      </c>
      <c r="H1197" s="6" t="s">
        <v>232</v>
      </c>
      <c r="I1197" s="6" t="s">
        <v>3061</v>
      </c>
      <c r="J1197" s="6" t="s">
        <v>250</v>
      </c>
      <c r="K1197" s="6" t="s">
        <v>3051</v>
      </c>
      <c r="L1197" s="6" t="s">
        <v>233</v>
      </c>
      <c r="M1197" s="6" t="s">
        <v>526</v>
      </c>
      <c r="N1197" s="6" t="s">
        <v>286</v>
      </c>
      <c r="O1197" s="6" t="s">
        <v>3022</v>
      </c>
      <c r="P1197" s="6" t="str">
        <f aca="false">IF(J1197="S0","—",IF(K1197="","",IF(L1197="E0","QM",INDEX(10_ASIL_Matrix!$D$4:$F$15,MATCH(J1197&amp;"-"&amp;L1197,10_ASIL_Matrix!$C$4:$C$15,0),MATCH(N1197,10_ASIL_Matrix!$D$3:$F$3,0)))))</f>
        <v>QM</v>
      </c>
      <c r="Q1197" s="6" t="s">
        <v>448</v>
      </c>
    </row>
    <row r="1198" customFormat="false" ht="35.05" hidden="false" customHeight="false" outlineLevel="0" collapsed="false">
      <c r="A1198" s="5" t="s">
        <v>3062</v>
      </c>
      <c r="B1198" s="5" t="s">
        <v>105</v>
      </c>
      <c r="C1198" s="5" t="s">
        <v>106</v>
      </c>
      <c r="D1198" s="5" t="s">
        <v>146</v>
      </c>
      <c r="E1198" s="5" t="s">
        <v>147</v>
      </c>
      <c r="F1198" s="5" t="s">
        <v>196</v>
      </c>
      <c r="G1198" s="5" t="s">
        <v>528</v>
      </c>
      <c r="H1198" s="5" t="s">
        <v>222</v>
      </c>
      <c r="I1198" s="5" t="s">
        <v>3063</v>
      </c>
      <c r="J1198" s="5" t="s">
        <v>246</v>
      </c>
      <c r="K1198" s="5" t="s">
        <v>3064</v>
      </c>
      <c r="L1198" s="5" t="s">
        <v>187</v>
      </c>
      <c r="M1198" s="5" t="s">
        <v>531</v>
      </c>
      <c r="N1198" s="5" t="s">
        <v>286</v>
      </c>
      <c r="O1198" s="5" t="s">
        <v>3022</v>
      </c>
      <c r="P1198" s="18" t="str">
        <f aca="false">IF(J1198="S0","—",IF(K1198="","",IF(L1198="E0","QM",INDEX(10_ASIL_Matrix!$D$4:$F$15,MATCH(J1198&amp;"-"&amp;L1198,10_ASIL_Matrix!$C$4:$C$15,0),MATCH(N1198,10_ASIL_Matrix!$D$3:$F$3,0)))))</f>
        <v>B</v>
      </c>
      <c r="Q1198" s="5" t="s">
        <v>448</v>
      </c>
    </row>
    <row r="1199" customFormat="false" ht="35.05" hidden="false" customHeight="false" outlineLevel="0" collapsed="false">
      <c r="A1199" s="6" t="s">
        <v>3065</v>
      </c>
      <c r="B1199" s="6" t="s">
        <v>105</v>
      </c>
      <c r="C1199" s="6" t="s">
        <v>106</v>
      </c>
      <c r="D1199" s="6" t="s">
        <v>146</v>
      </c>
      <c r="E1199" s="6" t="s">
        <v>147</v>
      </c>
      <c r="F1199" s="6" t="s">
        <v>196</v>
      </c>
      <c r="G1199" s="6" t="s">
        <v>528</v>
      </c>
      <c r="H1199" s="6" t="s">
        <v>224</v>
      </c>
      <c r="I1199" s="6" t="s">
        <v>3066</v>
      </c>
      <c r="J1199" s="6" t="s">
        <v>246</v>
      </c>
      <c r="K1199" s="6" t="s">
        <v>3064</v>
      </c>
      <c r="L1199" s="6" t="s">
        <v>190</v>
      </c>
      <c r="M1199" s="6" t="s">
        <v>534</v>
      </c>
      <c r="N1199" s="6" t="s">
        <v>286</v>
      </c>
      <c r="O1199" s="6" t="s">
        <v>3022</v>
      </c>
      <c r="P1199" s="19" t="str">
        <f aca="false">IF(J1199="S0","—",IF(K1199="","",IF(L1199="E0","QM",INDEX(10_ASIL_Matrix!$D$4:$F$15,MATCH(J1199&amp;"-"&amp;L1199,10_ASIL_Matrix!$C$4:$C$15,0),MATCH(N1199,10_ASIL_Matrix!$D$3:$F$3,0)))))</f>
        <v>A</v>
      </c>
      <c r="Q1199" s="6" t="s">
        <v>448</v>
      </c>
    </row>
    <row r="1200" customFormat="false" ht="35.05" hidden="false" customHeight="false" outlineLevel="0" collapsed="false">
      <c r="A1200" s="5" t="s">
        <v>3067</v>
      </c>
      <c r="B1200" s="5" t="s">
        <v>105</v>
      </c>
      <c r="C1200" s="5" t="s">
        <v>106</v>
      </c>
      <c r="D1200" s="5" t="s">
        <v>146</v>
      </c>
      <c r="E1200" s="5" t="s">
        <v>147</v>
      </c>
      <c r="F1200" s="5" t="s">
        <v>196</v>
      </c>
      <c r="G1200" s="5" t="s">
        <v>528</v>
      </c>
      <c r="H1200" s="5" t="s">
        <v>226</v>
      </c>
      <c r="I1200" s="5" t="s">
        <v>3068</v>
      </c>
      <c r="J1200" s="5" t="s">
        <v>246</v>
      </c>
      <c r="K1200" s="5" t="s">
        <v>3064</v>
      </c>
      <c r="L1200" s="5" t="s">
        <v>190</v>
      </c>
      <c r="M1200" s="5" t="s">
        <v>537</v>
      </c>
      <c r="N1200" s="5" t="s">
        <v>286</v>
      </c>
      <c r="O1200" s="5" t="s">
        <v>3022</v>
      </c>
      <c r="P1200" s="19" t="str">
        <f aca="false">IF(J1200="S0","—",IF(K1200="","",IF(L1200="E0","QM",INDEX(10_ASIL_Matrix!$D$4:$F$15,MATCH(J1200&amp;"-"&amp;L1200,10_ASIL_Matrix!$C$4:$C$15,0),MATCH(N1200,10_ASIL_Matrix!$D$3:$F$3,0)))))</f>
        <v>A</v>
      </c>
      <c r="Q1200" s="5" t="s">
        <v>448</v>
      </c>
    </row>
    <row r="1201" customFormat="false" ht="35.05" hidden="false" customHeight="false" outlineLevel="0" collapsed="false">
      <c r="A1201" s="6" t="s">
        <v>3069</v>
      </c>
      <c r="B1201" s="6" t="s">
        <v>105</v>
      </c>
      <c r="C1201" s="6" t="s">
        <v>106</v>
      </c>
      <c r="D1201" s="6" t="s">
        <v>146</v>
      </c>
      <c r="E1201" s="6" t="s">
        <v>147</v>
      </c>
      <c r="F1201" s="6" t="s">
        <v>196</v>
      </c>
      <c r="G1201" s="6" t="s">
        <v>528</v>
      </c>
      <c r="H1201" s="6" t="s">
        <v>228</v>
      </c>
      <c r="I1201" s="6" t="s">
        <v>3070</v>
      </c>
      <c r="J1201" s="6" t="s">
        <v>246</v>
      </c>
      <c r="K1201" s="6" t="s">
        <v>3064</v>
      </c>
      <c r="L1201" s="6" t="s">
        <v>205</v>
      </c>
      <c r="M1201" s="6" t="s">
        <v>540</v>
      </c>
      <c r="N1201" s="6" t="s">
        <v>286</v>
      </c>
      <c r="O1201" s="6" t="s">
        <v>3022</v>
      </c>
      <c r="P1201" s="6" t="str">
        <f aca="false">IF(J1201="S0","—",IF(K1201="","",IF(L1201="E0","QM",INDEX(10_ASIL_Matrix!$D$4:$F$15,MATCH(J1201&amp;"-"&amp;L1201,10_ASIL_Matrix!$C$4:$C$15,0),MATCH(N1201,10_ASIL_Matrix!$D$3:$F$3,0)))))</f>
        <v>QM</v>
      </c>
      <c r="Q1201" s="6" t="s">
        <v>448</v>
      </c>
    </row>
    <row r="1202" customFormat="false" ht="35.05" hidden="false" customHeight="false" outlineLevel="0" collapsed="false">
      <c r="A1202" s="5" t="s">
        <v>3071</v>
      </c>
      <c r="B1202" s="5" t="s">
        <v>105</v>
      </c>
      <c r="C1202" s="5" t="s">
        <v>106</v>
      </c>
      <c r="D1202" s="5" t="s">
        <v>146</v>
      </c>
      <c r="E1202" s="5" t="s">
        <v>147</v>
      </c>
      <c r="F1202" s="5" t="s">
        <v>196</v>
      </c>
      <c r="G1202" s="5" t="s">
        <v>528</v>
      </c>
      <c r="H1202" s="5" t="s">
        <v>230</v>
      </c>
      <c r="I1202" s="5" t="s">
        <v>3072</v>
      </c>
      <c r="J1202" s="5" t="s">
        <v>246</v>
      </c>
      <c r="K1202" s="5" t="s">
        <v>3064</v>
      </c>
      <c r="L1202" s="5" t="s">
        <v>205</v>
      </c>
      <c r="M1202" s="5" t="s">
        <v>543</v>
      </c>
      <c r="N1202" s="5" t="s">
        <v>290</v>
      </c>
      <c r="O1202" s="5" t="s">
        <v>3031</v>
      </c>
      <c r="P1202" s="19" t="str">
        <f aca="false">IF(J1202="S0","—",IF(K1202="","",IF(L1202="E0","QM",INDEX(10_ASIL_Matrix!$D$4:$F$15,MATCH(J1202&amp;"-"&amp;L1202,10_ASIL_Matrix!$C$4:$C$15,0),MATCH(N1202,10_ASIL_Matrix!$D$3:$F$3,0)))))</f>
        <v>A</v>
      </c>
      <c r="Q1202" s="5" t="s">
        <v>448</v>
      </c>
    </row>
    <row r="1203" customFormat="false" ht="46.25" hidden="false" customHeight="false" outlineLevel="0" collapsed="false">
      <c r="A1203" s="6" t="s">
        <v>3073</v>
      </c>
      <c r="B1203" s="6" t="s">
        <v>105</v>
      </c>
      <c r="C1203" s="6" t="s">
        <v>106</v>
      </c>
      <c r="D1203" s="6" t="s">
        <v>146</v>
      </c>
      <c r="E1203" s="6" t="s">
        <v>147</v>
      </c>
      <c r="F1203" s="6" t="s">
        <v>196</v>
      </c>
      <c r="G1203" s="6" t="s">
        <v>528</v>
      </c>
      <c r="H1203" s="6" t="s">
        <v>232</v>
      </c>
      <c r="I1203" s="6" t="s">
        <v>3074</v>
      </c>
      <c r="J1203" s="6" t="s">
        <v>246</v>
      </c>
      <c r="K1203" s="6" t="s">
        <v>3064</v>
      </c>
      <c r="L1203" s="6" t="s">
        <v>233</v>
      </c>
      <c r="M1203" s="6" t="s">
        <v>546</v>
      </c>
      <c r="N1203" s="6" t="s">
        <v>286</v>
      </c>
      <c r="O1203" s="6" t="s">
        <v>3022</v>
      </c>
      <c r="P1203" s="6" t="str">
        <f aca="false">IF(J1203="S0","—",IF(K1203="","",IF(L1203="E0","QM",INDEX(10_ASIL_Matrix!$D$4:$F$15,MATCH(J1203&amp;"-"&amp;L1203,10_ASIL_Matrix!$C$4:$C$15,0),MATCH(N1203,10_ASIL_Matrix!$D$3:$F$3,0)))))</f>
        <v>QM</v>
      </c>
      <c r="Q1203" s="6" t="s">
        <v>448</v>
      </c>
    </row>
    <row r="1204" customFormat="false" ht="35.05" hidden="false" customHeight="false" outlineLevel="0" collapsed="false">
      <c r="A1204" s="5" t="s">
        <v>3075</v>
      </c>
      <c r="B1204" s="5" t="s">
        <v>105</v>
      </c>
      <c r="C1204" s="5" t="s">
        <v>106</v>
      </c>
      <c r="D1204" s="5" t="s">
        <v>146</v>
      </c>
      <c r="E1204" s="5" t="s">
        <v>147</v>
      </c>
      <c r="F1204" s="5" t="s">
        <v>198</v>
      </c>
      <c r="G1204" s="5" t="s">
        <v>548</v>
      </c>
      <c r="H1204" s="5" t="s">
        <v>222</v>
      </c>
      <c r="I1204" s="5" t="s">
        <v>3076</v>
      </c>
      <c r="J1204" s="5" t="s">
        <v>250</v>
      </c>
      <c r="K1204" s="5" t="s">
        <v>3077</v>
      </c>
      <c r="L1204" s="5" t="s">
        <v>190</v>
      </c>
      <c r="M1204" s="5" t="s">
        <v>551</v>
      </c>
      <c r="N1204" s="5" t="s">
        <v>286</v>
      </c>
      <c r="O1204" s="5" t="s">
        <v>3078</v>
      </c>
      <c r="P1204" s="18" t="str">
        <f aca="false">IF(J1204="S0","—",IF(K1204="","",IF(L1204="E0","QM",INDEX(10_ASIL_Matrix!$D$4:$F$15,MATCH(J1204&amp;"-"&amp;L1204,10_ASIL_Matrix!$C$4:$C$15,0),MATCH(N1204,10_ASIL_Matrix!$D$3:$F$3,0)))))</f>
        <v>B</v>
      </c>
      <c r="Q1204" s="5" t="s">
        <v>448</v>
      </c>
    </row>
    <row r="1205" customFormat="false" ht="35.05" hidden="false" customHeight="false" outlineLevel="0" collapsed="false">
      <c r="A1205" s="6" t="s">
        <v>3079</v>
      </c>
      <c r="B1205" s="6" t="s">
        <v>105</v>
      </c>
      <c r="C1205" s="6" t="s">
        <v>106</v>
      </c>
      <c r="D1205" s="6" t="s">
        <v>146</v>
      </c>
      <c r="E1205" s="6" t="s">
        <v>147</v>
      </c>
      <c r="F1205" s="6" t="s">
        <v>198</v>
      </c>
      <c r="G1205" s="6" t="s">
        <v>548</v>
      </c>
      <c r="H1205" s="6" t="s">
        <v>224</v>
      </c>
      <c r="I1205" s="6" t="s">
        <v>3080</v>
      </c>
      <c r="J1205" s="6" t="s">
        <v>250</v>
      </c>
      <c r="K1205" s="6" t="s">
        <v>3077</v>
      </c>
      <c r="L1205" s="6" t="s">
        <v>190</v>
      </c>
      <c r="M1205" s="6" t="s">
        <v>555</v>
      </c>
      <c r="N1205" s="6" t="s">
        <v>286</v>
      </c>
      <c r="O1205" s="6" t="s">
        <v>3078</v>
      </c>
      <c r="P1205" s="18" t="str">
        <f aca="false">IF(J1205="S0","—",IF(K1205="","",IF(L1205="E0","QM",INDEX(10_ASIL_Matrix!$D$4:$F$15,MATCH(J1205&amp;"-"&amp;L1205,10_ASIL_Matrix!$C$4:$C$15,0),MATCH(N1205,10_ASIL_Matrix!$D$3:$F$3,0)))))</f>
        <v>B</v>
      </c>
      <c r="Q1205" s="6" t="s">
        <v>448</v>
      </c>
    </row>
    <row r="1206" customFormat="false" ht="35.05" hidden="false" customHeight="false" outlineLevel="0" collapsed="false">
      <c r="A1206" s="5" t="s">
        <v>3081</v>
      </c>
      <c r="B1206" s="5" t="s">
        <v>105</v>
      </c>
      <c r="C1206" s="5" t="s">
        <v>106</v>
      </c>
      <c r="D1206" s="5" t="s">
        <v>146</v>
      </c>
      <c r="E1206" s="5" t="s">
        <v>147</v>
      </c>
      <c r="F1206" s="5" t="s">
        <v>198</v>
      </c>
      <c r="G1206" s="5" t="s">
        <v>548</v>
      </c>
      <c r="H1206" s="5" t="s">
        <v>226</v>
      </c>
      <c r="I1206" s="5" t="s">
        <v>3082</v>
      </c>
      <c r="J1206" s="5" t="s">
        <v>250</v>
      </c>
      <c r="K1206" s="5" t="s">
        <v>3077</v>
      </c>
      <c r="L1206" s="5" t="s">
        <v>190</v>
      </c>
      <c r="M1206" s="5" t="s">
        <v>558</v>
      </c>
      <c r="N1206" s="5" t="s">
        <v>286</v>
      </c>
      <c r="O1206" s="5" t="s">
        <v>3078</v>
      </c>
      <c r="P1206" s="18" t="str">
        <f aca="false">IF(J1206="S0","—",IF(K1206="","",IF(L1206="E0","QM",INDEX(10_ASIL_Matrix!$D$4:$F$15,MATCH(J1206&amp;"-"&amp;L1206,10_ASIL_Matrix!$C$4:$C$15,0),MATCH(N1206,10_ASIL_Matrix!$D$3:$F$3,0)))))</f>
        <v>B</v>
      </c>
      <c r="Q1206" s="5" t="s">
        <v>448</v>
      </c>
    </row>
    <row r="1207" customFormat="false" ht="46.25" hidden="false" customHeight="false" outlineLevel="0" collapsed="false">
      <c r="A1207" s="6" t="s">
        <v>3083</v>
      </c>
      <c r="B1207" s="6" t="s">
        <v>105</v>
      </c>
      <c r="C1207" s="6" t="s">
        <v>106</v>
      </c>
      <c r="D1207" s="6" t="s">
        <v>146</v>
      </c>
      <c r="E1207" s="6" t="s">
        <v>147</v>
      </c>
      <c r="F1207" s="6" t="s">
        <v>198</v>
      </c>
      <c r="G1207" s="6" t="s">
        <v>548</v>
      </c>
      <c r="H1207" s="6" t="s">
        <v>228</v>
      </c>
      <c r="I1207" s="6" t="s">
        <v>3084</v>
      </c>
      <c r="J1207" s="6" t="s">
        <v>250</v>
      </c>
      <c r="K1207" s="6" t="s">
        <v>3077</v>
      </c>
      <c r="L1207" s="6" t="s">
        <v>205</v>
      </c>
      <c r="M1207" s="6" t="s">
        <v>561</v>
      </c>
      <c r="N1207" s="6" t="s">
        <v>286</v>
      </c>
      <c r="O1207" s="6" t="s">
        <v>3078</v>
      </c>
      <c r="P1207" s="19" t="str">
        <f aca="false">IF(J1207="S0","—",IF(K1207="","",IF(L1207="E0","QM",INDEX(10_ASIL_Matrix!$D$4:$F$15,MATCH(J1207&amp;"-"&amp;L1207,10_ASIL_Matrix!$C$4:$C$15,0),MATCH(N1207,10_ASIL_Matrix!$D$3:$F$3,0)))))</f>
        <v>A</v>
      </c>
      <c r="Q1207" s="6" t="s">
        <v>448</v>
      </c>
    </row>
    <row r="1208" customFormat="false" ht="35.05" hidden="false" customHeight="false" outlineLevel="0" collapsed="false">
      <c r="A1208" s="5" t="s">
        <v>3085</v>
      </c>
      <c r="B1208" s="5" t="s">
        <v>105</v>
      </c>
      <c r="C1208" s="5" t="s">
        <v>106</v>
      </c>
      <c r="D1208" s="5" t="s">
        <v>146</v>
      </c>
      <c r="E1208" s="5" t="s">
        <v>147</v>
      </c>
      <c r="F1208" s="5" t="s">
        <v>198</v>
      </c>
      <c r="G1208" s="5" t="s">
        <v>548</v>
      </c>
      <c r="H1208" s="5" t="s">
        <v>230</v>
      </c>
      <c r="I1208" s="5" t="s">
        <v>3086</v>
      </c>
      <c r="J1208" s="5" t="s">
        <v>250</v>
      </c>
      <c r="K1208" s="5" t="s">
        <v>3077</v>
      </c>
      <c r="L1208" s="5" t="s">
        <v>205</v>
      </c>
      <c r="M1208" s="5" t="s">
        <v>564</v>
      </c>
      <c r="N1208" s="5" t="s">
        <v>290</v>
      </c>
      <c r="O1208" s="5" t="s">
        <v>3087</v>
      </c>
      <c r="P1208" s="18" t="str">
        <f aca="false">IF(J1208="S0","—",IF(K1208="","",IF(L1208="E0","QM",INDEX(10_ASIL_Matrix!$D$4:$F$15,MATCH(J1208&amp;"-"&amp;L1208,10_ASIL_Matrix!$C$4:$C$15,0),MATCH(N1208,10_ASIL_Matrix!$D$3:$F$3,0)))))</f>
        <v>B</v>
      </c>
      <c r="Q1208" s="5" t="s">
        <v>448</v>
      </c>
    </row>
    <row r="1209" customFormat="false" ht="46.25" hidden="false" customHeight="false" outlineLevel="0" collapsed="false">
      <c r="A1209" s="6" t="s">
        <v>3088</v>
      </c>
      <c r="B1209" s="6" t="s">
        <v>105</v>
      </c>
      <c r="C1209" s="6" t="s">
        <v>106</v>
      </c>
      <c r="D1209" s="6" t="s">
        <v>146</v>
      </c>
      <c r="E1209" s="6" t="s">
        <v>147</v>
      </c>
      <c r="F1209" s="6" t="s">
        <v>198</v>
      </c>
      <c r="G1209" s="6" t="s">
        <v>548</v>
      </c>
      <c r="H1209" s="6" t="s">
        <v>232</v>
      </c>
      <c r="I1209" s="6" t="s">
        <v>3089</v>
      </c>
      <c r="J1209" s="6" t="s">
        <v>250</v>
      </c>
      <c r="K1209" s="6" t="s">
        <v>3077</v>
      </c>
      <c r="L1209" s="6" t="s">
        <v>233</v>
      </c>
      <c r="M1209" s="6" t="s">
        <v>568</v>
      </c>
      <c r="N1209" s="6" t="s">
        <v>286</v>
      </c>
      <c r="O1209" s="6" t="s">
        <v>3078</v>
      </c>
      <c r="P1209" s="6" t="str">
        <f aca="false">IF(J1209="S0","—",IF(K1209="","",IF(L1209="E0","QM",INDEX(10_ASIL_Matrix!$D$4:$F$15,MATCH(J1209&amp;"-"&amp;L1209,10_ASIL_Matrix!$C$4:$C$15,0),MATCH(N1209,10_ASIL_Matrix!$D$3:$F$3,0)))))</f>
        <v>QM</v>
      </c>
      <c r="Q1209" s="6" t="s">
        <v>448</v>
      </c>
    </row>
    <row r="1210" customFormat="false" ht="35.05" hidden="false" customHeight="false" outlineLevel="0" collapsed="false">
      <c r="A1210" s="5" t="s">
        <v>3090</v>
      </c>
      <c r="B1210" s="5" t="s">
        <v>105</v>
      </c>
      <c r="C1210" s="5" t="s">
        <v>106</v>
      </c>
      <c r="D1210" s="5" t="s">
        <v>146</v>
      </c>
      <c r="E1210" s="5" t="s">
        <v>147</v>
      </c>
      <c r="F1210" s="5" t="s">
        <v>200</v>
      </c>
      <c r="G1210" s="5" t="s">
        <v>570</v>
      </c>
      <c r="H1210" s="5" t="s">
        <v>222</v>
      </c>
      <c r="I1210" s="5" t="s">
        <v>3091</v>
      </c>
      <c r="J1210" s="5" t="s">
        <v>250</v>
      </c>
      <c r="K1210" s="5" t="s">
        <v>3092</v>
      </c>
      <c r="L1210" s="5" t="s">
        <v>190</v>
      </c>
      <c r="M1210" s="5" t="s">
        <v>573</v>
      </c>
      <c r="N1210" s="5" t="s">
        <v>286</v>
      </c>
      <c r="O1210" s="5" t="s">
        <v>3022</v>
      </c>
      <c r="P1210" s="18" t="str">
        <f aca="false">IF(J1210="S0","—",IF(K1210="","",IF(L1210="E0","QM",INDEX(10_ASIL_Matrix!$D$4:$F$15,MATCH(J1210&amp;"-"&amp;L1210,10_ASIL_Matrix!$C$4:$C$15,0),MATCH(N1210,10_ASIL_Matrix!$D$3:$F$3,0)))))</f>
        <v>B</v>
      </c>
      <c r="Q1210" s="5" t="s">
        <v>448</v>
      </c>
    </row>
    <row r="1211" customFormat="false" ht="35.05" hidden="false" customHeight="false" outlineLevel="0" collapsed="false">
      <c r="A1211" s="6" t="s">
        <v>3093</v>
      </c>
      <c r="B1211" s="6" t="s">
        <v>105</v>
      </c>
      <c r="C1211" s="6" t="s">
        <v>106</v>
      </c>
      <c r="D1211" s="6" t="s">
        <v>146</v>
      </c>
      <c r="E1211" s="6" t="s">
        <v>147</v>
      </c>
      <c r="F1211" s="6" t="s">
        <v>200</v>
      </c>
      <c r="G1211" s="6" t="s">
        <v>570</v>
      </c>
      <c r="H1211" s="6" t="s">
        <v>224</v>
      </c>
      <c r="I1211" s="6" t="s">
        <v>3094</v>
      </c>
      <c r="J1211" s="6" t="s">
        <v>250</v>
      </c>
      <c r="K1211" s="6" t="s">
        <v>3092</v>
      </c>
      <c r="L1211" s="6" t="s">
        <v>190</v>
      </c>
      <c r="M1211" s="6" t="s">
        <v>576</v>
      </c>
      <c r="N1211" s="6" t="s">
        <v>286</v>
      </c>
      <c r="O1211" s="6" t="s">
        <v>3022</v>
      </c>
      <c r="P1211" s="18" t="str">
        <f aca="false">IF(J1211="S0","—",IF(K1211="","",IF(L1211="E0","QM",INDEX(10_ASIL_Matrix!$D$4:$F$15,MATCH(J1211&amp;"-"&amp;L1211,10_ASIL_Matrix!$C$4:$C$15,0),MATCH(N1211,10_ASIL_Matrix!$D$3:$F$3,0)))))</f>
        <v>B</v>
      </c>
      <c r="Q1211" s="6" t="s">
        <v>448</v>
      </c>
    </row>
    <row r="1212" customFormat="false" ht="35.05" hidden="false" customHeight="false" outlineLevel="0" collapsed="false">
      <c r="A1212" s="5" t="s">
        <v>3095</v>
      </c>
      <c r="B1212" s="5" t="s">
        <v>105</v>
      </c>
      <c r="C1212" s="5" t="s">
        <v>106</v>
      </c>
      <c r="D1212" s="5" t="s">
        <v>146</v>
      </c>
      <c r="E1212" s="5" t="s">
        <v>147</v>
      </c>
      <c r="F1212" s="5" t="s">
        <v>200</v>
      </c>
      <c r="G1212" s="5" t="s">
        <v>570</v>
      </c>
      <c r="H1212" s="5" t="s">
        <v>226</v>
      </c>
      <c r="I1212" s="5" t="s">
        <v>3096</v>
      </c>
      <c r="J1212" s="5" t="s">
        <v>250</v>
      </c>
      <c r="K1212" s="5" t="s">
        <v>3092</v>
      </c>
      <c r="L1212" s="5" t="s">
        <v>190</v>
      </c>
      <c r="M1212" s="5" t="s">
        <v>579</v>
      </c>
      <c r="N1212" s="5" t="s">
        <v>286</v>
      </c>
      <c r="O1212" s="5" t="s">
        <v>3022</v>
      </c>
      <c r="P1212" s="18" t="str">
        <f aca="false">IF(J1212="S0","—",IF(K1212="","",IF(L1212="E0","QM",INDEX(10_ASIL_Matrix!$D$4:$F$15,MATCH(J1212&amp;"-"&amp;L1212,10_ASIL_Matrix!$C$4:$C$15,0),MATCH(N1212,10_ASIL_Matrix!$D$3:$F$3,0)))))</f>
        <v>B</v>
      </c>
      <c r="Q1212" s="5" t="s">
        <v>448</v>
      </c>
    </row>
    <row r="1213" customFormat="false" ht="35.05" hidden="false" customHeight="false" outlineLevel="0" collapsed="false">
      <c r="A1213" s="6" t="s">
        <v>3097</v>
      </c>
      <c r="B1213" s="6" t="s">
        <v>105</v>
      </c>
      <c r="C1213" s="6" t="s">
        <v>106</v>
      </c>
      <c r="D1213" s="6" t="s">
        <v>146</v>
      </c>
      <c r="E1213" s="6" t="s">
        <v>147</v>
      </c>
      <c r="F1213" s="6" t="s">
        <v>200</v>
      </c>
      <c r="G1213" s="6" t="s">
        <v>570</v>
      </c>
      <c r="H1213" s="6" t="s">
        <v>228</v>
      </c>
      <c r="I1213" s="6" t="s">
        <v>3098</v>
      </c>
      <c r="J1213" s="6" t="s">
        <v>250</v>
      </c>
      <c r="K1213" s="6" t="s">
        <v>3092</v>
      </c>
      <c r="L1213" s="6" t="s">
        <v>205</v>
      </c>
      <c r="M1213" s="6" t="s">
        <v>582</v>
      </c>
      <c r="N1213" s="6" t="s">
        <v>286</v>
      </c>
      <c r="O1213" s="6" t="s">
        <v>3022</v>
      </c>
      <c r="P1213" s="19" t="str">
        <f aca="false">IF(J1213="S0","—",IF(K1213="","",IF(L1213="E0","QM",INDEX(10_ASIL_Matrix!$D$4:$F$15,MATCH(J1213&amp;"-"&amp;L1213,10_ASIL_Matrix!$C$4:$C$15,0),MATCH(N1213,10_ASIL_Matrix!$D$3:$F$3,0)))))</f>
        <v>A</v>
      </c>
      <c r="Q1213" s="6" t="s">
        <v>448</v>
      </c>
    </row>
    <row r="1214" customFormat="false" ht="35.05" hidden="false" customHeight="false" outlineLevel="0" collapsed="false">
      <c r="A1214" s="5" t="s">
        <v>3099</v>
      </c>
      <c r="B1214" s="5" t="s">
        <v>105</v>
      </c>
      <c r="C1214" s="5" t="s">
        <v>106</v>
      </c>
      <c r="D1214" s="5" t="s">
        <v>146</v>
      </c>
      <c r="E1214" s="5" t="s">
        <v>147</v>
      </c>
      <c r="F1214" s="5" t="s">
        <v>200</v>
      </c>
      <c r="G1214" s="5" t="s">
        <v>570</v>
      </c>
      <c r="H1214" s="5" t="s">
        <v>230</v>
      </c>
      <c r="I1214" s="5" t="s">
        <v>3100</v>
      </c>
      <c r="J1214" s="5" t="s">
        <v>250</v>
      </c>
      <c r="K1214" s="5" t="s">
        <v>3092</v>
      </c>
      <c r="L1214" s="5" t="s">
        <v>205</v>
      </c>
      <c r="M1214" s="5" t="s">
        <v>585</v>
      </c>
      <c r="N1214" s="5" t="s">
        <v>290</v>
      </c>
      <c r="O1214" s="5" t="s">
        <v>3031</v>
      </c>
      <c r="P1214" s="18" t="str">
        <f aca="false">IF(J1214="S0","—",IF(K1214="","",IF(L1214="E0","QM",INDEX(10_ASIL_Matrix!$D$4:$F$15,MATCH(J1214&amp;"-"&amp;L1214,10_ASIL_Matrix!$C$4:$C$15,0),MATCH(N1214,10_ASIL_Matrix!$D$3:$F$3,0)))))</f>
        <v>B</v>
      </c>
      <c r="Q1214" s="5" t="s">
        <v>448</v>
      </c>
    </row>
    <row r="1215" customFormat="false" ht="46.25" hidden="false" customHeight="false" outlineLevel="0" collapsed="false">
      <c r="A1215" s="6" t="s">
        <v>3101</v>
      </c>
      <c r="B1215" s="6" t="s">
        <v>105</v>
      </c>
      <c r="C1215" s="6" t="s">
        <v>106</v>
      </c>
      <c r="D1215" s="6" t="s">
        <v>146</v>
      </c>
      <c r="E1215" s="6" t="s">
        <v>147</v>
      </c>
      <c r="F1215" s="6" t="s">
        <v>200</v>
      </c>
      <c r="G1215" s="6" t="s">
        <v>570</v>
      </c>
      <c r="H1215" s="6" t="s">
        <v>232</v>
      </c>
      <c r="I1215" s="6" t="s">
        <v>3102</v>
      </c>
      <c r="J1215" s="6" t="s">
        <v>250</v>
      </c>
      <c r="K1215" s="6" t="s">
        <v>3092</v>
      </c>
      <c r="L1215" s="6" t="s">
        <v>233</v>
      </c>
      <c r="M1215" s="6" t="s">
        <v>588</v>
      </c>
      <c r="N1215" s="6" t="s">
        <v>286</v>
      </c>
      <c r="O1215" s="6" t="s">
        <v>3022</v>
      </c>
      <c r="P1215" s="6" t="str">
        <f aca="false">IF(J1215="S0","—",IF(K1215="","",IF(L1215="E0","QM",INDEX(10_ASIL_Matrix!$D$4:$F$15,MATCH(J1215&amp;"-"&amp;L1215,10_ASIL_Matrix!$C$4:$C$15,0),MATCH(N1215,10_ASIL_Matrix!$D$3:$F$3,0)))))</f>
        <v>QM</v>
      </c>
      <c r="Q1215" s="6" t="s">
        <v>448</v>
      </c>
    </row>
    <row r="1216" customFormat="false" ht="35.05" hidden="false" customHeight="false" outlineLevel="0" collapsed="false">
      <c r="A1216" s="5" t="s">
        <v>3103</v>
      </c>
      <c r="B1216" s="5" t="s">
        <v>105</v>
      </c>
      <c r="C1216" s="5" t="s">
        <v>106</v>
      </c>
      <c r="D1216" s="5" t="s">
        <v>146</v>
      </c>
      <c r="E1216" s="5" t="s">
        <v>147</v>
      </c>
      <c r="F1216" s="5" t="s">
        <v>202</v>
      </c>
      <c r="G1216" s="5" t="s">
        <v>590</v>
      </c>
      <c r="H1216" s="5" t="s">
        <v>222</v>
      </c>
      <c r="I1216" s="5" t="s">
        <v>3104</v>
      </c>
      <c r="J1216" s="5" t="s">
        <v>238</v>
      </c>
      <c r="K1216" s="5" t="s">
        <v>3105</v>
      </c>
      <c r="L1216" s="5" t="s">
        <v>187</v>
      </c>
      <c r="M1216" s="5" t="s">
        <v>592</v>
      </c>
      <c r="N1216" s="5" t="s">
        <v>278</v>
      </c>
      <c r="O1216" s="5" t="s">
        <v>634</v>
      </c>
      <c r="P1216" s="5" t="str">
        <f aca="false">IF(J1216="S0","—",IF(K1216="","",IF(L1216="E0","QM",INDEX(10_ASIL_Matrix!$D$4:$F$15,MATCH(J1216&amp;"-"&amp;L1216,10_ASIL_Matrix!$C$4:$C$15,0),MATCH(N1216,10_ASIL_Matrix!$D$3:$F$3,0)))))</f>
        <v>—</v>
      </c>
      <c r="Q1216" s="5" t="s">
        <v>448</v>
      </c>
    </row>
    <row r="1217" customFormat="false" ht="35.05" hidden="false" customHeight="false" outlineLevel="0" collapsed="false">
      <c r="A1217" s="6" t="s">
        <v>3106</v>
      </c>
      <c r="B1217" s="6" t="s">
        <v>105</v>
      </c>
      <c r="C1217" s="6" t="s">
        <v>106</v>
      </c>
      <c r="D1217" s="6" t="s">
        <v>146</v>
      </c>
      <c r="E1217" s="6" t="s">
        <v>147</v>
      </c>
      <c r="F1217" s="6" t="s">
        <v>202</v>
      </c>
      <c r="G1217" s="6" t="s">
        <v>590</v>
      </c>
      <c r="H1217" s="6" t="s">
        <v>224</v>
      </c>
      <c r="I1217" s="6" t="s">
        <v>3107</v>
      </c>
      <c r="J1217" s="6" t="s">
        <v>238</v>
      </c>
      <c r="K1217" s="6" t="s">
        <v>3105</v>
      </c>
      <c r="L1217" s="6" t="s">
        <v>190</v>
      </c>
      <c r="M1217" s="6" t="s">
        <v>595</v>
      </c>
      <c r="N1217" s="6" t="s">
        <v>278</v>
      </c>
      <c r="O1217" s="6" t="s">
        <v>634</v>
      </c>
      <c r="P1217" s="6" t="str">
        <f aca="false">IF(J1217="S0","—",IF(K1217="","",IF(L1217="E0","QM",INDEX(10_ASIL_Matrix!$D$4:$F$15,MATCH(J1217&amp;"-"&amp;L1217,10_ASIL_Matrix!$C$4:$C$15,0),MATCH(N1217,10_ASIL_Matrix!$D$3:$F$3,0)))))</f>
        <v>—</v>
      </c>
      <c r="Q1217" s="6" t="s">
        <v>448</v>
      </c>
    </row>
    <row r="1218" customFormat="false" ht="35.05" hidden="false" customHeight="false" outlineLevel="0" collapsed="false">
      <c r="A1218" s="5" t="s">
        <v>3108</v>
      </c>
      <c r="B1218" s="5" t="s">
        <v>105</v>
      </c>
      <c r="C1218" s="5" t="s">
        <v>106</v>
      </c>
      <c r="D1218" s="5" t="s">
        <v>146</v>
      </c>
      <c r="E1218" s="5" t="s">
        <v>147</v>
      </c>
      <c r="F1218" s="5" t="s">
        <v>202</v>
      </c>
      <c r="G1218" s="5" t="s">
        <v>590</v>
      </c>
      <c r="H1218" s="5" t="s">
        <v>226</v>
      </c>
      <c r="I1218" s="5" t="s">
        <v>3109</v>
      </c>
      <c r="J1218" s="5" t="s">
        <v>238</v>
      </c>
      <c r="K1218" s="5" t="s">
        <v>3105</v>
      </c>
      <c r="L1218" s="5" t="s">
        <v>190</v>
      </c>
      <c r="M1218" s="5" t="s">
        <v>598</v>
      </c>
      <c r="N1218" s="5" t="s">
        <v>278</v>
      </c>
      <c r="O1218" s="5" t="s">
        <v>634</v>
      </c>
      <c r="P1218" s="5" t="str">
        <f aca="false">IF(J1218="S0","—",IF(K1218="","",IF(L1218="E0","QM",INDEX(10_ASIL_Matrix!$D$4:$F$15,MATCH(J1218&amp;"-"&amp;L1218,10_ASIL_Matrix!$C$4:$C$15,0),MATCH(N1218,10_ASIL_Matrix!$D$3:$F$3,0)))))</f>
        <v>—</v>
      </c>
      <c r="Q1218" s="5" t="s">
        <v>448</v>
      </c>
    </row>
    <row r="1219" customFormat="false" ht="35.05" hidden="false" customHeight="false" outlineLevel="0" collapsed="false">
      <c r="A1219" s="6" t="s">
        <v>3110</v>
      </c>
      <c r="B1219" s="6" t="s">
        <v>105</v>
      </c>
      <c r="C1219" s="6" t="s">
        <v>106</v>
      </c>
      <c r="D1219" s="6" t="s">
        <v>146</v>
      </c>
      <c r="E1219" s="6" t="s">
        <v>147</v>
      </c>
      <c r="F1219" s="6" t="s">
        <v>202</v>
      </c>
      <c r="G1219" s="6" t="s">
        <v>590</v>
      </c>
      <c r="H1219" s="6" t="s">
        <v>228</v>
      </c>
      <c r="I1219" s="6" t="s">
        <v>3111</v>
      </c>
      <c r="J1219" s="6" t="s">
        <v>238</v>
      </c>
      <c r="K1219" s="6" t="s">
        <v>3105</v>
      </c>
      <c r="L1219" s="6" t="s">
        <v>205</v>
      </c>
      <c r="M1219" s="6" t="s">
        <v>601</v>
      </c>
      <c r="N1219" s="6" t="s">
        <v>278</v>
      </c>
      <c r="O1219" s="6" t="s">
        <v>634</v>
      </c>
      <c r="P1219" s="6" t="str">
        <f aca="false">IF(J1219="S0","—",IF(K1219="","",IF(L1219="E0","QM",INDEX(10_ASIL_Matrix!$D$4:$F$15,MATCH(J1219&amp;"-"&amp;L1219,10_ASIL_Matrix!$C$4:$C$15,0),MATCH(N1219,10_ASIL_Matrix!$D$3:$F$3,0)))))</f>
        <v>—</v>
      </c>
      <c r="Q1219" s="6" t="s">
        <v>448</v>
      </c>
    </row>
    <row r="1220" customFormat="false" ht="35.05" hidden="false" customHeight="false" outlineLevel="0" collapsed="false">
      <c r="A1220" s="5" t="s">
        <v>3112</v>
      </c>
      <c r="B1220" s="5" t="s">
        <v>105</v>
      </c>
      <c r="C1220" s="5" t="s">
        <v>106</v>
      </c>
      <c r="D1220" s="5" t="s">
        <v>146</v>
      </c>
      <c r="E1220" s="5" t="s">
        <v>147</v>
      </c>
      <c r="F1220" s="5" t="s">
        <v>202</v>
      </c>
      <c r="G1220" s="5" t="s">
        <v>590</v>
      </c>
      <c r="H1220" s="5" t="s">
        <v>230</v>
      </c>
      <c r="I1220" s="5" t="s">
        <v>3113</v>
      </c>
      <c r="J1220" s="5" t="s">
        <v>238</v>
      </c>
      <c r="K1220" s="5" t="s">
        <v>3105</v>
      </c>
      <c r="L1220" s="5" t="s">
        <v>205</v>
      </c>
      <c r="M1220" s="5" t="s">
        <v>604</v>
      </c>
      <c r="N1220" s="5" t="s">
        <v>278</v>
      </c>
      <c r="O1220" s="5" t="s">
        <v>634</v>
      </c>
      <c r="P1220" s="5" t="str">
        <f aca="false">IF(J1220="S0","—",IF(K1220="","",IF(L1220="E0","QM",INDEX(10_ASIL_Matrix!$D$4:$F$15,MATCH(J1220&amp;"-"&amp;L1220,10_ASIL_Matrix!$C$4:$C$15,0),MATCH(N1220,10_ASIL_Matrix!$D$3:$F$3,0)))))</f>
        <v>—</v>
      </c>
      <c r="Q1220" s="5" t="s">
        <v>448</v>
      </c>
    </row>
    <row r="1221" customFormat="false" ht="46.25" hidden="false" customHeight="false" outlineLevel="0" collapsed="false">
      <c r="A1221" s="6" t="s">
        <v>3114</v>
      </c>
      <c r="B1221" s="6" t="s">
        <v>105</v>
      </c>
      <c r="C1221" s="6" t="s">
        <v>106</v>
      </c>
      <c r="D1221" s="6" t="s">
        <v>146</v>
      </c>
      <c r="E1221" s="6" t="s">
        <v>147</v>
      </c>
      <c r="F1221" s="6" t="s">
        <v>202</v>
      </c>
      <c r="G1221" s="6" t="s">
        <v>590</v>
      </c>
      <c r="H1221" s="6" t="s">
        <v>232</v>
      </c>
      <c r="I1221" s="6" t="s">
        <v>3115</v>
      </c>
      <c r="J1221" s="6" t="s">
        <v>238</v>
      </c>
      <c r="K1221" s="6" t="s">
        <v>3105</v>
      </c>
      <c r="L1221" s="6" t="s">
        <v>233</v>
      </c>
      <c r="M1221" s="6" t="s">
        <v>607</v>
      </c>
      <c r="N1221" s="6" t="s">
        <v>278</v>
      </c>
      <c r="O1221" s="6" t="s">
        <v>634</v>
      </c>
      <c r="P1221" s="6" t="str">
        <f aca="false">IF(J1221="S0","—",IF(K1221="","",IF(L1221="E0","QM",INDEX(10_ASIL_Matrix!$D$4:$F$15,MATCH(J1221&amp;"-"&amp;L1221,10_ASIL_Matrix!$C$4:$C$15,0),MATCH(N1221,10_ASIL_Matrix!$D$3:$F$3,0)))))</f>
        <v>—</v>
      </c>
      <c r="Q1221" s="6" t="s">
        <v>448</v>
      </c>
    </row>
    <row r="1222" customFormat="false" ht="35.05" hidden="false" customHeight="false" outlineLevel="0" collapsed="false">
      <c r="A1222" s="5" t="s">
        <v>3116</v>
      </c>
      <c r="B1222" s="5" t="s">
        <v>105</v>
      </c>
      <c r="C1222" s="5" t="s">
        <v>106</v>
      </c>
      <c r="D1222" s="5" t="s">
        <v>146</v>
      </c>
      <c r="E1222" s="5" t="s">
        <v>147</v>
      </c>
      <c r="F1222" s="5" t="s">
        <v>204</v>
      </c>
      <c r="G1222" s="5" t="s">
        <v>609</v>
      </c>
      <c r="H1222" s="5" t="s">
        <v>222</v>
      </c>
      <c r="I1222" s="5" t="s">
        <v>3117</v>
      </c>
      <c r="J1222" s="5" t="s">
        <v>250</v>
      </c>
      <c r="K1222" s="5" t="s">
        <v>3118</v>
      </c>
      <c r="L1222" s="5" t="s">
        <v>205</v>
      </c>
      <c r="M1222" s="5" t="s">
        <v>612</v>
      </c>
      <c r="N1222" s="5" t="s">
        <v>290</v>
      </c>
      <c r="O1222" s="5" t="s">
        <v>2520</v>
      </c>
      <c r="P1222" s="18" t="str">
        <f aca="false">IF(J1222="S0","—",IF(K1222="","",IF(L1222="E0","QM",INDEX(10_ASIL_Matrix!$D$4:$F$15,MATCH(J1222&amp;"-"&amp;L1222,10_ASIL_Matrix!$C$4:$C$15,0),MATCH(N1222,10_ASIL_Matrix!$D$3:$F$3,0)))))</f>
        <v>B</v>
      </c>
      <c r="Q1222" s="5" t="s">
        <v>448</v>
      </c>
    </row>
    <row r="1223" customFormat="false" ht="35.05" hidden="false" customHeight="false" outlineLevel="0" collapsed="false">
      <c r="A1223" s="6" t="s">
        <v>3119</v>
      </c>
      <c r="B1223" s="6" t="s">
        <v>105</v>
      </c>
      <c r="C1223" s="6" t="s">
        <v>106</v>
      </c>
      <c r="D1223" s="6" t="s">
        <v>146</v>
      </c>
      <c r="E1223" s="6" t="s">
        <v>147</v>
      </c>
      <c r="F1223" s="6" t="s">
        <v>204</v>
      </c>
      <c r="G1223" s="6" t="s">
        <v>609</v>
      </c>
      <c r="H1223" s="6" t="s">
        <v>224</v>
      </c>
      <c r="I1223" s="6" t="s">
        <v>3120</v>
      </c>
      <c r="J1223" s="6" t="s">
        <v>250</v>
      </c>
      <c r="K1223" s="6" t="s">
        <v>3118</v>
      </c>
      <c r="L1223" s="6" t="s">
        <v>205</v>
      </c>
      <c r="M1223" s="6" t="s">
        <v>616</v>
      </c>
      <c r="N1223" s="6" t="s">
        <v>290</v>
      </c>
      <c r="O1223" s="6" t="s">
        <v>2520</v>
      </c>
      <c r="P1223" s="18" t="str">
        <f aca="false">IF(J1223="S0","—",IF(K1223="","",IF(L1223="E0","QM",INDEX(10_ASIL_Matrix!$D$4:$F$15,MATCH(J1223&amp;"-"&amp;L1223,10_ASIL_Matrix!$C$4:$C$15,0),MATCH(N1223,10_ASIL_Matrix!$D$3:$F$3,0)))))</f>
        <v>B</v>
      </c>
      <c r="Q1223" s="6" t="s">
        <v>448</v>
      </c>
    </row>
    <row r="1224" customFormat="false" ht="35.05" hidden="false" customHeight="false" outlineLevel="0" collapsed="false">
      <c r="A1224" s="5" t="s">
        <v>3121</v>
      </c>
      <c r="B1224" s="5" t="s">
        <v>105</v>
      </c>
      <c r="C1224" s="5" t="s">
        <v>106</v>
      </c>
      <c r="D1224" s="5" t="s">
        <v>146</v>
      </c>
      <c r="E1224" s="5" t="s">
        <v>147</v>
      </c>
      <c r="F1224" s="5" t="s">
        <v>204</v>
      </c>
      <c r="G1224" s="5" t="s">
        <v>609</v>
      </c>
      <c r="H1224" s="5" t="s">
        <v>226</v>
      </c>
      <c r="I1224" s="5" t="s">
        <v>3122</v>
      </c>
      <c r="J1224" s="5" t="s">
        <v>250</v>
      </c>
      <c r="K1224" s="5" t="s">
        <v>3118</v>
      </c>
      <c r="L1224" s="5" t="s">
        <v>205</v>
      </c>
      <c r="M1224" s="5" t="s">
        <v>619</v>
      </c>
      <c r="N1224" s="5" t="s">
        <v>290</v>
      </c>
      <c r="O1224" s="5" t="s">
        <v>2520</v>
      </c>
      <c r="P1224" s="18" t="str">
        <f aca="false">IF(J1224="S0","—",IF(K1224="","",IF(L1224="E0","QM",INDEX(10_ASIL_Matrix!$D$4:$F$15,MATCH(J1224&amp;"-"&amp;L1224,10_ASIL_Matrix!$C$4:$C$15,0),MATCH(N1224,10_ASIL_Matrix!$D$3:$F$3,0)))))</f>
        <v>B</v>
      </c>
      <c r="Q1224" s="5" t="s">
        <v>448</v>
      </c>
    </row>
    <row r="1225" customFormat="false" ht="35.05" hidden="false" customHeight="false" outlineLevel="0" collapsed="false">
      <c r="A1225" s="6" t="s">
        <v>3123</v>
      </c>
      <c r="B1225" s="6" t="s">
        <v>105</v>
      </c>
      <c r="C1225" s="6" t="s">
        <v>106</v>
      </c>
      <c r="D1225" s="6" t="s">
        <v>146</v>
      </c>
      <c r="E1225" s="6" t="s">
        <v>147</v>
      </c>
      <c r="F1225" s="6" t="s">
        <v>204</v>
      </c>
      <c r="G1225" s="6" t="s">
        <v>609</v>
      </c>
      <c r="H1225" s="6" t="s">
        <v>228</v>
      </c>
      <c r="I1225" s="6" t="s">
        <v>3124</v>
      </c>
      <c r="J1225" s="6" t="s">
        <v>250</v>
      </c>
      <c r="K1225" s="6" t="s">
        <v>3118</v>
      </c>
      <c r="L1225" s="6" t="s">
        <v>205</v>
      </c>
      <c r="M1225" s="6" t="s">
        <v>622</v>
      </c>
      <c r="N1225" s="6" t="s">
        <v>290</v>
      </c>
      <c r="O1225" s="6" t="s">
        <v>2520</v>
      </c>
      <c r="P1225" s="18" t="str">
        <f aca="false">IF(J1225="S0","—",IF(K1225="","",IF(L1225="E0","QM",INDEX(10_ASIL_Matrix!$D$4:$F$15,MATCH(J1225&amp;"-"&amp;L1225,10_ASIL_Matrix!$C$4:$C$15,0),MATCH(N1225,10_ASIL_Matrix!$D$3:$F$3,0)))))</f>
        <v>B</v>
      </c>
      <c r="Q1225" s="6" t="s">
        <v>448</v>
      </c>
    </row>
    <row r="1226" customFormat="false" ht="35.05" hidden="false" customHeight="false" outlineLevel="0" collapsed="false">
      <c r="A1226" s="5" t="s">
        <v>3125</v>
      </c>
      <c r="B1226" s="5" t="s">
        <v>105</v>
      </c>
      <c r="C1226" s="5" t="s">
        <v>106</v>
      </c>
      <c r="D1226" s="5" t="s">
        <v>146</v>
      </c>
      <c r="E1226" s="5" t="s">
        <v>147</v>
      </c>
      <c r="F1226" s="5" t="s">
        <v>204</v>
      </c>
      <c r="G1226" s="5" t="s">
        <v>609</v>
      </c>
      <c r="H1226" s="5" t="s">
        <v>230</v>
      </c>
      <c r="I1226" s="5" t="s">
        <v>3126</v>
      </c>
      <c r="J1226" s="5" t="s">
        <v>250</v>
      </c>
      <c r="K1226" s="5" t="s">
        <v>3118</v>
      </c>
      <c r="L1226" s="5" t="s">
        <v>205</v>
      </c>
      <c r="M1226" s="5" t="s">
        <v>625</v>
      </c>
      <c r="N1226" s="5" t="s">
        <v>290</v>
      </c>
      <c r="O1226" s="5" t="s">
        <v>2530</v>
      </c>
      <c r="P1226" s="18" t="str">
        <f aca="false">IF(J1226="S0","—",IF(K1226="","",IF(L1226="E0","QM",INDEX(10_ASIL_Matrix!$D$4:$F$15,MATCH(J1226&amp;"-"&amp;L1226,10_ASIL_Matrix!$C$4:$C$15,0),MATCH(N1226,10_ASIL_Matrix!$D$3:$F$3,0)))))</f>
        <v>B</v>
      </c>
      <c r="Q1226" s="5" t="s">
        <v>448</v>
      </c>
    </row>
    <row r="1227" customFormat="false" ht="46.25" hidden="false" customHeight="false" outlineLevel="0" collapsed="false">
      <c r="A1227" s="6" t="s">
        <v>3127</v>
      </c>
      <c r="B1227" s="6" t="s">
        <v>105</v>
      </c>
      <c r="C1227" s="6" t="s">
        <v>106</v>
      </c>
      <c r="D1227" s="6" t="s">
        <v>146</v>
      </c>
      <c r="E1227" s="6" t="s">
        <v>147</v>
      </c>
      <c r="F1227" s="6" t="s">
        <v>204</v>
      </c>
      <c r="G1227" s="6" t="s">
        <v>609</v>
      </c>
      <c r="H1227" s="6" t="s">
        <v>232</v>
      </c>
      <c r="I1227" s="6" t="s">
        <v>3128</v>
      </c>
      <c r="J1227" s="6" t="s">
        <v>250</v>
      </c>
      <c r="K1227" s="6" t="s">
        <v>3118</v>
      </c>
      <c r="L1227" s="6" t="s">
        <v>233</v>
      </c>
      <c r="M1227" s="6" t="s">
        <v>629</v>
      </c>
      <c r="N1227" s="6" t="s">
        <v>290</v>
      </c>
      <c r="O1227" s="6" t="s">
        <v>2520</v>
      </c>
      <c r="P1227" s="19" t="str">
        <f aca="false">IF(J1227="S0","—",IF(K1227="","",IF(L1227="E0","QM",INDEX(10_ASIL_Matrix!$D$4:$F$15,MATCH(J1227&amp;"-"&amp;L1227,10_ASIL_Matrix!$C$4:$C$15,0),MATCH(N1227,10_ASIL_Matrix!$D$3:$F$3,0)))))</f>
        <v>A</v>
      </c>
      <c r="Q1227" s="6" t="s">
        <v>448</v>
      </c>
    </row>
    <row r="1228" customFormat="false" ht="35.05" hidden="false" customHeight="false" outlineLevel="0" collapsed="false">
      <c r="A1228" s="5" t="s">
        <v>3129</v>
      </c>
      <c r="B1228" s="5" t="s">
        <v>105</v>
      </c>
      <c r="C1228" s="5" t="s">
        <v>106</v>
      </c>
      <c r="D1228" s="5" t="s">
        <v>146</v>
      </c>
      <c r="E1228" s="5" t="s">
        <v>147</v>
      </c>
      <c r="F1228" s="5" t="s">
        <v>207</v>
      </c>
      <c r="G1228" s="5" t="s">
        <v>609</v>
      </c>
      <c r="H1228" s="5" t="s">
        <v>222</v>
      </c>
      <c r="I1228" s="5" t="s">
        <v>3130</v>
      </c>
      <c r="J1228" s="5" t="s">
        <v>250</v>
      </c>
      <c r="K1228" s="5" t="s">
        <v>3131</v>
      </c>
      <c r="L1228" s="5" t="s">
        <v>190</v>
      </c>
      <c r="M1228" s="5" t="s">
        <v>633</v>
      </c>
      <c r="N1228" s="5" t="s">
        <v>286</v>
      </c>
      <c r="O1228" s="5" t="s">
        <v>3022</v>
      </c>
      <c r="P1228" s="18" t="str">
        <f aca="false">IF(J1228="S0","—",IF(K1228="","",IF(L1228="E0","QM",INDEX(10_ASIL_Matrix!$D$4:$F$15,MATCH(J1228&amp;"-"&amp;L1228,10_ASIL_Matrix!$C$4:$C$15,0),MATCH(N1228,10_ASIL_Matrix!$D$3:$F$3,0)))))</f>
        <v>B</v>
      </c>
      <c r="Q1228" s="5" t="s">
        <v>448</v>
      </c>
    </row>
    <row r="1229" customFormat="false" ht="35.05" hidden="false" customHeight="false" outlineLevel="0" collapsed="false">
      <c r="A1229" s="6" t="s">
        <v>3132</v>
      </c>
      <c r="B1229" s="6" t="s">
        <v>105</v>
      </c>
      <c r="C1229" s="6" t="s">
        <v>106</v>
      </c>
      <c r="D1229" s="6" t="s">
        <v>146</v>
      </c>
      <c r="E1229" s="6" t="s">
        <v>147</v>
      </c>
      <c r="F1229" s="6" t="s">
        <v>207</v>
      </c>
      <c r="G1229" s="6" t="s">
        <v>609</v>
      </c>
      <c r="H1229" s="6" t="s">
        <v>224</v>
      </c>
      <c r="I1229" s="6" t="s">
        <v>3133</v>
      </c>
      <c r="J1229" s="6" t="s">
        <v>250</v>
      </c>
      <c r="K1229" s="6" t="s">
        <v>3131</v>
      </c>
      <c r="L1229" s="6" t="s">
        <v>190</v>
      </c>
      <c r="M1229" s="6" t="s">
        <v>637</v>
      </c>
      <c r="N1229" s="6" t="s">
        <v>286</v>
      </c>
      <c r="O1229" s="6" t="s">
        <v>3022</v>
      </c>
      <c r="P1229" s="18" t="str">
        <f aca="false">IF(J1229="S0","—",IF(K1229="","",IF(L1229="E0","QM",INDEX(10_ASIL_Matrix!$D$4:$F$15,MATCH(J1229&amp;"-"&amp;L1229,10_ASIL_Matrix!$C$4:$C$15,0),MATCH(N1229,10_ASIL_Matrix!$D$3:$F$3,0)))))</f>
        <v>B</v>
      </c>
      <c r="Q1229" s="6" t="s">
        <v>448</v>
      </c>
    </row>
    <row r="1230" customFormat="false" ht="35.05" hidden="false" customHeight="false" outlineLevel="0" collapsed="false">
      <c r="A1230" s="5" t="s">
        <v>3134</v>
      </c>
      <c r="B1230" s="5" t="s">
        <v>105</v>
      </c>
      <c r="C1230" s="5" t="s">
        <v>106</v>
      </c>
      <c r="D1230" s="5" t="s">
        <v>146</v>
      </c>
      <c r="E1230" s="5" t="s">
        <v>147</v>
      </c>
      <c r="F1230" s="5" t="s">
        <v>207</v>
      </c>
      <c r="G1230" s="5" t="s">
        <v>609</v>
      </c>
      <c r="H1230" s="5" t="s">
        <v>226</v>
      </c>
      <c r="I1230" s="5" t="s">
        <v>3135</v>
      </c>
      <c r="J1230" s="5" t="s">
        <v>250</v>
      </c>
      <c r="K1230" s="5" t="s">
        <v>3131</v>
      </c>
      <c r="L1230" s="5" t="s">
        <v>190</v>
      </c>
      <c r="M1230" s="5" t="s">
        <v>640</v>
      </c>
      <c r="N1230" s="5" t="s">
        <v>286</v>
      </c>
      <c r="O1230" s="5" t="s">
        <v>3022</v>
      </c>
      <c r="P1230" s="18" t="str">
        <f aca="false">IF(J1230="S0","—",IF(K1230="","",IF(L1230="E0","QM",INDEX(10_ASIL_Matrix!$D$4:$F$15,MATCH(J1230&amp;"-"&amp;L1230,10_ASIL_Matrix!$C$4:$C$15,0),MATCH(N1230,10_ASIL_Matrix!$D$3:$F$3,0)))))</f>
        <v>B</v>
      </c>
      <c r="Q1230" s="5" t="s">
        <v>448</v>
      </c>
    </row>
    <row r="1231" customFormat="false" ht="35.05" hidden="false" customHeight="false" outlineLevel="0" collapsed="false">
      <c r="A1231" s="6" t="s">
        <v>3136</v>
      </c>
      <c r="B1231" s="6" t="s">
        <v>105</v>
      </c>
      <c r="C1231" s="6" t="s">
        <v>106</v>
      </c>
      <c r="D1231" s="6" t="s">
        <v>146</v>
      </c>
      <c r="E1231" s="6" t="s">
        <v>147</v>
      </c>
      <c r="F1231" s="6" t="s">
        <v>207</v>
      </c>
      <c r="G1231" s="6" t="s">
        <v>609</v>
      </c>
      <c r="H1231" s="6" t="s">
        <v>228</v>
      </c>
      <c r="I1231" s="6" t="s">
        <v>3137</v>
      </c>
      <c r="J1231" s="6" t="s">
        <v>250</v>
      </c>
      <c r="K1231" s="6" t="s">
        <v>3131</v>
      </c>
      <c r="L1231" s="6" t="s">
        <v>205</v>
      </c>
      <c r="M1231" s="6" t="s">
        <v>643</v>
      </c>
      <c r="N1231" s="6" t="s">
        <v>286</v>
      </c>
      <c r="O1231" s="6" t="s">
        <v>3022</v>
      </c>
      <c r="P1231" s="19" t="str">
        <f aca="false">IF(J1231="S0","—",IF(K1231="","",IF(L1231="E0","QM",INDEX(10_ASIL_Matrix!$D$4:$F$15,MATCH(J1231&amp;"-"&amp;L1231,10_ASIL_Matrix!$C$4:$C$15,0),MATCH(N1231,10_ASIL_Matrix!$D$3:$F$3,0)))))</f>
        <v>A</v>
      </c>
      <c r="Q1231" s="6" t="s">
        <v>448</v>
      </c>
    </row>
    <row r="1232" customFormat="false" ht="35.05" hidden="false" customHeight="false" outlineLevel="0" collapsed="false">
      <c r="A1232" s="5" t="s">
        <v>3138</v>
      </c>
      <c r="B1232" s="5" t="s">
        <v>105</v>
      </c>
      <c r="C1232" s="5" t="s">
        <v>106</v>
      </c>
      <c r="D1232" s="5" t="s">
        <v>146</v>
      </c>
      <c r="E1232" s="5" t="s">
        <v>147</v>
      </c>
      <c r="F1232" s="5" t="s">
        <v>207</v>
      </c>
      <c r="G1232" s="5" t="s">
        <v>609</v>
      </c>
      <c r="H1232" s="5" t="s">
        <v>230</v>
      </c>
      <c r="I1232" s="5" t="s">
        <v>3139</v>
      </c>
      <c r="J1232" s="5" t="s">
        <v>250</v>
      </c>
      <c r="K1232" s="5" t="s">
        <v>3131</v>
      </c>
      <c r="L1232" s="5" t="s">
        <v>205</v>
      </c>
      <c r="M1232" s="5" t="s">
        <v>646</v>
      </c>
      <c r="N1232" s="5" t="s">
        <v>290</v>
      </c>
      <c r="O1232" s="5" t="s">
        <v>3031</v>
      </c>
      <c r="P1232" s="18" t="str">
        <f aca="false">IF(J1232="S0","—",IF(K1232="","",IF(L1232="E0","QM",INDEX(10_ASIL_Matrix!$D$4:$F$15,MATCH(J1232&amp;"-"&amp;L1232,10_ASIL_Matrix!$C$4:$C$15,0),MATCH(N1232,10_ASIL_Matrix!$D$3:$F$3,0)))))</f>
        <v>B</v>
      </c>
      <c r="Q1232" s="5" t="s">
        <v>448</v>
      </c>
    </row>
    <row r="1233" customFormat="false" ht="46.25" hidden="false" customHeight="false" outlineLevel="0" collapsed="false">
      <c r="A1233" s="6" t="s">
        <v>3140</v>
      </c>
      <c r="B1233" s="6" t="s">
        <v>105</v>
      </c>
      <c r="C1233" s="6" t="s">
        <v>106</v>
      </c>
      <c r="D1233" s="6" t="s">
        <v>146</v>
      </c>
      <c r="E1233" s="6" t="s">
        <v>147</v>
      </c>
      <c r="F1233" s="6" t="s">
        <v>207</v>
      </c>
      <c r="G1233" s="6" t="s">
        <v>609</v>
      </c>
      <c r="H1233" s="6" t="s">
        <v>232</v>
      </c>
      <c r="I1233" s="6" t="s">
        <v>3141</v>
      </c>
      <c r="J1233" s="6" t="s">
        <v>250</v>
      </c>
      <c r="K1233" s="6" t="s">
        <v>3131</v>
      </c>
      <c r="L1233" s="6" t="s">
        <v>233</v>
      </c>
      <c r="M1233" s="6" t="s">
        <v>649</v>
      </c>
      <c r="N1233" s="6" t="s">
        <v>286</v>
      </c>
      <c r="O1233" s="6" t="s">
        <v>3022</v>
      </c>
      <c r="P1233" s="6" t="str">
        <f aca="false">IF(J1233="S0","—",IF(K1233="","",IF(L1233="E0","QM",INDEX(10_ASIL_Matrix!$D$4:$F$15,MATCH(J1233&amp;"-"&amp;L1233,10_ASIL_Matrix!$C$4:$C$15,0),MATCH(N1233,10_ASIL_Matrix!$D$3:$F$3,0)))))</f>
        <v>QM</v>
      </c>
      <c r="Q1233" s="6" t="s">
        <v>448</v>
      </c>
    </row>
    <row r="1234" customFormat="false" ht="35.05" hidden="false" customHeight="false" outlineLevel="0" collapsed="false">
      <c r="A1234" s="5" t="s">
        <v>3142</v>
      </c>
      <c r="B1234" s="5" t="s">
        <v>105</v>
      </c>
      <c r="C1234" s="5" t="s">
        <v>106</v>
      </c>
      <c r="D1234" s="5" t="s">
        <v>146</v>
      </c>
      <c r="E1234" s="5" t="s">
        <v>147</v>
      </c>
      <c r="F1234" s="5" t="s">
        <v>209</v>
      </c>
      <c r="G1234" s="5" t="s">
        <v>570</v>
      </c>
      <c r="H1234" s="5" t="s">
        <v>222</v>
      </c>
      <c r="I1234" s="5" t="s">
        <v>3143</v>
      </c>
      <c r="J1234" s="5" t="s">
        <v>246</v>
      </c>
      <c r="K1234" s="5" t="s">
        <v>3144</v>
      </c>
      <c r="L1234" s="5" t="s">
        <v>190</v>
      </c>
      <c r="M1234" s="5" t="s">
        <v>653</v>
      </c>
      <c r="N1234" s="5" t="s">
        <v>282</v>
      </c>
      <c r="O1234" s="5" t="s">
        <v>3145</v>
      </c>
      <c r="P1234" s="5" t="str">
        <f aca="false">IF(J1234="S0","—",IF(K1234="","",IF(L1234="E0","QM",INDEX(10_ASIL_Matrix!$D$4:$F$15,MATCH(J1234&amp;"-"&amp;L1234,10_ASIL_Matrix!$C$4:$C$15,0),MATCH(N1234,10_ASIL_Matrix!$D$3:$F$3,0)))))</f>
        <v>QM</v>
      </c>
      <c r="Q1234" s="5" t="s">
        <v>448</v>
      </c>
    </row>
    <row r="1235" customFormat="false" ht="35.05" hidden="false" customHeight="false" outlineLevel="0" collapsed="false">
      <c r="A1235" s="6" t="s">
        <v>3146</v>
      </c>
      <c r="B1235" s="6" t="s">
        <v>105</v>
      </c>
      <c r="C1235" s="6" t="s">
        <v>106</v>
      </c>
      <c r="D1235" s="6" t="s">
        <v>146</v>
      </c>
      <c r="E1235" s="6" t="s">
        <v>147</v>
      </c>
      <c r="F1235" s="6" t="s">
        <v>209</v>
      </c>
      <c r="G1235" s="6" t="s">
        <v>570</v>
      </c>
      <c r="H1235" s="6" t="s">
        <v>224</v>
      </c>
      <c r="I1235" s="6" t="s">
        <v>3147</v>
      </c>
      <c r="J1235" s="6" t="s">
        <v>246</v>
      </c>
      <c r="K1235" s="6" t="s">
        <v>3144</v>
      </c>
      <c r="L1235" s="6" t="s">
        <v>190</v>
      </c>
      <c r="M1235" s="6" t="s">
        <v>656</v>
      </c>
      <c r="N1235" s="6" t="s">
        <v>282</v>
      </c>
      <c r="O1235" s="6" t="s">
        <v>3145</v>
      </c>
      <c r="P1235" s="6" t="str">
        <f aca="false">IF(J1235="S0","—",IF(K1235="","",IF(L1235="E0","QM",INDEX(10_ASIL_Matrix!$D$4:$F$15,MATCH(J1235&amp;"-"&amp;L1235,10_ASIL_Matrix!$C$4:$C$15,0),MATCH(N1235,10_ASIL_Matrix!$D$3:$F$3,0)))))</f>
        <v>QM</v>
      </c>
      <c r="Q1235" s="6" t="s">
        <v>448</v>
      </c>
    </row>
    <row r="1236" customFormat="false" ht="35.05" hidden="false" customHeight="false" outlineLevel="0" collapsed="false">
      <c r="A1236" s="5" t="s">
        <v>3148</v>
      </c>
      <c r="B1236" s="5" t="s">
        <v>105</v>
      </c>
      <c r="C1236" s="5" t="s">
        <v>106</v>
      </c>
      <c r="D1236" s="5" t="s">
        <v>146</v>
      </c>
      <c r="E1236" s="5" t="s">
        <v>147</v>
      </c>
      <c r="F1236" s="5" t="s">
        <v>209</v>
      </c>
      <c r="G1236" s="5" t="s">
        <v>570</v>
      </c>
      <c r="H1236" s="5" t="s">
        <v>226</v>
      </c>
      <c r="I1236" s="5" t="s">
        <v>3149</v>
      </c>
      <c r="J1236" s="5" t="s">
        <v>246</v>
      </c>
      <c r="K1236" s="5" t="s">
        <v>3144</v>
      </c>
      <c r="L1236" s="5" t="s">
        <v>190</v>
      </c>
      <c r="M1236" s="5" t="s">
        <v>659</v>
      </c>
      <c r="N1236" s="5" t="s">
        <v>282</v>
      </c>
      <c r="O1236" s="5" t="s">
        <v>3145</v>
      </c>
      <c r="P1236" s="5" t="str">
        <f aca="false">IF(J1236="S0","—",IF(K1236="","",IF(L1236="E0","QM",INDEX(10_ASIL_Matrix!$D$4:$F$15,MATCH(J1236&amp;"-"&amp;L1236,10_ASIL_Matrix!$C$4:$C$15,0),MATCH(N1236,10_ASIL_Matrix!$D$3:$F$3,0)))))</f>
        <v>QM</v>
      </c>
      <c r="Q1236" s="5" t="s">
        <v>448</v>
      </c>
    </row>
    <row r="1237" customFormat="false" ht="35.05" hidden="false" customHeight="false" outlineLevel="0" collapsed="false">
      <c r="A1237" s="6" t="s">
        <v>3150</v>
      </c>
      <c r="B1237" s="6" t="s">
        <v>105</v>
      </c>
      <c r="C1237" s="6" t="s">
        <v>106</v>
      </c>
      <c r="D1237" s="6" t="s">
        <v>146</v>
      </c>
      <c r="E1237" s="6" t="s">
        <v>147</v>
      </c>
      <c r="F1237" s="6" t="s">
        <v>209</v>
      </c>
      <c r="G1237" s="6" t="s">
        <v>570</v>
      </c>
      <c r="H1237" s="6" t="s">
        <v>228</v>
      </c>
      <c r="I1237" s="6" t="s">
        <v>3151</v>
      </c>
      <c r="J1237" s="6" t="s">
        <v>246</v>
      </c>
      <c r="K1237" s="6" t="s">
        <v>3144</v>
      </c>
      <c r="L1237" s="6" t="s">
        <v>205</v>
      </c>
      <c r="M1237" s="6" t="s">
        <v>662</v>
      </c>
      <c r="N1237" s="6" t="s">
        <v>282</v>
      </c>
      <c r="O1237" s="6" t="s">
        <v>3145</v>
      </c>
      <c r="P1237" s="6" t="str">
        <f aca="false">IF(J1237="S0","—",IF(K1237="","",IF(L1237="E0","QM",INDEX(10_ASIL_Matrix!$D$4:$F$15,MATCH(J1237&amp;"-"&amp;L1237,10_ASIL_Matrix!$C$4:$C$15,0),MATCH(N1237,10_ASIL_Matrix!$D$3:$F$3,0)))))</f>
        <v>QM</v>
      </c>
      <c r="Q1237" s="6" t="s">
        <v>448</v>
      </c>
    </row>
    <row r="1238" customFormat="false" ht="35.05" hidden="false" customHeight="false" outlineLevel="0" collapsed="false">
      <c r="A1238" s="5" t="s">
        <v>3152</v>
      </c>
      <c r="B1238" s="5" t="s">
        <v>105</v>
      </c>
      <c r="C1238" s="5" t="s">
        <v>106</v>
      </c>
      <c r="D1238" s="5" t="s">
        <v>146</v>
      </c>
      <c r="E1238" s="5" t="s">
        <v>147</v>
      </c>
      <c r="F1238" s="5" t="s">
        <v>209</v>
      </c>
      <c r="G1238" s="5" t="s">
        <v>570</v>
      </c>
      <c r="H1238" s="5" t="s">
        <v>230</v>
      </c>
      <c r="I1238" s="5" t="s">
        <v>3153</v>
      </c>
      <c r="J1238" s="5" t="s">
        <v>246</v>
      </c>
      <c r="K1238" s="5" t="s">
        <v>3144</v>
      </c>
      <c r="L1238" s="5" t="s">
        <v>205</v>
      </c>
      <c r="M1238" s="5" t="s">
        <v>665</v>
      </c>
      <c r="N1238" s="5" t="s">
        <v>286</v>
      </c>
      <c r="O1238" s="5" t="s">
        <v>3154</v>
      </c>
      <c r="P1238" s="5" t="str">
        <f aca="false">IF(J1238="S0","—",IF(K1238="","",IF(L1238="E0","QM",INDEX(10_ASIL_Matrix!$D$4:$F$15,MATCH(J1238&amp;"-"&amp;L1238,10_ASIL_Matrix!$C$4:$C$15,0),MATCH(N1238,10_ASIL_Matrix!$D$3:$F$3,0)))))</f>
        <v>QM</v>
      </c>
      <c r="Q1238" s="5" t="s">
        <v>448</v>
      </c>
    </row>
    <row r="1239" customFormat="false" ht="46.25" hidden="false" customHeight="false" outlineLevel="0" collapsed="false">
      <c r="A1239" s="6" t="s">
        <v>3155</v>
      </c>
      <c r="B1239" s="6" t="s">
        <v>105</v>
      </c>
      <c r="C1239" s="6" t="s">
        <v>106</v>
      </c>
      <c r="D1239" s="6" t="s">
        <v>146</v>
      </c>
      <c r="E1239" s="6" t="s">
        <v>147</v>
      </c>
      <c r="F1239" s="6" t="s">
        <v>209</v>
      </c>
      <c r="G1239" s="6" t="s">
        <v>570</v>
      </c>
      <c r="H1239" s="6" t="s">
        <v>232</v>
      </c>
      <c r="I1239" s="6" t="s">
        <v>3156</v>
      </c>
      <c r="J1239" s="6" t="s">
        <v>246</v>
      </c>
      <c r="K1239" s="6" t="s">
        <v>3144</v>
      </c>
      <c r="L1239" s="6" t="s">
        <v>233</v>
      </c>
      <c r="M1239" s="6" t="s">
        <v>668</v>
      </c>
      <c r="N1239" s="6" t="s">
        <v>282</v>
      </c>
      <c r="O1239" s="6" t="s">
        <v>3145</v>
      </c>
      <c r="P1239" s="6" t="str">
        <f aca="false">IF(J1239="S0","—",IF(K1239="","",IF(L1239="E0","QM",INDEX(10_ASIL_Matrix!$D$4:$F$15,MATCH(J1239&amp;"-"&amp;L1239,10_ASIL_Matrix!$C$4:$C$15,0),MATCH(N1239,10_ASIL_Matrix!$D$3:$F$3,0)))))</f>
        <v>QM</v>
      </c>
      <c r="Q1239" s="6" t="s">
        <v>448</v>
      </c>
    </row>
    <row r="1240" customFormat="false" ht="35.05" hidden="false" customHeight="false" outlineLevel="0" collapsed="false">
      <c r="A1240" s="5" t="s">
        <v>3157</v>
      </c>
      <c r="B1240" s="5" t="s">
        <v>105</v>
      </c>
      <c r="C1240" s="5" t="s">
        <v>106</v>
      </c>
      <c r="D1240" s="5" t="s">
        <v>146</v>
      </c>
      <c r="E1240" s="5" t="s">
        <v>147</v>
      </c>
      <c r="F1240" s="5" t="s">
        <v>211</v>
      </c>
      <c r="G1240" s="5" t="s">
        <v>609</v>
      </c>
      <c r="H1240" s="5" t="s">
        <v>222</v>
      </c>
      <c r="I1240" s="5" t="s">
        <v>3158</v>
      </c>
      <c r="J1240" s="5" t="s">
        <v>238</v>
      </c>
      <c r="K1240" s="5" t="s">
        <v>1273</v>
      </c>
      <c r="L1240" s="5" t="s">
        <v>187</v>
      </c>
      <c r="M1240" s="5" t="s">
        <v>672</v>
      </c>
      <c r="N1240" s="5" t="s">
        <v>278</v>
      </c>
      <c r="O1240" s="5" t="s">
        <v>634</v>
      </c>
      <c r="P1240" s="5" t="str">
        <f aca="false">IF(J1240="S0","—",IF(K1240="","",IF(L1240="E0","QM",INDEX(10_ASIL_Matrix!$D$4:$F$15,MATCH(J1240&amp;"-"&amp;L1240,10_ASIL_Matrix!$C$4:$C$15,0),MATCH(N1240,10_ASIL_Matrix!$D$3:$F$3,0)))))</f>
        <v>—</v>
      </c>
      <c r="Q1240" s="5" t="s">
        <v>448</v>
      </c>
    </row>
    <row r="1241" customFormat="false" ht="35.05" hidden="false" customHeight="false" outlineLevel="0" collapsed="false">
      <c r="A1241" s="6" t="s">
        <v>3159</v>
      </c>
      <c r="B1241" s="6" t="s">
        <v>105</v>
      </c>
      <c r="C1241" s="6" t="s">
        <v>106</v>
      </c>
      <c r="D1241" s="6" t="s">
        <v>146</v>
      </c>
      <c r="E1241" s="6" t="s">
        <v>147</v>
      </c>
      <c r="F1241" s="6" t="s">
        <v>211</v>
      </c>
      <c r="G1241" s="6" t="s">
        <v>609</v>
      </c>
      <c r="H1241" s="6" t="s">
        <v>224</v>
      </c>
      <c r="I1241" s="6" t="s">
        <v>3160</v>
      </c>
      <c r="J1241" s="6" t="s">
        <v>238</v>
      </c>
      <c r="K1241" s="6" t="s">
        <v>1273</v>
      </c>
      <c r="L1241" s="6" t="s">
        <v>190</v>
      </c>
      <c r="M1241" s="6" t="s">
        <v>675</v>
      </c>
      <c r="N1241" s="6" t="s">
        <v>278</v>
      </c>
      <c r="O1241" s="6" t="s">
        <v>634</v>
      </c>
      <c r="P1241" s="6" t="str">
        <f aca="false">IF(J1241="S0","—",IF(K1241="","",IF(L1241="E0","QM",INDEX(10_ASIL_Matrix!$D$4:$F$15,MATCH(J1241&amp;"-"&amp;L1241,10_ASIL_Matrix!$C$4:$C$15,0),MATCH(N1241,10_ASIL_Matrix!$D$3:$F$3,0)))))</f>
        <v>—</v>
      </c>
      <c r="Q1241" s="6" t="s">
        <v>448</v>
      </c>
    </row>
    <row r="1242" customFormat="false" ht="35.05" hidden="false" customHeight="false" outlineLevel="0" collapsed="false">
      <c r="A1242" s="5" t="s">
        <v>3161</v>
      </c>
      <c r="B1242" s="5" t="s">
        <v>105</v>
      </c>
      <c r="C1242" s="5" t="s">
        <v>106</v>
      </c>
      <c r="D1242" s="5" t="s">
        <v>146</v>
      </c>
      <c r="E1242" s="5" t="s">
        <v>147</v>
      </c>
      <c r="F1242" s="5" t="s">
        <v>211</v>
      </c>
      <c r="G1242" s="5" t="s">
        <v>609</v>
      </c>
      <c r="H1242" s="5" t="s">
        <v>226</v>
      </c>
      <c r="I1242" s="5" t="s">
        <v>3162</v>
      </c>
      <c r="J1242" s="5" t="s">
        <v>238</v>
      </c>
      <c r="K1242" s="5" t="s">
        <v>1273</v>
      </c>
      <c r="L1242" s="5" t="s">
        <v>190</v>
      </c>
      <c r="M1242" s="5" t="s">
        <v>678</v>
      </c>
      <c r="N1242" s="5" t="s">
        <v>278</v>
      </c>
      <c r="O1242" s="5" t="s">
        <v>634</v>
      </c>
      <c r="P1242" s="5" t="str">
        <f aca="false">IF(J1242="S0","—",IF(K1242="","",IF(L1242="E0","QM",INDEX(10_ASIL_Matrix!$D$4:$F$15,MATCH(J1242&amp;"-"&amp;L1242,10_ASIL_Matrix!$C$4:$C$15,0),MATCH(N1242,10_ASIL_Matrix!$D$3:$F$3,0)))))</f>
        <v>—</v>
      </c>
      <c r="Q1242" s="5" t="s">
        <v>448</v>
      </c>
    </row>
    <row r="1243" customFormat="false" ht="35.05" hidden="false" customHeight="false" outlineLevel="0" collapsed="false">
      <c r="A1243" s="6" t="s">
        <v>3163</v>
      </c>
      <c r="B1243" s="6" t="s">
        <v>105</v>
      </c>
      <c r="C1243" s="6" t="s">
        <v>106</v>
      </c>
      <c r="D1243" s="6" t="s">
        <v>146</v>
      </c>
      <c r="E1243" s="6" t="s">
        <v>147</v>
      </c>
      <c r="F1243" s="6" t="s">
        <v>211</v>
      </c>
      <c r="G1243" s="6" t="s">
        <v>609</v>
      </c>
      <c r="H1243" s="6" t="s">
        <v>228</v>
      </c>
      <c r="I1243" s="6" t="s">
        <v>3164</v>
      </c>
      <c r="J1243" s="6" t="s">
        <v>238</v>
      </c>
      <c r="K1243" s="6" t="s">
        <v>1273</v>
      </c>
      <c r="L1243" s="6" t="s">
        <v>205</v>
      </c>
      <c r="M1243" s="6" t="s">
        <v>681</v>
      </c>
      <c r="N1243" s="6" t="s">
        <v>278</v>
      </c>
      <c r="O1243" s="6" t="s">
        <v>634</v>
      </c>
      <c r="P1243" s="6" t="str">
        <f aca="false">IF(J1243="S0","—",IF(K1243="","",IF(L1243="E0","QM",INDEX(10_ASIL_Matrix!$D$4:$F$15,MATCH(J1243&amp;"-"&amp;L1243,10_ASIL_Matrix!$C$4:$C$15,0),MATCH(N1243,10_ASIL_Matrix!$D$3:$F$3,0)))))</f>
        <v>—</v>
      </c>
      <c r="Q1243" s="6" t="s">
        <v>448</v>
      </c>
    </row>
    <row r="1244" customFormat="false" ht="35.05" hidden="false" customHeight="false" outlineLevel="0" collapsed="false">
      <c r="A1244" s="5" t="s">
        <v>3165</v>
      </c>
      <c r="B1244" s="5" t="s">
        <v>105</v>
      </c>
      <c r="C1244" s="5" t="s">
        <v>106</v>
      </c>
      <c r="D1244" s="5" t="s">
        <v>146</v>
      </c>
      <c r="E1244" s="5" t="s">
        <v>147</v>
      </c>
      <c r="F1244" s="5" t="s">
        <v>211</v>
      </c>
      <c r="G1244" s="5" t="s">
        <v>609</v>
      </c>
      <c r="H1244" s="5" t="s">
        <v>230</v>
      </c>
      <c r="I1244" s="5" t="s">
        <v>3166</v>
      </c>
      <c r="J1244" s="5" t="s">
        <v>238</v>
      </c>
      <c r="K1244" s="5" t="s">
        <v>1273</v>
      </c>
      <c r="L1244" s="5" t="s">
        <v>205</v>
      </c>
      <c r="M1244" s="5" t="s">
        <v>684</v>
      </c>
      <c r="N1244" s="5" t="s">
        <v>278</v>
      </c>
      <c r="O1244" s="5" t="s">
        <v>634</v>
      </c>
      <c r="P1244" s="5" t="str">
        <f aca="false">IF(J1244="S0","—",IF(K1244="","",IF(L1244="E0","QM",INDEX(10_ASIL_Matrix!$D$4:$F$15,MATCH(J1244&amp;"-"&amp;L1244,10_ASIL_Matrix!$C$4:$C$15,0),MATCH(N1244,10_ASIL_Matrix!$D$3:$F$3,0)))))</f>
        <v>—</v>
      </c>
      <c r="Q1244" s="5" t="s">
        <v>448</v>
      </c>
    </row>
    <row r="1245" customFormat="false" ht="46.25" hidden="false" customHeight="false" outlineLevel="0" collapsed="false">
      <c r="A1245" s="6" t="s">
        <v>3167</v>
      </c>
      <c r="B1245" s="6" t="s">
        <v>105</v>
      </c>
      <c r="C1245" s="6" t="s">
        <v>106</v>
      </c>
      <c r="D1245" s="6" t="s">
        <v>146</v>
      </c>
      <c r="E1245" s="6" t="s">
        <v>147</v>
      </c>
      <c r="F1245" s="6" t="s">
        <v>211</v>
      </c>
      <c r="G1245" s="6" t="s">
        <v>609</v>
      </c>
      <c r="H1245" s="6" t="s">
        <v>232</v>
      </c>
      <c r="I1245" s="6" t="s">
        <v>3168</v>
      </c>
      <c r="J1245" s="6" t="s">
        <v>238</v>
      </c>
      <c r="K1245" s="6" t="s">
        <v>1273</v>
      </c>
      <c r="L1245" s="6" t="s">
        <v>233</v>
      </c>
      <c r="M1245" s="6" t="s">
        <v>687</v>
      </c>
      <c r="N1245" s="6" t="s">
        <v>278</v>
      </c>
      <c r="O1245" s="6" t="s">
        <v>634</v>
      </c>
      <c r="P1245" s="6" t="str">
        <f aca="false">IF(J1245="S0","—",IF(K1245="","",IF(L1245="E0","QM",INDEX(10_ASIL_Matrix!$D$4:$F$15,MATCH(J1245&amp;"-"&amp;L1245,10_ASIL_Matrix!$C$4:$C$15,0),MATCH(N1245,10_ASIL_Matrix!$D$3:$F$3,0)))))</f>
        <v>—</v>
      </c>
      <c r="Q1245" s="6" t="s">
        <v>448</v>
      </c>
    </row>
    <row r="1246" customFormat="false" ht="46.25" hidden="false" customHeight="false" outlineLevel="0" collapsed="false">
      <c r="A1246" s="5" t="s">
        <v>3169</v>
      </c>
      <c r="B1246" s="5" t="s">
        <v>105</v>
      </c>
      <c r="C1246" s="5" t="s">
        <v>106</v>
      </c>
      <c r="D1246" s="5" t="s">
        <v>146</v>
      </c>
      <c r="E1246" s="5" t="s">
        <v>147</v>
      </c>
      <c r="F1246" s="5" t="s">
        <v>213</v>
      </c>
      <c r="G1246" s="5" t="s">
        <v>689</v>
      </c>
      <c r="H1246" s="5" t="s">
        <v>222</v>
      </c>
      <c r="I1246" s="5" t="s">
        <v>3170</v>
      </c>
      <c r="J1246" s="5" t="s">
        <v>250</v>
      </c>
      <c r="K1246" s="5" t="s">
        <v>3171</v>
      </c>
      <c r="L1246" s="5" t="s">
        <v>205</v>
      </c>
      <c r="M1246" s="5" t="s">
        <v>692</v>
      </c>
      <c r="N1246" s="5" t="s">
        <v>286</v>
      </c>
      <c r="O1246" s="5" t="s">
        <v>3022</v>
      </c>
      <c r="P1246" s="19" t="str">
        <f aca="false">IF(J1246="S0","—",IF(K1246="","",IF(L1246="E0","QM",INDEX(10_ASIL_Matrix!$D$4:$F$15,MATCH(J1246&amp;"-"&amp;L1246,10_ASIL_Matrix!$C$4:$C$15,0),MATCH(N1246,10_ASIL_Matrix!$D$3:$F$3,0)))))</f>
        <v>A</v>
      </c>
      <c r="Q1246" s="5" t="s">
        <v>448</v>
      </c>
    </row>
    <row r="1247" customFormat="false" ht="46.25" hidden="false" customHeight="false" outlineLevel="0" collapsed="false">
      <c r="A1247" s="6" t="s">
        <v>3172</v>
      </c>
      <c r="B1247" s="6" t="s">
        <v>105</v>
      </c>
      <c r="C1247" s="6" t="s">
        <v>106</v>
      </c>
      <c r="D1247" s="6" t="s">
        <v>146</v>
      </c>
      <c r="E1247" s="6" t="s">
        <v>147</v>
      </c>
      <c r="F1247" s="6" t="s">
        <v>213</v>
      </c>
      <c r="G1247" s="6" t="s">
        <v>689</v>
      </c>
      <c r="H1247" s="6" t="s">
        <v>224</v>
      </c>
      <c r="I1247" s="6" t="s">
        <v>3173</v>
      </c>
      <c r="J1247" s="6" t="s">
        <v>250</v>
      </c>
      <c r="K1247" s="6" t="s">
        <v>3171</v>
      </c>
      <c r="L1247" s="6" t="s">
        <v>205</v>
      </c>
      <c r="M1247" s="6" t="s">
        <v>696</v>
      </c>
      <c r="N1247" s="6" t="s">
        <v>286</v>
      </c>
      <c r="O1247" s="6" t="s">
        <v>3022</v>
      </c>
      <c r="P1247" s="19" t="str">
        <f aca="false">IF(J1247="S0","—",IF(K1247="","",IF(L1247="E0","QM",INDEX(10_ASIL_Matrix!$D$4:$F$15,MATCH(J1247&amp;"-"&amp;L1247,10_ASIL_Matrix!$C$4:$C$15,0),MATCH(N1247,10_ASIL_Matrix!$D$3:$F$3,0)))))</f>
        <v>A</v>
      </c>
      <c r="Q1247" s="6" t="s">
        <v>448</v>
      </c>
    </row>
    <row r="1248" customFormat="false" ht="46.25" hidden="false" customHeight="false" outlineLevel="0" collapsed="false">
      <c r="A1248" s="5" t="s">
        <v>3174</v>
      </c>
      <c r="B1248" s="5" t="s">
        <v>105</v>
      </c>
      <c r="C1248" s="5" t="s">
        <v>106</v>
      </c>
      <c r="D1248" s="5" t="s">
        <v>146</v>
      </c>
      <c r="E1248" s="5" t="s">
        <v>147</v>
      </c>
      <c r="F1248" s="5" t="s">
        <v>213</v>
      </c>
      <c r="G1248" s="5" t="s">
        <v>689</v>
      </c>
      <c r="H1248" s="5" t="s">
        <v>226</v>
      </c>
      <c r="I1248" s="5" t="s">
        <v>3175</v>
      </c>
      <c r="J1248" s="5" t="s">
        <v>250</v>
      </c>
      <c r="K1248" s="5" t="s">
        <v>3171</v>
      </c>
      <c r="L1248" s="5" t="s">
        <v>205</v>
      </c>
      <c r="M1248" s="5" t="s">
        <v>699</v>
      </c>
      <c r="N1248" s="5" t="s">
        <v>286</v>
      </c>
      <c r="O1248" s="5" t="s">
        <v>3022</v>
      </c>
      <c r="P1248" s="19" t="str">
        <f aca="false">IF(J1248="S0","—",IF(K1248="","",IF(L1248="E0","QM",INDEX(10_ASIL_Matrix!$D$4:$F$15,MATCH(J1248&amp;"-"&amp;L1248,10_ASIL_Matrix!$C$4:$C$15,0),MATCH(N1248,10_ASIL_Matrix!$D$3:$F$3,0)))))</f>
        <v>A</v>
      </c>
      <c r="Q1248" s="5" t="s">
        <v>448</v>
      </c>
    </row>
    <row r="1249" customFormat="false" ht="46.25" hidden="false" customHeight="false" outlineLevel="0" collapsed="false">
      <c r="A1249" s="6" t="s">
        <v>3176</v>
      </c>
      <c r="B1249" s="6" t="s">
        <v>105</v>
      </c>
      <c r="C1249" s="6" t="s">
        <v>106</v>
      </c>
      <c r="D1249" s="6" t="s">
        <v>146</v>
      </c>
      <c r="E1249" s="6" t="s">
        <v>147</v>
      </c>
      <c r="F1249" s="6" t="s">
        <v>213</v>
      </c>
      <c r="G1249" s="6" t="s">
        <v>689</v>
      </c>
      <c r="H1249" s="6" t="s">
        <v>228</v>
      </c>
      <c r="I1249" s="6" t="s">
        <v>3177</v>
      </c>
      <c r="J1249" s="6" t="s">
        <v>250</v>
      </c>
      <c r="K1249" s="6" t="s">
        <v>3171</v>
      </c>
      <c r="L1249" s="6" t="s">
        <v>205</v>
      </c>
      <c r="M1249" s="6" t="s">
        <v>702</v>
      </c>
      <c r="N1249" s="6" t="s">
        <v>286</v>
      </c>
      <c r="O1249" s="6" t="s">
        <v>3022</v>
      </c>
      <c r="P1249" s="19" t="str">
        <f aca="false">IF(J1249="S0","—",IF(K1249="","",IF(L1249="E0","QM",INDEX(10_ASIL_Matrix!$D$4:$F$15,MATCH(J1249&amp;"-"&amp;L1249,10_ASIL_Matrix!$C$4:$C$15,0),MATCH(N1249,10_ASIL_Matrix!$D$3:$F$3,0)))))</f>
        <v>A</v>
      </c>
      <c r="Q1249" s="6" t="s">
        <v>448</v>
      </c>
    </row>
    <row r="1250" customFormat="false" ht="46.25" hidden="false" customHeight="false" outlineLevel="0" collapsed="false">
      <c r="A1250" s="5" t="s">
        <v>3178</v>
      </c>
      <c r="B1250" s="5" t="s">
        <v>105</v>
      </c>
      <c r="C1250" s="5" t="s">
        <v>106</v>
      </c>
      <c r="D1250" s="5" t="s">
        <v>146</v>
      </c>
      <c r="E1250" s="5" t="s">
        <v>147</v>
      </c>
      <c r="F1250" s="5" t="s">
        <v>213</v>
      </c>
      <c r="G1250" s="5" t="s">
        <v>689</v>
      </c>
      <c r="H1250" s="5" t="s">
        <v>230</v>
      </c>
      <c r="I1250" s="5" t="s">
        <v>3179</v>
      </c>
      <c r="J1250" s="5" t="s">
        <v>250</v>
      </c>
      <c r="K1250" s="5" t="s">
        <v>3171</v>
      </c>
      <c r="L1250" s="5" t="s">
        <v>205</v>
      </c>
      <c r="M1250" s="5" t="s">
        <v>705</v>
      </c>
      <c r="N1250" s="5" t="s">
        <v>290</v>
      </c>
      <c r="O1250" s="5" t="s">
        <v>3031</v>
      </c>
      <c r="P1250" s="18" t="str">
        <f aca="false">IF(J1250="S0","—",IF(K1250="","",IF(L1250="E0","QM",INDEX(10_ASIL_Matrix!$D$4:$F$15,MATCH(J1250&amp;"-"&amp;L1250,10_ASIL_Matrix!$C$4:$C$15,0),MATCH(N1250,10_ASIL_Matrix!$D$3:$F$3,0)))))</f>
        <v>B</v>
      </c>
      <c r="Q1250" s="5" t="s">
        <v>448</v>
      </c>
    </row>
    <row r="1251" customFormat="false" ht="46.25" hidden="false" customHeight="false" outlineLevel="0" collapsed="false">
      <c r="A1251" s="6" t="s">
        <v>3180</v>
      </c>
      <c r="B1251" s="6" t="s">
        <v>105</v>
      </c>
      <c r="C1251" s="6" t="s">
        <v>106</v>
      </c>
      <c r="D1251" s="6" t="s">
        <v>146</v>
      </c>
      <c r="E1251" s="6" t="s">
        <v>147</v>
      </c>
      <c r="F1251" s="6" t="s">
        <v>213</v>
      </c>
      <c r="G1251" s="6" t="s">
        <v>689</v>
      </c>
      <c r="H1251" s="6" t="s">
        <v>232</v>
      </c>
      <c r="I1251" s="6" t="s">
        <v>3181</v>
      </c>
      <c r="J1251" s="6" t="s">
        <v>250</v>
      </c>
      <c r="K1251" s="6" t="s">
        <v>3171</v>
      </c>
      <c r="L1251" s="6" t="s">
        <v>233</v>
      </c>
      <c r="M1251" s="6" t="s">
        <v>709</v>
      </c>
      <c r="N1251" s="6" t="s">
        <v>286</v>
      </c>
      <c r="O1251" s="6" t="s">
        <v>3022</v>
      </c>
      <c r="P1251" s="6" t="str">
        <f aca="false">IF(J1251="S0","—",IF(K1251="","",IF(L1251="E0","QM",INDEX(10_ASIL_Matrix!$D$4:$F$15,MATCH(J1251&amp;"-"&amp;L1251,10_ASIL_Matrix!$C$4:$C$15,0),MATCH(N1251,10_ASIL_Matrix!$D$3:$F$3,0)))))</f>
        <v>QM</v>
      </c>
      <c r="Q1251" s="6" t="s">
        <v>448</v>
      </c>
    </row>
    <row r="1252" customFormat="false" ht="35.05" hidden="false" customHeight="false" outlineLevel="0" collapsed="false">
      <c r="A1252" s="5" t="s">
        <v>3182</v>
      </c>
      <c r="B1252" s="5" t="s">
        <v>105</v>
      </c>
      <c r="C1252" s="5" t="s">
        <v>106</v>
      </c>
      <c r="D1252" s="5" t="s">
        <v>146</v>
      </c>
      <c r="E1252" s="5" t="s">
        <v>147</v>
      </c>
      <c r="F1252" s="5" t="s">
        <v>215</v>
      </c>
      <c r="G1252" s="5" t="s">
        <v>711</v>
      </c>
      <c r="H1252" s="5" t="s">
        <v>222</v>
      </c>
      <c r="I1252" s="5" t="s">
        <v>3183</v>
      </c>
      <c r="J1252" s="5" t="s">
        <v>250</v>
      </c>
      <c r="K1252" s="5" t="s">
        <v>3184</v>
      </c>
      <c r="L1252" s="5" t="s">
        <v>190</v>
      </c>
      <c r="M1252" s="5" t="s">
        <v>714</v>
      </c>
      <c r="N1252" s="5" t="s">
        <v>286</v>
      </c>
      <c r="O1252" s="5" t="s">
        <v>3022</v>
      </c>
      <c r="P1252" s="18" t="str">
        <f aca="false">IF(J1252="S0","—",IF(K1252="","",IF(L1252="E0","QM",INDEX(10_ASIL_Matrix!$D$4:$F$15,MATCH(J1252&amp;"-"&amp;L1252,10_ASIL_Matrix!$C$4:$C$15,0),MATCH(N1252,10_ASIL_Matrix!$D$3:$F$3,0)))))</f>
        <v>B</v>
      </c>
      <c r="Q1252" s="5" t="s">
        <v>448</v>
      </c>
    </row>
    <row r="1253" customFormat="false" ht="35.05" hidden="false" customHeight="false" outlineLevel="0" collapsed="false">
      <c r="A1253" s="6" t="s">
        <v>3185</v>
      </c>
      <c r="B1253" s="6" t="s">
        <v>105</v>
      </c>
      <c r="C1253" s="6" t="s">
        <v>106</v>
      </c>
      <c r="D1253" s="6" t="s">
        <v>146</v>
      </c>
      <c r="E1253" s="6" t="s">
        <v>147</v>
      </c>
      <c r="F1253" s="6" t="s">
        <v>215</v>
      </c>
      <c r="G1253" s="6" t="s">
        <v>711</v>
      </c>
      <c r="H1253" s="6" t="s">
        <v>224</v>
      </c>
      <c r="I1253" s="6" t="s">
        <v>3186</v>
      </c>
      <c r="J1253" s="6" t="s">
        <v>250</v>
      </c>
      <c r="K1253" s="6" t="s">
        <v>3184</v>
      </c>
      <c r="L1253" s="6" t="s">
        <v>190</v>
      </c>
      <c r="M1253" s="6" t="s">
        <v>717</v>
      </c>
      <c r="N1253" s="6" t="s">
        <v>286</v>
      </c>
      <c r="O1253" s="6" t="s">
        <v>3022</v>
      </c>
      <c r="P1253" s="18" t="str">
        <f aca="false">IF(J1253="S0","—",IF(K1253="","",IF(L1253="E0","QM",INDEX(10_ASIL_Matrix!$D$4:$F$15,MATCH(J1253&amp;"-"&amp;L1253,10_ASIL_Matrix!$C$4:$C$15,0),MATCH(N1253,10_ASIL_Matrix!$D$3:$F$3,0)))))</f>
        <v>B</v>
      </c>
      <c r="Q1253" s="6" t="s">
        <v>448</v>
      </c>
    </row>
    <row r="1254" customFormat="false" ht="35.05" hidden="false" customHeight="false" outlineLevel="0" collapsed="false">
      <c r="A1254" s="5" t="s">
        <v>3187</v>
      </c>
      <c r="B1254" s="5" t="s">
        <v>105</v>
      </c>
      <c r="C1254" s="5" t="s">
        <v>106</v>
      </c>
      <c r="D1254" s="5" t="s">
        <v>146</v>
      </c>
      <c r="E1254" s="5" t="s">
        <v>147</v>
      </c>
      <c r="F1254" s="5" t="s">
        <v>215</v>
      </c>
      <c r="G1254" s="5" t="s">
        <v>711</v>
      </c>
      <c r="H1254" s="5" t="s">
        <v>226</v>
      </c>
      <c r="I1254" s="5" t="s">
        <v>3188</v>
      </c>
      <c r="J1254" s="5" t="s">
        <v>250</v>
      </c>
      <c r="K1254" s="5" t="s">
        <v>3184</v>
      </c>
      <c r="L1254" s="5" t="s">
        <v>190</v>
      </c>
      <c r="M1254" s="5" t="s">
        <v>720</v>
      </c>
      <c r="N1254" s="5" t="s">
        <v>286</v>
      </c>
      <c r="O1254" s="5" t="s">
        <v>3022</v>
      </c>
      <c r="P1254" s="18" t="str">
        <f aca="false">IF(J1254="S0","—",IF(K1254="","",IF(L1254="E0","QM",INDEX(10_ASIL_Matrix!$D$4:$F$15,MATCH(J1254&amp;"-"&amp;L1254,10_ASIL_Matrix!$C$4:$C$15,0),MATCH(N1254,10_ASIL_Matrix!$D$3:$F$3,0)))))</f>
        <v>B</v>
      </c>
      <c r="Q1254" s="5" t="s">
        <v>448</v>
      </c>
    </row>
    <row r="1255" customFormat="false" ht="35.05" hidden="false" customHeight="false" outlineLevel="0" collapsed="false">
      <c r="A1255" s="6" t="s">
        <v>3189</v>
      </c>
      <c r="B1255" s="6" t="s">
        <v>105</v>
      </c>
      <c r="C1255" s="6" t="s">
        <v>106</v>
      </c>
      <c r="D1255" s="6" t="s">
        <v>146</v>
      </c>
      <c r="E1255" s="6" t="s">
        <v>147</v>
      </c>
      <c r="F1255" s="6" t="s">
        <v>215</v>
      </c>
      <c r="G1255" s="6" t="s">
        <v>711</v>
      </c>
      <c r="H1255" s="6" t="s">
        <v>228</v>
      </c>
      <c r="I1255" s="6" t="s">
        <v>3190</v>
      </c>
      <c r="J1255" s="6" t="s">
        <v>250</v>
      </c>
      <c r="K1255" s="6" t="s">
        <v>3184</v>
      </c>
      <c r="L1255" s="6" t="s">
        <v>205</v>
      </c>
      <c r="M1255" s="6" t="s">
        <v>723</v>
      </c>
      <c r="N1255" s="6" t="s">
        <v>286</v>
      </c>
      <c r="O1255" s="6" t="s">
        <v>3022</v>
      </c>
      <c r="P1255" s="19" t="str">
        <f aca="false">IF(J1255="S0","—",IF(K1255="","",IF(L1255="E0","QM",INDEX(10_ASIL_Matrix!$D$4:$F$15,MATCH(J1255&amp;"-"&amp;L1255,10_ASIL_Matrix!$C$4:$C$15,0),MATCH(N1255,10_ASIL_Matrix!$D$3:$F$3,0)))))</f>
        <v>A</v>
      </c>
      <c r="Q1255" s="6" t="s">
        <v>448</v>
      </c>
    </row>
    <row r="1256" customFormat="false" ht="35.05" hidden="false" customHeight="false" outlineLevel="0" collapsed="false">
      <c r="A1256" s="5" t="s">
        <v>3191</v>
      </c>
      <c r="B1256" s="5" t="s">
        <v>105</v>
      </c>
      <c r="C1256" s="5" t="s">
        <v>106</v>
      </c>
      <c r="D1256" s="5" t="s">
        <v>146</v>
      </c>
      <c r="E1256" s="5" t="s">
        <v>147</v>
      </c>
      <c r="F1256" s="5" t="s">
        <v>215</v>
      </c>
      <c r="G1256" s="5" t="s">
        <v>711</v>
      </c>
      <c r="H1256" s="5" t="s">
        <v>230</v>
      </c>
      <c r="I1256" s="5" t="s">
        <v>3192</v>
      </c>
      <c r="J1256" s="5" t="s">
        <v>250</v>
      </c>
      <c r="K1256" s="5" t="s">
        <v>3184</v>
      </c>
      <c r="L1256" s="5" t="s">
        <v>205</v>
      </c>
      <c r="M1256" s="5" t="s">
        <v>726</v>
      </c>
      <c r="N1256" s="5" t="s">
        <v>290</v>
      </c>
      <c r="O1256" s="5" t="s">
        <v>3031</v>
      </c>
      <c r="P1256" s="18" t="str">
        <f aca="false">IF(J1256="S0","—",IF(K1256="","",IF(L1256="E0","QM",INDEX(10_ASIL_Matrix!$D$4:$F$15,MATCH(J1256&amp;"-"&amp;L1256,10_ASIL_Matrix!$C$4:$C$15,0),MATCH(N1256,10_ASIL_Matrix!$D$3:$F$3,0)))))</f>
        <v>B</v>
      </c>
      <c r="Q1256" s="5" t="s">
        <v>448</v>
      </c>
    </row>
    <row r="1257" customFormat="false" ht="46.25" hidden="false" customHeight="false" outlineLevel="0" collapsed="false">
      <c r="A1257" s="6" t="s">
        <v>3193</v>
      </c>
      <c r="B1257" s="6" t="s">
        <v>105</v>
      </c>
      <c r="C1257" s="6" t="s">
        <v>106</v>
      </c>
      <c r="D1257" s="6" t="s">
        <v>146</v>
      </c>
      <c r="E1257" s="6" t="s">
        <v>147</v>
      </c>
      <c r="F1257" s="6" t="s">
        <v>215</v>
      </c>
      <c r="G1257" s="6" t="s">
        <v>711</v>
      </c>
      <c r="H1257" s="6" t="s">
        <v>232</v>
      </c>
      <c r="I1257" s="6" t="s">
        <v>3194</v>
      </c>
      <c r="J1257" s="6" t="s">
        <v>250</v>
      </c>
      <c r="K1257" s="6" t="s">
        <v>3184</v>
      </c>
      <c r="L1257" s="6" t="s">
        <v>233</v>
      </c>
      <c r="M1257" s="6" t="s">
        <v>729</v>
      </c>
      <c r="N1257" s="6" t="s">
        <v>286</v>
      </c>
      <c r="O1257" s="6" t="s">
        <v>3022</v>
      </c>
      <c r="P1257" s="6" t="str">
        <f aca="false">IF(J1257="S0","—",IF(K1257="","",IF(L1257="E0","QM",INDEX(10_ASIL_Matrix!$D$4:$F$15,MATCH(J1257&amp;"-"&amp;L1257,10_ASIL_Matrix!$C$4:$C$15,0),MATCH(N1257,10_ASIL_Matrix!$D$3:$F$3,0)))))</f>
        <v>QM</v>
      </c>
      <c r="Q1257" s="6" t="s">
        <v>448</v>
      </c>
    </row>
    <row r="1258" customFormat="false" ht="35.05" hidden="false" customHeight="false" outlineLevel="0" collapsed="false">
      <c r="A1258" s="5" t="s">
        <v>3195</v>
      </c>
      <c r="B1258" s="5" t="s">
        <v>105</v>
      </c>
      <c r="C1258" s="5" t="s">
        <v>106</v>
      </c>
      <c r="D1258" s="5" t="s">
        <v>146</v>
      </c>
      <c r="E1258" s="5" t="s">
        <v>147</v>
      </c>
      <c r="F1258" s="5" t="s">
        <v>217</v>
      </c>
      <c r="G1258" s="5" t="s">
        <v>488</v>
      </c>
      <c r="H1258" s="5" t="s">
        <v>222</v>
      </c>
      <c r="I1258" s="5" t="s">
        <v>3196</v>
      </c>
      <c r="J1258" s="5" t="s">
        <v>250</v>
      </c>
      <c r="K1258" s="5" t="s">
        <v>3197</v>
      </c>
      <c r="L1258" s="5" t="s">
        <v>190</v>
      </c>
      <c r="M1258" s="5" t="s">
        <v>733</v>
      </c>
      <c r="N1258" s="5" t="s">
        <v>286</v>
      </c>
      <c r="O1258" s="5" t="s">
        <v>3022</v>
      </c>
      <c r="P1258" s="18" t="str">
        <f aca="false">IF(J1258="S0","—",IF(K1258="","",IF(L1258="E0","QM",INDEX(10_ASIL_Matrix!$D$4:$F$15,MATCH(J1258&amp;"-"&amp;L1258,10_ASIL_Matrix!$C$4:$C$15,0),MATCH(N1258,10_ASIL_Matrix!$D$3:$F$3,0)))))</f>
        <v>B</v>
      </c>
      <c r="Q1258" s="5" t="s">
        <v>448</v>
      </c>
    </row>
    <row r="1259" customFormat="false" ht="35.05" hidden="false" customHeight="false" outlineLevel="0" collapsed="false">
      <c r="A1259" s="6" t="s">
        <v>3198</v>
      </c>
      <c r="B1259" s="6" t="s">
        <v>105</v>
      </c>
      <c r="C1259" s="6" t="s">
        <v>106</v>
      </c>
      <c r="D1259" s="6" t="s">
        <v>146</v>
      </c>
      <c r="E1259" s="6" t="s">
        <v>147</v>
      </c>
      <c r="F1259" s="6" t="s">
        <v>217</v>
      </c>
      <c r="G1259" s="6" t="s">
        <v>488</v>
      </c>
      <c r="H1259" s="6" t="s">
        <v>224</v>
      </c>
      <c r="I1259" s="6" t="s">
        <v>3199</v>
      </c>
      <c r="J1259" s="6" t="s">
        <v>250</v>
      </c>
      <c r="K1259" s="6" t="s">
        <v>3197</v>
      </c>
      <c r="L1259" s="6" t="s">
        <v>190</v>
      </c>
      <c r="M1259" s="6" t="s">
        <v>736</v>
      </c>
      <c r="N1259" s="6" t="s">
        <v>286</v>
      </c>
      <c r="O1259" s="6" t="s">
        <v>3022</v>
      </c>
      <c r="P1259" s="18" t="str">
        <f aca="false">IF(J1259="S0","—",IF(K1259="","",IF(L1259="E0","QM",INDEX(10_ASIL_Matrix!$D$4:$F$15,MATCH(J1259&amp;"-"&amp;L1259,10_ASIL_Matrix!$C$4:$C$15,0),MATCH(N1259,10_ASIL_Matrix!$D$3:$F$3,0)))))</f>
        <v>B</v>
      </c>
      <c r="Q1259" s="6" t="s">
        <v>448</v>
      </c>
    </row>
    <row r="1260" customFormat="false" ht="35.05" hidden="false" customHeight="false" outlineLevel="0" collapsed="false">
      <c r="A1260" s="5" t="s">
        <v>3200</v>
      </c>
      <c r="B1260" s="5" t="s">
        <v>105</v>
      </c>
      <c r="C1260" s="5" t="s">
        <v>106</v>
      </c>
      <c r="D1260" s="5" t="s">
        <v>146</v>
      </c>
      <c r="E1260" s="5" t="s">
        <v>147</v>
      </c>
      <c r="F1260" s="5" t="s">
        <v>217</v>
      </c>
      <c r="G1260" s="5" t="s">
        <v>488</v>
      </c>
      <c r="H1260" s="5" t="s">
        <v>226</v>
      </c>
      <c r="I1260" s="5" t="s">
        <v>3201</v>
      </c>
      <c r="J1260" s="5" t="s">
        <v>250</v>
      </c>
      <c r="K1260" s="5" t="s">
        <v>3197</v>
      </c>
      <c r="L1260" s="5" t="s">
        <v>190</v>
      </c>
      <c r="M1260" s="5" t="s">
        <v>739</v>
      </c>
      <c r="N1260" s="5" t="s">
        <v>286</v>
      </c>
      <c r="O1260" s="5" t="s">
        <v>3022</v>
      </c>
      <c r="P1260" s="18" t="str">
        <f aca="false">IF(J1260="S0","—",IF(K1260="","",IF(L1260="E0","QM",INDEX(10_ASIL_Matrix!$D$4:$F$15,MATCH(J1260&amp;"-"&amp;L1260,10_ASIL_Matrix!$C$4:$C$15,0),MATCH(N1260,10_ASIL_Matrix!$D$3:$F$3,0)))))</f>
        <v>B</v>
      </c>
      <c r="Q1260" s="5" t="s">
        <v>448</v>
      </c>
    </row>
    <row r="1261" customFormat="false" ht="35.05" hidden="false" customHeight="false" outlineLevel="0" collapsed="false">
      <c r="A1261" s="6" t="s">
        <v>3202</v>
      </c>
      <c r="B1261" s="6" t="s">
        <v>105</v>
      </c>
      <c r="C1261" s="6" t="s">
        <v>106</v>
      </c>
      <c r="D1261" s="6" t="s">
        <v>146</v>
      </c>
      <c r="E1261" s="6" t="s">
        <v>147</v>
      </c>
      <c r="F1261" s="6" t="s">
        <v>217</v>
      </c>
      <c r="G1261" s="6" t="s">
        <v>488</v>
      </c>
      <c r="H1261" s="6" t="s">
        <v>228</v>
      </c>
      <c r="I1261" s="6" t="s">
        <v>3203</v>
      </c>
      <c r="J1261" s="6" t="s">
        <v>250</v>
      </c>
      <c r="K1261" s="6" t="s">
        <v>3197</v>
      </c>
      <c r="L1261" s="6" t="s">
        <v>205</v>
      </c>
      <c r="M1261" s="6" t="s">
        <v>742</v>
      </c>
      <c r="N1261" s="6" t="s">
        <v>286</v>
      </c>
      <c r="O1261" s="6" t="s">
        <v>3022</v>
      </c>
      <c r="P1261" s="19" t="str">
        <f aca="false">IF(J1261="S0","—",IF(K1261="","",IF(L1261="E0","QM",INDEX(10_ASIL_Matrix!$D$4:$F$15,MATCH(J1261&amp;"-"&amp;L1261,10_ASIL_Matrix!$C$4:$C$15,0),MATCH(N1261,10_ASIL_Matrix!$D$3:$F$3,0)))))</f>
        <v>A</v>
      </c>
      <c r="Q1261" s="6" t="s">
        <v>448</v>
      </c>
    </row>
    <row r="1262" customFormat="false" ht="35.05" hidden="false" customHeight="false" outlineLevel="0" collapsed="false">
      <c r="A1262" s="5" t="s">
        <v>3204</v>
      </c>
      <c r="B1262" s="5" t="s">
        <v>105</v>
      </c>
      <c r="C1262" s="5" t="s">
        <v>106</v>
      </c>
      <c r="D1262" s="5" t="s">
        <v>146</v>
      </c>
      <c r="E1262" s="5" t="s">
        <v>147</v>
      </c>
      <c r="F1262" s="5" t="s">
        <v>217</v>
      </c>
      <c r="G1262" s="5" t="s">
        <v>488</v>
      </c>
      <c r="H1262" s="5" t="s">
        <v>230</v>
      </c>
      <c r="I1262" s="5" t="s">
        <v>3205</v>
      </c>
      <c r="J1262" s="5" t="s">
        <v>250</v>
      </c>
      <c r="K1262" s="5" t="s">
        <v>3197</v>
      </c>
      <c r="L1262" s="5" t="s">
        <v>205</v>
      </c>
      <c r="M1262" s="5" t="s">
        <v>745</v>
      </c>
      <c r="N1262" s="5" t="s">
        <v>290</v>
      </c>
      <c r="O1262" s="5" t="s">
        <v>3031</v>
      </c>
      <c r="P1262" s="18" t="str">
        <f aca="false">IF(J1262="S0","—",IF(K1262="","",IF(L1262="E0","QM",INDEX(10_ASIL_Matrix!$D$4:$F$15,MATCH(J1262&amp;"-"&amp;L1262,10_ASIL_Matrix!$C$4:$C$15,0),MATCH(N1262,10_ASIL_Matrix!$D$3:$F$3,0)))))</f>
        <v>B</v>
      </c>
      <c r="Q1262" s="5" t="s">
        <v>448</v>
      </c>
    </row>
    <row r="1263" customFormat="false" ht="46.25" hidden="false" customHeight="false" outlineLevel="0" collapsed="false">
      <c r="A1263" s="6" t="s">
        <v>3206</v>
      </c>
      <c r="B1263" s="6" t="s">
        <v>105</v>
      </c>
      <c r="C1263" s="6" t="s">
        <v>106</v>
      </c>
      <c r="D1263" s="6" t="s">
        <v>146</v>
      </c>
      <c r="E1263" s="6" t="s">
        <v>147</v>
      </c>
      <c r="F1263" s="6" t="s">
        <v>217</v>
      </c>
      <c r="G1263" s="6" t="s">
        <v>488</v>
      </c>
      <c r="H1263" s="6" t="s">
        <v>232</v>
      </c>
      <c r="I1263" s="6" t="s">
        <v>3207</v>
      </c>
      <c r="J1263" s="6" t="s">
        <v>250</v>
      </c>
      <c r="K1263" s="6" t="s">
        <v>3197</v>
      </c>
      <c r="L1263" s="6" t="s">
        <v>233</v>
      </c>
      <c r="M1263" s="6" t="s">
        <v>748</v>
      </c>
      <c r="N1263" s="6" t="s">
        <v>286</v>
      </c>
      <c r="O1263" s="6" t="s">
        <v>3022</v>
      </c>
      <c r="P1263" s="6" t="str">
        <f aca="false">IF(J1263="S0","—",IF(K1263="","",IF(L1263="E0","QM",INDEX(10_ASIL_Matrix!$D$4:$F$15,MATCH(J1263&amp;"-"&amp;L1263,10_ASIL_Matrix!$C$4:$C$15,0),MATCH(N1263,10_ASIL_Matrix!$D$3:$F$3,0)))))</f>
        <v>QM</v>
      </c>
      <c r="Q1263" s="6" t="s">
        <v>448</v>
      </c>
    </row>
    <row r="1264" customFormat="false" ht="35.05" hidden="false" customHeight="false" outlineLevel="0" collapsed="false">
      <c r="A1264" s="5" t="s">
        <v>3208</v>
      </c>
      <c r="B1264" s="5" t="s">
        <v>105</v>
      </c>
      <c r="C1264" s="5" t="s">
        <v>106</v>
      </c>
      <c r="D1264" s="5" t="s">
        <v>149</v>
      </c>
      <c r="E1264" s="5" t="s">
        <v>150</v>
      </c>
      <c r="F1264" s="5" t="s">
        <v>186</v>
      </c>
      <c r="G1264" s="5" t="s">
        <v>443</v>
      </c>
      <c r="H1264" s="5" t="s">
        <v>222</v>
      </c>
      <c r="I1264" s="5" t="s">
        <v>3209</v>
      </c>
      <c r="J1264" s="5" t="s">
        <v>246</v>
      </c>
      <c r="K1264" s="5" t="s">
        <v>3006</v>
      </c>
      <c r="L1264" s="5" t="s">
        <v>187</v>
      </c>
      <c r="M1264" s="5" t="s">
        <v>446</v>
      </c>
      <c r="N1264" s="5" t="s">
        <v>282</v>
      </c>
      <c r="O1264" s="5" t="s">
        <v>3007</v>
      </c>
      <c r="P1264" s="19" t="str">
        <f aca="false">IF(J1264="S0","—",IF(K1264="","",IF(L1264="E0","QM",INDEX(10_ASIL_Matrix!$D$4:$F$15,MATCH(J1264&amp;"-"&amp;L1264,10_ASIL_Matrix!$C$4:$C$15,0),MATCH(N1264,10_ASIL_Matrix!$D$3:$F$3,0)))))</f>
        <v>A</v>
      </c>
      <c r="Q1264" s="5" t="s">
        <v>448</v>
      </c>
    </row>
    <row r="1265" customFormat="false" ht="35.05" hidden="false" customHeight="false" outlineLevel="0" collapsed="false">
      <c r="A1265" s="6" t="s">
        <v>3210</v>
      </c>
      <c r="B1265" s="6" t="s">
        <v>105</v>
      </c>
      <c r="C1265" s="6" t="s">
        <v>106</v>
      </c>
      <c r="D1265" s="6" t="s">
        <v>149</v>
      </c>
      <c r="E1265" s="6" t="s">
        <v>150</v>
      </c>
      <c r="F1265" s="6" t="s">
        <v>186</v>
      </c>
      <c r="G1265" s="6" t="s">
        <v>443</v>
      </c>
      <c r="H1265" s="6" t="s">
        <v>224</v>
      </c>
      <c r="I1265" s="6" t="s">
        <v>3211</v>
      </c>
      <c r="J1265" s="6" t="s">
        <v>246</v>
      </c>
      <c r="K1265" s="6" t="s">
        <v>3006</v>
      </c>
      <c r="L1265" s="6" t="s">
        <v>190</v>
      </c>
      <c r="M1265" s="6" t="s">
        <v>451</v>
      </c>
      <c r="N1265" s="6" t="s">
        <v>282</v>
      </c>
      <c r="O1265" s="6" t="s">
        <v>3007</v>
      </c>
      <c r="P1265" s="6" t="str">
        <f aca="false">IF(J1265="S0","—",IF(K1265="","",IF(L1265="E0","QM",INDEX(10_ASIL_Matrix!$D$4:$F$15,MATCH(J1265&amp;"-"&amp;L1265,10_ASIL_Matrix!$C$4:$C$15,0),MATCH(N1265,10_ASIL_Matrix!$D$3:$F$3,0)))))</f>
        <v>QM</v>
      </c>
      <c r="Q1265" s="6" t="s">
        <v>448</v>
      </c>
    </row>
    <row r="1266" customFormat="false" ht="35.05" hidden="false" customHeight="false" outlineLevel="0" collapsed="false">
      <c r="A1266" s="5" t="s">
        <v>3212</v>
      </c>
      <c r="B1266" s="5" t="s">
        <v>105</v>
      </c>
      <c r="C1266" s="5" t="s">
        <v>106</v>
      </c>
      <c r="D1266" s="5" t="s">
        <v>149</v>
      </c>
      <c r="E1266" s="5" t="s">
        <v>150</v>
      </c>
      <c r="F1266" s="5" t="s">
        <v>186</v>
      </c>
      <c r="G1266" s="5" t="s">
        <v>443</v>
      </c>
      <c r="H1266" s="5" t="s">
        <v>226</v>
      </c>
      <c r="I1266" s="5" t="s">
        <v>3213</v>
      </c>
      <c r="J1266" s="5" t="s">
        <v>246</v>
      </c>
      <c r="K1266" s="5" t="s">
        <v>3006</v>
      </c>
      <c r="L1266" s="5" t="s">
        <v>190</v>
      </c>
      <c r="M1266" s="5" t="s">
        <v>454</v>
      </c>
      <c r="N1266" s="5" t="s">
        <v>282</v>
      </c>
      <c r="O1266" s="5" t="s">
        <v>3007</v>
      </c>
      <c r="P1266" s="5" t="str">
        <f aca="false">IF(J1266="S0","—",IF(K1266="","",IF(L1266="E0","QM",INDEX(10_ASIL_Matrix!$D$4:$F$15,MATCH(J1266&amp;"-"&amp;L1266,10_ASIL_Matrix!$C$4:$C$15,0),MATCH(N1266,10_ASIL_Matrix!$D$3:$F$3,0)))))</f>
        <v>QM</v>
      </c>
      <c r="Q1266" s="5" t="s">
        <v>448</v>
      </c>
    </row>
    <row r="1267" customFormat="false" ht="35.05" hidden="false" customHeight="false" outlineLevel="0" collapsed="false">
      <c r="A1267" s="6" t="s">
        <v>3214</v>
      </c>
      <c r="B1267" s="6" t="s">
        <v>105</v>
      </c>
      <c r="C1267" s="6" t="s">
        <v>106</v>
      </c>
      <c r="D1267" s="6" t="s">
        <v>149</v>
      </c>
      <c r="E1267" s="6" t="s">
        <v>150</v>
      </c>
      <c r="F1267" s="6" t="s">
        <v>186</v>
      </c>
      <c r="G1267" s="6" t="s">
        <v>443</v>
      </c>
      <c r="H1267" s="6" t="s">
        <v>228</v>
      </c>
      <c r="I1267" s="6" t="s">
        <v>3215</v>
      </c>
      <c r="J1267" s="6" t="s">
        <v>246</v>
      </c>
      <c r="K1267" s="6" t="s">
        <v>3006</v>
      </c>
      <c r="L1267" s="6" t="s">
        <v>205</v>
      </c>
      <c r="M1267" s="6" t="s">
        <v>457</v>
      </c>
      <c r="N1267" s="6" t="s">
        <v>282</v>
      </c>
      <c r="O1267" s="6" t="s">
        <v>3007</v>
      </c>
      <c r="P1267" s="6" t="str">
        <f aca="false">IF(J1267="S0","—",IF(K1267="","",IF(L1267="E0","QM",INDEX(10_ASIL_Matrix!$D$4:$F$15,MATCH(J1267&amp;"-"&amp;L1267,10_ASIL_Matrix!$C$4:$C$15,0),MATCH(N1267,10_ASIL_Matrix!$D$3:$F$3,0)))))</f>
        <v>QM</v>
      </c>
      <c r="Q1267" s="6" t="s">
        <v>448</v>
      </c>
    </row>
    <row r="1268" customFormat="false" ht="35.05" hidden="false" customHeight="false" outlineLevel="0" collapsed="false">
      <c r="A1268" s="5" t="s">
        <v>3216</v>
      </c>
      <c r="B1268" s="5" t="s">
        <v>105</v>
      </c>
      <c r="C1268" s="5" t="s">
        <v>106</v>
      </c>
      <c r="D1268" s="5" t="s">
        <v>149</v>
      </c>
      <c r="E1268" s="5" t="s">
        <v>150</v>
      </c>
      <c r="F1268" s="5" t="s">
        <v>186</v>
      </c>
      <c r="G1268" s="5" t="s">
        <v>443</v>
      </c>
      <c r="H1268" s="5" t="s">
        <v>230</v>
      </c>
      <c r="I1268" s="5" t="s">
        <v>3217</v>
      </c>
      <c r="J1268" s="5" t="s">
        <v>246</v>
      </c>
      <c r="K1268" s="5" t="s">
        <v>3006</v>
      </c>
      <c r="L1268" s="5" t="s">
        <v>205</v>
      </c>
      <c r="M1268" s="5" t="s">
        <v>460</v>
      </c>
      <c r="N1268" s="5" t="s">
        <v>286</v>
      </c>
      <c r="O1268" s="5" t="s">
        <v>3016</v>
      </c>
      <c r="P1268" s="5" t="str">
        <f aca="false">IF(J1268="S0","—",IF(K1268="","",IF(L1268="E0","QM",INDEX(10_ASIL_Matrix!$D$4:$F$15,MATCH(J1268&amp;"-"&amp;L1268,10_ASIL_Matrix!$C$4:$C$15,0),MATCH(N1268,10_ASIL_Matrix!$D$3:$F$3,0)))))</f>
        <v>QM</v>
      </c>
      <c r="Q1268" s="5" t="s">
        <v>448</v>
      </c>
    </row>
    <row r="1269" customFormat="false" ht="46.25" hidden="false" customHeight="false" outlineLevel="0" collapsed="false">
      <c r="A1269" s="6" t="s">
        <v>3218</v>
      </c>
      <c r="B1269" s="6" t="s">
        <v>105</v>
      </c>
      <c r="C1269" s="6" t="s">
        <v>106</v>
      </c>
      <c r="D1269" s="6" t="s">
        <v>149</v>
      </c>
      <c r="E1269" s="6" t="s">
        <v>150</v>
      </c>
      <c r="F1269" s="6" t="s">
        <v>186</v>
      </c>
      <c r="G1269" s="6" t="s">
        <v>443</v>
      </c>
      <c r="H1269" s="6" t="s">
        <v>232</v>
      </c>
      <c r="I1269" s="6" t="s">
        <v>3219</v>
      </c>
      <c r="J1269" s="6" t="s">
        <v>246</v>
      </c>
      <c r="K1269" s="6" t="s">
        <v>3006</v>
      </c>
      <c r="L1269" s="6" t="s">
        <v>233</v>
      </c>
      <c r="M1269" s="6" t="s">
        <v>464</v>
      </c>
      <c r="N1269" s="6" t="s">
        <v>282</v>
      </c>
      <c r="O1269" s="6" t="s">
        <v>3007</v>
      </c>
      <c r="P1269" s="6" t="str">
        <f aca="false">IF(J1269="S0","—",IF(K1269="","",IF(L1269="E0","QM",INDEX(10_ASIL_Matrix!$D$4:$F$15,MATCH(J1269&amp;"-"&amp;L1269,10_ASIL_Matrix!$C$4:$C$15,0),MATCH(N1269,10_ASIL_Matrix!$D$3:$F$3,0)))))</f>
        <v>QM</v>
      </c>
      <c r="Q1269" s="6" t="s">
        <v>448</v>
      </c>
    </row>
    <row r="1270" customFormat="false" ht="35.05" hidden="false" customHeight="false" outlineLevel="0" collapsed="false">
      <c r="A1270" s="5" t="s">
        <v>3220</v>
      </c>
      <c r="B1270" s="5" t="s">
        <v>105</v>
      </c>
      <c r="C1270" s="5" t="s">
        <v>106</v>
      </c>
      <c r="D1270" s="5" t="s">
        <v>149</v>
      </c>
      <c r="E1270" s="5" t="s">
        <v>150</v>
      </c>
      <c r="F1270" s="5" t="s">
        <v>189</v>
      </c>
      <c r="G1270" s="5" t="s">
        <v>466</v>
      </c>
      <c r="H1270" s="5" t="s">
        <v>222</v>
      </c>
      <c r="I1270" s="5" t="s">
        <v>3221</v>
      </c>
      <c r="J1270" s="5" t="s">
        <v>250</v>
      </c>
      <c r="K1270" s="5" t="s">
        <v>3021</v>
      </c>
      <c r="L1270" s="5" t="s">
        <v>190</v>
      </c>
      <c r="M1270" s="5" t="s">
        <v>469</v>
      </c>
      <c r="N1270" s="5" t="s">
        <v>286</v>
      </c>
      <c r="O1270" s="5" t="s">
        <v>3022</v>
      </c>
      <c r="P1270" s="18" t="str">
        <f aca="false">IF(J1270="S0","—",IF(K1270="","",IF(L1270="E0","QM",INDEX(10_ASIL_Matrix!$D$4:$F$15,MATCH(J1270&amp;"-"&amp;L1270,10_ASIL_Matrix!$C$4:$C$15,0),MATCH(N1270,10_ASIL_Matrix!$D$3:$F$3,0)))))</f>
        <v>B</v>
      </c>
      <c r="Q1270" s="5" t="s">
        <v>448</v>
      </c>
    </row>
    <row r="1271" customFormat="false" ht="35.05" hidden="false" customHeight="false" outlineLevel="0" collapsed="false">
      <c r="A1271" s="6" t="s">
        <v>3222</v>
      </c>
      <c r="B1271" s="6" t="s">
        <v>105</v>
      </c>
      <c r="C1271" s="6" t="s">
        <v>106</v>
      </c>
      <c r="D1271" s="6" t="s">
        <v>149</v>
      </c>
      <c r="E1271" s="6" t="s">
        <v>150</v>
      </c>
      <c r="F1271" s="6" t="s">
        <v>189</v>
      </c>
      <c r="G1271" s="6" t="s">
        <v>466</v>
      </c>
      <c r="H1271" s="6" t="s">
        <v>224</v>
      </c>
      <c r="I1271" s="6" t="s">
        <v>3223</v>
      </c>
      <c r="J1271" s="6" t="s">
        <v>250</v>
      </c>
      <c r="K1271" s="6" t="s">
        <v>3021</v>
      </c>
      <c r="L1271" s="6" t="s">
        <v>190</v>
      </c>
      <c r="M1271" s="6" t="s">
        <v>473</v>
      </c>
      <c r="N1271" s="6" t="s">
        <v>286</v>
      </c>
      <c r="O1271" s="6" t="s">
        <v>3022</v>
      </c>
      <c r="P1271" s="18" t="str">
        <f aca="false">IF(J1271="S0","—",IF(K1271="","",IF(L1271="E0","QM",INDEX(10_ASIL_Matrix!$D$4:$F$15,MATCH(J1271&amp;"-"&amp;L1271,10_ASIL_Matrix!$C$4:$C$15,0),MATCH(N1271,10_ASIL_Matrix!$D$3:$F$3,0)))))</f>
        <v>B</v>
      </c>
      <c r="Q1271" s="6" t="s">
        <v>448</v>
      </c>
    </row>
    <row r="1272" customFormat="false" ht="35.05" hidden="false" customHeight="false" outlineLevel="0" collapsed="false">
      <c r="A1272" s="5" t="s">
        <v>3224</v>
      </c>
      <c r="B1272" s="5" t="s">
        <v>105</v>
      </c>
      <c r="C1272" s="5" t="s">
        <v>106</v>
      </c>
      <c r="D1272" s="5" t="s">
        <v>149</v>
      </c>
      <c r="E1272" s="5" t="s">
        <v>150</v>
      </c>
      <c r="F1272" s="5" t="s">
        <v>189</v>
      </c>
      <c r="G1272" s="5" t="s">
        <v>466</v>
      </c>
      <c r="H1272" s="5" t="s">
        <v>226</v>
      </c>
      <c r="I1272" s="5" t="s">
        <v>3225</v>
      </c>
      <c r="J1272" s="5" t="s">
        <v>250</v>
      </c>
      <c r="K1272" s="5" t="s">
        <v>3021</v>
      </c>
      <c r="L1272" s="5" t="s">
        <v>190</v>
      </c>
      <c r="M1272" s="5" t="s">
        <v>476</v>
      </c>
      <c r="N1272" s="5" t="s">
        <v>286</v>
      </c>
      <c r="O1272" s="5" t="s">
        <v>3022</v>
      </c>
      <c r="P1272" s="18" t="str">
        <f aca="false">IF(J1272="S0","—",IF(K1272="","",IF(L1272="E0","QM",INDEX(10_ASIL_Matrix!$D$4:$F$15,MATCH(J1272&amp;"-"&amp;L1272,10_ASIL_Matrix!$C$4:$C$15,0),MATCH(N1272,10_ASIL_Matrix!$D$3:$F$3,0)))))</f>
        <v>B</v>
      </c>
      <c r="Q1272" s="5" t="s">
        <v>448</v>
      </c>
    </row>
    <row r="1273" customFormat="false" ht="35.05" hidden="false" customHeight="false" outlineLevel="0" collapsed="false">
      <c r="A1273" s="6" t="s">
        <v>3226</v>
      </c>
      <c r="B1273" s="6" t="s">
        <v>105</v>
      </c>
      <c r="C1273" s="6" t="s">
        <v>106</v>
      </c>
      <c r="D1273" s="6" t="s">
        <v>149</v>
      </c>
      <c r="E1273" s="6" t="s">
        <v>150</v>
      </c>
      <c r="F1273" s="6" t="s">
        <v>189</v>
      </c>
      <c r="G1273" s="6" t="s">
        <v>466</v>
      </c>
      <c r="H1273" s="6" t="s">
        <v>228</v>
      </c>
      <c r="I1273" s="6" t="s">
        <v>3227</v>
      </c>
      <c r="J1273" s="6" t="s">
        <v>250</v>
      </c>
      <c r="K1273" s="6" t="s">
        <v>3021</v>
      </c>
      <c r="L1273" s="6" t="s">
        <v>205</v>
      </c>
      <c r="M1273" s="6" t="s">
        <v>479</v>
      </c>
      <c r="N1273" s="6" t="s">
        <v>286</v>
      </c>
      <c r="O1273" s="6" t="s">
        <v>3022</v>
      </c>
      <c r="P1273" s="19" t="str">
        <f aca="false">IF(J1273="S0","—",IF(K1273="","",IF(L1273="E0","QM",INDEX(10_ASIL_Matrix!$D$4:$F$15,MATCH(J1273&amp;"-"&amp;L1273,10_ASIL_Matrix!$C$4:$C$15,0),MATCH(N1273,10_ASIL_Matrix!$D$3:$F$3,0)))))</f>
        <v>A</v>
      </c>
      <c r="Q1273" s="6" t="s">
        <v>448</v>
      </c>
    </row>
    <row r="1274" customFormat="false" ht="35.05" hidden="false" customHeight="false" outlineLevel="0" collapsed="false">
      <c r="A1274" s="5" t="s">
        <v>3228</v>
      </c>
      <c r="B1274" s="5" t="s">
        <v>105</v>
      </c>
      <c r="C1274" s="5" t="s">
        <v>106</v>
      </c>
      <c r="D1274" s="5" t="s">
        <v>149</v>
      </c>
      <c r="E1274" s="5" t="s">
        <v>150</v>
      </c>
      <c r="F1274" s="5" t="s">
        <v>189</v>
      </c>
      <c r="G1274" s="5" t="s">
        <v>466</v>
      </c>
      <c r="H1274" s="5" t="s">
        <v>230</v>
      </c>
      <c r="I1274" s="5" t="s">
        <v>3229</v>
      </c>
      <c r="J1274" s="5" t="s">
        <v>250</v>
      </c>
      <c r="K1274" s="5" t="s">
        <v>3021</v>
      </c>
      <c r="L1274" s="5" t="s">
        <v>205</v>
      </c>
      <c r="M1274" s="5" t="s">
        <v>482</v>
      </c>
      <c r="N1274" s="5" t="s">
        <v>290</v>
      </c>
      <c r="O1274" s="5" t="s">
        <v>3031</v>
      </c>
      <c r="P1274" s="18" t="str">
        <f aca="false">IF(J1274="S0","—",IF(K1274="","",IF(L1274="E0","QM",INDEX(10_ASIL_Matrix!$D$4:$F$15,MATCH(J1274&amp;"-"&amp;L1274,10_ASIL_Matrix!$C$4:$C$15,0),MATCH(N1274,10_ASIL_Matrix!$D$3:$F$3,0)))))</f>
        <v>B</v>
      </c>
      <c r="Q1274" s="5" t="s">
        <v>448</v>
      </c>
    </row>
    <row r="1275" customFormat="false" ht="46.25" hidden="false" customHeight="false" outlineLevel="0" collapsed="false">
      <c r="A1275" s="6" t="s">
        <v>3230</v>
      </c>
      <c r="B1275" s="6" t="s">
        <v>105</v>
      </c>
      <c r="C1275" s="6" t="s">
        <v>106</v>
      </c>
      <c r="D1275" s="6" t="s">
        <v>149</v>
      </c>
      <c r="E1275" s="6" t="s">
        <v>150</v>
      </c>
      <c r="F1275" s="6" t="s">
        <v>189</v>
      </c>
      <c r="G1275" s="6" t="s">
        <v>466</v>
      </c>
      <c r="H1275" s="6" t="s">
        <v>232</v>
      </c>
      <c r="I1275" s="6" t="s">
        <v>3231</v>
      </c>
      <c r="J1275" s="6" t="s">
        <v>250</v>
      </c>
      <c r="K1275" s="6" t="s">
        <v>3021</v>
      </c>
      <c r="L1275" s="6" t="s">
        <v>233</v>
      </c>
      <c r="M1275" s="6" t="s">
        <v>486</v>
      </c>
      <c r="N1275" s="6" t="s">
        <v>286</v>
      </c>
      <c r="O1275" s="6" t="s">
        <v>3022</v>
      </c>
      <c r="P1275" s="6" t="str">
        <f aca="false">IF(J1275="S0","—",IF(K1275="","",IF(L1275="E0","QM",INDEX(10_ASIL_Matrix!$D$4:$F$15,MATCH(J1275&amp;"-"&amp;L1275,10_ASIL_Matrix!$C$4:$C$15,0),MATCH(N1275,10_ASIL_Matrix!$D$3:$F$3,0)))))</f>
        <v>QM</v>
      </c>
      <c r="Q1275" s="6" t="s">
        <v>448</v>
      </c>
    </row>
    <row r="1276" customFormat="false" ht="35.05" hidden="false" customHeight="false" outlineLevel="0" collapsed="false">
      <c r="A1276" s="5" t="s">
        <v>3232</v>
      </c>
      <c r="B1276" s="5" t="s">
        <v>105</v>
      </c>
      <c r="C1276" s="5" t="s">
        <v>106</v>
      </c>
      <c r="D1276" s="5" t="s">
        <v>149</v>
      </c>
      <c r="E1276" s="5" t="s">
        <v>150</v>
      </c>
      <c r="F1276" s="5" t="s">
        <v>192</v>
      </c>
      <c r="G1276" s="5" t="s">
        <v>488</v>
      </c>
      <c r="H1276" s="5" t="s">
        <v>222</v>
      </c>
      <c r="I1276" s="5" t="s">
        <v>3233</v>
      </c>
      <c r="J1276" s="5" t="s">
        <v>246</v>
      </c>
      <c r="K1276" s="5" t="s">
        <v>3036</v>
      </c>
      <c r="L1276" s="5" t="s">
        <v>187</v>
      </c>
      <c r="M1276" s="5" t="s">
        <v>491</v>
      </c>
      <c r="N1276" s="5" t="s">
        <v>282</v>
      </c>
      <c r="O1276" s="5" t="s">
        <v>3037</v>
      </c>
      <c r="P1276" s="19" t="str">
        <f aca="false">IF(J1276="S0","—",IF(K1276="","",IF(L1276="E0","QM",INDEX(10_ASIL_Matrix!$D$4:$F$15,MATCH(J1276&amp;"-"&amp;L1276,10_ASIL_Matrix!$C$4:$C$15,0),MATCH(N1276,10_ASIL_Matrix!$D$3:$F$3,0)))))</f>
        <v>A</v>
      </c>
      <c r="Q1276" s="5" t="s">
        <v>448</v>
      </c>
    </row>
    <row r="1277" customFormat="false" ht="35.05" hidden="false" customHeight="false" outlineLevel="0" collapsed="false">
      <c r="A1277" s="6" t="s">
        <v>3234</v>
      </c>
      <c r="B1277" s="6" t="s">
        <v>105</v>
      </c>
      <c r="C1277" s="6" t="s">
        <v>106</v>
      </c>
      <c r="D1277" s="6" t="s">
        <v>149</v>
      </c>
      <c r="E1277" s="6" t="s">
        <v>150</v>
      </c>
      <c r="F1277" s="6" t="s">
        <v>192</v>
      </c>
      <c r="G1277" s="6" t="s">
        <v>488</v>
      </c>
      <c r="H1277" s="6" t="s">
        <v>224</v>
      </c>
      <c r="I1277" s="6" t="s">
        <v>3235</v>
      </c>
      <c r="J1277" s="6" t="s">
        <v>246</v>
      </c>
      <c r="K1277" s="6" t="s">
        <v>3036</v>
      </c>
      <c r="L1277" s="6" t="s">
        <v>190</v>
      </c>
      <c r="M1277" s="6" t="s">
        <v>494</v>
      </c>
      <c r="N1277" s="6" t="s">
        <v>282</v>
      </c>
      <c r="O1277" s="6" t="s">
        <v>3037</v>
      </c>
      <c r="P1277" s="6" t="str">
        <f aca="false">IF(J1277="S0","—",IF(K1277="","",IF(L1277="E0","QM",INDEX(10_ASIL_Matrix!$D$4:$F$15,MATCH(J1277&amp;"-"&amp;L1277,10_ASIL_Matrix!$C$4:$C$15,0),MATCH(N1277,10_ASIL_Matrix!$D$3:$F$3,0)))))</f>
        <v>QM</v>
      </c>
      <c r="Q1277" s="6" t="s">
        <v>448</v>
      </c>
    </row>
    <row r="1278" customFormat="false" ht="35.05" hidden="false" customHeight="false" outlineLevel="0" collapsed="false">
      <c r="A1278" s="5" t="s">
        <v>3236</v>
      </c>
      <c r="B1278" s="5" t="s">
        <v>105</v>
      </c>
      <c r="C1278" s="5" t="s">
        <v>106</v>
      </c>
      <c r="D1278" s="5" t="s">
        <v>149</v>
      </c>
      <c r="E1278" s="5" t="s">
        <v>150</v>
      </c>
      <c r="F1278" s="5" t="s">
        <v>192</v>
      </c>
      <c r="G1278" s="5" t="s">
        <v>488</v>
      </c>
      <c r="H1278" s="5" t="s">
        <v>226</v>
      </c>
      <c r="I1278" s="5" t="s">
        <v>3237</v>
      </c>
      <c r="J1278" s="5" t="s">
        <v>246</v>
      </c>
      <c r="K1278" s="5" t="s">
        <v>3036</v>
      </c>
      <c r="L1278" s="5" t="s">
        <v>190</v>
      </c>
      <c r="M1278" s="5" t="s">
        <v>497</v>
      </c>
      <c r="N1278" s="5" t="s">
        <v>282</v>
      </c>
      <c r="O1278" s="5" t="s">
        <v>3037</v>
      </c>
      <c r="P1278" s="5" t="str">
        <f aca="false">IF(J1278="S0","—",IF(K1278="","",IF(L1278="E0","QM",INDEX(10_ASIL_Matrix!$D$4:$F$15,MATCH(J1278&amp;"-"&amp;L1278,10_ASIL_Matrix!$C$4:$C$15,0),MATCH(N1278,10_ASIL_Matrix!$D$3:$F$3,0)))))</f>
        <v>QM</v>
      </c>
      <c r="Q1278" s="5" t="s">
        <v>448</v>
      </c>
    </row>
    <row r="1279" customFormat="false" ht="35.05" hidden="false" customHeight="false" outlineLevel="0" collapsed="false">
      <c r="A1279" s="6" t="s">
        <v>3238</v>
      </c>
      <c r="B1279" s="6" t="s">
        <v>105</v>
      </c>
      <c r="C1279" s="6" t="s">
        <v>106</v>
      </c>
      <c r="D1279" s="6" t="s">
        <v>149</v>
      </c>
      <c r="E1279" s="6" t="s">
        <v>150</v>
      </c>
      <c r="F1279" s="6" t="s">
        <v>192</v>
      </c>
      <c r="G1279" s="6" t="s">
        <v>488</v>
      </c>
      <c r="H1279" s="6" t="s">
        <v>228</v>
      </c>
      <c r="I1279" s="6" t="s">
        <v>3239</v>
      </c>
      <c r="J1279" s="6" t="s">
        <v>246</v>
      </c>
      <c r="K1279" s="6" t="s">
        <v>3036</v>
      </c>
      <c r="L1279" s="6" t="s">
        <v>205</v>
      </c>
      <c r="M1279" s="6" t="s">
        <v>500</v>
      </c>
      <c r="N1279" s="6" t="s">
        <v>282</v>
      </c>
      <c r="O1279" s="6" t="s">
        <v>3037</v>
      </c>
      <c r="P1279" s="6" t="str">
        <f aca="false">IF(J1279="S0","—",IF(K1279="","",IF(L1279="E0","QM",INDEX(10_ASIL_Matrix!$D$4:$F$15,MATCH(J1279&amp;"-"&amp;L1279,10_ASIL_Matrix!$C$4:$C$15,0),MATCH(N1279,10_ASIL_Matrix!$D$3:$F$3,0)))))</f>
        <v>QM</v>
      </c>
      <c r="Q1279" s="6" t="s">
        <v>448</v>
      </c>
    </row>
    <row r="1280" customFormat="false" ht="35.05" hidden="false" customHeight="false" outlineLevel="0" collapsed="false">
      <c r="A1280" s="5" t="s">
        <v>3240</v>
      </c>
      <c r="B1280" s="5" t="s">
        <v>105</v>
      </c>
      <c r="C1280" s="5" t="s">
        <v>106</v>
      </c>
      <c r="D1280" s="5" t="s">
        <v>149</v>
      </c>
      <c r="E1280" s="5" t="s">
        <v>150</v>
      </c>
      <c r="F1280" s="5" t="s">
        <v>192</v>
      </c>
      <c r="G1280" s="5" t="s">
        <v>488</v>
      </c>
      <c r="H1280" s="5" t="s">
        <v>230</v>
      </c>
      <c r="I1280" s="5" t="s">
        <v>3241</v>
      </c>
      <c r="J1280" s="5" t="s">
        <v>246</v>
      </c>
      <c r="K1280" s="5" t="s">
        <v>3036</v>
      </c>
      <c r="L1280" s="5" t="s">
        <v>205</v>
      </c>
      <c r="M1280" s="5" t="s">
        <v>503</v>
      </c>
      <c r="N1280" s="5" t="s">
        <v>286</v>
      </c>
      <c r="O1280" s="5" t="s">
        <v>3046</v>
      </c>
      <c r="P1280" s="5" t="str">
        <f aca="false">IF(J1280="S0","—",IF(K1280="","",IF(L1280="E0","QM",INDEX(10_ASIL_Matrix!$D$4:$F$15,MATCH(J1280&amp;"-"&amp;L1280,10_ASIL_Matrix!$C$4:$C$15,0),MATCH(N1280,10_ASIL_Matrix!$D$3:$F$3,0)))))</f>
        <v>QM</v>
      </c>
      <c r="Q1280" s="5" t="s">
        <v>448</v>
      </c>
    </row>
    <row r="1281" customFormat="false" ht="46.25" hidden="false" customHeight="false" outlineLevel="0" collapsed="false">
      <c r="A1281" s="6" t="s">
        <v>3242</v>
      </c>
      <c r="B1281" s="6" t="s">
        <v>105</v>
      </c>
      <c r="C1281" s="6" t="s">
        <v>106</v>
      </c>
      <c r="D1281" s="6" t="s">
        <v>149</v>
      </c>
      <c r="E1281" s="6" t="s">
        <v>150</v>
      </c>
      <c r="F1281" s="6" t="s">
        <v>192</v>
      </c>
      <c r="G1281" s="6" t="s">
        <v>488</v>
      </c>
      <c r="H1281" s="6" t="s">
        <v>232</v>
      </c>
      <c r="I1281" s="6" t="s">
        <v>3243</v>
      </c>
      <c r="J1281" s="6" t="s">
        <v>246</v>
      </c>
      <c r="K1281" s="6" t="s">
        <v>3036</v>
      </c>
      <c r="L1281" s="6" t="s">
        <v>233</v>
      </c>
      <c r="M1281" s="6" t="s">
        <v>506</v>
      </c>
      <c r="N1281" s="6" t="s">
        <v>282</v>
      </c>
      <c r="O1281" s="6" t="s">
        <v>3037</v>
      </c>
      <c r="P1281" s="6" t="str">
        <f aca="false">IF(J1281="S0","—",IF(K1281="","",IF(L1281="E0","QM",INDEX(10_ASIL_Matrix!$D$4:$F$15,MATCH(J1281&amp;"-"&amp;L1281,10_ASIL_Matrix!$C$4:$C$15,0),MATCH(N1281,10_ASIL_Matrix!$D$3:$F$3,0)))))</f>
        <v>QM</v>
      </c>
      <c r="Q1281" s="6" t="s">
        <v>448</v>
      </c>
    </row>
    <row r="1282" customFormat="false" ht="35.05" hidden="false" customHeight="false" outlineLevel="0" collapsed="false">
      <c r="A1282" s="5" t="s">
        <v>3244</v>
      </c>
      <c r="B1282" s="5" t="s">
        <v>105</v>
      </c>
      <c r="C1282" s="5" t="s">
        <v>106</v>
      </c>
      <c r="D1282" s="5" t="s">
        <v>149</v>
      </c>
      <c r="E1282" s="5" t="s">
        <v>150</v>
      </c>
      <c r="F1282" s="5" t="s">
        <v>194</v>
      </c>
      <c r="G1282" s="5" t="s">
        <v>508</v>
      </c>
      <c r="H1282" s="5" t="s">
        <v>222</v>
      </c>
      <c r="I1282" s="5" t="s">
        <v>3245</v>
      </c>
      <c r="J1282" s="5" t="s">
        <v>250</v>
      </c>
      <c r="K1282" s="5" t="s">
        <v>3051</v>
      </c>
      <c r="L1282" s="5" t="s">
        <v>190</v>
      </c>
      <c r="M1282" s="5" t="s">
        <v>511</v>
      </c>
      <c r="N1282" s="5" t="s">
        <v>286</v>
      </c>
      <c r="O1282" s="5" t="s">
        <v>3022</v>
      </c>
      <c r="P1282" s="18" t="str">
        <f aca="false">IF(J1282="S0","—",IF(K1282="","",IF(L1282="E0","QM",INDEX(10_ASIL_Matrix!$D$4:$F$15,MATCH(J1282&amp;"-"&amp;L1282,10_ASIL_Matrix!$C$4:$C$15,0),MATCH(N1282,10_ASIL_Matrix!$D$3:$F$3,0)))))</f>
        <v>B</v>
      </c>
      <c r="Q1282" s="5" t="s">
        <v>448</v>
      </c>
    </row>
    <row r="1283" customFormat="false" ht="35.05" hidden="false" customHeight="false" outlineLevel="0" collapsed="false">
      <c r="A1283" s="6" t="s">
        <v>3246</v>
      </c>
      <c r="B1283" s="6" t="s">
        <v>105</v>
      </c>
      <c r="C1283" s="6" t="s">
        <v>106</v>
      </c>
      <c r="D1283" s="6" t="s">
        <v>149</v>
      </c>
      <c r="E1283" s="6" t="s">
        <v>150</v>
      </c>
      <c r="F1283" s="6" t="s">
        <v>194</v>
      </c>
      <c r="G1283" s="6" t="s">
        <v>508</v>
      </c>
      <c r="H1283" s="6" t="s">
        <v>224</v>
      </c>
      <c r="I1283" s="6" t="s">
        <v>3247</v>
      </c>
      <c r="J1283" s="6" t="s">
        <v>250</v>
      </c>
      <c r="K1283" s="6" t="s">
        <v>3051</v>
      </c>
      <c r="L1283" s="6" t="s">
        <v>190</v>
      </c>
      <c r="M1283" s="6" t="s">
        <v>514</v>
      </c>
      <c r="N1283" s="6" t="s">
        <v>286</v>
      </c>
      <c r="O1283" s="6" t="s">
        <v>3022</v>
      </c>
      <c r="P1283" s="18" t="str">
        <f aca="false">IF(J1283="S0","—",IF(K1283="","",IF(L1283="E0","QM",INDEX(10_ASIL_Matrix!$D$4:$F$15,MATCH(J1283&amp;"-"&amp;L1283,10_ASIL_Matrix!$C$4:$C$15,0),MATCH(N1283,10_ASIL_Matrix!$D$3:$F$3,0)))))</f>
        <v>B</v>
      </c>
      <c r="Q1283" s="6" t="s">
        <v>448</v>
      </c>
    </row>
    <row r="1284" customFormat="false" ht="35.05" hidden="false" customHeight="false" outlineLevel="0" collapsed="false">
      <c r="A1284" s="5" t="s">
        <v>3248</v>
      </c>
      <c r="B1284" s="5" t="s">
        <v>105</v>
      </c>
      <c r="C1284" s="5" t="s">
        <v>106</v>
      </c>
      <c r="D1284" s="5" t="s">
        <v>149</v>
      </c>
      <c r="E1284" s="5" t="s">
        <v>150</v>
      </c>
      <c r="F1284" s="5" t="s">
        <v>194</v>
      </c>
      <c r="G1284" s="5" t="s">
        <v>508</v>
      </c>
      <c r="H1284" s="5" t="s">
        <v>226</v>
      </c>
      <c r="I1284" s="5" t="s">
        <v>3249</v>
      </c>
      <c r="J1284" s="5" t="s">
        <v>250</v>
      </c>
      <c r="K1284" s="5" t="s">
        <v>3051</v>
      </c>
      <c r="L1284" s="5" t="s">
        <v>190</v>
      </c>
      <c r="M1284" s="5" t="s">
        <v>517</v>
      </c>
      <c r="N1284" s="5" t="s">
        <v>286</v>
      </c>
      <c r="O1284" s="5" t="s">
        <v>3022</v>
      </c>
      <c r="P1284" s="18" t="str">
        <f aca="false">IF(J1284="S0","—",IF(K1284="","",IF(L1284="E0","QM",INDEX(10_ASIL_Matrix!$D$4:$F$15,MATCH(J1284&amp;"-"&amp;L1284,10_ASIL_Matrix!$C$4:$C$15,0),MATCH(N1284,10_ASIL_Matrix!$D$3:$F$3,0)))))</f>
        <v>B</v>
      </c>
      <c r="Q1284" s="5" t="s">
        <v>448</v>
      </c>
    </row>
    <row r="1285" customFormat="false" ht="35.05" hidden="false" customHeight="false" outlineLevel="0" collapsed="false">
      <c r="A1285" s="6" t="s">
        <v>3250</v>
      </c>
      <c r="B1285" s="6" t="s">
        <v>105</v>
      </c>
      <c r="C1285" s="6" t="s">
        <v>106</v>
      </c>
      <c r="D1285" s="6" t="s">
        <v>149</v>
      </c>
      <c r="E1285" s="6" t="s">
        <v>150</v>
      </c>
      <c r="F1285" s="6" t="s">
        <v>194</v>
      </c>
      <c r="G1285" s="6" t="s">
        <v>508</v>
      </c>
      <c r="H1285" s="6" t="s">
        <v>228</v>
      </c>
      <c r="I1285" s="6" t="s">
        <v>3251</v>
      </c>
      <c r="J1285" s="6" t="s">
        <v>250</v>
      </c>
      <c r="K1285" s="6" t="s">
        <v>3051</v>
      </c>
      <c r="L1285" s="6" t="s">
        <v>205</v>
      </c>
      <c r="M1285" s="6" t="s">
        <v>520</v>
      </c>
      <c r="N1285" s="6" t="s">
        <v>286</v>
      </c>
      <c r="O1285" s="6" t="s">
        <v>3022</v>
      </c>
      <c r="P1285" s="19" t="str">
        <f aca="false">IF(J1285="S0","—",IF(K1285="","",IF(L1285="E0","QM",INDEX(10_ASIL_Matrix!$D$4:$F$15,MATCH(J1285&amp;"-"&amp;L1285,10_ASIL_Matrix!$C$4:$C$15,0),MATCH(N1285,10_ASIL_Matrix!$D$3:$F$3,0)))))</f>
        <v>A</v>
      </c>
      <c r="Q1285" s="6" t="s">
        <v>448</v>
      </c>
    </row>
    <row r="1286" customFormat="false" ht="35.05" hidden="false" customHeight="false" outlineLevel="0" collapsed="false">
      <c r="A1286" s="5" t="s">
        <v>3252</v>
      </c>
      <c r="B1286" s="5" t="s">
        <v>105</v>
      </c>
      <c r="C1286" s="5" t="s">
        <v>106</v>
      </c>
      <c r="D1286" s="5" t="s">
        <v>149</v>
      </c>
      <c r="E1286" s="5" t="s">
        <v>150</v>
      </c>
      <c r="F1286" s="5" t="s">
        <v>194</v>
      </c>
      <c r="G1286" s="5" t="s">
        <v>508</v>
      </c>
      <c r="H1286" s="5" t="s">
        <v>230</v>
      </c>
      <c r="I1286" s="5" t="s">
        <v>3253</v>
      </c>
      <c r="J1286" s="5" t="s">
        <v>250</v>
      </c>
      <c r="K1286" s="5" t="s">
        <v>3051</v>
      </c>
      <c r="L1286" s="5" t="s">
        <v>205</v>
      </c>
      <c r="M1286" s="5" t="s">
        <v>523</v>
      </c>
      <c r="N1286" s="5" t="s">
        <v>290</v>
      </c>
      <c r="O1286" s="5" t="s">
        <v>3031</v>
      </c>
      <c r="P1286" s="18" t="str">
        <f aca="false">IF(J1286="S0","—",IF(K1286="","",IF(L1286="E0","QM",INDEX(10_ASIL_Matrix!$D$4:$F$15,MATCH(J1286&amp;"-"&amp;L1286,10_ASIL_Matrix!$C$4:$C$15,0),MATCH(N1286,10_ASIL_Matrix!$D$3:$F$3,0)))))</f>
        <v>B</v>
      </c>
      <c r="Q1286" s="5" t="s">
        <v>448</v>
      </c>
    </row>
    <row r="1287" customFormat="false" ht="46.25" hidden="false" customHeight="false" outlineLevel="0" collapsed="false">
      <c r="A1287" s="6" t="s">
        <v>3254</v>
      </c>
      <c r="B1287" s="6" t="s">
        <v>105</v>
      </c>
      <c r="C1287" s="6" t="s">
        <v>106</v>
      </c>
      <c r="D1287" s="6" t="s">
        <v>149</v>
      </c>
      <c r="E1287" s="6" t="s">
        <v>150</v>
      </c>
      <c r="F1287" s="6" t="s">
        <v>194</v>
      </c>
      <c r="G1287" s="6" t="s">
        <v>508</v>
      </c>
      <c r="H1287" s="6" t="s">
        <v>232</v>
      </c>
      <c r="I1287" s="6" t="s">
        <v>3255</v>
      </c>
      <c r="J1287" s="6" t="s">
        <v>250</v>
      </c>
      <c r="K1287" s="6" t="s">
        <v>3051</v>
      </c>
      <c r="L1287" s="6" t="s">
        <v>233</v>
      </c>
      <c r="M1287" s="6" t="s">
        <v>526</v>
      </c>
      <c r="N1287" s="6" t="s">
        <v>286</v>
      </c>
      <c r="O1287" s="6" t="s">
        <v>3022</v>
      </c>
      <c r="P1287" s="6" t="str">
        <f aca="false">IF(J1287="S0","—",IF(K1287="","",IF(L1287="E0","QM",INDEX(10_ASIL_Matrix!$D$4:$F$15,MATCH(J1287&amp;"-"&amp;L1287,10_ASIL_Matrix!$C$4:$C$15,0),MATCH(N1287,10_ASIL_Matrix!$D$3:$F$3,0)))))</f>
        <v>QM</v>
      </c>
      <c r="Q1287" s="6" t="s">
        <v>448</v>
      </c>
    </row>
    <row r="1288" customFormat="false" ht="35.05" hidden="false" customHeight="false" outlineLevel="0" collapsed="false">
      <c r="A1288" s="5" t="s">
        <v>3256</v>
      </c>
      <c r="B1288" s="5" t="s">
        <v>105</v>
      </c>
      <c r="C1288" s="5" t="s">
        <v>106</v>
      </c>
      <c r="D1288" s="5" t="s">
        <v>149</v>
      </c>
      <c r="E1288" s="5" t="s">
        <v>150</v>
      </c>
      <c r="F1288" s="5" t="s">
        <v>196</v>
      </c>
      <c r="G1288" s="5" t="s">
        <v>528</v>
      </c>
      <c r="H1288" s="5" t="s">
        <v>222</v>
      </c>
      <c r="I1288" s="5" t="s">
        <v>3257</v>
      </c>
      <c r="J1288" s="5" t="s">
        <v>246</v>
      </c>
      <c r="K1288" s="5" t="s">
        <v>3064</v>
      </c>
      <c r="L1288" s="5" t="s">
        <v>187</v>
      </c>
      <c r="M1288" s="5" t="s">
        <v>531</v>
      </c>
      <c r="N1288" s="5" t="s">
        <v>286</v>
      </c>
      <c r="O1288" s="5" t="s">
        <v>3022</v>
      </c>
      <c r="P1288" s="18" t="str">
        <f aca="false">IF(J1288="S0","—",IF(K1288="","",IF(L1288="E0","QM",INDEX(10_ASIL_Matrix!$D$4:$F$15,MATCH(J1288&amp;"-"&amp;L1288,10_ASIL_Matrix!$C$4:$C$15,0),MATCH(N1288,10_ASIL_Matrix!$D$3:$F$3,0)))))</f>
        <v>B</v>
      </c>
      <c r="Q1288" s="5" t="s">
        <v>448</v>
      </c>
    </row>
    <row r="1289" customFormat="false" ht="35.05" hidden="false" customHeight="false" outlineLevel="0" collapsed="false">
      <c r="A1289" s="6" t="s">
        <v>3258</v>
      </c>
      <c r="B1289" s="6" t="s">
        <v>105</v>
      </c>
      <c r="C1289" s="6" t="s">
        <v>106</v>
      </c>
      <c r="D1289" s="6" t="s">
        <v>149</v>
      </c>
      <c r="E1289" s="6" t="s">
        <v>150</v>
      </c>
      <c r="F1289" s="6" t="s">
        <v>196</v>
      </c>
      <c r="G1289" s="6" t="s">
        <v>528</v>
      </c>
      <c r="H1289" s="6" t="s">
        <v>224</v>
      </c>
      <c r="I1289" s="6" t="s">
        <v>3259</v>
      </c>
      <c r="J1289" s="6" t="s">
        <v>246</v>
      </c>
      <c r="K1289" s="6" t="s">
        <v>3064</v>
      </c>
      <c r="L1289" s="6" t="s">
        <v>190</v>
      </c>
      <c r="M1289" s="6" t="s">
        <v>534</v>
      </c>
      <c r="N1289" s="6" t="s">
        <v>286</v>
      </c>
      <c r="O1289" s="6" t="s">
        <v>3022</v>
      </c>
      <c r="P1289" s="19" t="str">
        <f aca="false">IF(J1289="S0","—",IF(K1289="","",IF(L1289="E0","QM",INDEX(10_ASIL_Matrix!$D$4:$F$15,MATCH(J1289&amp;"-"&amp;L1289,10_ASIL_Matrix!$C$4:$C$15,0),MATCH(N1289,10_ASIL_Matrix!$D$3:$F$3,0)))))</f>
        <v>A</v>
      </c>
      <c r="Q1289" s="6" t="s">
        <v>448</v>
      </c>
    </row>
    <row r="1290" customFormat="false" ht="35.05" hidden="false" customHeight="false" outlineLevel="0" collapsed="false">
      <c r="A1290" s="5" t="s">
        <v>3260</v>
      </c>
      <c r="B1290" s="5" t="s">
        <v>105</v>
      </c>
      <c r="C1290" s="5" t="s">
        <v>106</v>
      </c>
      <c r="D1290" s="5" t="s">
        <v>149</v>
      </c>
      <c r="E1290" s="5" t="s">
        <v>150</v>
      </c>
      <c r="F1290" s="5" t="s">
        <v>196</v>
      </c>
      <c r="G1290" s="5" t="s">
        <v>528</v>
      </c>
      <c r="H1290" s="5" t="s">
        <v>226</v>
      </c>
      <c r="I1290" s="5" t="s">
        <v>3261</v>
      </c>
      <c r="J1290" s="5" t="s">
        <v>246</v>
      </c>
      <c r="K1290" s="5" t="s">
        <v>3064</v>
      </c>
      <c r="L1290" s="5" t="s">
        <v>190</v>
      </c>
      <c r="M1290" s="5" t="s">
        <v>537</v>
      </c>
      <c r="N1290" s="5" t="s">
        <v>286</v>
      </c>
      <c r="O1290" s="5" t="s">
        <v>3022</v>
      </c>
      <c r="P1290" s="19" t="str">
        <f aca="false">IF(J1290="S0","—",IF(K1290="","",IF(L1290="E0","QM",INDEX(10_ASIL_Matrix!$D$4:$F$15,MATCH(J1290&amp;"-"&amp;L1290,10_ASIL_Matrix!$C$4:$C$15,0),MATCH(N1290,10_ASIL_Matrix!$D$3:$F$3,0)))))</f>
        <v>A</v>
      </c>
      <c r="Q1290" s="5" t="s">
        <v>448</v>
      </c>
    </row>
    <row r="1291" customFormat="false" ht="35.05" hidden="false" customHeight="false" outlineLevel="0" collapsed="false">
      <c r="A1291" s="6" t="s">
        <v>3262</v>
      </c>
      <c r="B1291" s="6" t="s">
        <v>105</v>
      </c>
      <c r="C1291" s="6" t="s">
        <v>106</v>
      </c>
      <c r="D1291" s="6" t="s">
        <v>149</v>
      </c>
      <c r="E1291" s="6" t="s">
        <v>150</v>
      </c>
      <c r="F1291" s="6" t="s">
        <v>196</v>
      </c>
      <c r="G1291" s="6" t="s">
        <v>528</v>
      </c>
      <c r="H1291" s="6" t="s">
        <v>228</v>
      </c>
      <c r="I1291" s="6" t="s">
        <v>3263</v>
      </c>
      <c r="J1291" s="6" t="s">
        <v>246</v>
      </c>
      <c r="K1291" s="6" t="s">
        <v>3064</v>
      </c>
      <c r="L1291" s="6" t="s">
        <v>205</v>
      </c>
      <c r="M1291" s="6" t="s">
        <v>540</v>
      </c>
      <c r="N1291" s="6" t="s">
        <v>286</v>
      </c>
      <c r="O1291" s="6" t="s">
        <v>3022</v>
      </c>
      <c r="P1291" s="6" t="str">
        <f aca="false">IF(J1291="S0","—",IF(K1291="","",IF(L1291="E0","QM",INDEX(10_ASIL_Matrix!$D$4:$F$15,MATCH(J1291&amp;"-"&amp;L1291,10_ASIL_Matrix!$C$4:$C$15,0),MATCH(N1291,10_ASIL_Matrix!$D$3:$F$3,0)))))</f>
        <v>QM</v>
      </c>
      <c r="Q1291" s="6" t="s">
        <v>448</v>
      </c>
    </row>
    <row r="1292" customFormat="false" ht="35.05" hidden="false" customHeight="false" outlineLevel="0" collapsed="false">
      <c r="A1292" s="5" t="s">
        <v>3264</v>
      </c>
      <c r="B1292" s="5" t="s">
        <v>105</v>
      </c>
      <c r="C1292" s="5" t="s">
        <v>106</v>
      </c>
      <c r="D1292" s="5" t="s">
        <v>149</v>
      </c>
      <c r="E1292" s="5" t="s">
        <v>150</v>
      </c>
      <c r="F1292" s="5" t="s">
        <v>196</v>
      </c>
      <c r="G1292" s="5" t="s">
        <v>528</v>
      </c>
      <c r="H1292" s="5" t="s">
        <v>230</v>
      </c>
      <c r="I1292" s="5" t="s">
        <v>3265</v>
      </c>
      <c r="J1292" s="5" t="s">
        <v>246</v>
      </c>
      <c r="K1292" s="5" t="s">
        <v>3064</v>
      </c>
      <c r="L1292" s="5" t="s">
        <v>205</v>
      </c>
      <c r="M1292" s="5" t="s">
        <v>543</v>
      </c>
      <c r="N1292" s="5" t="s">
        <v>290</v>
      </c>
      <c r="O1292" s="5" t="s">
        <v>3031</v>
      </c>
      <c r="P1292" s="19" t="str">
        <f aca="false">IF(J1292="S0","—",IF(K1292="","",IF(L1292="E0","QM",INDEX(10_ASIL_Matrix!$D$4:$F$15,MATCH(J1292&amp;"-"&amp;L1292,10_ASIL_Matrix!$C$4:$C$15,0),MATCH(N1292,10_ASIL_Matrix!$D$3:$F$3,0)))))</f>
        <v>A</v>
      </c>
      <c r="Q1292" s="5" t="s">
        <v>448</v>
      </c>
    </row>
    <row r="1293" customFormat="false" ht="46.25" hidden="false" customHeight="false" outlineLevel="0" collapsed="false">
      <c r="A1293" s="6" t="s">
        <v>3266</v>
      </c>
      <c r="B1293" s="6" t="s">
        <v>105</v>
      </c>
      <c r="C1293" s="6" t="s">
        <v>106</v>
      </c>
      <c r="D1293" s="6" t="s">
        <v>149</v>
      </c>
      <c r="E1293" s="6" t="s">
        <v>150</v>
      </c>
      <c r="F1293" s="6" t="s">
        <v>196</v>
      </c>
      <c r="G1293" s="6" t="s">
        <v>528</v>
      </c>
      <c r="H1293" s="6" t="s">
        <v>232</v>
      </c>
      <c r="I1293" s="6" t="s">
        <v>3267</v>
      </c>
      <c r="J1293" s="6" t="s">
        <v>246</v>
      </c>
      <c r="K1293" s="6" t="s">
        <v>3064</v>
      </c>
      <c r="L1293" s="6" t="s">
        <v>233</v>
      </c>
      <c r="M1293" s="6" t="s">
        <v>546</v>
      </c>
      <c r="N1293" s="6" t="s">
        <v>286</v>
      </c>
      <c r="O1293" s="6" t="s">
        <v>3022</v>
      </c>
      <c r="P1293" s="6" t="str">
        <f aca="false">IF(J1293="S0","—",IF(K1293="","",IF(L1293="E0","QM",INDEX(10_ASIL_Matrix!$D$4:$F$15,MATCH(J1293&amp;"-"&amp;L1293,10_ASIL_Matrix!$C$4:$C$15,0),MATCH(N1293,10_ASIL_Matrix!$D$3:$F$3,0)))))</f>
        <v>QM</v>
      </c>
      <c r="Q1293" s="6" t="s">
        <v>448</v>
      </c>
    </row>
    <row r="1294" customFormat="false" ht="35.05" hidden="false" customHeight="false" outlineLevel="0" collapsed="false">
      <c r="A1294" s="5" t="s">
        <v>3268</v>
      </c>
      <c r="B1294" s="5" t="s">
        <v>105</v>
      </c>
      <c r="C1294" s="5" t="s">
        <v>106</v>
      </c>
      <c r="D1294" s="5" t="s">
        <v>149</v>
      </c>
      <c r="E1294" s="5" t="s">
        <v>150</v>
      </c>
      <c r="F1294" s="5" t="s">
        <v>198</v>
      </c>
      <c r="G1294" s="5" t="s">
        <v>548</v>
      </c>
      <c r="H1294" s="5" t="s">
        <v>222</v>
      </c>
      <c r="I1294" s="5" t="s">
        <v>3269</v>
      </c>
      <c r="J1294" s="5" t="s">
        <v>250</v>
      </c>
      <c r="K1294" s="5" t="s">
        <v>3077</v>
      </c>
      <c r="L1294" s="5" t="s">
        <v>190</v>
      </c>
      <c r="M1294" s="5" t="s">
        <v>551</v>
      </c>
      <c r="N1294" s="5" t="s">
        <v>286</v>
      </c>
      <c r="O1294" s="5" t="s">
        <v>3078</v>
      </c>
      <c r="P1294" s="18" t="str">
        <f aca="false">IF(J1294="S0","—",IF(K1294="","",IF(L1294="E0","QM",INDEX(10_ASIL_Matrix!$D$4:$F$15,MATCH(J1294&amp;"-"&amp;L1294,10_ASIL_Matrix!$C$4:$C$15,0),MATCH(N1294,10_ASIL_Matrix!$D$3:$F$3,0)))))</f>
        <v>B</v>
      </c>
      <c r="Q1294" s="5" t="s">
        <v>448</v>
      </c>
    </row>
    <row r="1295" customFormat="false" ht="35.05" hidden="false" customHeight="false" outlineLevel="0" collapsed="false">
      <c r="A1295" s="6" t="s">
        <v>3270</v>
      </c>
      <c r="B1295" s="6" t="s">
        <v>105</v>
      </c>
      <c r="C1295" s="6" t="s">
        <v>106</v>
      </c>
      <c r="D1295" s="6" t="s">
        <v>149</v>
      </c>
      <c r="E1295" s="6" t="s">
        <v>150</v>
      </c>
      <c r="F1295" s="6" t="s">
        <v>198</v>
      </c>
      <c r="G1295" s="6" t="s">
        <v>548</v>
      </c>
      <c r="H1295" s="6" t="s">
        <v>224</v>
      </c>
      <c r="I1295" s="6" t="s">
        <v>3271</v>
      </c>
      <c r="J1295" s="6" t="s">
        <v>250</v>
      </c>
      <c r="K1295" s="6" t="s">
        <v>3077</v>
      </c>
      <c r="L1295" s="6" t="s">
        <v>190</v>
      </c>
      <c r="M1295" s="6" t="s">
        <v>555</v>
      </c>
      <c r="N1295" s="6" t="s">
        <v>286</v>
      </c>
      <c r="O1295" s="6" t="s">
        <v>3078</v>
      </c>
      <c r="P1295" s="18" t="str">
        <f aca="false">IF(J1295="S0","—",IF(K1295="","",IF(L1295="E0","QM",INDEX(10_ASIL_Matrix!$D$4:$F$15,MATCH(J1295&amp;"-"&amp;L1295,10_ASIL_Matrix!$C$4:$C$15,0),MATCH(N1295,10_ASIL_Matrix!$D$3:$F$3,0)))))</f>
        <v>B</v>
      </c>
      <c r="Q1295" s="6" t="s">
        <v>448</v>
      </c>
    </row>
    <row r="1296" customFormat="false" ht="35.05" hidden="false" customHeight="false" outlineLevel="0" collapsed="false">
      <c r="A1296" s="5" t="s">
        <v>3272</v>
      </c>
      <c r="B1296" s="5" t="s">
        <v>105</v>
      </c>
      <c r="C1296" s="5" t="s">
        <v>106</v>
      </c>
      <c r="D1296" s="5" t="s">
        <v>149</v>
      </c>
      <c r="E1296" s="5" t="s">
        <v>150</v>
      </c>
      <c r="F1296" s="5" t="s">
        <v>198</v>
      </c>
      <c r="G1296" s="5" t="s">
        <v>548</v>
      </c>
      <c r="H1296" s="5" t="s">
        <v>226</v>
      </c>
      <c r="I1296" s="5" t="s">
        <v>3273</v>
      </c>
      <c r="J1296" s="5" t="s">
        <v>250</v>
      </c>
      <c r="K1296" s="5" t="s">
        <v>3077</v>
      </c>
      <c r="L1296" s="5" t="s">
        <v>190</v>
      </c>
      <c r="M1296" s="5" t="s">
        <v>558</v>
      </c>
      <c r="N1296" s="5" t="s">
        <v>286</v>
      </c>
      <c r="O1296" s="5" t="s">
        <v>3078</v>
      </c>
      <c r="P1296" s="18" t="str">
        <f aca="false">IF(J1296="S0","—",IF(K1296="","",IF(L1296="E0","QM",INDEX(10_ASIL_Matrix!$D$4:$F$15,MATCH(J1296&amp;"-"&amp;L1296,10_ASIL_Matrix!$C$4:$C$15,0),MATCH(N1296,10_ASIL_Matrix!$D$3:$F$3,0)))))</f>
        <v>B</v>
      </c>
      <c r="Q1296" s="5" t="s">
        <v>448</v>
      </c>
    </row>
    <row r="1297" customFormat="false" ht="46.25" hidden="false" customHeight="false" outlineLevel="0" collapsed="false">
      <c r="A1297" s="6" t="s">
        <v>3274</v>
      </c>
      <c r="B1297" s="6" t="s">
        <v>105</v>
      </c>
      <c r="C1297" s="6" t="s">
        <v>106</v>
      </c>
      <c r="D1297" s="6" t="s">
        <v>149</v>
      </c>
      <c r="E1297" s="6" t="s">
        <v>150</v>
      </c>
      <c r="F1297" s="6" t="s">
        <v>198</v>
      </c>
      <c r="G1297" s="6" t="s">
        <v>548</v>
      </c>
      <c r="H1297" s="6" t="s">
        <v>228</v>
      </c>
      <c r="I1297" s="6" t="s">
        <v>3275</v>
      </c>
      <c r="J1297" s="6" t="s">
        <v>250</v>
      </c>
      <c r="K1297" s="6" t="s">
        <v>3077</v>
      </c>
      <c r="L1297" s="6" t="s">
        <v>205</v>
      </c>
      <c r="M1297" s="6" t="s">
        <v>561</v>
      </c>
      <c r="N1297" s="6" t="s">
        <v>286</v>
      </c>
      <c r="O1297" s="6" t="s">
        <v>3078</v>
      </c>
      <c r="P1297" s="19" t="str">
        <f aca="false">IF(J1297="S0","—",IF(K1297="","",IF(L1297="E0","QM",INDEX(10_ASIL_Matrix!$D$4:$F$15,MATCH(J1297&amp;"-"&amp;L1297,10_ASIL_Matrix!$C$4:$C$15,0),MATCH(N1297,10_ASIL_Matrix!$D$3:$F$3,0)))))</f>
        <v>A</v>
      </c>
      <c r="Q1297" s="6" t="s">
        <v>448</v>
      </c>
    </row>
    <row r="1298" customFormat="false" ht="35.05" hidden="false" customHeight="false" outlineLevel="0" collapsed="false">
      <c r="A1298" s="5" t="s">
        <v>3276</v>
      </c>
      <c r="B1298" s="5" t="s">
        <v>105</v>
      </c>
      <c r="C1298" s="5" t="s">
        <v>106</v>
      </c>
      <c r="D1298" s="5" t="s">
        <v>149</v>
      </c>
      <c r="E1298" s="5" t="s">
        <v>150</v>
      </c>
      <c r="F1298" s="5" t="s">
        <v>198</v>
      </c>
      <c r="G1298" s="5" t="s">
        <v>548</v>
      </c>
      <c r="H1298" s="5" t="s">
        <v>230</v>
      </c>
      <c r="I1298" s="5" t="s">
        <v>3277</v>
      </c>
      <c r="J1298" s="5" t="s">
        <v>250</v>
      </c>
      <c r="K1298" s="5" t="s">
        <v>3077</v>
      </c>
      <c r="L1298" s="5" t="s">
        <v>205</v>
      </c>
      <c r="M1298" s="5" t="s">
        <v>564</v>
      </c>
      <c r="N1298" s="5" t="s">
        <v>290</v>
      </c>
      <c r="O1298" s="5" t="s">
        <v>3087</v>
      </c>
      <c r="P1298" s="18" t="str">
        <f aca="false">IF(J1298="S0","—",IF(K1298="","",IF(L1298="E0","QM",INDEX(10_ASIL_Matrix!$D$4:$F$15,MATCH(J1298&amp;"-"&amp;L1298,10_ASIL_Matrix!$C$4:$C$15,0),MATCH(N1298,10_ASIL_Matrix!$D$3:$F$3,0)))))</f>
        <v>B</v>
      </c>
      <c r="Q1298" s="5" t="s">
        <v>448</v>
      </c>
    </row>
    <row r="1299" customFormat="false" ht="46.25" hidden="false" customHeight="false" outlineLevel="0" collapsed="false">
      <c r="A1299" s="6" t="s">
        <v>3278</v>
      </c>
      <c r="B1299" s="6" t="s">
        <v>105</v>
      </c>
      <c r="C1299" s="6" t="s">
        <v>106</v>
      </c>
      <c r="D1299" s="6" t="s">
        <v>149</v>
      </c>
      <c r="E1299" s="6" t="s">
        <v>150</v>
      </c>
      <c r="F1299" s="6" t="s">
        <v>198</v>
      </c>
      <c r="G1299" s="6" t="s">
        <v>548</v>
      </c>
      <c r="H1299" s="6" t="s">
        <v>232</v>
      </c>
      <c r="I1299" s="6" t="s">
        <v>3279</v>
      </c>
      <c r="J1299" s="6" t="s">
        <v>250</v>
      </c>
      <c r="K1299" s="6" t="s">
        <v>3077</v>
      </c>
      <c r="L1299" s="6" t="s">
        <v>233</v>
      </c>
      <c r="M1299" s="6" t="s">
        <v>568</v>
      </c>
      <c r="N1299" s="6" t="s">
        <v>286</v>
      </c>
      <c r="O1299" s="6" t="s">
        <v>3078</v>
      </c>
      <c r="P1299" s="6" t="str">
        <f aca="false">IF(J1299="S0","—",IF(K1299="","",IF(L1299="E0","QM",INDEX(10_ASIL_Matrix!$D$4:$F$15,MATCH(J1299&amp;"-"&amp;L1299,10_ASIL_Matrix!$C$4:$C$15,0),MATCH(N1299,10_ASIL_Matrix!$D$3:$F$3,0)))))</f>
        <v>QM</v>
      </c>
      <c r="Q1299" s="6" t="s">
        <v>448</v>
      </c>
    </row>
    <row r="1300" customFormat="false" ht="35.05" hidden="false" customHeight="false" outlineLevel="0" collapsed="false">
      <c r="A1300" s="5" t="s">
        <v>3280</v>
      </c>
      <c r="B1300" s="5" t="s">
        <v>105</v>
      </c>
      <c r="C1300" s="5" t="s">
        <v>106</v>
      </c>
      <c r="D1300" s="5" t="s">
        <v>149</v>
      </c>
      <c r="E1300" s="5" t="s">
        <v>150</v>
      </c>
      <c r="F1300" s="5" t="s">
        <v>200</v>
      </c>
      <c r="G1300" s="5" t="s">
        <v>570</v>
      </c>
      <c r="H1300" s="5" t="s">
        <v>222</v>
      </c>
      <c r="I1300" s="5" t="s">
        <v>3281</v>
      </c>
      <c r="J1300" s="5" t="s">
        <v>250</v>
      </c>
      <c r="K1300" s="5" t="s">
        <v>3092</v>
      </c>
      <c r="L1300" s="5" t="s">
        <v>190</v>
      </c>
      <c r="M1300" s="5" t="s">
        <v>573</v>
      </c>
      <c r="N1300" s="5" t="s">
        <v>286</v>
      </c>
      <c r="O1300" s="5" t="s">
        <v>3022</v>
      </c>
      <c r="P1300" s="18" t="str">
        <f aca="false">IF(J1300="S0","—",IF(K1300="","",IF(L1300="E0","QM",INDEX(10_ASIL_Matrix!$D$4:$F$15,MATCH(J1300&amp;"-"&amp;L1300,10_ASIL_Matrix!$C$4:$C$15,0),MATCH(N1300,10_ASIL_Matrix!$D$3:$F$3,0)))))</f>
        <v>B</v>
      </c>
      <c r="Q1300" s="5" t="s">
        <v>448</v>
      </c>
    </row>
    <row r="1301" customFormat="false" ht="35.05" hidden="false" customHeight="false" outlineLevel="0" collapsed="false">
      <c r="A1301" s="6" t="s">
        <v>3282</v>
      </c>
      <c r="B1301" s="6" t="s">
        <v>105</v>
      </c>
      <c r="C1301" s="6" t="s">
        <v>106</v>
      </c>
      <c r="D1301" s="6" t="s">
        <v>149</v>
      </c>
      <c r="E1301" s="6" t="s">
        <v>150</v>
      </c>
      <c r="F1301" s="6" t="s">
        <v>200</v>
      </c>
      <c r="G1301" s="6" t="s">
        <v>570</v>
      </c>
      <c r="H1301" s="6" t="s">
        <v>224</v>
      </c>
      <c r="I1301" s="6" t="s">
        <v>3283</v>
      </c>
      <c r="J1301" s="6" t="s">
        <v>250</v>
      </c>
      <c r="K1301" s="6" t="s">
        <v>3092</v>
      </c>
      <c r="L1301" s="6" t="s">
        <v>190</v>
      </c>
      <c r="M1301" s="6" t="s">
        <v>576</v>
      </c>
      <c r="N1301" s="6" t="s">
        <v>286</v>
      </c>
      <c r="O1301" s="6" t="s">
        <v>3022</v>
      </c>
      <c r="P1301" s="18" t="str">
        <f aca="false">IF(J1301="S0","—",IF(K1301="","",IF(L1301="E0","QM",INDEX(10_ASIL_Matrix!$D$4:$F$15,MATCH(J1301&amp;"-"&amp;L1301,10_ASIL_Matrix!$C$4:$C$15,0),MATCH(N1301,10_ASIL_Matrix!$D$3:$F$3,0)))))</f>
        <v>B</v>
      </c>
      <c r="Q1301" s="6" t="s">
        <v>448</v>
      </c>
    </row>
    <row r="1302" customFormat="false" ht="35.05" hidden="false" customHeight="false" outlineLevel="0" collapsed="false">
      <c r="A1302" s="5" t="s">
        <v>3284</v>
      </c>
      <c r="B1302" s="5" t="s">
        <v>105</v>
      </c>
      <c r="C1302" s="5" t="s">
        <v>106</v>
      </c>
      <c r="D1302" s="5" t="s">
        <v>149</v>
      </c>
      <c r="E1302" s="5" t="s">
        <v>150</v>
      </c>
      <c r="F1302" s="5" t="s">
        <v>200</v>
      </c>
      <c r="G1302" s="5" t="s">
        <v>570</v>
      </c>
      <c r="H1302" s="5" t="s">
        <v>226</v>
      </c>
      <c r="I1302" s="5" t="s">
        <v>3285</v>
      </c>
      <c r="J1302" s="5" t="s">
        <v>250</v>
      </c>
      <c r="K1302" s="5" t="s">
        <v>3092</v>
      </c>
      <c r="L1302" s="5" t="s">
        <v>190</v>
      </c>
      <c r="M1302" s="5" t="s">
        <v>579</v>
      </c>
      <c r="N1302" s="5" t="s">
        <v>286</v>
      </c>
      <c r="O1302" s="5" t="s">
        <v>3022</v>
      </c>
      <c r="P1302" s="18" t="str">
        <f aca="false">IF(J1302="S0","—",IF(K1302="","",IF(L1302="E0","QM",INDEX(10_ASIL_Matrix!$D$4:$F$15,MATCH(J1302&amp;"-"&amp;L1302,10_ASIL_Matrix!$C$4:$C$15,0),MATCH(N1302,10_ASIL_Matrix!$D$3:$F$3,0)))))</f>
        <v>B</v>
      </c>
      <c r="Q1302" s="5" t="s">
        <v>448</v>
      </c>
    </row>
    <row r="1303" customFormat="false" ht="35.05" hidden="false" customHeight="false" outlineLevel="0" collapsed="false">
      <c r="A1303" s="6" t="s">
        <v>3286</v>
      </c>
      <c r="B1303" s="6" t="s">
        <v>105</v>
      </c>
      <c r="C1303" s="6" t="s">
        <v>106</v>
      </c>
      <c r="D1303" s="6" t="s">
        <v>149</v>
      </c>
      <c r="E1303" s="6" t="s">
        <v>150</v>
      </c>
      <c r="F1303" s="6" t="s">
        <v>200</v>
      </c>
      <c r="G1303" s="6" t="s">
        <v>570</v>
      </c>
      <c r="H1303" s="6" t="s">
        <v>228</v>
      </c>
      <c r="I1303" s="6" t="s">
        <v>3287</v>
      </c>
      <c r="J1303" s="6" t="s">
        <v>250</v>
      </c>
      <c r="K1303" s="6" t="s">
        <v>3092</v>
      </c>
      <c r="L1303" s="6" t="s">
        <v>205</v>
      </c>
      <c r="M1303" s="6" t="s">
        <v>582</v>
      </c>
      <c r="N1303" s="6" t="s">
        <v>286</v>
      </c>
      <c r="O1303" s="6" t="s">
        <v>3022</v>
      </c>
      <c r="P1303" s="19" t="str">
        <f aca="false">IF(J1303="S0","—",IF(K1303="","",IF(L1303="E0","QM",INDEX(10_ASIL_Matrix!$D$4:$F$15,MATCH(J1303&amp;"-"&amp;L1303,10_ASIL_Matrix!$C$4:$C$15,0),MATCH(N1303,10_ASIL_Matrix!$D$3:$F$3,0)))))</f>
        <v>A</v>
      </c>
      <c r="Q1303" s="6" t="s">
        <v>448</v>
      </c>
    </row>
    <row r="1304" customFormat="false" ht="35.05" hidden="false" customHeight="false" outlineLevel="0" collapsed="false">
      <c r="A1304" s="5" t="s">
        <v>3288</v>
      </c>
      <c r="B1304" s="5" t="s">
        <v>105</v>
      </c>
      <c r="C1304" s="5" t="s">
        <v>106</v>
      </c>
      <c r="D1304" s="5" t="s">
        <v>149</v>
      </c>
      <c r="E1304" s="5" t="s">
        <v>150</v>
      </c>
      <c r="F1304" s="5" t="s">
        <v>200</v>
      </c>
      <c r="G1304" s="5" t="s">
        <v>570</v>
      </c>
      <c r="H1304" s="5" t="s">
        <v>230</v>
      </c>
      <c r="I1304" s="5" t="s">
        <v>3289</v>
      </c>
      <c r="J1304" s="5" t="s">
        <v>250</v>
      </c>
      <c r="K1304" s="5" t="s">
        <v>3092</v>
      </c>
      <c r="L1304" s="5" t="s">
        <v>205</v>
      </c>
      <c r="M1304" s="5" t="s">
        <v>585</v>
      </c>
      <c r="N1304" s="5" t="s">
        <v>290</v>
      </c>
      <c r="O1304" s="5" t="s">
        <v>3031</v>
      </c>
      <c r="P1304" s="18" t="str">
        <f aca="false">IF(J1304="S0","—",IF(K1304="","",IF(L1304="E0","QM",INDEX(10_ASIL_Matrix!$D$4:$F$15,MATCH(J1304&amp;"-"&amp;L1304,10_ASIL_Matrix!$C$4:$C$15,0),MATCH(N1304,10_ASIL_Matrix!$D$3:$F$3,0)))))</f>
        <v>B</v>
      </c>
      <c r="Q1304" s="5" t="s">
        <v>448</v>
      </c>
    </row>
    <row r="1305" customFormat="false" ht="46.25" hidden="false" customHeight="false" outlineLevel="0" collapsed="false">
      <c r="A1305" s="6" t="s">
        <v>3290</v>
      </c>
      <c r="B1305" s="6" t="s">
        <v>105</v>
      </c>
      <c r="C1305" s="6" t="s">
        <v>106</v>
      </c>
      <c r="D1305" s="6" t="s">
        <v>149</v>
      </c>
      <c r="E1305" s="6" t="s">
        <v>150</v>
      </c>
      <c r="F1305" s="6" t="s">
        <v>200</v>
      </c>
      <c r="G1305" s="6" t="s">
        <v>570</v>
      </c>
      <c r="H1305" s="6" t="s">
        <v>232</v>
      </c>
      <c r="I1305" s="6" t="s">
        <v>3291</v>
      </c>
      <c r="J1305" s="6" t="s">
        <v>250</v>
      </c>
      <c r="K1305" s="6" t="s">
        <v>3092</v>
      </c>
      <c r="L1305" s="6" t="s">
        <v>233</v>
      </c>
      <c r="M1305" s="6" t="s">
        <v>588</v>
      </c>
      <c r="N1305" s="6" t="s">
        <v>286</v>
      </c>
      <c r="O1305" s="6" t="s">
        <v>3022</v>
      </c>
      <c r="P1305" s="6" t="str">
        <f aca="false">IF(J1305="S0","—",IF(K1305="","",IF(L1305="E0","QM",INDEX(10_ASIL_Matrix!$D$4:$F$15,MATCH(J1305&amp;"-"&amp;L1305,10_ASIL_Matrix!$C$4:$C$15,0),MATCH(N1305,10_ASIL_Matrix!$D$3:$F$3,0)))))</f>
        <v>QM</v>
      </c>
      <c r="Q1305" s="6" t="s">
        <v>448</v>
      </c>
    </row>
    <row r="1306" customFormat="false" ht="35.05" hidden="false" customHeight="false" outlineLevel="0" collapsed="false">
      <c r="A1306" s="5" t="s">
        <v>3292</v>
      </c>
      <c r="B1306" s="5" t="s">
        <v>105</v>
      </c>
      <c r="C1306" s="5" t="s">
        <v>106</v>
      </c>
      <c r="D1306" s="5" t="s">
        <v>149</v>
      </c>
      <c r="E1306" s="5" t="s">
        <v>150</v>
      </c>
      <c r="F1306" s="5" t="s">
        <v>202</v>
      </c>
      <c r="G1306" s="5" t="s">
        <v>590</v>
      </c>
      <c r="H1306" s="5" t="s">
        <v>222</v>
      </c>
      <c r="I1306" s="5" t="s">
        <v>3293</v>
      </c>
      <c r="J1306" s="5" t="s">
        <v>238</v>
      </c>
      <c r="K1306" s="5" t="s">
        <v>3105</v>
      </c>
      <c r="L1306" s="5" t="s">
        <v>187</v>
      </c>
      <c r="M1306" s="5" t="s">
        <v>592</v>
      </c>
      <c r="N1306" s="5" t="s">
        <v>278</v>
      </c>
      <c r="O1306" s="5" t="s">
        <v>634</v>
      </c>
      <c r="P1306" s="5" t="str">
        <f aca="false">IF(J1306="S0","—",IF(K1306="","",IF(L1306="E0","QM",INDEX(10_ASIL_Matrix!$D$4:$F$15,MATCH(J1306&amp;"-"&amp;L1306,10_ASIL_Matrix!$C$4:$C$15,0),MATCH(N1306,10_ASIL_Matrix!$D$3:$F$3,0)))))</f>
        <v>—</v>
      </c>
      <c r="Q1306" s="5" t="s">
        <v>448</v>
      </c>
    </row>
    <row r="1307" customFormat="false" ht="35.05" hidden="false" customHeight="false" outlineLevel="0" collapsed="false">
      <c r="A1307" s="6" t="s">
        <v>3294</v>
      </c>
      <c r="B1307" s="6" t="s">
        <v>105</v>
      </c>
      <c r="C1307" s="6" t="s">
        <v>106</v>
      </c>
      <c r="D1307" s="6" t="s">
        <v>149</v>
      </c>
      <c r="E1307" s="6" t="s">
        <v>150</v>
      </c>
      <c r="F1307" s="6" t="s">
        <v>202</v>
      </c>
      <c r="G1307" s="6" t="s">
        <v>590</v>
      </c>
      <c r="H1307" s="6" t="s">
        <v>224</v>
      </c>
      <c r="I1307" s="6" t="s">
        <v>3295</v>
      </c>
      <c r="J1307" s="6" t="s">
        <v>238</v>
      </c>
      <c r="K1307" s="6" t="s">
        <v>3105</v>
      </c>
      <c r="L1307" s="6" t="s">
        <v>190</v>
      </c>
      <c r="M1307" s="6" t="s">
        <v>595</v>
      </c>
      <c r="N1307" s="6" t="s">
        <v>278</v>
      </c>
      <c r="O1307" s="6" t="s">
        <v>634</v>
      </c>
      <c r="P1307" s="6" t="str">
        <f aca="false">IF(J1307="S0","—",IF(K1307="","",IF(L1307="E0","QM",INDEX(10_ASIL_Matrix!$D$4:$F$15,MATCH(J1307&amp;"-"&amp;L1307,10_ASIL_Matrix!$C$4:$C$15,0),MATCH(N1307,10_ASIL_Matrix!$D$3:$F$3,0)))))</f>
        <v>—</v>
      </c>
      <c r="Q1307" s="6" t="s">
        <v>448</v>
      </c>
    </row>
    <row r="1308" customFormat="false" ht="35.05" hidden="false" customHeight="false" outlineLevel="0" collapsed="false">
      <c r="A1308" s="5" t="s">
        <v>3296</v>
      </c>
      <c r="B1308" s="5" t="s">
        <v>105</v>
      </c>
      <c r="C1308" s="5" t="s">
        <v>106</v>
      </c>
      <c r="D1308" s="5" t="s">
        <v>149</v>
      </c>
      <c r="E1308" s="5" t="s">
        <v>150</v>
      </c>
      <c r="F1308" s="5" t="s">
        <v>202</v>
      </c>
      <c r="G1308" s="5" t="s">
        <v>590</v>
      </c>
      <c r="H1308" s="5" t="s">
        <v>226</v>
      </c>
      <c r="I1308" s="5" t="s">
        <v>3297</v>
      </c>
      <c r="J1308" s="5" t="s">
        <v>238</v>
      </c>
      <c r="K1308" s="5" t="s">
        <v>3105</v>
      </c>
      <c r="L1308" s="5" t="s">
        <v>190</v>
      </c>
      <c r="M1308" s="5" t="s">
        <v>598</v>
      </c>
      <c r="N1308" s="5" t="s">
        <v>278</v>
      </c>
      <c r="O1308" s="5" t="s">
        <v>634</v>
      </c>
      <c r="P1308" s="5" t="str">
        <f aca="false">IF(J1308="S0","—",IF(K1308="","",IF(L1308="E0","QM",INDEX(10_ASIL_Matrix!$D$4:$F$15,MATCH(J1308&amp;"-"&amp;L1308,10_ASIL_Matrix!$C$4:$C$15,0),MATCH(N1308,10_ASIL_Matrix!$D$3:$F$3,0)))))</f>
        <v>—</v>
      </c>
      <c r="Q1308" s="5" t="s">
        <v>448</v>
      </c>
    </row>
    <row r="1309" customFormat="false" ht="35.05" hidden="false" customHeight="false" outlineLevel="0" collapsed="false">
      <c r="A1309" s="6" t="s">
        <v>3298</v>
      </c>
      <c r="B1309" s="6" t="s">
        <v>105</v>
      </c>
      <c r="C1309" s="6" t="s">
        <v>106</v>
      </c>
      <c r="D1309" s="6" t="s">
        <v>149</v>
      </c>
      <c r="E1309" s="6" t="s">
        <v>150</v>
      </c>
      <c r="F1309" s="6" t="s">
        <v>202</v>
      </c>
      <c r="G1309" s="6" t="s">
        <v>590</v>
      </c>
      <c r="H1309" s="6" t="s">
        <v>228</v>
      </c>
      <c r="I1309" s="6" t="s">
        <v>3299</v>
      </c>
      <c r="J1309" s="6" t="s">
        <v>238</v>
      </c>
      <c r="K1309" s="6" t="s">
        <v>3105</v>
      </c>
      <c r="L1309" s="6" t="s">
        <v>205</v>
      </c>
      <c r="M1309" s="6" t="s">
        <v>601</v>
      </c>
      <c r="N1309" s="6" t="s">
        <v>278</v>
      </c>
      <c r="O1309" s="6" t="s">
        <v>634</v>
      </c>
      <c r="P1309" s="6" t="str">
        <f aca="false">IF(J1309="S0","—",IF(K1309="","",IF(L1309="E0","QM",INDEX(10_ASIL_Matrix!$D$4:$F$15,MATCH(J1309&amp;"-"&amp;L1309,10_ASIL_Matrix!$C$4:$C$15,0),MATCH(N1309,10_ASIL_Matrix!$D$3:$F$3,0)))))</f>
        <v>—</v>
      </c>
      <c r="Q1309" s="6" t="s">
        <v>448</v>
      </c>
    </row>
    <row r="1310" customFormat="false" ht="35.05" hidden="false" customHeight="false" outlineLevel="0" collapsed="false">
      <c r="A1310" s="5" t="s">
        <v>3300</v>
      </c>
      <c r="B1310" s="5" t="s">
        <v>105</v>
      </c>
      <c r="C1310" s="5" t="s">
        <v>106</v>
      </c>
      <c r="D1310" s="5" t="s">
        <v>149</v>
      </c>
      <c r="E1310" s="5" t="s">
        <v>150</v>
      </c>
      <c r="F1310" s="5" t="s">
        <v>202</v>
      </c>
      <c r="G1310" s="5" t="s">
        <v>590</v>
      </c>
      <c r="H1310" s="5" t="s">
        <v>230</v>
      </c>
      <c r="I1310" s="5" t="s">
        <v>3301</v>
      </c>
      <c r="J1310" s="5" t="s">
        <v>238</v>
      </c>
      <c r="K1310" s="5" t="s">
        <v>3105</v>
      </c>
      <c r="L1310" s="5" t="s">
        <v>205</v>
      </c>
      <c r="M1310" s="5" t="s">
        <v>604</v>
      </c>
      <c r="N1310" s="5" t="s">
        <v>278</v>
      </c>
      <c r="O1310" s="5" t="s">
        <v>634</v>
      </c>
      <c r="P1310" s="5" t="str">
        <f aca="false">IF(J1310="S0","—",IF(K1310="","",IF(L1310="E0","QM",INDEX(10_ASIL_Matrix!$D$4:$F$15,MATCH(J1310&amp;"-"&amp;L1310,10_ASIL_Matrix!$C$4:$C$15,0),MATCH(N1310,10_ASIL_Matrix!$D$3:$F$3,0)))))</f>
        <v>—</v>
      </c>
      <c r="Q1310" s="5" t="s">
        <v>448</v>
      </c>
    </row>
    <row r="1311" customFormat="false" ht="46.25" hidden="false" customHeight="false" outlineLevel="0" collapsed="false">
      <c r="A1311" s="6" t="s">
        <v>3302</v>
      </c>
      <c r="B1311" s="6" t="s">
        <v>105</v>
      </c>
      <c r="C1311" s="6" t="s">
        <v>106</v>
      </c>
      <c r="D1311" s="6" t="s">
        <v>149</v>
      </c>
      <c r="E1311" s="6" t="s">
        <v>150</v>
      </c>
      <c r="F1311" s="6" t="s">
        <v>202</v>
      </c>
      <c r="G1311" s="6" t="s">
        <v>590</v>
      </c>
      <c r="H1311" s="6" t="s">
        <v>232</v>
      </c>
      <c r="I1311" s="6" t="s">
        <v>3303</v>
      </c>
      <c r="J1311" s="6" t="s">
        <v>238</v>
      </c>
      <c r="K1311" s="6" t="s">
        <v>3105</v>
      </c>
      <c r="L1311" s="6" t="s">
        <v>233</v>
      </c>
      <c r="M1311" s="6" t="s">
        <v>607</v>
      </c>
      <c r="N1311" s="6" t="s">
        <v>278</v>
      </c>
      <c r="O1311" s="6" t="s">
        <v>634</v>
      </c>
      <c r="P1311" s="6" t="str">
        <f aca="false">IF(J1311="S0","—",IF(K1311="","",IF(L1311="E0","QM",INDEX(10_ASIL_Matrix!$D$4:$F$15,MATCH(J1311&amp;"-"&amp;L1311,10_ASIL_Matrix!$C$4:$C$15,0),MATCH(N1311,10_ASIL_Matrix!$D$3:$F$3,0)))))</f>
        <v>—</v>
      </c>
      <c r="Q1311" s="6" t="s">
        <v>448</v>
      </c>
    </row>
    <row r="1312" customFormat="false" ht="35.05" hidden="false" customHeight="false" outlineLevel="0" collapsed="false">
      <c r="A1312" s="5" t="s">
        <v>3304</v>
      </c>
      <c r="B1312" s="5" t="s">
        <v>105</v>
      </c>
      <c r="C1312" s="5" t="s">
        <v>106</v>
      </c>
      <c r="D1312" s="5" t="s">
        <v>149</v>
      </c>
      <c r="E1312" s="5" t="s">
        <v>150</v>
      </c>
      <c r="F1312" s="5" t="s">
        <v>204</v>
      </c>
      <c r="G1312" s="5" t="s">
        <v>609</v>
      </c>
      <c r="H1312" s="5" t="s">
        <v>222</v>
      </c>
      <c r="I1312" s="5" t="s">
        <v>3305</v>
      </c>
      <c r="J1312" s="5" t="s">
        <v>250</v>
      </c>
      <c r="K1312" s="5" t="s">
        <v>3118</v>
      </c>
      <c r="L1312" s="5" t="s">
        <v>205</v>
      </c>
      <c r="M1312" s="5" t="s">
        <v>612</v>
      </c>
      <c r="N1312" s="5" t="s">
        <v>290</v>
      </c>
      <c r="O1312" s="5" t="s">
        <v>2520</v>
      </c>
      <c r="P1312" s="18" t="str">
        <f aca="false">IF(J1312="S0","—",IF(K1312="","",IF(L1312="E0","QM",INDEX(10_ASIL_Matrix!$D$4:$F$15,MATCH(J1312&amp;"-"&amp;L1312,10_ASIL_Matrix!$C$4:$C$15,0),MATCH(N1312,10_ASIL_Matrix!$D$3:$F$3,0)))))</f>
        <v>B</v>
      </c>
      <c r="Q1312" s="5" t="s">
        <v>448</v>
      </c>
    </row>
    <row r="1313" customFormat="false" ht="35.05" hidden="false" customHeight="false" outlineLevel="0" collapsed="false">
      <c r="A1313" s="6" t="s">
        <v>3306</v>
      </c>
      <c r="B1313" s="6" t="s">
        <v>105</v>
      </c>
      <c r="C1313" s="6" t="s">
        <v>106</v>
      </c>
      <c r="D1313" s="6" t="s">
        <v>149</v>
      </c>
      <c r="E1313" s="6" t="s">
        <v>150</v>
      </c>
      <c r="F1313" s="6" t="s">
        <v>204</v>
      </c>
      <c r="G1313" s="6" t="s">
        <v>609</v>
      </c>
      <c r="H1313" s="6" t="s">
        <v>224</v>
      </c>
      <c r="I1313" s="6" t="s">
        <v>3307</v>
      </c>
      <c r="J1313" s="6" t="s">
        <v>250</v>
      </c>
      <c r="K1313" s="6" t="s">
        <v>3118</v>
      </c>
      <c r="L1313" s="6" t="s">
        <v>205</v>
      </c>
      <c r="M1313" s="6" t="s">
        <v>616</v>
      </c>
      <c r="N1313" s="6" t="s">
        <v>290</v>
      </c>
      <c r="O1313" s="6" t="s">
        <v>2520</v>
      </c>
      <c r="P1313" s="18" t="str">
        <f aca="false">IF(J1313="S0","—",IF(K1313="","",IF(L1313="E0","QM",INDEX(10_ASIL_Matrix!$D$4:$F$15,MATCH(J1313&amp;"-"&amp;L1313,10_ASIL_Matrix!$C$4:$C$15,0),MATCH(N1313,10_ASIL_Matrix!$D$3:$F$3,0)))))</f>
        <v>B</v>
      </c>
      <c r="Q1313" s="6" t="s">
        <v>448</v>
      </c>
    </row>
    <row r="1314" customFormat="false" ht="35.05" hidden="false" customHeight="false" outlineLevel="0" collapsed="false">
      <c r="A1314" s="5" t="s">
        <v>3308</v>
      </c>
      <c r="B1314" s="5" t="s">
        <v>105</v>
      </c>
      <c r="C1314" s="5" t="s">
        <v>106</v>
      </c>
      <c r="D1314" s="5" t="s">
        <v>149</v>
      </c>
      <c r="E1314" s="5" t="s">
        <v>150</v>
      </c>
      <c r="F1314" s="5" t="s">
        <v>204</v>
      </c>
      <c r="G1314" s="5" t="s">
        <v>609</v>
      </c>
      <c r="H1314" s="5" t="s">
        <v>226</v>
      </c>
      <c r="I1314" s="5" t="s">
        <v>3309</v>
      </c>
      <c r="J1314" s="5" t="s">
        <v>250</v>
      </c>
      <c r="K1314" s="5" t="s">
        <v>3118</v>
      </c>
      <c r="L1314" s="5" t="s">
        <v>205</v>
      </c>
      <c r="M1314" s="5" t="s">
        <v>619</v>
      </c>
      <c r="N1314" s="5" t="s">
        <v>290</v>
      </c>
      <c r="O1314" s="5" t="s">
        <v>2520</v>
      </c>
      <c r="P1314" s="18" t="str">
        <f aca="false">IF(J1314="S0","—",IF(K1314="","",IF(L1314="E0","QM",INDEX(10_ASIL_Matrix!$D$4:$F$15,MATCH(J1314&amp;"-"&amp;L1314,10_ASIL_Matrix!$C$4:$C$15,0),MATCH(N1314,10_ASIL_Matrix!$D$3:$F$3,0)))))</f>
        <v>B</v>
      </c>
      <c r="Q1314" s="5" t="s">
        <v>448</v>
      </c>
    </row>
    <row r="1315" customFormat="false" ht="35.05" hidden="false" customHeight="false" outlineLevel="0" collapsed="false">
      <c r="A1315" s="6" t="s">
        <v>3310</v>
      </c>
      <c r="B1315" s="6" t="s">
        <v>105</v>
      </c>
      <c r="C1315" s="6" t="s">
        <v>106</v>
      </c>
      <c r="D1315" s="6" t="s">
        <v>149</v>
      </c>
      <c r="E1315" s="6" t="s">
        <v>150</v>
      </c>
      <c r="F1315" s="6" t="s">
        <v>204</v>
      </c>
      <c r="G1315" s="6" t="s">
        <v>609</v>
      </c>
      <c r="H1315" s="6" t="s">
        <v>228</v>
      </c>
      <c r="I1315" s="6" t="s">
        <v>3311</v>
      </c>
      <c r="J1315" s="6" t="s">
        <v>250</v>
      </c>
      <c r="K1315" s="6" t="s">
        <v>3118</v>
      </c>
      <c r="L1315" s="6" t="s">
        <v>205</v>
      </c>
      <c r="M1315" s="6" t="s">
        <v>622</v>
      </c>
      <c r="N1315" s="6" t="s">
        <v>290</v>
      </c>
      <c r="O1315" s="6" t="s">
        <v>2520</v>
      </c>
      <c r="P1315" s="18" t="str">
        <f aca="false">IF(J1315="S0","—",IF(K1315="","",IF(L1315="E0","QM",INDEX(10_ASIL_Matrix!$D$4:$F$15,MATCH(J1315&amp;"-"&amp;L1315,10_ASIL_Matrix!$C$4:$C$15,0),MATCH(N1315,10_ASIL_Matrix!$D$3:$F$3,0)))))</f>
        <v>B</v>
      </c>
      <c r="Q1315" s="6" t="s">
        <v>448</v>
      </c>
    </row>
    <row r="1316" customFormat="false" ht="35.05" hidden="false" customHeight="false" outlineLevel="0" collapsed="false">
      <c r="A1316" s="5" t="s">
        <v>3312</v>
      </c>
      <c r="B1316" s="5" t="s">
        <v>105</v>
      </c>
      <c r="C1316" s="5" t="s">
        <v>106</v>
      </c>
      <c r="D1316" s="5" t="s">
        <v>149</v>
      </c>
      <c r="E1316" s="5" t="s">
        <v>150</v>
      </c>
      <c r="F1316" s="5" t="s">
        <v>204</v>
      </c>
      <c r="G1316" s="5" t="s">
        <v>609</v>
      </c>
      <c r="H1316" s="5" t="s">
        <v>230</v>
      </c>
      <c r="I1316" s="5" t="s">
        <v>3313</v>
      </c>
      <c r="J1316" s="5" t="s">
        <v>250</v>
      </c>
      <c r="K1316" s="5" t="s">
        <v>3118</v>
      </c>
      <c r="L1316" s="5" t="s">
        <v>205</v>
      </c>
      <c r="M1316" s="5" t="s">
        <v>625</v>
      </c>
      <c r="N1316" s="5" t="s">
        <v>290</v>
      </c>
      <c r="O1316" s="5" t="s">
        <v>2530</v>
      </c>
      <c r="P1316" s="18" t="str">
        <f aca="false">IF(J1316="S0","—",IF(K1316="","",IF(L1316="E0","QM",INDEX(10_ASIL_Matrix!$D$4:$F$15,MATCH(J1316&amp;"-"&amp;L1316,10_ASIL_Matrix!$C$4:$C$15,0),MATCH(N1316,10_ASIL_Matrix!$D$3:$F$3,0)))))</f>
        <v>B</v>
      </c>
      <c r="Q1316" s="5" t="s">
        <v>448</v>
      </c>
    </row>
    <row r="1317" customFormat="false" ht="46.25" hidden="false" customHeight="false" outlineLevel="0" collapsed="false">
      <c r="A1317" s="6" t="s">
        <v>3314</v>
      </c>
      <c r="B1317" s="6" t="s">
        <v>105</v>
      </c>
      <c r="C1317" s="6" t="s">
        <v>106</v>
      </c>
      <c r="D1317" s="6" t="s">
        <v>149</v>
      </c>
      <c r="E1317" s="6" t="s">
        <v>150</v>
      </c>
      <c r="F1317" s="6" t="s">
        <v>204</v>
      </c>
      <c r="G1317" s="6" t="s">
        <v>609</v>
      </c>
      <c r="H1317" s="6" t="s">
        <v>232</v>
      </c>
      <c r="I1317" s="6" t="s">
        <v>3315</v>
      </c>
      <c r="J1317" s="6" t="s">
        <v>250</v>
      </c>
      <c r="K1317" s="6" t="s">
        <v>3118</v>
      </c>
      <c r="L1317" s="6" t="s">
        <v>233</v>
      </c>
      <c r="M1317" s="6" t="s">
        <v>629</v>
      </c>
      <c r="N1317" s="6" t="s">
        <v>290</v>
      </c>
      <c r="O1317" s="6" t="s">
        <v>2520</v>
      </c>
      <c r="P1317" s="19" t="str">
        <f aca="false">IF(J1317="S0","—",IF(K1317="","",IF(L1317="E0","QM",INDEX(10_ASIL_Matrix!$D$4:$F$15,MATCH(J1317&amp;"-"&amp;L1317,10_ASIL_Matrix!$C$4:$C$15,0),MATCH(N1317,10_ASIL_Matrix!$D$3:$F$3,0)))))</f>
        <v>A</v>
      </c>
      <c r="Q1317" s="6" t="s">
        <v>448</v>
      </c>
    </row>
    <row r="1318" customFormat="false" ht="35.05" hidden="false" customHeight="false" outlineLevel="0" collapsed="false">
      <c r="A1318" s="5" t="s">
        <v>3316</v>
      </c>
      <c r="B1318" s="5" t="s">
        <v>105</v>
      </c>
      <c r="C1318" s="5" t="s">
        <v>106</v>
      </c>
      <c r="D1318" s="5" t="s">
        <v>149</v>
      </c>
      <c r="E1318" s="5" t="s">
        <v>150</v>
      </c>
      <c r="F1318" s="5" t="s">
        <v>207</v>
      </c>
      <c r="G1318" s="5" t="s">
        <v>609</v>
      </c>
      <c r="H1318" s="5" t="s">
        <v>222</v>
      </c>
      <c r="I1318" s="5" t="s">
        <v>3317</v>
      </c>
      <c r="J1318" s="5" t="s">
        <v>250</v>
      </c>
      <c r="K1318" s="5" t="s">
        <v>3131</v>
      </c>
      <c r="L1318" s="5" t="s">
        <v>190</v>
      </c>
      <c r="M1318" s="5" t="s">
        <v>633</v>
      </c>
      <c r="N1318" s="5" t="s">
        <v>286</v>
      </c>
      <c r="O1318" s="5" t="s">
        <v>3022</v>
      </c>
      <c r="P1318" s="18" t="str">
        <f aca="false">IF(J1318="S0","—",IF(K1318="","",IF(L1318="E0","QM",INDEX(10_ASIL_Matrix!$D$4:$F$15,MATCH(J1318&amp;"-"&amp;L1318,10_ASIL_Matrix!$C$4:$C$15,0),MATCH(N1318,10_ASIL_Matrix!$D$3:$F$3,0)))))</f>
        <v>B</v>
      </c>
      <c r="Q1318" s="5" t="s">
        <v>448</v>
      </c>
    </row>
    <row r="1319" customFormat="false" ht="35.05" hidden="false" customHeight="false" outlineLevel="0" collapsed="false">
      <c r="A1319" s="6" t="s">
        <v>3318</v>
      </c>
      <c r="B1319" s="6" t="s">
        <v>105</v>
      </c>
      <c r="C1319" s="6" t="s">
        <v>106</v>
      </c>
      <c r="D1319" s="6" t="s">
        <v>149</v>
      </c>
      <c r="E1319" s="6" t="s">
        <v>150</v>
      </c>
      <c r="F1319" s="6" t="s">
        <v>207</v>
      </c>
      <c r="G1319" s="6" t="s">
        <v>609</v>
      </c>
      <c r="H1319" s="6" t="s">
        <v>224</v>
      </c>
      <c r="I1319" s="6" t="s">
        <v>3319</v>
      </c>
      <c r="J1319" s="6" t="s">
        <v>250</v>
      </c>
      <c r="K1319" s="6" t="s">
        <v>3131</v>
      </c>
      <c r="L1319" s="6" t="s">
        <v>190</v>
      </c>
      <c r="M1319" s="6" t="s">
        <v>637</v>
      </c>
      <c r="N1319" s="6" t="s">
        <v>286</v>
      </c>
      <c r="O1319" s="6" t="s">
        <v>3022</v>
      </c>
      <c r="P1319" s="18" t="str">
        <f aca="false">IF(J1319="S0","—",IF(K1319="","",IF(L1319="E0","QM",INDEX(10_ASIL_Matrix!$D$4:$F$15,MATCH(J1319&amp;"-"&amp;L1319,10_ASIL_Matrix!$C$4:$C$15,0),MATCH(N1319,10_ASIL_Matrix!$D$3:$F$3,0)))))</f>
        <v>B</v>
      </c>
      <c r="Q1319" s="6" t="s">
        <v>448</v>
      </c>
    </row>
    <row r="1320" customFormat="false" ht="35.05" hidden="false" customHeight="false" outlineLevel="0" collapsed="false">
      <c r="A1320" s="5" t="s">
        <v>3320</v>
      </c>
      <c r="B1320" s="5" t="s">
        <v>105</v>
      </c>
      <c r="C1320" s="5" t="s">
        <v>106</v>
      </c>
      <c r="D1320" s="5" t="s">
        <v>149</v>
      </c>
      <c r="E1320" s="5" t="s">
        <v>150</v>
      </c>
      <c r="F1320" s="5" t="s">
        <v>207</v>
      </c>
      <c r="G1320" s="5" t="s">
        <v>609</v>
      </c>
      <c r="H1320" s="5" t="s">
        <v>226</v>
      </c>
      <c r="I1320" s="5" t="s">
        <v>3321</v>
      </c>
      <c r="J1320" s="5" t="s">
        <v>250</v>
      </c>
      <c r="K1320" s="5" t="s">
        <v>3131</v>
      </c>
      <c r="L1320" s="5" t="s">
        <v>190</v>
      </c>
      <c r="M1320" s="5" t="s">
        <v>640</v>
      </c>
      <c r="N1320" s="5" t="s">
        <v>286</v>
      </c>
      <c r="O1320" s="5" t="s">
        <v>3022</v>
      </c>
      <c r="P1320" s="18" t="str">
        <f aca="false">IF(J1320="S0","—",IF(K1320="","",IF(L1320="E0","QM",INDEX(10_ASIL_Matrix!$D$4:$F$15,MATCH(J1320&amp;"-"&amp;L1320,10_ASIL_Matrix!$C$4:$C$15,0),MATCH(N1320,10_ASIL_Matrix!$D$3:$F$3,0)))))</f>
        <v>B</v>
      </c>
      <c r="Q1320" s="5" t="s">
        <v>448</v>
      </c>
    </row>
    <row r="1321" customFormat="false" ht="46.25" hidden="false" customHeight="false" outlineLevel="0" collapsed="false">
      <c r="A1321" s="6" t="s">
        <v>3322</v>
      </c>
      <c r="B1321" s="6" t="s">
        <v>105</v>
      </c>
      <c r="C1321" s="6" t="s">
        <v>106</v>
      </c>
      <c r="D1321" s="6" t="s">
        <v>149</v>
      </c>
      <c r="E1321" s="6" t="s">
        <v>150</v>
      </c>
      <c r="F1321" s="6" t="s">
        <v>207</v>
      </c>
      <c r="G1321" s="6" t="s">
        <v>609</v>
      </c>
      <c r="H1321" s="6" t="s">
        <v>228</v>
      </c>
      <c r="I1321" s="6" t="s">
        <v>3323</v>
      </c>
      <c r="J1321" s="6" t="s">
        <v>250</v>
      </c>
      <c r="K1321" s="6" t="s">
        <v>3131</v>
      </c>
      <c r="L1321" s="6" t="s">
        <v>205</v>
      </c>
      <c r="M1321" s="6" t="s">
        <v>643</v>
      </c>
      <c r="N1321" s="6" t="s">
        <v>286</v>
      </c>
      <c r="O1321" s="6" t="s">
        <v>3022</v>
      </c>
      <c r="P1321" s="19" t="str">
        <f aca="false">IF(J1321="S0","—",IF(K1321="","",IF(L1321="E0","QM",INDEX(10_ASIL_Matrix!$D$4:$F$15,MATCH(J1321&amp;"-"&amp;L1321,10_ASIL_Matrix!$C$4:$C$15,0),MATCH(N1321,10_ASIL_Matrix!$D$3:$F$3,0)))))</f>
        <v>A</v>
      </c>
      <c r="Q1321" s="6" t="s">
        <v>448</v>
      </c>
    </row>
    <row r="1322" customFormat="false" ht="35.05" hidden="false" customHeight="false" outlineLevel="0" collapsed="false">
      <c r="A1322" s="5" t="s">
        <v>3324</v>
      </c>
      <c r="B1322" s="5" t="s">
        <v>105</v>
      </c>
      <c r="C1322" s="5" t="s">
        <v>106</v>
      </c>
      <c r="D1322" s="5" t="s">
        <v>149</v>
      </c>
      <c r="E1322" s="5" t="s">
        <v>150</v>
      </c>
      <c r="F1322" s="5" t="s">
        <v>207</v>
      </c>
      <c r="G1322" s="5" t="s">
        <v>609</v>
      </c>
      <c r="H1322" s="5" t="s">
        <v>230</v>
      </c>
      <c r="I1322" s="5" t="s">
        <v>3325</v>
      </c>
      <c r="J1322" s="5" t="s">
        <v>250</v>
      </c>
      <c r="K1322" s="5" t="s">
        <v>3131</v>
      </c>
      <c r="L1322" s="5" t="s">
        <v>205</v>
      </c>
      <c r="M1322" s="5" t="s">
        <v>646</v>
      </c>
      <c r="N1322" s="5" t="s">
        <v>290</v>
      </c>
      <c r="O1322" s="5" t="s">
        <v>3031</v>
      </c>
      <c r="P1322" s="18" t="str">
        <f aca="false">IF(J1322="S0","—",IF(K1322="","",IF(L1322="E0","QM",INDEX(10_ASIL_Matrix!$D$4:$F$15,MATCH(J1322&amp;"-"&amp;L1322,10_ASIL_Matrix!$C$4:$C$15,0),MATCH(N1322,10_ASIL_Matrix!$D$3:$F$3,0)))))</f>
        <v>B</v>
      </c>
      <c r="Q1322" s="5" t="s">
        <v>448</v>
      </c>
    </row>
    <row r="1323" customFormat="false" ht="46.25" hidden="false" customHeight="false" outlineLevel="0" collapsed="false">
      <c r="A1323" s="6" t="s">
        <v>3326</v>
      </c>
      <c r="B1323" s="6" t="s">
        <v>105</v>
      </c>
      <c r="C1323" s="6" t="s">
        <v>106</v>
      </c>
      <c r="D1323" s="6" t="s">
        <v>149</v>
      </c>
      <c r="E1323" s="6" t="s">
        <v>150</v>
      </c>
      <c r="F1323" s="6" t="s">
        <v>207</v>
      </c>
      <c r="G1323" s="6" t="s">
        <v>609</v>
      </c>
      <c r="H1323" s="6" t="s">
        <v>232</v>
      </c>
      <c r="I1323" s="6" t="s">
        <v>3327</v>
      </c>
      <c r="J1323" s="6" t="s">
        <v>250</v>
      </c>
      <c r="K1323" s="6" t="s">
        <v>3131</v>
      </c>
      <c r="L1323" s="6" t="s">
        <v>233</v>
      </c>
      <c r="M1323" s="6" t="s">
        <v>649</v>
      </c>
      <c r="N1323" s="6" t="s">
        <v>286</v>
      </c>
      <c r="O1323" s="6" t="s">
        <v>3022</v>
      </c>
      <c r="P1323" s="6" t="str">
        <f aca="false">IF(J1323="S0","—",IF(K1323="","",IF(L1323="E0","QM",INDEX(10_ASIL_Matrix!$D$4:$F$15,MATCH(J1323&amp;"-"&amp;L1323,10_ASIL_Matrix!$C$4:$C$15,0),MATCH(N1323,10_ASIL_Matrix!$D$3:$F$3,0)))))</f>
        <v>QM</v>
      </c>
      <c r="Q1323" s="6" t="s">
        <v>448</v>
      </c>
    </row>
    <row r="1324" customFormat="false" ht="35.05" hidden="false" customHeight="false" outlineLevel="0" collapsed="false">
      <c r="A1324" s="5" t="s">
        <v>3328</v>
      </c>
      <c r="B1324" s="5" t="s">
        <v>105</v>
      </c>
      <c r="C1324" s="5" t="s">
        <v>106</v>
      </c>
      <c r="D1324" s="5" t="s">
        <v>149</v>
      </c>
      <c r="E1324" s="5" t="s">
        <v>150</v>
      </c>
      <c r="F1324" s="5" t="s">
        <v>209</v>
      </c>
      <c r="G1324" s="5" t="s">
        <v>570</v>
      </c>
      <c r="H1324" s="5" t="s">
        <v>222</v>
      </c>
      <c r="I1324" s="5" t="s">
        <v>3329</v>
      </c>
      <c r="J1324" s="5" t="s">
        <v>246</v>
      </c>
      <c r="K1324" s="5" t="s">
        <v>3144</v>
      </c>
      <c r="L1324" s="5" t="s">
        <v>190</v>
      </c>
      <c r="M1324" s="5" t="s">
        <v>653</v>
      </c>
      <c r="N1324" s="5" t="s">
        <v>282</v>
      </c>
      <c r="O1324" s="5" t="s">
        <v>3145</v>
      </c>
      <c r="P1324" s="5" t="str">
        <f aca="false">IF(J1324="S0","—",IF(K1324="","",IF(L1324="E0","QM",INDEX(10_ASIL_Matrix!$D$4:$F$15,MATCH(J1324&amp;"-"&amp;L1324,10_ASIL_Matrix!$C$4:$C$15,0),MATCH(N1324,10_ASIL_Matrix!$D$3:$F$3,0)))))</f>
        <v>QM</v>
      </c>
      <c r="Q1324" s="5" t="s">
        <v>448</v>
      </c>
    </row>
    <row r="1325" customFormat="false" ht="35.05" hidden="false" customHeight="false" outlineLevel="0" collapsed="false">
      <c r="A1325" s="6" t="s">
        <v>3330</v>
      </c>
      <c r="B1325" s="6" t="s">
        <v>105</v>
      </c>
      <c r="C1325" s="6" t="s">
        <v>106</v>
      </c>
      <c r="D1325" s="6" t="s">
        <v>149</v>
      </c>
      <c r="E1325" s="6" t="s">
        <v>150</v>
      </c>
      <c r="F1325" s="6" t="s">
        <v>209</v>
      </c>
      <c r="G1325" s="6" t="s">
        <v>570</v>
      </c>
      <c r="H1325" s="6" t="s">
        <v>224</v>
      </c>
      <c r="I1325" s="6" t="s">
        <v>3331</v>
      </c>
      <c r="J1325" s="6" t="s">
        <v>246</v>
      </c>
      <c r="K1325" s="6" t="s">
        <v>3144</v>
      </c>
      <c r="L1325" s="6" t="s">
        <v>190</v>
      </c>
      <c r="M1325" s="6" t="s">
        <v>656</v>
      </c>
      <c r="N1325" s="6" t="s">
        <v>282</v>
      </c>
      <c r="O1325" s="6" t="s">
        <v>3145</v>
      </c>
      <c r="P1325" s="6" t="str">
        <f aca="false">IF(J1325="S0","—",IF(K1325="","",IF(L1325="E0","QM",INDEX(10_ASIL_Matrix!$D$4:$F$15,MATCH(J1325&amp;"-"&amp;L1325,10_ASIL_Matrix!$C$4:$C$15,0),MATCH(N1325,10_ASIL_Matrix!$D$3:$F$3,0)))))</f>
        <v>QM</v>
      </c>
      <c r="Q1325" s="6" t="s">
        <v>448</v>
      </c>
    </row>
    <row r="1326" customFormat="false" ht="35.05" hidden="false" customHeight="false" outlineLevel="0" collapsed="false">
      <c r="A1326" s="5" t="s">
        <v>3332</v>
      </c>
      <c r="B1326" s="5" t="s">
        <v>105</v>
      </c>
      <c r="C1326" s="5" t="s">
        <v>106</v>
      </c>
      <c r="D1326" s="5" t="s">
        <v>149</v>
      </c>
      <c r="E1326" s="5" t="s">
        <v>150</v>
      </c>
      <c r="F1326" s="5" t="s">
        <v>209</v>
      </c>
      <c r="G1326" s="5" t="s">
        <v>570</v>
      </c>
      <c r="H1326" s="5" t="s">
        <v>226</v>
      </c>
      <c r="I1326" s="5" t="s">
        <v>3333</v>
      </c>
      <c r="J1326" s="5" t="s">
        <v>246</v>
      </c>
      <c r="K1326" s="5" t="s">
        <v>3144</v>
      </c>
      <c r="L1326" s="5" t="s">
        <v>190</v>
      </c>
      <c r="M1326" s="5" t="s">
        <v>659</v>
      </c>
      <c r="N1326" s="5" t="s">
        <v>282</v>
      </c>
      <c r="O1326" s="5" t="s">
        <v>3145</v>
      </c>
      <c r="P1326" s="5" t="str">
        <f aca="false">IF(J1326="S0","—",IF(K1326="","",IF(L1326="E0","QM",INDEX(10_ASIL_Matrix!$D$4:$F$15,MATCH(J1326&amp;"-"&amp;L1326,10_ASIL_Matrix!$C$4:$C$15,0),MATCH(N1326,10_ASIL_Matrix!$D$3:$F$3,0)))))</f>
        <v>QM</v>
      </c>
      <c r="Q1326" s="5" t="s">
        <v>448</v>
      </c>
    </row>
    <row r="1327" customFormat="false" ht="35.05" hidden="false" customHeight="false" outlineLevel="0" collapsed="false">
      <c r="A1327" s="6" t="s">
        <v>3334</v>
      </c>
      <c r="B1327" s="6" t="s">
        <v>105</v>
      </c>
      <c r="C1327" s="6" t="s">
        <v>106</v>
      </c>
      <c r="D1327" s="6" t="s">
        <v>149</v>
      </c>
      <c r="E1327" s="6" t="s">
        <v>150</v>
      </c>
      <c r="F1327" s="6" t="s">
        <v>209</v>
      </c>
      <c r="G1327" s="6" t="s">
        <v>570</v>
      </c>
      <c r="H1327" s="6" t="s">
        <v>228</v>
      </c>
      <c r="I1327" s="6" t="s">
        <v>3335</v>
      </c>
      <c r="J1327" s="6" t="s">
        <v>246</v>
      </c>
      <c r="K1327" s="6" t="s">
        <v>3144</v>
      </c>
      <c r="L1327" s="6" t="s">
        <v>205</v>
      </c>
      <c r="M1327" s="6" t="s">
        <v>662</v>
      </c>
      <c r="N1327" s="6" t="s">
        <v>282</v>
      </c>
      <c r="O1327" s="6" t="s">
        <v>3145</v>
      </c>
      <c r="P1327" s="6" t="str">
        <f aca="false">IF(J1327="S0","—",IF(K1327="","",IF(L1327="E0","QM",INDEX(10_ASIL_Matrix!$D$4:$F$15,MATCH(J1327&amp;"-"&amp;L1327,10_ASIL_Matrix!$C$4:$C$15,0),MATCH(N1327,10_ASIL_Matrix!$D$3:$F$3,0)))))</f>
        <v>QM</v>
      </c>
      <c r="Q1327" s="6" t="s">
        <v>448</v>
      </c>
    </row>
    <row r="1328" customFormat="false" ht="35.05" hidden="false" customHeight="false" outlineLevel="0" collapsed="false">
      <c r="A1328" s="5" t="s">
        <v>3336</v>
      </c>
      <c r="B1328" s="5" t="s">
        <v>105</v>
      </c>
      <c r="C1328" s="5" t="s">
        <v>106</v>
      </c>
      <c r="D1328" s="5" t="s">
        <v>149</v>
      </c>
      <c r="E1328" s="5" t="s">
        <v>150</v>
      </c>
      <c r="F1328" s="5" t="s">
        <v>209</v>
      </c>
      <c r="G1328" s="5" t="s">
        <v>570</v>
      </c>
      <c r="H1328" s="5" t="s">
        <v>230</v>
      </c>
      <c r="I1328" s="5" t="s">
        <v>3337</v>
      </c>
      <c r="J1328" s="5" t="s">
        <v>246</v>
      </c>
      <c r="K1328" s="5" t="s">
        <v>3144</v>
      </c>
      <c r="L1328" s="5" t="s">
        <v>205</v>
      </c>
      <c r="M1328" s="5" t="s">
        <v>665</v>
      </c>
      <c r="N1328" s="5" t="s">
        <v>286</v>
      </c>
      <c r="O1328" s="5" t="s">
        <v>3154</v>
      </c>
      <c r="P1328" s="5" t="str">
        <f aca="false">IF(J1328="S0","—",IF(K1328="","",IF(L1328="E0","QM",INDEX(10_ASIL_Matrix!$D$4:$F$15,MATCH(J1328&amp;"-"&amp;L1328,10_ASIL_Matrix!$C$4:$C$15,0),MATCH(N1328,10_ASIL_Matrix!$D$3:$F$3,0)))))</f>
        <v>QM</v>
      </c>
      <c r="Q1328" s="5" t="s">
        <v>448</v>
      </c>
    </row>
    <row r="1329" customFormat="false" ht="46.25" hidden="false" customHeight="false" outlineLevel="0" collapsed="false">
      <c r="A1329" s="6" t="s">
        <v>3338</v>
      </c>
      <c r="B1329" s="6" t="s">
        <v>105</v>
      </c>
      <c r="C1329" s="6" t="s">
        <v>106</v>
      </c>
      <c r="D1329" s="6" t="s">
        <v>149</v>
      </c>
      <c r="E1329" s="6" t="s">
        <v>150</v>
      </c>
      <c r="F1329" s="6" t="s">
        <v>209</v>
      </c>
      <c r="G1329" s="6" t="s">
        <v>570</v>
      </c>
      <c r="H1329" s="6" t="s">
        <v>232</v>
      </c>
      <c r="I1329" s="6" t="s">
        <v>3339</v>
      </c>
      <c r="J1329" s="6" t="s">
        <v>246</v>
      </c>
      <c r="K1329" s="6" t="s">
        <v>3144</v>
      </c>
      <c r="L1329" s="6" t="s">
        <v>233</v>
      </c>
      <c r="M1329" s="6" t="s">
        <v>668</v>
      </c>
      <c r="N1329" s="6" t="s">
        <v>282</v>
      </c>
      <c r="O1329" s="6" t="s">
        <v>3145</v>
      </c>
      <c r="P1329" s="6" t="str">
        <f aca="false">IF(J1329="S0","—",IF(K1329="","",IF(L1329="E0","QM",INDEX(10_ASIL_Matrix!$D$4:$F$15,MATCH(J1329&amp;"-"&amp;L1329,10_ASIL_Matrix!$C$4:$C$15,0),MATCH(N1329,10_ASIL_Matrix!$D$3:$F$3,0)))))</f>
        <v>QM</v>
      </c>
      <c r="Q1329" s="6" t="s">
        <v>448</v>
      </c>
    </row>
    <row r="1330" customFormat="false" ht="35.05" hidden="false" customHeight="false" outlineLevel="0" collapsed="false">
      <c r="A1330" s="5" t="s">
        <v>3340</v>
      </c>
      <c r="B1330" s="5" t="s">
        <v>105</v>
      </c>
      <c r="C1330" s="5" t="s">
        <v>106</v>
      </c>
      <c r="D1330" s="5" t="s">
        <v>149</v>
      </c>
      <c r="E1330" s="5" t="s">
        <v>150</v>
      </c>
      <c r="F1330" s="5" t="s">
        <v>211</v>
      </c>
      <c r="G1330" s="5" t="s">
        <v>609</v>
      </c>
      <c r="H1330" s="5" t="s">
        <v>222</v>
      </c>
      <c r="I1330" s="5" t="s">
        <v>3341</v>
      </c>
      <c r="J1330" s="5" t="s">
        <v>238</v>
      </c>
      <c r="K1330" s="5" t="s">
        <v>1456</v>
      </c>
      <c r="L1330" s="5" t="s">
        <v>187</v>
      </c>
      <c r="M1330" s="5" t="s">
        <v>672</v>
      </c>
      <c r="N1330" s="5" t="s">
        <v>278</v>
      </c>
      <c r="O1330" s="5" t="s">
        <v>634</v>
      </c>
      <c r="P1330" s="5" t="str">
        <f aca="false">IF(J1330="S0","—",IF(K1330="","",IF(L1330="E0","QM",INDEX(10_ASIL_Matrix!$D$4:$F$15,MATCH(J1330&amp;"-"&amp;L1330,10_ASIL_Matrix!$C$4:$C$15,0),MATCH(N1330,10_ASIL_Matrix!$D$3:$F$3,0)))))</f>
        <v>—</v>
      </c>
      <c r="Q1330" s="5" t="s">
        <v>448</v>
      </c>
    </row>
    <row r="1331" customFormat="false" ht="35.05" hidden="false" customHeight="false" outlineLevel="0" collapsed="false">
      <c r="A1331" s="6" t="s">
        <v>3342</v>
      </c>
      <c r="B1331" s="6" t="s">
        <v>105</v>
      </c>
      <c r="C1331" s="6" t="s">
        <v>106</v>
      </c>
      <c r="D1331" s="6" t="s">
        <v>149</v>
      </c>
      <c r="E1331" s="6" t="s">
        <v>150</v>
      </c>
      <c r="F1331" s="6" t="s">
        <v>211</v>
      </c>
      <c r="G1331" s="6" t="s">
        <v>609</v>
      </c>
      <c r="H1331" s="6" t="s">
        <v>224</v>
      </c>
      <c r="I1331" s="6" t="s">
        <v>3343</v>
      </c>
      <c r="J1331" s="6" t="s">
        <v>238</v>
      </c>
      <c r="K1331" s="6" t="s">
        <v>1456</v>
      </c>
      <c r="L1331" s="6" t="s">
        <v>190</v>
      </c>
      <c r="M1331" s="6" t="s">
        <v>675</v>
      </c>
      <c r="N1331" s="6" t="s">
        <v>278</v>
      </c>
      <c r="O1331" s="6" t="s">
        <v>634</v>
      </c>
      <c r="P1331" s="6" t="str">
        <f aca="false">IF(J1331="S0","—",IF(K1331="","",IF(L1331="E0","QM",INDEX(10_ASIL_Matrix!$D$4:$F$15,MATCH(J1331&amp;"-"&amp;L1331,10_ASIL_Matrix!$C$4:$C$15,0),MATCH(N1331,10_ASIL_Matrix!$D$3:$F$3,0)))))</f>
        <v>—</v>
      </c>
      <c r="Q1331" s="6" t="s">
        <v>448</v>
      </c>
    </row>
    <row r="1332" customFormat="false" ht="35.05" hidden="false" customHeight="false" outlineLevel="0" collapsed="false">
      <c r="A1332" s="5" t="s">
        <v>3344</v>
      </c>
      <c r="B1332" s="5" t="s">
        <v>105</v>
      </c>
      <c r="C1332" s="5" t="s">
        <v>106</v>
      </c>
      <c r="D1332" s="5" t="s">
        <v>149</v>
      </c>
      <c r="E1332" s="5" t="s">
        <v>150</v>
      </c>
      <c r="F1332" s="5" t="s">
        <v>211</v>
      </c>
      <c r="G1332" s="5" t="s">
        <v>609</v>
      </c>
      <c r="H1332" s="5" t="s">
        <v>226</v>
      </c>
      <c r="I1332" s="5" t="s">
        <v>3345</v>
      </c>
      <c r="J1332" s="5" t="s">
        <v>238</v>
      </c>
      <c r="K1332" s="5" t="s">
        <v>1456</v>
      </c>
      <c r="L1332" s="5" t="s">
        <v>190</v>
      </c>
      <c r="M1332" s="5" t="s">
        <v>678</v>
      </c>
      <c r="N1332" s="5" t="s">
        <v>278</v>
      </c>
      <c r="O1332" s="5" t="s">
        <v>634</v>
      </c>
      <c r="P1332" s="5" t="str">
        <f aca="false">IF(J1332="S0","—",IF(K1332="","",IF(L1332="E0","QM",INDEX(10_ASIL_Matrix!$D$4:$F$15,MATCH(J1332&amp;"-"&amp;L1332,10_ASIL_Matrix!$C$4:$C$15,0),MATCH(N1332,10_ASIL_Matrix!$D$3:$F$3,0)))))</f>
        <v>—</v>
      </c>
      <c r="Q1332" s="5" t="s">
        <v>448</v>
      </c>
    </row>
    <row r="1333" customFormat="false" ht="35.05" hidden="false" customHeight="false" outlineLevel="0" collapsed="false">
      <c r="A1333" s="6" t="s">
        <v>3346</v>
      </c>
      <c r="B1333" s="6" t="s">
        <v>105</v>
      </c>
      <c r="C1333" s="6" t="s">
        <v>106</v>
      </c>
      <c r="D1333" s="6" t="s">
        <v>149</v>
      </c>
      <c r="E1333" s="6" t="s">
        <v>150</v>
      </c>
      <c r="F1333" s="6" t="s">
        <v>211</v>
      </c>
      <c r="G1333" s="6" t="s">
        <v>609</v>
      </c>
      <c r="H1333" s="6" t="s">
        <v>228</v>
      </c>
      <c r="I1333" s="6" t="s">
        <v>3347</v>
      </c>
      <c r="J1333" s="6" t="s">
        <v>238</v>
      </c>
      <c r="K1333" s="6" t="s">
        <v>1456</v>
      </c>
      <c r="L1333" s="6" t="s">
        <v>205</v>
      </c>
      <c r="M1333" s="6" t="s">
        <v>681</v>
      </c>
      <c r="N1333" s="6" t="s">
        <v>278</v>
      </c>
      <c r="O1333" s="6" t="s">
        <v>634</v>
      </c>
      <c r="P1333" s="6" t="str">
        <f aca="false">IF(J1333="S0","—",IF(K1333="","",IF(L1333="E0","QM",INDEX(10_ASIL_Matrix!$D$4:$F$15,MATCH(J1333&amp;"-"&amp;L1333,10_ASIL_Matrix!$C$4:$C$15,0),MATCH(N1333,10_ASIL_Matrix!$D$3:$F$3,0)))))</f>
        <v>—</v>
      </c>
      <c r="Q1333" s="6" t="s">
        <v>448</v>
      </c>
    </row>
    <row r="1334" customFormat="false" ht="35.05" hidden="false" customHeight="false" outlineLevel="0" collapsed="false">
      <c r="A1334" s="5" t="s">
        <v>3348</v>
      </c>
      <c r="B1334" s="5" t="s">
        <v>105</v>
      </c>
      <c r="C1334" s="5" t="s">
        <v>106</v>
      </c>
      <c r="D1334" s="5" t="s">
        <v>149</v>
      </c>
      <c r="E1334" s="5" t="s">
        <v>150</v>
      </c>
      <c r="F1334" s="5" t="s">
        <v>211</v>
      </c>
      <c r="G1334" s="5" t="s">
        <v>609</v>
      </c>
      <c r="H1334" s="5" t="s">
        <v>230</v>
      </c>
      <c r="I1334" s="5" t="s">
        <v>3349</v>
      </c>
      <c r="J1334" s="5" t="s">
        <v>238</v>
      </c>
      <c r="K1334" s="5" t="s">
        <v>1456</v>
      </c>
      <c r="L1334" s="5" t="s">
        <v>205</v>
      </c>
      <c r="M1334" s="5" t="s">
        <v>684</v>
      </c>
      <c r="N1334" s="5" t="s">
        <v>278</v>
      </c>
      <c r="O1334" s="5" t="s">
        <v>634</v>
      </c>
      <c r="P1334" s="5" t="str">
        <f aca="false">IF(J1334="S0","—",IF(K1334="","",IF(L1334="E0","QM",INDEX(10_ASIL_Matrix!$D$4:$F$15,MATCH(J1334&amp;"-"&amp;L1334,10_ASIL_Matrix!$C$4:$C$15,0),MATCH(N1334,10_ASIL_Matrix!$D$3:$F$3,0)))))</f>
        <v>—</v>
      </c>
      <c r="Q1334" s="5" t="s">
        <v>448</v>
      </c>
    </row>
    <row r="1335" customFormat="false" ht="46.25" hidden="false" customHeight="false" outlineLevel="0" collapsed="false">
      <c r="A1335" s="6" t="s">
        <v>3350</v>
      </c>
      <c r="B1335" s="6" t="s">
        <v>105</v>
      </c>
      <c r="C1335" s="6" t="s">
        <v>106</v>
      </c>
      <c r="D1335" s="6" t="s">
        <v>149</v>
      </c>
      <c r="E1335" s="6" t="s">
        <v>150</v>
      </c>
      <c r="F1335" s="6" t="s">
        <v>211</v>
      </c>
      <c r="G1335" s="6" t="s">
        <v>609</v>
      </c>
      <c r="H1335" s="6" t="s">
        <v>232</v>
      </c>
      <c r="I1335" s="6" t="s">
        <v>3351</v>
      </c>
      <c r="J1335" s="6" t="s">
        <v>238</v>
      </c>
      <c r="K1335" s="6" t="s">
        <v>1456</v>
      </c>
      <c r="L1335" s="6" t="s">
        <v>233</v>
      </c>
      <c r="M1335" s="6" t="s">
        <v>687</v>
      </c>
      <c r="N1335" s="6" t="s">
        <v>278</v>
      </c>
      <c r="O1335" s="6" t="s">
        <v>634</v>
      </c>
      <c r="P1335" s="6" t="str">
        <f aca="false">IF(J1335="S0","—",IF(K1335="","",IF(L1335="E0","QM",INDEX(10_ASIL_Matrix!$D$4:$F$15,MATCH(J1335&amp;"-"&amp;L1335,10_ASIL_Matrix!$C$4:$C$15,0),MATCH(N1335,10_ASIL_Matrix!$D$3:$F$3,0)))))</f>
        <v>—</v>
      </c>
      <c r="Q1335" s="6" t="s">
        <v>448</v>
      </c>
    </row>
    <row r="1336" customFormat="false" ht="46.25" hidden="false" customHeight="false" outlineLevel="0" collapsed="false">
      <c r="A1336" s="5" t="s">
        <v>3352</v>
      </c>
      <c r="B1336" s="5" t="s">
        <v>105</v>
      </c>
      <c r="C1336" s="5" t="s">
        <v>106</v>
      </c>
      <c r="D1336" s="5" t="s">
        <v>149</v>
      </c>
      <c r="E1336" s="5" t="s">
        <v>150</v>
      </c>
      <c r="F1336" s="5" t="s">
        <v>213</v>
      </c>
      <c r="G1336" s="5" t="s">
        <v>689</v>
      </c>
      <c r="H1336" s="5" t="s">
        <v>222</v>
      </c>
      <c r="I1336" s="5" t="s">
        <v>3353</v>
      </c>
      <c r="J1336" s="5" t="s">
        <v>250</v>
      </c>
      <c r="K1336" s="5" t="s">
        <v>3171</v>
      </c>
      <c r="L1336" s="5" t="s">
        <v>205</v>
      </c>
      <c r="M1336" s="5" t="s">
        <v>692</v>
      </c>
      <c r="N1336" s="5" t="s">
        <v>286</v>
      </c>
      <c r="O1336" s="5" t="s">
        <v>3022</v>
      </c>
      <c r="P1336" s="19" t="str">
        <f aca="false">IF(J1336="S0","—",IF(K1336="","",IF(L1336="E0","QM",INDEX(10_ASIL_Matrix!$D$4:$F$15,MATCH(J1336&amp;"-"&amp;L1336,10_ASIL_Matrix!$C$4:$C$15,0),MATCH(N1336,10_ASIL_Matrix!$D$3:$F$3,0)))))</f>
        <v>A</v>
      </c>
      <c r="Q1336" s="5" t="s">
        <v>448</v>
      </c>
    </row>
    <row r="1337" customFormat="false" ht="46.25" hidden="false" customHeight="false" outlineLevel="0" collapsed="false">
      <c r="A1337" s="6" t="s">
        <v>3354</v>
      </c>
      <c r="B1337" s="6" t="s">
        <v>105</v>
      </c>
      <c r="C1337" s="6" t="s">
        <v>106</v>
      </c>
      <c r="D1337" s="6" t="s">
        <v>149</v>
      </c>
      <c r="E1337" s="6" t="s">
        <v>150</v>
      </c>
      <c r="F1337" s="6" t="s">
        <v>213</v>
      </c>
      <c r="G1337" s="6" t="s">
        <v>689</v>
      </c>
      <c r="H1337" s="6" t="s">
        <v>224</v>
      </c>
      <c r="I1337" s="6" t="s">
        <v>3355</v>
      </c>
      <c r="J1337" s="6" t="s">
        <v>250</v>
      </c>
      <c r="K1337" s="6" t="s">
        <v>3171</v>
      </c>
      <c r="L1337" s="6" t="s">
        <v>205</v>
      </c>
      <c r="M1337" s="6" t="s">
        <v>696</v>
      </c>
      <c r="N1337" s="6" t="s">
        <v>286</v>
      </c>
      <c r="O1337" s="6" t="s">
        <v>3022</v>
      </c>
      <c r="P1337" s="19" t="str">
        <f aca="false">IF(J1337="S0","—",IF(K1337="","",IF(L1337="E0","QM",INDEX(10_ASIL_Matrix!$D$4:$F$15,MATCH(J1337&amp;"-"&amp;L1337,10_ASIL_Matrix!$C$4:$C$15,0),MATCH(N1337,10_ASIL_Matrix!$D$3:$F$3,0)))))</f>
        <v>A</v>
      </c>
      <c r="Q1337" s="6" t="s">
        <v>448</v>
      </c>
    </row>
    <row r="1338" customFormat="false" ht="46.25" hidden="false" customHeight="false" outlineLevel="0" collapsed="false">
      <c r="A1338" s="5" t="s">
        <v>3356</v>
      </c>
      <c r="B1338" s="5" t="s">
        <v>105</v>
      </c>
      <c r="C1338" s="5" t="s">
        <v>106</v>
      </c>
      <c r="D1338" s="5" t="s">
        <v>149</v>
      </c>
      <c r="E1338" s="5" t="s">
        <v>150</v>
      </c>
      <c r="F1338" s="5" t="s">
        <v>213</v>
      </c>
      <c r="G1338" s="5" t="s">
        <v>689</v>
      </c>
      <c r="H1338" s="5" t="s">
        <v>226</v>
      </c>
      <c r="I1338" s="5" t="s">
        <v>3357</v>
      </c>
      <c r="J1338" s="5" t="s">
        <v>250</v>
      </c>
      <c r="K1338" s="5" t="s">
        <v>3171</v>
      </c>
      <c r="L1338" s="5" t="s">
        <v>205</v>
      </c>
      <c r="M1338" s="5" t="s">
        <v>699</v>
      </c>
      <c r="N1338" s="5" t="s">
        <v>286</v>
      </c>
      <c r="O1338" s="5" t="s">
        <v>3022</v>
      </c>
      <c r="P1338" s="19" t="str">
        <f aca="false">IF(J1338="S0","—",IF(K1338="","",IF(L1338="E0","QM",INDEX(10_ASIL_Matrix!$D$4:$F$15,MATCH(J1338&amp;"-"&amp;L1338,10_ASIL_Matrix!$C$4:$C$15,0),MATCH(N1338,10_ASIL_Matrix!$D$3:$F$3,0)))))</f>
        <v>A</v>
      </c>
      <c r="Q1338" s="5" t="s">
        <v>448</v>
      </c>
    </row>
    <row r="1339" customFormat="false" ht="46.25" hidden="false" customHeight="false" outlineLevel="0" collapsed="false">
      <c r="A1339" s="6" t="s">
        <v>3358</v>
      </c>
      <c r="B1339" s="6" t="s">
        <v>105</v>
      </c>
      <c r="C1339" s="6" t="s">
        <v>106</v>
      </c>
      <c r="D1339" s="6" t="s">
        <v>149</v>
      </c>
      <c r="E1339" s="6" t="s">
        <v>150</v>
      </c>
      <c r="F1339" s="6" t="s">
        <v>213</v>
      </c>
      <c r="G1339" s="6" t="s">
        <v>689</v>
      </c>
      <c r="H1339" s="6" t="s">
        <v>228</v>
      </c>
      <c r="I1339" s="6" t="s">
        <v>3359</v>
      </c>
      <c r="J1339" s="6" t="s">
        <v>250</v>
      </c>
      <c r="K1339" s="6" t="s">
        <v>3171</v>
      </c>
      <c r="L1339" s="6" t="s">
        <v>205</v>
      </c>
      <c r="M1339" s="6" t="s">
        <v>702</v>
      </c>
      <c r="N1339" s="6" t="s">
        <v>286</v>
      </c>
      <c r="O1339" s="6" t="s">
        <v>3022</v>
      </c>
      <c r="P1339" s="19" t="str">
        <f aca="false">IF(J1339="S0","—",IF(K1339="","",IF(L1339="E0","QM",INDEX(10_ASIL_Matrix!$D$4:$F$15,MATCH(J1339&amp;"-"&amp;L1339,10_ASIL_Matrix!$C$4:$C$15,0),MATCH(N1339,10_ASIL_Matrix!$D$3:$F$3,0)))))</f>
        <v>A</v>
      </c>
      <c r="Q1339" s="6" t="s">
        <v>448</v>
      </c>
    </row>
    <row r="1340" customFormat="false" ht="46.25" hidden="false" customHeight="false" outlineLevel="0" collapsed="false">
      <c r="A1340" s="5" t="s">
        <v>3360</v>
      </c>
      <c r="B1340" s="5" t="s">
        <v>105</v>
      </c>
      <c r="C1340" s="5" t="s">
        <v>106</v>
      </c>
      <c r="D1340" s="5" t="s">
        <v>149</v>
      </c>
      <c r="E1340" s="5" t="s">
        <v>150</v>
      </c>
      <c r="F1340" s="5" t="s">
        <v>213</v>
      </c>
      <c r="G1340" s="5" t="s">
        <v>689</v>
      </c>
      <c r="H1340" s="5" t="s">
        <v>230</v>
      </c>
      <c r="I1340" s="5" t="s">
        <v>3361</v>
      </c>
      <c r="J1340" s="5" t="s">
        <v>250</v>
      </c>
      <c r="K1340" s="5" t="s">
        <v>3171</v>
      </c>
      <c r="L1340" s="5" t="s">
        <v>205</v>
      </c>
      <c r="M1340" s="5" t="s">
        <v>705</v>
      </c>
      <c r="N1340" s="5" t="s">
        <v>290</v>
      </c>
      <c r="O1340" s="5" t="s">
        <v>3031</v>
      </c>
      <c r="P1340" s="18" t="str">
        <f aca="false">IF(J1340="S0","—",IF(K1340="","",IF(L1340="E0","QM",INDEX(10_ASIL_Matrix!$D$4:$F$15,MATCH(J1340&amp;"-"&amp;L1340,10_ASIL_Matrix!$C$4:$C$15,0),MATCH(N1340,10_ASIL_Matrix!$D$3:$F$3,0)))))</f>
        <v>B</v>
      </c>
      <c r="Q1340" s="5" t="s">
        <v>448</v>
      </c>
    </row>
    <row r="1341" customFormat="false" ht="46.25" hidden="false" customHeight="false" outlineLevel="0" collapsed="false">
      <c r="A1341" s="6" t="s">
        <v>3362</v>
      </c>
      <c r="B1341" s="6" t="s">
        <v>105</v>
      </c>
      <c r="C1341" s="6" t="s">
        <v>106</v>
      </c>
      <c r="D1341" s="6" t="s">
        <v>149</v>
      </c>
      <c r="E1341" s="6" t="s">
        <v>150</v>
      </c>
      <c r="F1341" s="6" t="s">
        <v>213</v>
      </c>
      <c r="G1341" s="6" t="s">
        <v>689</v>
      </c>
      <c r="H1341" s="6" t="s">
        <v>232</v>
      </c>
      <c r="I1341" s="6" t="s">
        <v>3363</v>
      </c>
      <c r="J1341" s="6" t="s">
        <v>250</v>
      </c>
      <c r="K1341" s="6" t="s">
        <v>3171</v>
      </c>
      <c r="L1341" s="6" t="s">
        <v>233</v>
      </c>
      <c r="M1341" s="6" t="s">
        <v>709</v>
      </c>
      <c r="N1341" s="6" t="s">
        <v>286</v>
      </c>
      <c r="O1341" s="6" t="s">
        <v>3022</v>
      </c>
      <c r="P1341" s="6" t="str">
        <f aca="false">IF(J1341="S0","—",IF(K1341="","",IF(L1341="E0","QM",INDEX(10_ASIL_Matrix!$D$4:$F$15,MATCH(J1341&amp;"-"&amp;L1341,10_ASIL_Matrix!$C$4:$C$15,0),MATCH(N1341,10_ASIL_Matrix!$D$3:$F$3,0)))))</f>
        <v>QM</v>
      </c>
      <c r="Q1341" s="6" t="s">
        <v>448</v>
      </c>
    </row>
    <row r="1342" customFormat="false" ht="35.05" hidden="false" customHeight="false" outlineLevel="0" collapsed="false">
      <c r="A1342" s="5" t="s">
        <v>3364</v>
      </c>
      <c r="B1342" s="5" t="s">
        <v>105</v>
      </c>
      <c r="C1342" s="5" t="s">
        <v>106</v>
      </c>
      <c r="D1342" s="5" t="s">
        <v>149</v>
      </c>
      <c r="E1342" s="5" t="s">
        <v>150</v>
      </c>
      <c r="F1342" s="5" t="s">
        <v>215</v>
      </c>
      <c r="G1342" s="5" t="s">
        <v>711</v>
      </c>
      <c r="H1342" s="5" t="s">
        <v>222</v>
      </c>
      <c r="I1342" s="5" t="s">
        <v>3365</v>
      </c>
      <c r="J1342" s="5" t="s">
        <v>250</v>
      </c>
      <c r="K1342" s="5" t="s">
        <v>3184</v>
      </c>
      <c r="L1342" s="5" t="s">
        <v>190</v>
      </c>
      <c r="M1342" s="5" t="s">
        <v>714</v>
      </c>
      <c r="N1342" s="5" t="s">
        <v>286</v>
      </c>
      <c r="O1342" s="5" t="s">
        <v>3022</v>
      </c>
      <c r="P1342" s="18" t="str">
        <f aca="false">IF(J1342="S0","—",IF(K1342="","",IF(L1342="E0","QM",INDEX(10_ASIL_Matrix!$D$4:$F$15,MATCH(J1342&amp;"-"&amp;L1342,10_ASIL_Matrix!$C$4:$C$15,0),MATCH(N1342,10_ASIL_Matrix!$D$3:$F$3,0)))))</f>
        <v>B</v>
      </c>
      <c r="Q1342" s="5" t="s">
        <v>448</v>
      </c>
    </row>
    <row r="1343" customFormat="false" ht="35.05" hidden="false" customHeight="false" outlineLevel="0" collapsed="false">
      <c r="A1343" s="6" t="s">
        <v>3366</v>
      </c>
      <c r="B1343" s="6" t="s">
        <v>105</v>
      </c>
      <c r="C1343" s="6" t="s">
        <v>106</v>
      </c>
      <c r="D1343" s="6" t="s">
        <v>149</v>
      </c>
      <c r="E1343" s="6" t="s">
        <v>150</v>
      </c>
      <c r="F1343" s="6" t="s">
        <v>215</v>
      </c>
      <c r="G1343" s="6" t="s">
        <v>711</v>
      </c>
      <c r="H1343" s="6" t="s">
        <v>224</v>
      </c>
      <c r="I1343" s="6" t="s">
        <v>3367</v>
      </c>
      <c r="J1343" s="6" t="s">
        <v>250</v>
      </c>
      <c r="K1343" s="6" t="s">
        <v>3184</v>
      </c>
      <c r="L1343" s="6" t="s">
        <v>190</v>
      </c>
      <c r="M1343" s="6" t="s">
        <v>717</v>
      </c>
      <c r="N1343" s="6" t="s">
        <v>286</v>
      </c>
      <c r="O1343" s="6" t="s">
        <v>3022</v>
      </c>
      <c r="P1343" s="18" t="str">
        <f aca="false">IF(J1343="S0","—",IF(K1343="","",IF(L1343="E0","QM",INDEX(10_ASIL_Matrix!$D$4:$F$15,MATCH(J1343&amp;"-"&amp;L1343,10_ASIL_Matrix!$C$4:$C$15,0),MATCH(N1343,10_ASIL_Matrix!$D$3:$F$3,0)))))</f>
        <v>B</v>
      </c>
      <c r="Q1343" s="6" t="s">
        <v>448</v>
      </c>
    </row>
    <row r="1344" customFormat="false" ht="35.05" hidden="false" customHeight="false" outlineLevel="0" collapsed="false">
      <c r="A1344" s="5" t="s">
        <v>3368</v>
      </c>
      <c r="B1344" s="5" t="s">
        <v>105</v>
      </c>
      <c r="C1344" s="5" t="s">
        <v>106</v>
      </c>
      <c r="D1344" s="5" t="s">
        <v>149</v>
      </c>
      <c r="E1344" s="5" t="s">
        <v>150</v>
      </c>
      <c r="F1344" s="5" t="s">
        <v>215</v>
      </c>
      <c r="G1344" s="5" t="s">
        <v>711</v>
      </c>
      <c r="H1344" s="5" t="s">
        <v>226</v>
      </c>
      <c r="I1344" s="5" t="s">
        <v>3369</v>
      </c>
      <c r="J1344" s="5" t="s">
        <v>250</v>
      </c>
      <c r="K1344" s="5" t="s">
        <v>3184</v>
      </c>
      <c r="L1344" s="5" t="s">
        <v>190</v>
      </c>
      <c r="M1344" s="5" t="s">
        <v>720</v>
      </c>
      <c r="N1344" s="5" t="s">
        <v>286</v>
      </c>
      <c r="O1344" s="5" t="s">
        <v>3022</v>
      </c>
      <c r="P1344" s="18" t="str">
        <f aca="false">IF(J1344="S0","—",IF(K1344="","",IF(L1344="E0","QM",INDEX(10_ASIL_Matrix!$D$4:$F$15,MATCH(J1344&amp;"-"&amp;L1344,10_ASIL_Matrix!$C$4:$C$15,0),MATCH(N1344,10_ASIL_Matrix!$D$3:$F$3,0)))))</f>
        <v>B</v>
      </c>
      <c r="Q1344" s="5" t="s">
        <v>448</v>
      </c>
    </row>
    <row r="1345" customFormat="false" ht="35.05" hidden="false" customHeight="false" outlineLevel="0" collapsed="false">
      <c r="A1345" s="6" t="s">
        <v>3370</v>
      </c>
      <c r="B1345" s="6" t="s">
        <v>105</v>
      </c>
      <c r="C1345" s="6" t="s">
        <v>106</v>
      </c>
      <c r="D1345" s="6" t="s">
        <v>149</v>
      </c>
      <c r="E1345" s="6" t="s">
        <v>150</v>
      </c>
      <c r="F1345" s="6" t="s">
        <v>215</v>
      </c>
      <c r="G1345" s="6" t="s">
        <v>711</v>
      </c>
      <c r="H1345" s="6" t="s">
        <v>228</v>
      </c>
      <c r="I1345" s="6" t="s">
        <v>3371</v>
      </c>
      <c r="J1345" s="6" t="s">
        <v>250</v>
      </c>
      <c r="K1345" s="6" t="s">
        <v>3184</v>
      </c>
      <c r="L1345" s="6" t="s">
        <v>205</v>
      </c>
      <c r="M1345" s="6" t="s">
        <v>723</v>
      </c>
      <c r="N1345" s="6" t="s">
        <v>286</v>
      </c>
      <c r="O1345" s="6" t="s">
        <v>3022</v>
      </c>
      <c r="P1345" s="19" t="str">
        <f aca="false">IF(J1345="S0","—",IF(K1345="","",IF(L1345="E0","QM",INDEX(10_ASIL_Matrix!$D$4:$F$15,MATCH(J1345&amp;"-"&amp;L1345,10_ASIL_Matrix!$C$4:$C$15,0),MATCH(N1345,10_ASIL_Matrix!$D$3:$F$3,0)))))</f>
        <v>A</v>
      </c>
      <c r="Q1345" s="6" t="s">
        <v>448</v>
      </c>
    </row>
    <row r="1346" customFormat="false" ht="35.05" hidden="false" customHeight="false" outlineLevel="0" collapsed="false">
      <c r="A1346" s="5" t="s">
        <v>3372</v>
      </c>
      <c r="B1346" s="5" t="s">
        <v>105</v>
      </c>
      <c r="C1346" s="5" t="s">
        <v>106</v>
      </c>
      <c r="D1346" s="5" t="s">
        <v>149</v>
      </c>
      <c r="E1346" s="5" t="s">
        <v>150</v>
      </c>
      <c r="F1346" s="5" t="s">
        <v>215</v>
      </c>
      <c r="G1346" s="5" t="s">
        <v>711</v>
      </c>
      <c r="H1346" s="5" t="s">
        <v>230</v>
      </c>
      <c r="I1346" s="5" t="s">
        <v>3373</v>
      </c>
      <c r="J1346" s="5" t="s">
        <v>250</v>
      </c>
      <c r="K1346" s="5" t="s">
        <v>3184</v>
      </c>
      <c r="L1346" s="5" t="s">
        <v>205</v>
      </c>
      <c r="M1346" s="5" t="s">
        <v>726</v>
      </c>
      <c r="N1346" s="5" t="s">
        <v>290</v>
      </c>
      <c r="O1346" s="5" t="s">
        <v>3031</v>
      </c>
      <c r="P1346" s="18" t="str">
        <f aca="false">IF(J1346="S0","—",IF(K1346="","",IF(L1346="E0","QM",INDEX(10_ASIL_Matrix!$D$4:$F$15,MATCH(J1346&amp;"-"&amp;L1346,10_ASIL_Matrix!$C$4:$C$15,0),MATCH(N1346,10_ASIL_Matrix!$D$3:$F$3,0)))))</f>
        <v>B</v>
      </c>
      <c r="Q1346" s="5" t="s">
        <v>448</v>
      </c>
    </row>
    <row r="1347" customFormat="false" ht="46.25" hidden="false" customHeight="false" outlineLevel="0" collapsed="false">
      <c r="A1347" s="6" t="s">
        <v>3374</v>
      </c>
      <c r="B1347" s="6" t="s">
        <v>105</v>
      </c>
      <c r="C1347" s="6" t="s">
        <v>106</v>
      </c>
      <c r="D1347" s="6" t="s">
        <v>149</v>
      </c>
      <c r="E1347" s="6" t="s">
        <v>150</v>
      </c>
      <c r="F1347" s="6" t="s">
        <v>215</v>
      </c>
      <c r="G1347" s="6" t="s">
        <v>711</v>
      </c>
      <c r="H1347" s="6" t="s">
        <v>232</v>
      </c>
      <c r="I1347" s="6" t="s">
        <v>3375</v>
      </c>
      <c r="J1347" s="6" t="s">
        <v>250</v>
      </c>
      <c r="K1347" s="6" t="s">
        <v>3184</v>
      </c>
      <c r="L1347" s="6" t="s">
        <v>233</v>
      </c>
      <c r="M1347" s="6" t="s">
        <v>729</v>
      </c>
      <c r="N1347" s="6" t="s">
        <v>286</v>
      </c>
      <c r="O1347" s="6" t="s">
        <v>3022</v>
      </c>
      <c r="P1347" s="6" t="str">
        <f aca="false">IF(J1347="S0","—",IF(K1347="","",IF(L1347="E0","QM",INDEX(10_ASIL_Matrix!$D$4:$F$15,MATCH(J1347&amp;"-"&amp;L1347,10_ASIL_Matrix!$C$4:$C$15,0),MATCH(N1347,10_ASIL_Matrix!$D$3:$F$3,0)))))</f>
        <v>QM</v>
      </c>
      <c r="Q1347" s="6" t="s">
        <v>448</v>
      </c>
    </row>
    <row r="1348" customFormat="false" ht="35.05" hidden="false" customHeight="false" outlineLevel="0" collapsed="false">
      <c r="A1348" s="5" t="s">
        <v>3376</v>
      </c>
      <c r="B1348" s="5" t="s">
        <v>105</v>
      </c>
      <c r="C1348" s="5" t="s">
        <v>106</v>
      </c>
      <c r="D1348" s="5" t="s">
        <v>149</v>
      </c>
      <c r="E1348" s="5" t="s">
        <v>150</v>
      </c>
      <c r="F1348" s="5" t="s">
        <v>217</v>
      </c>
      <c r="G1348" s="5" t="s">
        <v>488</v>
      </c>
      <c r="H1348" s="5" t="s">
        <v>222</v>
      </c>
      <c r="I1348" s="5" t="s">
        <v>3377</v>
      </c>
      <c r="J1348" s="5" t="s">
        <v>250</v>
      </c>
      <c r="K1348" s="5" t="s">
        <v>3197</v>
      </c>
      <c r="L1348" s="5" t="s">
        <v>190</v>
      </c>
      <c r="M1348" s="5" t="s">
        <v>733</v>
      </c>
      <c r="N1348" s="5" t="s">
        <v>286</v>
      </c>
      <c r="O1348" s="5" t="s">
        <v>3022</v>
      </c>
      <c r="P1348" s="18" t="str">
        <f aca="false">IF(J1348="S0","—",IF(K1348="","",IF(L1348="E0","QM",INDEX(10_ASIL_Matrix!$D$4:$F$15,MATCH(J1348&amp;"-"&amp;L1348,10_ASIL_Matrix!$C$4:$C$15,0),MATCH(N1348,10_ASIL_Matrix!$D$3:$F$3,0)))))</f>
        <v>B</v>
      </c>
      <c r="Q1348" s="5" t="s">
        <v>448</v>
      </c>
    </row>
    <row r="1349" customFormat="false" ht="35.05" hidden="false" customHeight="false" outlineLevel="0" collapsed="false">
      <c r="A1349" s="6" t="s">
        <v>3378</v>
      </c>
      <c r="B1349" s="6" t="s">
        <v>105</v>
      </c>
      <c r="C1349" s="6" t="s">
        <v>106</v>
      </c>
      <c r="D1349" s="6" t="s">
        <v>149</v>
      </c>
      <c r="E1349" s="6" t="s">
        <v>150</v>
      </c>
      <c r="F1349" s="6" t="s">
        <v>217</v>
      </c>
      <c r="G1349" s="6" t="s">
        <v>488</v>
      </c>
      <c r="H1349" s="6" t="s">
        <v>224</v>
      </c>
      <c r="I1349" s="6" t="s">
        <v>3379</v>
      </c>
      <c r="J1349" s="6" t="s">
        <v>250</v>
      </c>
      <c r="K1349" s="6" t="s">
        <v>3197</v>
      </c>
      <c r="L1349" s="6" t="s">
        <v>190</v>
      </c>
      <c r="M1349" s="6" t="s">
        <v>736</v>
      </c>
      <c r="N1349" s="6" t="s">
        <v>286</v>
      </c>
      <c r="O1349" s="6" t="s">
        <v>3022</v>
      </c>
      <c r="P1349" s="18" t="str">
        <f aca="false">IF(J1349="S0","—",IF(K1349="","",IF(L1349="E0","QM",INDEX(10_ASIL_Matrix!$D$4:$F$15,MATCH(J1349&amp;"-"&amp;L1349,10_ASIL_Matrix!$C$4:$C$15,0),MATCH(N1349,10_ASIL_Matrix!$D$3:$F$3,0)))))</f>
        <v>B</v>
      </c>
      <c r="Q1349" s="6" t="s">
        <v>448</v>
      </c>
    </row>
    <row r="1350" customFormat="false" ht="35.05" hidden="false" customHeight="false" outlineLevel="0" collapsed="false">
      <c r="A1350" s="5" t="s">
        <v>3380</v>
      </c>
      <c r="B1350" s="5" t="s">
        <v>105</v>
      </c>
      <c r="C1350" s="5" t="s">
        <v>106</v>
      </c>
      <c r="D1350" s="5" t="s">
        <v>149</v>
      </c>
      <c r="E1350" s="5" t="s">
        <v>150</v>
      </c>
      <c r="F1350" s="5" t="s">
        <v>217</v>
      </c>
      <c r="G1350" s="5" t="s">
        <v>488</v>
      </c>
      <c r="H1350" s="5" t="s">
        <v>226</v>
      </c>
      <c r="I1350" s="5" t="s">
        <v>3381</v>
      </c>
      <c r="J1350" s="5" t="s">
        <v>250</v>
      </c>
      <c r="K1350" s="5" t="s">
        <v>3197</v>
      </c>
      <c r="L1350" s="5" t="s">
        <v>190</v>
      </c>
      <c r="M1350" s="5" t="s">
        <v>739</v>
      </c>
      <c r="N1350" s="5" t="s">
        <v>286</v>
      </c>
      <c r="O1350" s="5" t="s">
        <v>3022</v>
      </c>
      <c r="P1350" s="18" t="str">
        <f aca="false">IF(J1350="S0","—",IF(K1350="","",IF(L1350="E0","QM",INDEX(10_ASIL_Matrix!$D$4:$F$15,MATCH(J1350&amp;"-"&amp;L1350,10_ASIL_Matrix!$C$4:$C$15,0),MATCH(N1350,10_ASIL_Matrix!$D$3:$F$3,0)))))</f>
        <v>B</v>
      </c>
      <c r="Q1350" s="5" t="s">
        <v>448</v>
      </c>
    </row>
    <row r="1351" customFormat="false" ht="35.05" hidden="false" customHeight="false" outlineLevel="0" collapsed="false">
      <c r="A1351" s="6" t="s">
        <v>3382</v>
      </c>
      <c r="B1351" s="6" t="s">
        <v>105</v>
      </c>
      <c r="C1351" s="6" t="s">
        <v>106</v>
      </c>
      <c r="D1351" s="6" t="s">
        <v>149</v>
      </c>
      <c r="E1351" s="6" t="s">
        <v>150</v>
      </c>
      <c r="F1351" s="6" t="s">
        <v>217</v>
      </c>
      <c r="G1351" s="6" t="s">
        <v>488</v>
      </c>
      <c r="H1351" s="6" t="s">
        <v>228</v>
      </c>
      <c r="I1351" s="6" t="s">
        <v>3383</v>
      </c>
      <c r="J1351" s="6" t="s">
        <v>250</v>
      </c>
      <c r="K1351" s="6" t="s">
        <v>3197</v>
      </c>
      <c r="L1351" s="6" t="s">
        <v>205</v>
      </c>
      <c r="M1351" s="6" t="s">
        <v>742</v>
      </c>
      <c r="N1351" s="6" t="s">
        <v>286</v>
      </c>
      <c r="O1351" s="6" t="s">
        <v>3022</v>
      </c>
      <c r="P1351" s="19" t="str">
        <f aca="false">IF(J1351="S0","—",IF(K1351="","",IF(L1351="E0","QM",INDEX(10_ASIL_Matrix!$D$4:$F$15,MATCH(J1351&amp;"-"&amp;L1351,10_ASIL_Matrix!$C$4:$C$15,0),MATCH(N1351,10_ASIL_Matrix!$D$3:$F$3,0)))))</f>
        <v>A</v>
      </c>
      <c r="Q1351" s="6" t="s">
        <v>448</v>
      </c>
    </row>
    <row r="1352" customFormat="false" ht="35.05" hidden="false" customHeight="false" outlineLevel="0" collapsed="false">
      <c r="A1352" s="5" t="s">
        <v>3384</v>
      </c>
      <c r="B1352" s="5" t="s">
        <v>105</v>
      </c>
      <c r="C1352" s="5" t="s">
        <v>106</v>
      </c>
      <c r="D1352" s="5" t="s">
        <v>149</v>
      </c>
      <c r="E1352" s="5" t="s">
        <v>150</v>
      </c>
      <c r="F1352" s="5" t="s">
        <v>217</v>
      </c>
      <c r="G1352" s="5" t="s">
        <v>488</v>
      </c>
      <c r="H1352" s="5" t="s">
        <v>230</v>
      </c>
      <c r="I1352" s="5" t="s">
        <v>3385</v>
      </c>
      <c r="J1352" s="5" t="s">
        <v>250</v>
      </c>
      <c r="K1352" s="5" t="s">
        <v>3197</v>
      </c>
      <c r="L1352" s="5" t="s">
        <v>205</v>
      </c>
      <c r="M1352" s="5" t="s">
        <v>745</v>
      </c>
      <c r="N1352" s="5" t="s">
        <v>290</v>
      </c>
      <c r="O1352" s="5" t="s">
        <v>3031</v>
      </c>
      <c r="P1352" s="18" t="str">
        <f aca="false">IF(J1352="S0","—",IF(K1352="","",IF(L1352="E0","QM",INDEX(10_ASIL_Matrix!$D$4:$F$15,MATCH(J1352&amp;"-"&amp;L1352,10_ASIL_Matrix!$C$4:$C$15,0),MATCH(N1352,10_ASIL_Matrix!$D$3:$F$3,0)))))</f>
        <v>B</v>
      </c>
      <c r="Q1352" s="5" t="s">
        <v>448</v>
      </c>
    </row>
    <row r="1353" customFormat="false" ht="46.25" hidden="false" customHeight="false" outlineLevel="0" collapsed="false">
      <c r="A1353" s="6" t="s">
        <v>3386</v>
      </c>
      <c r="B1353" s="6" t="s">
        <v>105</v>
      </c>
      <c r="C1353" s="6" t="s">
        <v>106</v>
      </c>
      <c r="D1353" s="6" t="s">
        <v>149</v>
      </c>
      <c r="E1353" s="6" t="s">
        <v>150</v>
      </c>
      <c r="F1353" s="6" t="s">
        <v>217</v>
      </c>
      <c r="G1353" s="6" t="s">
        <v>488</v>
      </c>
      <c r="H1353" s="6" t="s">
        <v>232</v>
      </c>
      <c r="I1353" s="6" t="s">
        <v>3387</v>
      </c>
      <c r="J1353" s="6" t="s">
        <v>250</v>
      </c>
      <c r="K1353" s="6" t="s">
        <v>3197</v>
      </c>
      <c r="L1353" s="6" t="s">
        <v>233</v>
      </c>
      <c r="M1353" s="6" t="s">
        <v>748</v>
      </c>
      <c r="N1353" s="6" t="s">
        <v>286</v>
      </c>
      <c r="O1353" s="6" t="s">
        <v>3022</v>
      </c>
      <c r="P1353" s="6" t="str">
        <f aca="false">IF(J1353="S0","—",IF(K1353="","",IF(L1353="E0","QM",INDEX(10_ASIL_Matrix!$D$4:$F$15,MATCH(J1353&amp;"-"&amp;L1353,10_ASIL_Matrix!$C$4:$C$15,0),MATCH(N1353,10_ASIL_Matrix!$D$3:$F$3,0)))))</f>
        <v>QM</v>
      </c>
      <c r="Q1353" s="6" t="s">
        <v>448</v>
      </c>
    </row>
    <row r="1354" customFormat="false" ht="35.05" hidden="false" customHeight="false" outlineLevel="0" collapsed="false">
      <c r="A1354" s="5" t="s">
        <v>3388</v>
      </c>
      <c r="B1354" s="5" t="s">
        <v>105</v>
      </c>
      <c r="C1354" s="5" t="s">
        <v>106</v>
      </c>
      <c r="D1354" s="5" t="s">
        <v>152</v>
      </c>
      <c r="E1354" s="5" t="s">
        <v>153</v>
      </c>
      <c r="F1354" s="5" t="s">
        <v>186</v>
      </c>
      <c r="G1354" s="5" t="s">
        <v>443</v>
      </c>
      <c r="H1354" s="5" t="s">
        <v>222</v>
      </c>
      <c r="I1354" s="5" t="s">
        <v>3389</v>
      </c>
      <c r="J1354" s="5" t="s">
        <v>238</v>
      </c>
      <c r="K1354" s="5" t="s">
        <v>2410</v>
      </c>
      <c r="L1354" s="5" t="s">
        <v>187</v>
      </c>
      <c r="M1354" s="5" t="s">
        <v>446</v>
      </c>
      <c r="N1354" s="5" t="s">
        <v>278</v>
      </c>
      <c r="O1354" s="5" t="s">
        <v>634</v>
      </c>
      <c r="P1354" s="5" t="str">
        <f aca="false">IF(J1354="S0","—",IF(K1354="","",IF(L1354="E0","QM",INDEX(10_ASIL_Matrix!$D$4:$F$15,MATCH(J1354&amp;"-"&amp;L1354,10_ASIL_Matrix!$C$4:$C$15,0),MATCH(N1354,10_ASIL_Matrix!$D$3:$F$3,0)))))</f>
        <v>—</v>
      </c>
      <c r="Q1354" s="5" t="s">
        <v>448</v>
      </c>
    </row>
    <row r="1355" customFormat="false" ht="35.05" hidden="false" customHeight="false" outlineLevel="0" collapsed="false">
      <c r="A1355" s="6" t="s">
        <v>3390</v>
      </c>
      <c r="B1355" s="6" t="s">
        <v>105</v>
      </c>
      <c r="C1355" s="6" t="s">
        <v>106</v>
      </c>
      <c r="D1355" s="6" t="s">
        <v>152</v>
      </c>
      <c r="E1355" s="6" t="s">
        <v>153</v>
      </c>
      <c r="F1355" s="6" t="s">
        <v>186</v>
      </c>
      <c r="G1355" s="6" t="s">
        <v>443</v>
      </c>
      <c r="H1355" s="6" t="s">
        <v>224</v>
      </c>
      <c r="I1355" s="6" t="s">
        <v>3391</v>
      </c>
      <c r="J1355" s="6" t="s">
        <v>238</v>
      </c>
      <c r="K1355" s="6" t="s">
        <v>2410</v>
      </c>
      <c r="L1355" s="6" t="s">
        <v>190</v>
      </c>
      <c r="M1355" s="6" t="s">
        <v>451</v>
      </c>
      <c r="N1355" s="6" t="s">
        <v>278</v>
      </c>
      <c r="O1355" s="6" t="s">
        <v>634</v>
      </c>
      <c r="P1355" s="6" t="str">
        <f aca="false">IF(J1355="S0","—",IF(K1355="","",IF(L1355="E0","QM",INDEX(10_ASIL_Matrix!$D$4:$F$15,MATCH(J1355&amp;"-"&amp;L1355,10_ASIL_Matrix!$C$4:$C$15,0),MATCH(N1355,10_ASIL_Matrix!$D$3:$F$3,0)))))</f>
        <v>—</v>
      </c>
      <c r="Q1355" s="6" t="s">
        <v>448</v>
      </c>
    </row>
    <row r="1356" customFormat="false" ht="35.05" hidden="false" customHeight="false" outlineLevel="0" collapsed="false">
      <c r="A1356" s="5" t="s">
        <v>3392</v>
      </c>
      <c r="B1356" s="5" t="s">
        <v>105</v>
      </c>
      <c r="C1356" s="5" t="s">
        <v>106</v>
      </c>
      <c r="D1356" s="5" t="s">
        <v>152</v>
      </c>
      <c r="E1356" s="5" t="s">
        <v>153</v>
      </c>
      <c r="F1356" s="5" t="s">
        <v>186</v>
      </c>
      <c r="G1356" s="5" t="s">
        <v>443</v>
      </c>
      <c r="H1356" s="5" t="s">
        <v>226</v>
      </c>
      <c r="I1356" s="5" t="s">
        <v>3393</v>
      </c>
      <c r="J1356" s="5" t="s">
        <v>238</v>
      </c>
      <c r="K1356" s="5" t="s">
        <v>2410</v>
      </c>
      <c r="L1356" s="5" t="s">
        <v>190</v>
      </c>
      <c r="M1356" s="5" t="s">
        <v>454</v>
      </c>
      <c r="N1356" s="5" t="s">
        <v>278</v>
      </c>
      <c r="O1356" s="5" t="s">
        <v>634</v>
      </c>
      <c r="P1356" s="5" t="str">
        <f aca="false">IF(J1356="S0","—",IF(K1356="","",IF(L1356="E0","QM",INDEX(10_ASIL_Matrix!$D$4:$F$15,MATCH(J1356&amp;"-"&amp;L1356,10_ASIL_Matrix!$C$4:$C$15,0),MATCH(N1356,10_ASIL_Matrix!$D$3:$F$3,0)))))</f>
        <v>—</v>
      </c>
      <c r="Q1356" s="5" t="s">
        <v>448</v>
      </c>
    </row>
    <row r="1357" customFormat="false" ht="35.05" hidden="false" customHeight="false" outlineLevel="0" collapsed="false">
      <c r="A1357" s="6" t="s">
        <v>3394</v>
      </c>
      <c r="B1357" s="6" t="s">
        <v>105</v>
      </c>
      <c r="C1357" s="6" t="s">
        <v>106</v>
      </c>
      <c r="D1357" s="6" t="s">
        <v>152</v>
      </c>
      <c r="E1357" s="6" t="s">
        <v>153</v>
      </c>
      <c r="F1357" s="6" t="s">
        <v>186</v>
      </c>
      <c r="G1357" s="6" t="s">
        <v>443</v>
      </c>
      <c r="H1357" s="6" t="s">
        <v>228</v>
      </c>
      <c r="I1357" s="6" t="s">
        <v>3395</v>
      </c>
      <c r="J1357" s="6" t="s">
        <v>238</v>
      </c>
      <c r="K1357" s="6" t="s">
        <v>2410</v>
      </c>
      <c r="L1357" s="6" t="s">
        <v>205</v>
      </c>
      <c r="M1357" s="6" t="s">
        <v>457</v>
      </c>
      <c r="N1357" s="6" t="s">
        <v>278</v>
      </c>
      <c r="O1357" s="6" t="s">
        <v>634</v>
      </c>
      <c r="P1357" s="6" t="str">
        <f aca="false">IF(J1357="S0","—",IF(K1357="","",IF(L1357="E0","QM",INDEX(10_ASIL_Matrix!$D$4:$F$15,MATCH(J1357&amp;"-"&amp;L1357,10_ASIL_Matrix!$C$4:$C$15,0),MATCH(N1357,10_ASIL_Matrix!$D$3:$F$3,0)))))</f>
        <v>—</v>
      </c>
      <c r="Q1357" s="6" t="s">
        <v>448</v>
      </c>
    </row>
    <row r="1358" customFormat="false" ht="35.05" hidden="false" customHeight="false" outlineLevel="0" collapsed="false">
      <c r="A1358" s="5" t="s">
        <v>3396</v>
      </c>
      <c r="B1358" s="5" t="s">
        <v>105</v>
      </c>
      <c r="C1358" s="5" t="s">
        <v>106</v>
      </c>
      <c r="D1358" s="5" t="s">
        <v>152</v>
      </c>
      <c r="E1358" s="5" t="s">
        <v>153</v>
      </c>
      <c r="F1358" s="5" t="s">
        <v>186</v>
      </c>
      <c r="G1358" s="5" t="s">
        <v>443</v>
      </c>
      <c r="H1358" s="5" t="s">
        <v>230</v>
      </c>
      <c r="I1358" s="5" t="s">
        <v>3397</v>
      </c>
      <c r="J1358" s="5" t="s">
        <v>238</v>
      </c>
      <c r="K1358" s="5" t="s">
        <v>2410</v>
      </c>
      <c r="L1358" s="5" t="s">
        <v>205</v>
      </c>
      <c r="M1358" s="5" t="s">
        <v>460</v>
      </c>
      <c r="N1358" s="5" t="s">
        <v>278</v>
      </c>
      <c r="O1358" s="5" t="s">
        <v>634</v>
      </c>
      <c r="P1358" s="5" t="str">
        <f aca="false">IF(J1358="S0","—",IF(K1358="","",IF(L1358="E0","QM",INDEX(10_ASIL_Matrix!$D$4:$F$15,MATCH(J1358&amp;"-"&amp;L1358,10_ASIL_Matrix!$C$4:$C$15,0),MATCH(N1358,10_ASIL_Matrix!$D$3:$F$3,0)))))</f>
        <v>—</v>
      </c>
      <c r="Q1358" s="5" t="s">
        <v>448</v>
      </c>
    </row>
    <row r="1359" customFormat="false" ht="46.25" hidden="false" customHeight="false" outlineLevel="0" collapsed="false">
      <c r="A1359" s="6" t="s">
        <v>3398</v>
      </c>
      <c r="B1359" s="6" t="s">
        <v>105</v>
      </c>
      <c r="C1359" s="6" t="s">
        <v>106</v>
      </c>
      <c r="D1359" s="6" t="s">
        <v>152</v>
      </c>
      <c r="E1359" s="6" t="s">
        <v>153</v>
      </c>
      <c r="F1359" s="6" t="s">
        <v>186</v>
      </c>
      <c r="G1359" s="6" t="s">
        <v>443</v>
      </c>
      <c r="H1359" s="6" t="s">
        <v>232</v>
      </c>
      <c r="I1359" s="6" t="s">
        <v>3399</v>
      </c>
      <c r="J1359" s="6" t="s">
        <v>238</v>
      </c>
      <c r="K1359" s="6" t="s">
        <v>2410</v>
      </c>
      <c r="L1359" s="6" t="s">
        <v>233</v>
      </c>
      <c r="M1359" s="6" t="s">
        <v>464</v>
      </c>
      <c r="N1359" s="6" t="s">
        <v>278</v>
      </c>
      <c r="O1359" s="6" t="s">
        <v>634</v>
      </c>
      <c r="P1359" s="6" t="str">
        <f aca="false">IF(J1359="S0","—",IF(K1359="","",IF(L1359="E0","QM",INDEX(10_ASIL_Matrix!$D$4:$F$15,MATCH(J1359&amp;"-"&amp;L1359,10_ASIL_Matrix!$C$4:$C$15,0),MATCH(N1359,10_ASIL_Matrix!$D$3:$F$3,0)))))</f>
        <v>—</v>
      </c>
      <c r="Q1359" s="6" t="s">
        <v>448</v>
      </c>
    </row>
    <row r="1360" customFormat="false" ht="35.05" hidden="false" customHeight="false" outlineLevel="0" collapsed="false">
      <c r="A1360" s="5" t="s">
        <v>3400</v>
      </c>
      <c r="B1360" s="5" t="s">
        <v>105</v>
      </c>
      <c r="C1360" s="5" t="s">
        <v>106</v>
      </c>
      <c r="D1360" s="5" t="s">
        <v>152</v>
      </c>
      <c r="E1360" s="5" t="s">
        <v>153</v>
      </c>
      <c r="F1360" s="5" t="s">
        <v>189</v>
      </c>
      <c r="G1360" s="5" t="s">
        <v>466</v>
      </c>
      <c r="H1360" s="5" t="s">
        <v>222</v>
      </c>
      <c r="I1360" s="5" t="s">
        <v>3401</v>
      </c>
      <c r="J1360" s="5" t="s">
        <v>238</v>
      </c>
      <c r="K1360" s="5" t="s">
        <v>2410</v>
      </c>
      <c r="L1360" s="5" t="s">
        <v>190</v>
      </c>
      <c r="M1360" s="5" t="s">
        <v>469</v>
      </c>
      <c r="N1360" s="5" t="s">
        <v>278</v>
      </c>
      <c r="O1360" s="5" t="s">
        <v>634</v>
      </c>
      <c r="P1360" s="5" t="str">
        <f aca="false">IF(J1360="S0","—",IF(K1360="","",IF(L1360="E0","QM",INDEX(10_ASIL_Matrix!$D$4:$F$15,MATCH(J1360&amp;"-"&amp;L1360,10_ASIL_Matrix!$C$4:$C$15,0),MATCH(N1360,10_ASIL_Matrix!$D$3:$F$3,0)))))</f>
        <v>—</v>
      </c>
      <c r="Q1360" s="5" t="s">
        <v>448</v>
      </c>
    </row>
    <row r="1361" customFormat="false" ht="35.05" hidden="false" customHeight="false" outlineLevel="0" collapsed="false">
      <c r="A1361" s="6" t="s">
        <v>3402</v>
      </c>
      <c r="B1361" s="6" t="s">
        <v>105</v>
      </c>
      <c r="C1361" s="6" t="s">
        <v>106</v>
      </c>
      <c r="D1361" s="6" t="s">
        <v>152</v>
      </c>
      <c r="E1361" s="6" t="s">
        <v>153</v>
      </c>
      <c r="F1361" s="6" t="s">
        <v>189</v>
      </c>
      <c r="G1361" s="6" t="s">
        <v>466</v>
      </c>
      <c r="H1361" s="6" t="s">
        <v>224</v>
      </c>
      <c r="I1361" s="6" t="s">
        <v>3403</v>
      </c>
      <c r="J1361" s="6" t="s">
        <v>238</v>
      </c>
      <c r="K1361" s="6" t="s">
        <v>2410</v>
      </c>
      <c r="L1361" s="6" t="s">
        <v>190</v>
      </c>
      <c r="M1361" s="6" t="s">
        <v>473</v>
      </c>
      <c r="N1361" s="6" t="s">
        <v>278</v>
      </c>
      <c r="O1361" s="6" t="s">
        <v>634</v>
      </c>
      <c r="P1361" s="6" t="str">
        <f aca="false">IF(J1361="S0","—",IF(K1361="","",IF(L1361="E0","QM",INDEX(10_ASIL_Matrix!$D$4:$F$15,MATCH(J1361&amp;"-"&amp;L1361,10_ASIL_Matrix!$C$4:$C$15,0),MATCH(N1361,10_ASIL_Matrix!$D$3:$F$3,0)))))</f>
        <v>—</v>
      </c>
      <c r="Q1361" s="6" t="s">
        <v>448</v>
      </c>
    </row>
    <row r="1362" customFormat="false" ht="35.05" hidden="false" customHeight="false" outlineLevel="0" collapsed="false">
      <c r="A1362" s="5" t="s">
        <v>3404</v>
      </c>
      <c r="B1362" s="5" t="s">
        <v>105</v>
      </c>
      <c r="C1362" s="5" t="s">
        <v>106</v>
      </c>
      <c r="D1362" s="5" t="s">
        <v>152</v>
      </c>
      <c r="E1362" s="5" t="s">
        <v>153</v>
      </c>
      <c r="F1362" s="5" t="s">
        <v>189</v>
      </c>
      <c r="G1362" s="5" t="s">
        <v>466</v>
      </c>
      <c r="H1362" s="5" t="s">
        <v>226</v>
      </c>
      <c r="I1362" s="5" t="s">
        <v>3405</v>
      </c>
      <c r="J1362" s="5" t="s">
        <v>238</v>
      </c>
      <c r="K1362" s="5" t="s">
        <v>2410</v>
      </c>
      <c r="L1362" s="5" t="s">
        <v>190</v>
      </c>
      <c r="M1362" s="5" t="s">
        <v>476</v>
      </c>
      <c r="N1362" s="5" t="s">
        <v>278</v>
      </c>
      <c r="O1362" s="5" t="s">
        <v>634</v>
      </c>
      <c r="P1362" s="5" t="str">
        <f aca="false">IF(J1362="S0","—",IF(K1362="","",IF(L1362="E0","QM",INDEX(10_ASIL_Matrix!$D$4:$F$15,MATCH(J1362&amp;"-"&amp;L1362,10_ASIL_Matrix!$C$4:$C$15,0),MATCH(N1362,10_ASIL_Matrix!$D$3:$F$3,0)))))</f>
        <v>—</v>
      </c>
      <c r="Q1362" s="5" t="s">
        <v>448</v>
      </c>
    </row>
    <row r="1363" customFormat="false" ht="35.05" hidden="false" customHeight="false" outlineLevel="0" collapsed="false">
      <c r="A1363" s="6" t="s">
        <v>3406</v>
      </c>
      <c r="B1363" s="6" t="s">
        <v>105</v>
      </c>
      <c r="C1363" s="6" t="s">
        <v>106</v>
      </c>
      <c r="D1363" s="6" t="s">
        <v>152</v>
      </c>
      <c r="E1363" s="6" t="s">
        <v>153</v>
      </c>
      <c r="F1363" s="6" t="s">
        <v>189</v>
      </c>
      <c r="G1363" s="6" t="s">
        <v>466</v>
      </c>
      <c r="H1363" s="6" t="s">
        <v>228</v>
      </c>
      <c r="I1363" s="6" t="s">
        <v>3407</v>
      </c>
      <c r="J1363" s="6" t="s">
        <v>238</v>
      </c>
      <c r="K1363" s="6" t="s">
        <v>2410</v>
      </c>
      <c r="L1363" s="6" t="s">
        <v>205</v>
      </c>
      <c r="M1363" s="6" t="s">
        <v>479</v>
      </c>
      <c r="N1363" s="6" t="s">
        <v>278</v>
      </c>
      <c r="O1363" s="6" t="s">
        <v>634</v>
      </c>
      <c r="P1363" s="6" t="str">
        <f aca="false">IF(J1363="S0","—",IF(K1363="","",IF(L1363="E0","QM",INDEX(10_ASIL_Matrix!$D$4:$F$15,MATCH(J1363&amp;"-"&amp;L1363,10_ASIL_Matrix!$C$4:$C$15,0),MATCH(N1363,10_ASIL_Matrix!$D$3:$F$3,0)))))</f>
        <v>—</v>
      </c>
      <c r="Q1363" s="6" t="s">
        <v>448</v>
      </c>
    </row>
    <row r="1364" customFormat="false" ht="35.05" hidden="false" customHeight="false" outlineLevel="0" collapsed="false">
      <c r="A1364" s="5" t="s">
        <v>3408</v>
      </c>
      <c r="B1364" s="5" t="s">
        <v>105</v>
      </c>
      <c r="C1364" s="5" t="s">
        <v>106</v>
      </c>
      <c r="D1364" s="5" t="s">
        <v>152</v>
      </c>
      <c r="E1364" s="5" t="s">
        <v>153</v>
      </c>
      <c r="F1364" s="5" t="s">
        <v>189</v>
      </c>
      <c r="G1364" s="5" t="s">
        <v>466</v>
      </c>
      <c r="H1364" s="5" t="s">
        <v>230</v>
      </c>
      <c r="I1364" s="5" t="s">
        <v>3409</v>
      </c>
      <c r="J1364" s="5" t="s">
        <v>238</v>
      </c>
      <c r="K1364" s="5" t="s">
        <v>2410</v>
      </c>
      <c r="L1364" s="5" t="s">
        <v>205</v>
      </c>
      <c r="M1364" s="5" t="s">
        <v>482</v>
      </c>
      <c r="N1364" s="5" t="s">
        <v>278</v>
      </c>
      <c r="O1364" s="5" t="s">
        <v>634</v>
      </c>
      <c r="P1364" s="5" t="str">
        <f aca="false">IF(J1364="S0","—",IF(K1364="","",IF(L1364="E0","QM",INDEX(10_ASIL_Matrix!$D$4:$F$15,MATCH(J1364&amp;"-"&amp;L1364,10_ASIL_Matrix!$C$4:$C$15,0),MATCH(N1364,10_ASIL_Matrix!$D$3:$F$3,0)))))</f>
        <v>—</v>
      </c>
      <c r="Q1364" s="5" t="s">
        <v>448</v>
      </c>
    </row>
    <row r="1365" customFormat="false" ht="46.25" hidden="false" customHeight="false" outlineLevel="0" collapsed="false">
      <c r="A1365" s="6" t="s">
        <v>3410</v>
      </c>
      <c r="B1365" s="6" t="s">
        <v>105</v>
      </c>
      <c r="C1365" s="6" t="s">
        <v>106</v>
      </c>
      <c r="D1365" s="6" t="s">
        <v>152</v>
      </c>
      <c r="E1365" s="6" t="s">
        <v>153</v>
      </c>
      <c r="F1365" s="6" t="s">
        <v>189</v>
      </c>
      <c r="G1365" s="6" t="s">
        <v>466</v>
      </c>
      <c r="H1365" s="6" t="s">
        <v>232</v>
      </c>
      <c r="I1365" s="6" t="s">
        <v>3411</v>
      </c>
      <c r="J1365" s="6" t="s">
        <v>238</v>
      </c>
      <c r="K1365" s="6" t="s">
        <v>2410</v>
      </c>
      <c r="L1365" s="6" t="s">
        <v>233</v>
      </c>
      <c r="M1365" s="6" t="s">
        <v>486</v>
      </c>
      <c r="N1365" s="6" t="s">
        <v>278</v>
      </c>
      <c r="O1365" s="6" t="s">
        <v>634</v>
      </c>
      <c r="P1365" s="6" t="str">
        <f aca="false">IF(J1365="S0","—",IF(K1365="","",IF(L1365="E0","QM",INDEX(10_ASIL_Matrix!$D$4:$F$15,MATCH(J1365&amp;"-"&amp;L1365,10_ASIL_Matrix!$C$4:$C$15,0),MATCH(N1365,10_ASIL_Matrix!$D$3:$F$3,0)))))</f>
        <v>—</v>
      </c>
      <c r="Q1365" s="6" t="s">
        <v>448</v>
      </c>
    </row>
    <row r="1366" customFormat="false" ht="35.05" hidden="false" customHeight="false" outlineLevel="0" collapsed="false">
      <c r="A1366" s="5" t="s">
        <v>3412</v>
      </c>
      <c r="B1366" s="5" t="s">
        <v>105</v>
      </c>
      <c r="C1366" s="5" t="s">
        <v>106</v>
      </c>
      <c r="D1366" s="5" t="s">
        <v>152</v>
      </c>
      <c r="E1366" s="5" t="s">
        <v>153</v>
      </c>
      <c r="F1366" s="5" t="s">
        <v>192</v>
      </c>
      <c r="G1366" s="5" t="s">
        <v>488</v>
      </c>
      <c r="H1366" s="5" t="s">
        <v>222</v>
      </c>
      <c r="I1366" s="5" t="s">
        <v>3413</v>
      </c>
      <c r="J1366" s="5" t="s">
        <v>238</v>
      </c>
      <c r="K1366" s="5" t="s">
        <v>2410</v>
      </c>
      <c r="L1366" s="5" t="s">
        <v>187</v>
      </c>
      <c r="M1366" s="5" t="s">
        <v>491</v>
      </c>
      <c r="N1366" s="5" t="s">
        <v>278</v>
      </c>
      <c r="O1366" s="5" t="s">
        <v>634</v>
      </c>
      <c r="P1366" s="5" t="str">
        <f aca="false">IF(J1366="S0","—",IF(K1366="","",IF(L1366="E0","QM",INDEX(10_ASIL_Matrix!$D$4:$F$15,MATCH(J1366&amp;"-"&amp;L1366,10_ASIL_Matrix!$C$4:$C$15,0),MATCH(N1366,10_ASIL_Matrix!$D$3:$F$3,0)))))</f>
        <v>—</v>
      </c>
      <c r="Q1366" s="5" t="s">
        <v>448</v>
      </c>
    </row>
    <row r="1367" customFormat="false" ht="35.05" hidden="false" customHeight="false" outlineLevel="0" collapsed="false">
      <c r="A1367" s="6" t="s">
        <v>3414</v>
      </c>
      <c r="B1367" s="6" t="s">
        <v>105</v>
      </c>
      <c r="C1367" s="6" t="s">
        <v>106</v>
      </c>
      <c r="D1367" s="6" t="s">
        <v>152</v>
      </c>
      <c r="E1367" s="6" t="s">
        <v>153</v>
      </c>
      <c r="F1367" s="6" t="s">
        <v>192</v>
      </c>
      <c r="G1367" s="6" t="s">
        <v>488</v>
      </c>
      <c r="H1367" s="6" t="s">
        <v>224</v>
      </c>
      <c r="I1367" s="6" t="s">
        <v>3415</v>
      </c>
      <c r="J1367" s="6" t="s">
        <v>238</v>
      </c>
      <c r="K1367" s="6" t="s">
        <v>2410</v>
      </c>
      <c r="L1367" s="6" t="s">
        <v>190</v>
      </c>
      <c r="M1367" s="6" t="s">
        <v>494</v>
      </c>
      <c r="N1367" s="6" t="s">
        <v>278</v>
      </c>
      <c r="O1367" s="6" t="s">
        <v>634</v>
      </c>
      <c r="P1367" s="6" t="str">
        <f aca="false">IF(J1367="S0","—",IF(K1367="","",IF(L1367="E0","QM",INDEX(10_ASIL_Matrix!$D$4:$F$15,MATCH(J1367&amp;"-"&amp;L1367,10_ASIL_Matrix!$C$4:$C$15,0),MATCH(N1367,10_ASIL_Matrix!$D$3:$F$3,0)))))</f>
        <v>—</v>
      </c>
      <c r="Q1367" s="6" t="s">
        <v>448</v>
      </c>
    </row>
    <row r="1368" customFormat="false" ht="35.05" hidden="false" customHeight="false" outlineLevel="0" collapsed="false">
      <c r="A1368" s="5" t="s">
        <v>3416</v>
      </c>
      <c r="B1368" s="5" t="s">
        <v>105</v>
      </c>
      <c r="C1368" s="5" t="s">
        <v>106</v>
      </c>
      <c r="D1368" s="5" t="s">
        <v>152</v>
      </c>
      <c r="E1368" s="5" t="s">
        <v>153</v>
      </c>
      <c r="F1368" s="5" t="s">
        <v>192</v>
      </c>
      <c r="G1368" s="5" t="s">
        <v>488</v>
      </c>
      <c r="H1368" s="5" t="s">
        <v>226</v>
      </c>
      <c r="I1368" s="5" t="s">
        <v>3417</v>
      </c>
      <c r="J1368" s="5" t="s">
        <v>238</v>
      </c>
      <c r="K1368" s="5" t="s">
        <v>2410</v>
      </c>
      <c r="L1368" s="5" t="s">
        <v>190</v>
      </c>
      <c r="M1368" s="5" t="s">
        <v>497</v>
      </c>
      <c r="N1368" s="5" t="s">
        <v>278</v>
      </c>
      <c r="O1368" s="5" t="s">
        <v>634</v>
      </c>
      <c r="P1368" s="5" t="str">
        <f aca="false">IF(J1368="S0","—",IF(K1368="","",IF(L1368="E0","QM",INDEX(10_ASIL_Matrix!$D$4:$F$15,MATCH(J1368&amp;"-"&amp;L1368,10_ASIL_Matrix!$C$4:$C$15,0),MATCH(N1368,10_ASIL_Matrix!$D$3:$F$3,0)))))</f>
        <v>—</v>
      </c>
      <c r="Q1368" s="5" t="s">
        <v>448</v>
      </c>
    </row>
    <row r="1369" customFormat="false" ht="35.05" hidden="false" customHeight="false" outlineLevel="0" collapsed="false">
      <c r="A1369" s="6" t="s">
        <v>3418</v>
      </c>
      <c r="B1369" s="6" t="s">
        <v>105</v>
      </c>
      <c r="C1369" s="6" t="s">
        <v>106</v>
      </c>
      <c r="D1369" s="6" t="s">
        <v>152</v>
      </c>
      <c r="E1369" s="6" t="s">
        <v>153</v>
      </c>
      <c r="F1369" s="6" t="s">
        <v>192</v>
      </c>
      <c r="G1369" s="6" t="s">
        <v>488</v>
      </c>
      <c r="H1369" s="6" t="s">
        <v>228</v>
      </c>
      <c r="I1369" s="6" t="s">
        <v>3419</v>
      </c>
      <c r="J1369" s="6" t="s">
        <v>238</v>
      </c>
      <c r="K1369" s="6" t="s">
        <v>2410</v>
      </c>
      <c r="L1369" s="6" t="s">
        <v>205</v>
      </c>
      <c r="M1369" s="6" t="s">
        <v>500</v>
      </c>
      <c r="N1369" s="6" t="s">
        <v>278</v>
      </c>
      <c r="O1369" s="6" t="s">
        <v>634</v>
      </c>
      <c r="P1369" s="6" t="str">
        <f aca="false">IF(J1369="S0","—",IF(K1369="","",IF(L1369="E0","QM",INDEX(10_ASIL_Matrix!$D$4:$F$15,MATCH(J1369&amp;"-"&amp;L1369,10_ASIL_Matrix!$C$4:$C$15,0),MATCH(N1369,10_ASIL_Matrix!$D$3:$F$3,0)))))</f>
        <v>—</v>
      </c>
      <c r="Q1369" s="6" t="s">
        <v>448</v>
      </c>
    </row>
    <row r="1370" customFormat="false" ht="35.05" hidden="false" customHeight="false" outlineLevel="0" collapsed="false">
      <c r="A1370" s="5" t="s">
        <v>3420</v>
      </c>
      <c r="B1370" s="5" t="s">
        <v>105</v>
      </c>
      <c r="C1370" s="5" t="s">
        <v>106</v>
      </c>
      <c r="D1370" s="5" t="s">
        <v>152</v>
      </c>
      <c r="E1370" s="5" t="s">
        <v>153</v>
      </c>
      <c r="F1370" s="5" t="s">
        <v>192</v>
      </c>
      <c r="G1370" s="5" t="s">
        <v>488</v>
      </c>
      <c r="H1370" s="5" t="s">
        <v>230</v>
      </c>
      <c r="I1370" s="5" t="s">
        <v>3421</v>
      </c>
      <c r="J1370" s="5" t="s">
        <v>238</v>
      </c>
      <c r="K1370" s="5" t="s">
        <v>2410</v>
      </c>
      <c r="L1370" s="5" t="s">
        <v>205</v>
      </c>
      <c r="M1370" s="5" t="s">
        <v>503</v>
      </c>
      <c r="N1370" s="5" t="s">
        <v>278</v>
      </c>
      <c r="O1370" s="5" t="s">
        <v>634</v>
      </c>
      <c r="P1370" s="5" t="str">
        <f aca="false">IF(J1370="S0","—",IF(K1370="","",IF(L1370="E0","QM",INDEX(10_ASIL_Matrix!$D$4:$F$15,MATCH(J1370&amp;"-"&amp;L1370,10_ASIL_Matrix!$C$4:$C$15,0),MATCH(N1370,10_ASIL_Matrix!$D$3:$F$3,0)))))</f>
        <v>—</v>
      </c>
      <c r="Q1370" s="5" t="s">
        <v>448</v>
      </c>
    </row>
    <row r="1371" customFormat="false" ht="46.25" hidden="false" customHeight="false" outlineLevel="0" collapsed="false">
      <c r="A1371" s="6" t="s">
        <v>3422</v>
      </c>
      <c r="B1371" s="6" t="s">
        <v>105</v>
      </c>
      <c r="C1371" s="6" t="s">
        <v>106</v>
      </c>
      <c r="D1371" s="6" t="s">
        <v>152</v>
      </c>
      <c r="E1371" s="6" t="s">
        <v>153</v>
      </c>
      <c r="F1371" s="6" t="s">
        <v>192</v>
      </c>
      <c r="G1371" s="6" t="s">
        <v>488</v>
      </c>
      <c r="H1371" s="6" t="s">
        <v>232</v>
      </c>
      <c r="I1371" s="6" t="s">
        <v>3423</v>
      </c>
      <c r="J1371" s="6" t="s">
        <v>238</v>
      </c>
      <c r="K1371" s="6" t="s">
        <v>2410</v>
      </c>
      <c r="L1371" s="6" t="s">
        <v>233</v>
      </c>
      <c r="M1371" s="6" t="s">
        <v>506</v>
      </c>
      <c r="N1371" s="6" t="s">
        <v>278</v>
      </c>
      <c r="O1371" s="6" t="s">
        <v>634</v>
      </c>
      <c r="P1371" s="6" t="str">
        <f aca="false">IF(J1371="S0","—",IF(K1371="","",IF(L1371="E0","QM",INDEX(10_ASIL_Matrix!$D$4:$F$15,MATCH(J1371&amp;"-"&amp;L1371,10_ASIL_Matrix!$C$4:$C$15,0),MATCH(N1371,10_ASIL_Matrix!$D$3:$F$3,0)))))</f>
        <v>—</v>
      </c>
      <c r="Q1371" s="6" t="s">
        <v>448</v>
      </c>
    </row>
    <row r="1372" customFormat="false" ht="35.05" hidden="false" customHeight="false" outlineLevel="0" collapsed="false">
      <c r="A1372" s="5" t="s">
        <v>3424</v>
      </c>
      <c r="B1372" s="5" t="s">
        <v>105</v>
      </c>
      <c r="C1372" s="5" t="s">
        <v>106</v>
      </c>
      <c r="D1372" s="5" t="s">
        <v>152</v>
      </c>
      <c r="E1372" s="5" t="s">
        <v>153</v>
      </c>
      <c r="F1372" s="5" t="s">
        <v>194</v>
      </c>
      <c r="G1372" s="5" t="s">
        <v>508</v>
      </c>
      <c r="H1372" s="5" t="s">
        <v>222</v>
      </c>
      <c r="I1372" s="5" t="s">
        <v>3425</v>
      </c>
      <c r="J1372" s="5" t="s">
        <v>238</v>
      </c>
      <c r="K1372" s="5" t="s">
        <v>2410</v>
      </c>
      <c r="L1372" s="5" t="s">
        <v>190</v>
      </c>
      <c r="M1372" s="5" t="s">
        <v>511</v>
      </c>
      <c r="N1372" s="5" t="s">
        <v>278</v>
      </c>
      <c r="O1372" s="5" t="s">
        <v>634</v>
      </c>
      <c r="P1372" s="5" t="str">
        <f aca="false">IF(J1372="S0","—",IF(K1372="","",IF(L1372="E0","QM",INDEX(10_ASIL_Matrix!$D$4:$F$15,MATCH(J1372&amp;"-"&amp;L1372,10_ASIL_Matrix!$C$4:$C$15,0),MATCH(N1372,10_ASIL_Matrix!$D$3:$F$3,0)))))</f>
        <v>—</v>
      </c>
      <c r="Q1372" s="5" t="s">
        <v>448</v>
      </c>
    </row>
    <row r="1373" customFormat="false" ht="35.05" hidden="false" customHeight="false" outlineLevel="0" collapsed="false">
      <c r="A1373" s="6" t="s">
        <v>3426</v>
      </c>
      <c r="B1373" s="6" t="s">
        <v>105</v>
      </c>
      <c r="C1373" s="6" t="s">
        <v>106</v>
      </c>
      <c r="D1373" s="6" t="s">
        <v>152</v>
      </c>
      <c r="E1373" s="6" t="s">
        <v>153</v>
      </c>
      <c r="F1373" s="6" t="s">
        <v>194</v>
      </c>
      <c r="G1373" s="6" t="s">
        <v>508</v>
      </c>
      <c r="H1373" s="6" t="s">
        <v>224</v>
      </c>
      <c r="I1373" s="6" t="s">
        <v>3427</v>
      </c>
      <c r="J1373" s="6" t="s">
        <v>238</v>
      </c>
      <c r="K1373" s="6" t="s">
        <v>2410</v>
      </c>
      <c r="L1373" s="6" t="s">
        <v>190</v>
      </c>
      <c r="M1373" s="6" t="s">
        <v>514</v>
      </c>
      <c r="N1373" s="6" t="s">
        <v>278</v>
      </c>
      <c r="O1373" s="6" t="s">
        <v>634</v>
      </c>
      <c r="P1373" s="6" t="str">
        <f aca="false">IF(J1373="S0","—",IF(K1373="","",IF(L1373="E0","QM",INDEX(10_ASIL_Matrix!$D$4:$F$15,MATCH(J1373&amp;"-"&amp;L1373,10_ASIL_Matrix!$C$4:$C$15,0),MATCH(N1373,10_ASIL_Matrix!$D$3:$F$3,0)))))</f>
        <v>—</v>
      </c>
      <c r="Q1373" s="6" t="s">
        <v>448</v>
      </c>
    </row>
    <row r="1374" customFormat="false" ht="35.05" hidden="false" customHeight="false" outlineLevel="0" collapsed="false">
      <c r="A1374" s="5" t="s">
        <v>3428</v>
      </c>
      <c r="B1374" s="5" t="s">
        <v>105</v>
      </c>
      <c r="C1374" s="5" t="s">
        <v>106</v>
      </c>
      <c r="D1374" s="5" t="s">
        <v>152</v>
      </c>
      <c r="E1374" s="5" t="s">
        <v>153</v>
      </c>
      <c r="F1374" s="5" t="s">
        <v>194</v>
      </c>
      <c r="G1374" s="5" t="s">
        <v>508</v>
      </c>
      <c r="H1374" s="5" t="s">
        <v>226</v>
      </c>
      <c r="I1374" s="5" t="s">
        <v>3429</v>
      </c>
      <c r="J1374" s="5" t="s">
        <v>238</v>
      </c>
      <c r="K1374" s="5" t="s">
        <v>2410</v>
      </c>
      <c r="L1374" s="5" t="s">
        <v>190</v>
      </c>
      <c r="M1374" s="5" t="s">
        <v>517</v>
      </c>
      <c r="N1374" s="5" t="s">
        <v>278</v>
      </c>
      <c r="O1374" s="5" t="s">
        <v>634</v>
      </c>
      <c r="P1374" s="5" t="str">
        <f aca="false">IF(J1374="S0","—",IF(K1374="","",IF(L1374="E0","QM",INDEX(10_ASIL_Matrix!$D$4:$F$15,MATCH(J1374&amp;"-"&amp;L1374,10_ASIL_Matrix!$C$4:$C$15,0),MATCH(N1374,10_ASIL_Matrix!$D$3:$F$3,0)))))</f>
        <v>—</v>
      </c>
      <c r="Q1374" s="5" t="s">
        <v>448</v>
      </c>
    </row>
    <row r="1375" customFormat="false" ht="35.05" hidden="false" customHeight="false" outlineLevel="0" collapsed="false">
      <c r="A1375" s="6" t="s">
        <v>3430</v>
      </c>
      <c r="B1375" s="6" t="s">
        <v>105</v>
      </c>
      <c r="C1375" s="6" t="s">
        <v>106</v>
      </c>
      <c r="D1375" s="6" t="s">
        <v>152</v>
      </c>
      <c r="E1375" s="6" t="s">
        <v>153</v>
      </c>
      <c r="F1375" s="6" t="s">
        <v>194</v>
      </c>
      <c r="G1375" s="6" t="s">
        <v>508</v>
      </c>
      <c r="H1375" s="6" t="s">
        <v>228</v>
      </c>
      <c r="I1375" s="6" t="s">
        <v>3431</v>
      </c>
      <c r="J1375" s="6" t="s">
        <v>238</v>
      </c>
      <c r="K1375" s="6" t="s">
        <v>2410</v>
      </c>
      <c r="L1375" s="6" t="s">
        <v>205</v>
      </c>
      <c r="M1375" s="6" t="s">
        <v>520</v>
      </c>
      <c r="N1375" s="6" t="s">
        <v>278</v>
      </c>
      <c r="O1375" s="6" t="s">
        <v>634</v>
      </c>
      <c r="P1375" s="6" t="str">
        <f aca="false">IF(J1375="S0","—",IF(K1375="","",IF(L1375="E0","QM",INDEX(10_ASIL_Matrix!$D$4:$F$15,MATCH(J1375&amp;"-"&amp;L1375,10_ASIL_Matrix!$C$4:$C$15,0),MATCH(N1375,10_ASIL_Matrix!$D$3:$F$3,0)))))</f>
        <v>—</v>
      </c>
      <c r="Q1375" s="6" t="s">
        <v>448</v>
      </c>
    </row>
    <row r="1376" customFormat="false" ht="35.05" hidden="false" customHeight="false" outlineLevel="0" collapsed="false">
      <c r="A1376" s="5" t="s">
        <v>3432</v>
      </c>
      <c r="B1376" s="5" t="s">
        <v>105</v>
      </c>
      <c r="C1376" s="5" t="s">
        <v>106</v>
      </c>
      <c r="D1376" s="5" t="s">
        <v>152</v>
      </c>
      <c r="E1376" s="5" t="s">
        <v>153</v>
      </c>
      <c r="F1376" s="5" t="s">
        <v>194</v>
      </c>
      <c r="G1376" s="5" t="s">
        <v>508</v>
      </c>
      <c r="H1376" s="5" t="s">
        <v>230</v>
      </c>
      <c r="I1376" s="5" t="s">
        <v>3433</v>
      </c>
      <c r="J1376" s="5" t="s">
        <v>238</v>
      </c>
      <c r="K1376" s="5" t="s">
        <v>2410</v>
      </c>
      <c r="L1376" s="5" t="s">
        <v>205</v>
      </c>
      <c r="M1376" s="5" t="s">
        <v>523</v>
      </c>
      <c r="N1376" s="5" t="s">
        <v>278</v>
      </c>
      <c r="O1376" s="5" t="s">
        <v>634</v>
      </c>
      <c r="P1376" s="5" t="str">
        <f aca="false">IF(J1376="S0","—",IF(K1376="","",IF(L1376="E0","QM",INDEX(10_ASIL_Matrix!$D$4:$F$15,MATCH(J1376&amp;"-"&amp;L1376,10_ASIL_Matrix!$C$4:$C$15,0),MATCH(N1376,10_ASIL_Matrix!$D$3:$F$3,0)))))</f>
        <v>—</v>
      </c>
      <c r="Q1376" s="5" t="s">
        <v>448</v>
      </c>
    </row>
    <row r="1377" customFormat="false" ht="46.25" hidden="false" customHeight="false" outlineLevel="0" collapsed="false">
      <c r="A1377" s="6" t="s">
        <v>3434</v>
      </c>
      <c r="B1377" s="6" t="s">
        <v>105</v>
      </c>
      <c r="C1377" s="6" t="s">
        <v>106</v>
      </c>
      <c r="D1377" s="6" t="s">
        <v>152</v>
      </c>
      <c r="E1377" s="6" t="s">
        <v>153</v>
      </c>
      <c r="F1377" s="6" t="s">
        <v>194</v>
      </c>
      <c r="G1377" s="6" t="s">
        <v>508</v>
      </c>
      <c r="H1377" s="6" t="s">
        <v>232</v>
      </c>
      <c r="I1377" s="6" t="s">
        <v>3435</v>
      </c>
      <c r="J1377" s="6" t="s">
        <v>238</v>
      </c>
      <c r="K1377" s="6" t="s">
        <v>2410</v>
      </c>
      <c r="L1377" s="6" t="s">
        <v>233</v>
      </c>
      <c r="M1377" s="6" t="s">
        <v>526</v>
      </c>
      <c r="N1377" s="6" t="s">
        <v>278</v>
      </c>
      <c r="O1377" s="6" t="s">
        <v>634</v>
      </c>
      <c r="P1377" s="6" t="str">
        <f aca="false">IF(J1377="S0","—",IF(K1377="","",IF(L1377="E0","QM",INDEX(10_ASIL_Matrix!$D$4:$F$15,MATCH(J1377&amp;"-"&amp;L1377,10_ASIL_Matrix!$C$4:$C$15,0),MATCH(N1377,10_ASIL_Matrix!$D$3:$F$3,0)))))</f>
        <v>—</v>
      </c>
      <c r="Q1377" s="6" t="s">
        <v>448</v>
      </c>
    </row>
    <row r="1378" customFormat="false" ht="35.05" hidden="false" customHeight="false" outlineLevel="0" collapsed="false">
      <c r="A1378" s="5" t="s">
        <v>3436</v>
      </c>
      <c r="B1378" s="5" t="s">
        <v>105</v>
      </c>
      <c r="C1378" s="5" t="s">
        <v>106</v>
      </c>
      <c r="D1378" s="5" t="s">
        <v>152</v>
      </c>
      <c r="E1378" s="5" t="s">
        <v>153</v>
      </c>
      <c r="F1378" s="5" t="s">
        <v>196</v>
      </c>
      <c r="G1378" s="5" t="s">
        <v>528</v>
      </c>
      <c r="H1378" s="5" t="s">
        <v>222</v>
      </c>
      <c r="I1378" s="5" t="s">
        <v>3437</v>
      </c>
      <c r="J1378" s="5" t="s">
        <v>246</v>
      </c>
      <c r="K1378" s="5" t="s">
        <v>2459</v>
      </c>
      <c r="L1378" s="5" t="s">
        <v>187</v>
      </c>
      <c r="M1378" s="5" t="s">
        <v>531</v>
      </c>
      <c r="N1378" s="5" t="s">
        <v>286</v>
      </c>
      <c r="O1378" s="5" t="s">
        <v>2460</v>
      </c>
      <c r="P1378" s="18" t="str">
        <f aca="false">IF(J1378="S0","—",IF(K1378="","",IF(L1378="E0","QM",INDEX(10_ASIL_Matrix!$D$4:$F$15,MATCH(J1378&amp;"-"&amp;L1378,10_ASIL_Matrix!$C$4:$C$15,0),MATCH(N1378,10_ASIL_Matrix!$D$3:$F$3,0)))))</f>
        <v>B</v>
      </c>
      <c r="Q1378" s="5" t="s">
        <v>448</v>
      </c>
    </row>
    <row r="1379" customFormat="false" ht="35.05" hidden="false" customHeight="false" outlineLevel="0" collapsed="false">
      <c r="A1379" s="6" t="s">
        <v>3438</v>
      </c>
      <c r="B1379" s="6" t="s">
        <v>105</v>
      </c>
      <c r="C1379" s="6" t="s">
        <v>106</v>
      </c>
      <c r="D1379" s="6" t="s">
        <v>152</v>
      </c>
      <c r="E1379" s="6" t="s">
        <v>153</v>
      </c>
      <c r="F1379" s="6" t="s">
        <v>196</v>
      </c>
      <c r="G1379" s="6" t="s">
        <v>528</v>
      </c>
      <c r="H1379" s="6" t="s">
        <v>224</v>
      </c>
      <c r="I1379" s="6" t="s">
        <v>3439</v>
      </c>
      <c r="J1379" s="6" t="s">
        <v>246</v>
      </c>
      <c r="K1379" s="6" t="s">
        <v>2459</v>
      </c>
      <c r="L1379" s="6" t="s">
        <v>190</v>
      </c>
      <c r="M1379" s="6" t="s">
        <v>534</v>
      </c>
      <c r="N1379" s="6" t="s">
        <v>286</v>
      </c>
      <c r="O1379" s="6" t="s">
        <v>2460</v>
      </c>
      <c r="P1379" s="19" t="str">
        <f aca="false">IF(J1379="S0","—",IF(K1379="","",IF(L1379="E0","QM",INDEX(10_ASIL_Matrix!$D$4:$F$15,MATCH(J1379&amp;"-"&amp;L1379,10_ASIL_Matrix!$C$4:$C$15,0),MATCH(N1379,10_ASIL_Matrix!$D$3:$F$3,0)))))</f>
        <v>A</v>
      </c>
      <c r="Q1379" s="6" t="s">
        <v>448</v>
      </c>
    </row>
    <row r="1380" customFormat="false" ht="35.05" hidden="false" customHeight="false" outlineLevel="0" collapsed="false">
      <c r="A1380" s="5" t="s">
        <v>3440</v>
      </c>
      <c r="B1380" s="5" t="s">
        <v>105</v>
      </c>
      <c r="C1380" s="5" t="s">
        <v>106</v>
      </c>
      <c r="D1380" s="5" t="s">
        <v>152</v>
      </c>
      <c r="E1380" s="5" t="s">
        <v>153</v>
      </c>
      <c r="F1380" s="5" t="s">
        <v>196</v>
      </c>
      <c r="G1380" s="5" t="s">
        <v>528</v>
      </c>
      <c r="H1380" s="5" t="s">
        <v>226</v>
      </c>
      <c r="I1380" s="5" t="s">
        <v>3441</v>
      </c>
      <c r="J1380" s="5" t="s">
        <v>246</v>
      </c>
      <c r="K1380" s="5" t="s">
        <v>2459</v>
      </c>
      <c r="L1380" s="5" t="s">
        <v>190</v>
      </c>
      <c r="M1380" s="5" t="s">
        <v>537</v>
      </c>
      <c r="N1380" s="5" t="s">
        <v>286</v>
      </c>
      <c r="O1380" s="5" t="s">
        <v>2460</v>
      </c>
      <c r="P1380" s="19" t="str">
        <f aca="false">IF(J1380="S0","—",IF(K1380="","",IF(L1380="E0","QM",INDEX(10_ASIL_Matrix!$D$4:$F$15,MATCH(J1380&amp;"-"&amp;L1380,10_ASIL_Matrix!$C$4:$C$15,0),MATCH(N1380,10_ASIL_Matrix!$D$3:$F$3,0)))))</f>
        <v>A</v>
      </c>
      <c r="Q1380" s="5" t="s">
        <v>448</v>
      </c>
    </row>
    <row r="1381" customFormat="false" ht="35.05" hidden="false" customHeight="false" outlineLevel="0" collapsed="false">
      <c r="A1381" s="6" t="s">
        <v>3442</v>
      </c>
      <c r="B1381" s="6" t="s">
        <v>105</v>
      </c>
      <c r="C1381" s="6" t="s">
        <v>106</v>
      </c>
      <c r="D1381" s="6" t="s">
        <v>152</v>
      </c>
      <c r="E1381" s="6" t="s">
        <v>153</v>
      </c>
      <c r="F1381" s="6" t="s">
        <v>196</v>
      </c>
      <c r="G1381" s="6" t="s">
        <v>528</v>
      </c>
      <c r="H1381" s="6" t="s">
        <v>228</v>
      </c>
      <c r="I1381" s="6" t="s">
        <v>3443</v>
      </c>
      <c r="J1381" s="6" t="s">
        <v>246</v>
      </c>
      <c r="K1381" s="6" t="s">
        <v>2459</v>
      </c>
      <c r="L1381" s="6" t="s">
        <v>205</v>
      </c>
      <c r="M1381" s="6" t="s">
        <v>540</v>
      </c>
      <c r="N1381" s="6" t="s">
        <v>290</v>
      </c>
      <c r="O1381" s="6" t="s">
        <v>2467</v>
      </c>
      <c r="P1381" s="19" t="str">
        <f aca="false">IF(J1381="S0","—",IF(K1381="","",IF(L1381="E0","QM",INDEX(10_ASIL_Matrix!$D$4:$F$15,MATCH(J1381&amp;"-"&amp;L1381,10_ASIL_Matrix!$C$4:$C$15,0),MATCH(N1381,10_ASIL_Matrix!$D$3:$F$3,0)))))</f>
        <v>A</v>
      </c>
      <c r="Q1381" s="6" t="s">
        <v>448</v>
      </c>
    </row>
    <row r="1382" customFormat="false" ht="35.05" hidden="false" customHeight="false" outlineLevel="0" collapsed="false">
      <c r="A1382" s="5" t="s">
        <v>3444</v>
      </c>
      <c r="B1382" s="5" t="s">
        <v>105</v>
      </c>
      <c r="C1382" s="5" t="s">
        <v>106</v>
      </c>
      <c r="D1382" s="5" t="s">
        <v>152</v>
      </c>
      <c r="E1382" s="5" t="s">
        <v>153</v>
      </c>
      <c r="F1382" s="5" t="s">
        <v>196</v>
      </c>
      <c r="G1382" s="5" t="s">
        <v>528</v>
      </c>
      <c r="H1382" s="5" t="s">
        <v>230</v>
      </c>
      <c r="I1382" s="5" t="s">
        <v>3445</v>
      </c>
      <c r="J1382" s="5" t="s">
        <v>246</v>
      </c>
      <c r="K1382" s="5" t="s">
        <v>2459</v>
      </c>
      <c r="L1382" s="5" t="s">
        <v>205</v>
      </c>
      <c r="M1382" s="5" t="s">
        <v>543</v>
      </c>
      <c r="N1382" s="5" t="s">
        <v>290</v>
      </c>
      <c r="O1382" s="5" t="s">
        <v>2470</v>
      </c>
      <c r="P1382" s="19" t="str">
        <f aca="false">IF(J1382="S0","—",IF(K1382="","",IF(L1382="E0","QM",INDEX(10_ASIL_Matrix!$D$4:$F$15,MATCH(J1382&amp;"-"&amp;L1382,10_ASIL_Matrix!$C$4:$C$15,0),MATCH(N1382,10_ASIL_Matrix!$D$3:$F$3,0)))))</f>
        <v>A</v>
      </c>
      <c r="Q1382" s="5" t="s">
        <v>448</v>
      </c>
    </row>
    <row r="1383" customFormat="false" ht="46.25" hidden="false" customHeight="false" outlineLevel="0" collapsed="false">
      <c r="A1383" s="6" t="s">
        <v>3446</v>
      </c>
      <c r="B1383" s="6" t="s">
        <v>105</v>
      </c>
      <c r="C1383" s="6" t="s">
        <v>106</v>
      </c>
      <c r="D1383" s="6" t="s">
        <v>152</v>
      </c>
      <c r="E1383" s="6" t="s">
        <v>153</v>
      </c>
      <c r="F1383" s="6" t="s">
        <v>196</v>
      </c>
      <c r="G1383" s="6" t="s">
        <v>528</v>
      </c>
      <c r="H1383" s="6" t="s">
        <v>232</v>
      </c>
      <c r="I1383" s="6" t="s">
        <v>3447</v>
      </c>
      <c r="J1383" s="6" t="s">
        <v>246</v>
      </c>
      <c r="K1383" s="6" t="s">
        <v>2459</v>
      </c>
      <c r="L1383" s="6" t="s">
        <v>233</v>
      </c>
      <c r="M1383" s="6" t="s">
        <v>546</v>
      </c>
      <c r="N1383" s="6" t="s">
        <v>290</v>
      </c>
      <c r="O1383" s="6" t="s">
        <v>2467</v>
      </c>
      <c r="P1383" s="6" t="str">
        <f aca="false">IF(J1383="S0","—",IF(K1383="","",IF(L1383="E0","QM",INDEX(10_ASIL_Matrix!$D$4:$F$15,MATCH(J1383&amp;"-"&amp;L1383,10_ASIL_Matrix!$C$4:$C$15,0),MATCH(N1383,10_ASIL_Matrix!$D$3:$F$3,0)))))</f>
        <v>QM</v>
      </c>
      <c r="Q1383" s="6" t="s">
        <v>448</v>
      </c>
    </row>
    <row r="1384" customFormat="false" ht="35.05" hidden="false" customHeight="false" outlineLevel="0" collapsed="false">
      <c r="A1384" s="5" t="s">
        <v>3448</v>
      </c>
      <c r="B1384" s="5" t="s">
        <v>105</v>
      </c>
      <c r="C1384" s="5" t="s">
        <v>106</v>
      </c>
      <c r="D1384" s="5" t="s">
        <v>152</v>
      </c>
      <c r="E1384" s="5" t="s">
        <v>153</v>
      </c>
      <c r="F1384" s="5" t="s">
        <v>198</v>
      </c>
      <c r="G1384" s="5" t="s">
        <v>548</v>
      </c>
      <c r="H1384" s="5" t="s">
        <v>222</v>
      </c>
      <c r="I1384" s="5" t="s">
        <v>3449</v>
      </c>
      <c r="J1384" s="5" t="s">
        <v>242</v>
      </c>
      <c r="K1384" s="5" t="s">
        <v>2475</v>
      </c>
      <c r="L1384" s="5" t="s">
        <v>190</v>
      </c>
      <c r="M1384" s="5" t="s">
        <v>551</v>
      </c>
      <c r="N1384" s="5" t="s">
        <v>286</v>
      </c>
      <c r="O1384" s="5" t="s">
        <v>2476</v>
      </c>
      <c r="P1384" s="5" t="str">
        <f aca="false">IF(J1384="S0","—",IF(K1384="","",IF(L1384="E0","QM",INDEX(10_ASIL_Matrix!$D$4:$F$15,MATCH(J1384&amp;"-"&amp;L1384,10_ASIL_Matrix!$C$4:$C$15,0),MATCH(N1384,10_ASIL_Matrix!$D$3:$F$3,0)))))</f>
        <v>QM</v>
      </c>
      <c r="Q1384" s="5" t="s">
        <v>448</v>
      </c>
    </row>
    <row r="1385" customFormat="false" ht="35.05" hidden="false" customHeight="false" outlineLevel="0" collapsed="false">
      <c r="A1385" s="6" t="s">
        <v>3450</v>
      </c>
      <c r="B1385" s="6" t="s">
        <v>105</v>
      </c>
      <c r="C1385" s="6" t="s">
        <v>106</v>
      </c>
      <c r="D1385" s="6" t="s">
        <v>152</v>
      </c>
      <c r="E1385" s="6" t="s">
        <v>153</v>
      </c>
      <c r="F1385" s="6" t="s">
        <v>198</v>
      </c>
      <c r="G1385" s="6" t="s">
        <v>548</v>
      </c>
      <c r="H1385" s="6" t="s">
        <v>224</v>
      </c>
      <c r="I1385" s="6" t="s">
        <v>3451</v>
      </c>
      <c r="J1385" s="6" t="s">
        <v>242</v>
      </c>
      <c r="K1385" s="6" t="s">
        <v>2475</v>
      </c>
      <c r="L1385" s="6" t="s">
        <v>190</v>
      </c>
      <c r="M1385" s="6" t="s">
        <v>555</v>
      </c>
      <c r="N1385" s="6" t="s">
        <v>286</v>
      </c>
      <c r="O1385" s="6" t="s">
        <v>2476</v>
      </c>
      <c r="P1385" s="6" t="str">
        <f aca="false">IF(J1385="S0","—",IF(K1385="","",IF(L1385="E0","QM",INDEX(10_ASIL_Matrix!$D$4:$F$15,MATCH(J1385&amp;"-"&amp;L1385,10_ASIL_Matrix!$C$4:$C$15,0),MATCH(N1385,10_ASIL_Matrix!$D$3:$F$3,0)))))</f>
        <v>QM</v>
      </c>
      <c r="Q1385" s="6" t="s">
        <v>448</v>
      </c>
    </row>
    <row r="1386" customFormat="false" ht="35.05" hidden="false" customHeight="false" outlineLevel="0" collapsed="false">
      <c r="A1386" s="5" t="s">
        <v>3452</v>
      </c>
      <c r="B1386" s="5" t="s">
        <v>105</v>
      </c>
      <c r="C1386" s="5" t="s">
        <v>106</v>
      </c>
      <c r="D1386" s="5" t="s">
        <v>152</v>
      </c>
      <c r="E1386" s="5" t="s">
        <v>153</v>
      </c>
      <c r="F1386" s="5" t="s">
        <v>198</v>
      </c>
      <c r="G1386" s="5" t="s">
        <v>548</v>
      </c>
      <c r="H1386" s="5" t="s">
        <v>226</v>
      </c>
      <c r="I1386" s="5" t="s">
        <v>3453</v>
      </c>
      <c r="J1386" s="5" t="s">
        <v>242</v>
      </c>
      <c r="K1386" s="5" t="s">
        <v>2475</v>
      </c>
      <c r="L1386" s="5" t="s">
        <v>190</v>
      </c>
      <c r="M1386" s="5" t="s">
        <v>558</v>
      </c>
      <c r="N1386" s="5" t="s">
        <v>286</v>
      </c>
      <c r="O1386" s="5" t="s">
        <v>2476</v>
      </c>
      <c r="P1386" s="5" t="str">
        <f aca="false">IF(J1386="S0","—",IF(K1386="","",IF(L1386="E0","QM",INDEX(10_ASIL_Matrix!$D$4:$F$15,MATCH(J1386&amp;"-"&amp;L1386,10_ASIL_Matrix!$C$4:$C$15,0),MATCH(N1386,10_ASIL_Matrix!$D$3:$F$3,0)))))</f>
        <v>QM</v>
      </c>
      <c r="Q1386" s="5" t="s">
        <v>448</v>
      </c>
    </row>
    <row r="1387" customFormat="false" ht="46.25" hidden="false" customHeight="false" outlineLevel="0" collapsed="false">
      <c r="A1387" s="6" t="s">
        <v>3454</v>
      </c>
      <c r="B1387" s="6" t="s">
        <v>105</v>
      </c>
      <c r="C1387" s="6" t="s">
        <v>106</v>
      </c>
      <c r="D1387" s="6" t="s">
        <v>152</v>
      </c>
      <c r="E1387" s="6" t="s">
        <v>153</v>
      </c>
      <c r="F1387" s="6" t="s">
        <v>198</v>
      </c>
      <c r="G1387" s="6" t="s">
        <v>548</v>
      </c>
      <c r="H1387" s="6" t="s">
        <v>228</v>
      </c>
      <c r="I1387" s="6" t="s">
        <v>3455</v>
      </c>
      <c r="J1387" s="6" t="s">
        <v>242</v>
      </c>
      <c r="K1387" s="6" t="s">
        <v>2475</v>
      </c>
      <c r="L1387" s="6" t="s">
        <v>205</v>
      </c>
      <c r="M1387" s="6" t="s">
        <v>561</v>
      </c>
      <c r="N1387" s="6" t="s">
        <v>290</v>
      </c>
      <c r="O1387" s="6" t="s">
        <v>2483</v>
      </c>
      <c r="P1387" s="6" t="str">
        <f aca="false">IF(J1387="S0","—",IF(K1387="","",IF(L1387="E0","QM",INDEX(10_ASIL_Matrix!$D$4:$F$15,MATCH(J1387&amp;"-"&amp;L1387,10_ASIL_Matrix!$C$4:$C$15,0),MATCH(N1387,10_ASIL_Matrix!$D$3:$F$3,0)))))</f>
        <v>QM</v>
      </c>
      <c r="Q1387" s="6" t="s">
        <v>448</v>
      </c>
    </row>
    <row r="1388" customFormat="false" ht="35.05" hidden="false" customHeight="false" outlineLevel="0" collapsed="false">
      <c r="A1388" s="5" t="s">
        <v>3456</v>
      </c>
      <c r="B1388" s="5" t="s">
        <v>105</v>
      </c>
      <c r="C1388" s="5" t="s">
        <v>106</v>
      </c>
      <c r="D1388" s="5" t="s">
        <v>152</v>
      </c>
      <c r="E1388" s="5" t="s">
        <v>153</v>
      </c>
      <c r="F1388" s="5" t="s">
        <v>198</v>
      </c>
      <c r="G1388" s="5" t="s">
        <v>548</v>
      </c>
      <c r="H1388" s="5" t="s">
        <v>230</v>
      </c>
      <c r="I1388" s="5" t="s">
        <v>3457</v>
      </c>
      <c r="J1388" s="5" t="s">
        <v>242</v>
      </c>
      <c r="K1388" s="5" t="s">
        <v>2475</v>
      </c>
      <c r="L1388" s="5" t="s">
        <v>205</v>
      </c>
      <c r="M1388" s="5" t="s">
        <v>564</v>
      </c>
      <c r="N1388" s="5" t="s">
        <v>290</v>
      </c>
      <c r="O1388" s="5" t="s">
        <v>2486</v>
      </c>
      <c r="P1388" s="5" t="str">
        <f aca="false">IF(J1388="S0","—",IF(K1388="","",IF(L1388="E0","QM",INDEX(10_ASIL_Matrix!$D$4:$F$15,MATCH(J1388&amp;"-"&amp;L1388,10_ASIL_Matrix!$C$4:$C$15,0),MATCH(N1388,10_ASIL_Matrix!$D$3:$F$3,0)))))</f>
        <v>QM</v>
      </c>
      <c r="Q1388" s="5" t="s">
        <v>448</v>
      </c>
    </row>
    <row r="1389" customFormat="false" ht="46.25" hidden="false" customHeight="false" outlineLevel="0" collapsed="false">
      <c r="A1389" s="6" t="s">
        <v>3458</v>
      </c>
      <c r="B1389" s="6" t="s">
        <v>105</v>
      </c>
      <c r="C1389" s="6" t="s">
        <v>106</v>
      </c>
      <c r="D1389" s="6" t="s">
        <v>152</v>
      </c>
      <c r="E1389" s="6" t="s">
        <v>153</v>
      </c>
      <c r="F1389" s="6" t="s">
        <v>198</v>
      </c>
      <c r="G1389" s="6" t="s">
        <v>548</v>
      </c>
      <c r="H1389" s="6" t="s">
        <v>232</v>
      </c>
      <c r="I1389" s="6" t="s">
        <v>3459</v>
      </c>
      <c r="J1389" s="6" t="s">
        <v>242</v>
      </c>
      <c r="K1389" s="6" t="s">
        <v>2475</v>
      </c>
      <c r="L1389" s="6" t="s">
        <v>233</v>
      </c>
      <c r="M1389" s="6" t="s">
        <v>568</v>
      </c>
      <c r="N1389" s="6" t="s">
        <v>290</v>
      </c>
      <c r="O1389" s="6" t="s">
        <v>2483</v>
      </c>
      <c r="P1389" s="6" t="str">
        <f aca="false">IF(J1389="S0","—",IF(K1389="","",IF(L1389="E0","QM",INDEX(10_ASIL_Matrix!$D$4:$F$15,MATCH(J1389&amp;"-"&amp;L1389,10_ASIL_Matrix!$C$4:$C$15,0),MATCH(N1389,10_ASIL_Matrix!$D$3:$F$3,0)))))</f>
        <v>QM</v>
      </c>
      <c r="Q1389" s="6" t="s">
        <v>448</v>
      </c>
    </row>
    <row r="1390" customFormat="false" ht="35.05" hidden="false" customHeight="false" outlineLevel="0" collapsed="false">
      <c r="A1390" s="5" t="s">
        <v>3460</v>
      </c>
      <c r="B1390" s="5" t="s">
        <v>105</v>
      </c>
      <c r="C1390" s="5" t="s">
        <v>106</v>
      </c>
      <c r="D1390" s="5" t="s">
        <v>152</v>
      </c>
      <c r="E1390" s="5" t="s">
        <v>153</v>
      </c>
      <c r="F1390" s="5" t="s">
        <v>200</v>
      </c>
      <c r="G1390" s="5" t="s">
        <v>570</v>
      </c>
      <c r="H1390" s="5" t="s">
        <v>222</v>
      </c>
      <c r="I1390" s="5" t="s">
        <v>3461</v>
      </c>
      <c r="J1390" s="5" t="s">
        <v>250</v>
      </c>
      <c r="K1390" s="5" t="s">
        <v>2491</v>
      </c>
      <c r="L1390" s="5" t="s">
        <v>190</v>
      </c>
      <c r="M1390" s="5" t="s">
        <v>573</v>
      </c>
      <c r="N1390" s="5" t="s">
        <v>286</v>
      </c>
      <c r="O1390" s="5" t="s">
        <v>2492</v>
      </c>
      <c r="P1390" s="18" t="str">
        <f aca="false">IF(J1390="S0","—",IF(K1390="","",IF(L1390="E0","QM",INDEX(10_ASIL_Matrix!$D$4:$F$15,MATCH(J1390&amp;"-"&amp;L1390,10_ASIL_Matrix!$C$4:$C$15,0),MATCH(N1390,10_ASIL_Matrix!$D$3:$F$3,0)))))</f>
        <v>B</v>
      </c>
      <c r="Q1390" s="5" t="s">
        <v>448</v>
      </c>
    </row>
    <row r="1391" customFormat="false" ht="35.05" hidden="false" customHeight="false" outlineLevel="0" collapsed="false">
      <c r="A1391" s="6" t="s">
        <v>3462</v>
      </c>
      <c r="B1391" s="6" t="s">
        <v>105</v>
      </c>
      <c r="C1391" s="6" t="s">
        <v>106</v>
      </c>
      <c r="D1391" s="6" t="s">
        <v>152</v>
      </c>
      <c r="E1391" s="6" t="s">
        <v>153</v>
      </c>
      <c r="F1391" s="6" t="s">
        <v>200</v>
      </c>
      <c r="G1391" s="6" t="s">
        <v>570</v>
      </c>
      <c r="H1391" s="6" t="s">
        <v>224</v>
      </c>
      <c r="I1391" s="6" t="s">
        <v>3463</v>
      </c>
      <c r="J1391" s="6" t="s">
        <v>250</v>
      </c>
      <c r="K1391" s="6" t="s">
        <v>2491</v>
      </c>
      <c r="L1391" s="6" t="s">
        <v>190</v>
      </c>
      <c r="M1391" s="6" t="s">
        <v>576</v>
      </c>
      <c r="N1391" s="6" t="s">
        <v>286</v>
      </c>
      <c r="O1391" s="6" t="s">
        <v>2492</v>
      </c>
      <c r="P1391" s="18" t="str">
        <f aca="false">IF(J1391="S0","—",IF(K1391="","",IF(L1391="E0","QM",INDEX(10_ASIL_Matrix!$D$4:$F$15,MATCH(J1391&amp;"-"&amp;L1391,10_ASIL_Matrix!$C$4:$C$15,0),MATCH(N1391,10_ASIL_Matrix!$D$3:$F$3,0)))))</f>
        <v>B</v>
      </c>
      <c r="Q1391" s="6" t="s">
        <v>448</v>
      </c>
    </row>
    <row r="1392" customFormat="false" ht="35.05" hidden="false" customHeight="false" outlineLevel="0" collapsed="false">
      <c r="A1392" s="5" t="s">
        <v>3464</v>
      </c>
      <c r="B1392" s="5" t="s">
        <v>105</v>
      </c>
      <c r="C1392" s="5" t="s">
        <v>106</v>
      </c>
      <c r="D1392" s="5" t="s">
        <v>152</v>
      </c>
      <c r="E1392" s="5" t="s">
        <v>153</v>
      </c>
      <c r="F1392" s="5" t="s">
        <v>200</v>
      </c>
      <c r="G1392" s="5" t="s">
        <v>570</v>
      </c>
      <c r="H1392" s="5" t="s">
        <v>226</v>
      </c>
      <c r="I1392" s="5" t="s">
        <v>3465</v>
      </c>
      <c r="J1392" s="5" t="s">
        <v>250</v>
      </c>
      <c r="K1392" s="5" t="s">
        <v>2491</v>
      </c>
      <c r="L1392" s="5" t="s">
        <v>190</v>
      </c>
      <c r="M1392" s="5" t="s">
        <v>579</v>
      </c>
      <c r="N1392" s="5" t="s">
        <v>286</v>
      </c>
      <c r="O1392" s="5" t="s">
        <v>2492</v>
      </c>
      <c r="P1392" s="18" t="str">
        <f aca="false">IF(J1392="S0","—",IF(K1392="","",IF(L1392="E0","QM",INDEX(10_ASIL_Matrix!$D$4:$F$15,MATCH(J1392&amp;"-"&amp;L1392,10_ASIL_Matrix!$C$4:$C$15,0),MATCH(N1392,10_ASIL_Matrix!$D$3:$F$3,0)))))</f>
        <v>B</v>
      </c>
      <c r="Q1392" s="5" t="s">
        <v>448</v>
      </c>
    </row>
    <row r="1393" customFormat="false" ht="35.05" hidden="false" customHeight="false" outlineLevel="0" collapsed="false">
      <c r="A1393" s="6" t="s">
        <v>3466</v>
      </c>
      <c r="B1393" s="6" t="s">
        <v>105</v>
      </c>
      <c r="C1393" s="6" t="s">
        <v>106</v>
      </c>
      <c r="D1393" s="6" t="s">
        <v>152</v>
      </c>
      <c r="E1393" s="6" t="s">
        <v>153</v>
      </c>
      <c r="F1393" s="6" t="s">
        <v>200</v>
      </c>
      <c r="G1393" s="6" t="s">
        <v>570</v>
      </c>
      <c r="H1393" s="6" t="s">
        <v>228</v>
      </c>
      <c r="I1393" s="6" t="s">
        <v>3467</v>
      </c>
      <c r="J1393" s="6" t="s">
        <v>250</v>
      </c>
      <c r="K1393" s="6" t="s">
        <v>2491</v>
      </c>
      <c r="L1393" s="6" t="s">
        <v>205</v>
      </c>
      <c r="M1393" s="6" t="s">
        <v>582</v>
      </c>
      <c r="N1393" s="6" t="s">
        <v>290</v>
      </c>
      <c r="O1393" s="6" t="s">
        <v>2499</v>
      </c>
      <c r="P1393" s="18" t="str">
        <f aca="false">IF(J1393="S0","—",IF(K1393="","",IF(L1393="E0","QM",INDEX(10_ASIL_Matrix!$D$4:$F$15,MATCH(J1393&amp;"-"&amp;L1393,10_ASIL_Matrix!$C$4:$C$15,0),MATCH(N1393,10_ASIL_Matrix!$D$3:$F$3,0)))))</f>
        <v>B</v>
      </c>
      <c r="Q1393" s="6" t="s">
        <v>448</v>
      </c>
    </row>
    <row r="1394" customFormat="false" ht="35.05" hidden="false" customHeight="false" outlineLevel="0" collapsed="false">
      <c r="A1394" s="5" t="s">
        <v>3468</v>
      </c>
      <c r="B1394" s="5" t="s">
        <v>105</v>
      </c>
      <c r="C1394" s="5" t="s">
        <v>106</v>
      </c>
      <c r="D1394" s="5" t="s">
        <v>152</v>
      </c>
      <c r="E1394" s="5" t="s">
        <v>153</v>
      </c>
      <c r="F1394" s="5" t="s">
        <v>200</v>
      </c>
      <c r="G1394" s="5" t="s">
        <v>570</v>
      </c>
      <c r="H1394" s="5" t="s">
        <v>230</v>
      </c>
      <c r="I1394" s="5" t="s">
        <v>3469</v>
      </c>
      <c r="J1394" s="5" t="s">
        <v>250</v>
      </c>
      <c r="K1394" s="5" t="s">
        <v>2491</v>
      </c>
      <c r="L1394" s="5" t="s">
        <v>205</v>
      </c>
      <c r="M1394" s="5" t="s">
        <v>585</v>
      </c>
      <c r="N1394" s="5" t="s">
        <v>290</v>
      </c>
      <c r="O1394" s="5" t="s">
        <v>2502</v>
      </c>
      <c r="P1394" s="18" t="str">
        <f aca="false">IF(J1394="S0","—",IF(K1394="","",IF(L1394="E0","QM",INDEX(10_ASIL_Matrix!$D$4:$F$15,MATCH(J1394&amp;"-"&amp;L1394,10_ASIL_Matrix!$C$4:$C$15,0),MATCH(N1394,10_ASIL_Matrix!$D$3:$F$3,0)))))</f>
        <v>B</v>
      </c>
      <c r="Q1394" s="5" t="s">
        <v>448</v>
      </c>
    </row>
    <row r="1395" customFormat="false" ht="46.25" hidden="false" customHeight="false" outlineLevel="0" collapsed="false">
      <c r="A1395" s="6" t="s">
        <v>3470</v>
      </c>
      <c r="B1395" s="6" t="s">
        <v>105</v>
      </c>
      <c r="C1395" s="6" t="s">
        <v>106</v>
      </c>
      <c r="D1395" s="6" t="s">
        <v>152</v>
      </c>
      <c r="E1395" s="6" t="s">
        <v>153</v>
      </c>
      <c r="F1395" s="6" t="s">
        <v>200</v>
      </c>
      <c r="G1395" s="6" t="s">
        <v>570</v>
      </c>
      <c r="H1395" s="6" t="s">
        <v>232</v>
      </c>
      <c r="I1395" s="6" t="s">
        <v>3471</v>
      </c>
      <c r="J1395" s="6" t="s">
        <v>250</v>
      </c>
      <c r="K1395" s="6" t="s">
        <v>2491</v>
      </c>
      <c r="L1395" s="6" t="s">
        <v>233</v>
      </c>
      <c r="M1395" s="6" t="s">
        <v>588</v>
      </c>
      <c r="N1395" s="6" t="s">
        <v>290</v>
      </c>
      <c r="O1395" s="6" t="s">
        <v>2499</v>
      </c>
      <c r="P1395" s="19" t="str">
        <f aca="false">IF(J1395="S0","—",IF(K1395="","",IF(L1395="E0","QM",INDEX(10_ASIL_Matrix!$D$4:$F$15,MATCH(J1395&amp;"-"&amp;L1395,10_ASIL_Matrix!$C$4:$C$15,0),MATCH(N1395,10_ASIL_Matrix!$D$3:$F$3,0)))))</f>
        <v>A</v>
      </c>
      <c r="Q1395" s="6" t="s">
        <v>448</v>
      </c>
    </row>
    <row r="1396" customFormat="false" ht="35.05" hidden="false" customHeight="false" outlineLevel="0" collapsed="false">
      <c r="A1396" s="5" t="s">
        <v>3472</v>
      </c>
      <c r="B1396" s="5" t="s">
        <v>105</v>
      </c>
      <c r="C1396" s="5" t="s">
        <v>106</v>
      </c>
      <c r="D1396" s="5" t="s">
        <v>152</v>
      </c>
      <c r="E1396" s="5" t="s">
        <v>153</v>
      </c>
      <c r="F1396" s="5" t="s">
        <v>202</v>
      </c>
      <c r="G1396" s="5" t="s">
        <v>590</v>
      </c>
      <c r="H1396" s="5" t="s">
        <v>222</v>
      </c>
      <c r="I1396" s="5" t="s">
        <v>3473</v>
      </c>
      <c r="J1396" s="5" t="s">
        <v>238</v>
      </c>
      <c r="K1396" s="5" t="s">
        <v>2410</v>
      </c>
      <c r="L1396" s="5" t="s">
        <v>187</v>
      </c>
      <c r="M1396" s="5" t="s">
        <v>592</v>
      </c>
      <c r="N1396" s="5" t="s">
        <v>278</v>
      </c>
      <c r="O1396" s="5" t="s">
        <v>634</v>
      </c>
      <c r="P1396" s="5" t="str">
        <f aca="false">IF(J1396="S0","—",IF(K1396="","",IF(L1396="E0","QM",INDEX(10_ASIL_Matrix!$D$4:$F$15,MATCH(J1396&amp;"-"&amp;L1396,10_ASIL_Matrix!$C$4:$C$15,0),MATCH(N1396,10_ASIL_Matrix!$D$3:$F$3,0)))))</f>
        <v>—</v>
      </c>
      <c r="Q1396" s="5" t="s">
        <v>448</v>
      </c>
    </row>
    <row r="1397" customFormat="false" ht="35.05" hidden="false" customHeight="false" outlineLevel="0" collapsed="false">
      <c r="A1397" s="6" t="s">
        <v>3474</v>
      </c>
      <c r="B1397" s="6" t="s">
        <v>105</v>
      </c>
      <c r="C1397" s="6" t="s">
        <v>106</v>
      </c>
      <c r="D1397" s="6" t="s">
        <v>152</v>
      </c>
      <c r="E1397" s="6" t="s">
        <v>153</v>
      </c>
      <c r="F1397" s="6" t="s">
        <v>202</v>
      </c>
      <c r="G1397" s="6" t="s">
        <v>590</v>
      </c>
      <c r="H1397" s="6" t="s">
        <v>224</v>
      </c>
      <c r="I1397" s="6" t="s">
        <v>3475</v>
      </c>
      <c r="J1397" s="6" t="s">
        <v>238</v>
      </c>
      <c r="K1397" s="6" t="s">
        <v>2410</v>
      </c>
      <c r="L1397" s="6" t="s">
        <v>190</v>
      </c>
      <c r="M1397" s="6" t="s">
        <v>595</v>
      </c>
      <c r="N1397" s="6" t="s">
        <v>278</v>
      </c>
      <c r="O1397" s="6" t="s">
        <v>634</v>
      </c>
      <c r="P1397" s="6" t="str">
        <f aca="false">IF(J1397="S0","—",IF(K1397="","",IF(L1397="E0","QM",INDEX(10_ASIL_Matrix!$D$4:$F$15,MATCH(J1397&amp;"-"&amp;L1397,10_ASIL_Matrix!$C$4:$C$15,0),MATCH(N1397,10_ASIL_Matrix!$D$3:$F$3,0)))))</f>
        <v>—</v>
      </c>
      <c r="Q1397" s="6" t="s">
        <v>448</v>
      </c>
    </row>
    <row r="1398" customFormat="false" ht="35.05" hidden="false" customHeight="false" outlineLevel="0" collapsed="false">
      <c r="A1398" s="5" t="s">
        <v>3476</v>
      </c>
      <c r="B1398" s="5" t="s">
        <v>105</v>
      </c>
      <c r="C1398" s="5" t="s">
        <v>106</v>
      </c>
      <c r="D1398" s="5" t="s">
        <v>152</v>
      </c>
      <c r="E1398" s="5" t="s">
        <v>153</v>
      </c>
      <c r="F1398" s="5" t="s">
        <v>202</v>
      </c>
      <c r="G1398" s="5" t="s">
        <v>590</v>
      </c>
      <c r="H1398" s="5" t="s">
        <v>226</v>
      </c>
      <c r="I1398" s="5" t="s">
        <v>3477</v>
      </c>
      <c r="J1398" s="5" t="s">
        <v>238</v>
      </c>
      <c r="K1398" s="5" t="s">
        <v>2410</v>
      </c>
      <c r="L1398" s="5" t="s">
        <v>190</v>
      </c>
      <c r="M1398" s="5" t="s">
        <v>598</v>
      </c>
      <c r="N1398" s="5" t="s">
        <v>278</v>
      </c>
      <c r="O1398" s="5" t="s">
        <v>634</v>
      </c>
      <c r="P1398" s="5" t="str">
        <f aca="false">IF(J1398="S0","—",IF(K1398="","",IF(L1398="E0","QM",INDEX(10_ASIL_Matrix!$D$4:$F$15,MATCH(J1398&amp;"-"&amp;L1398,10_ASIL_Matrix!$C$4:$C$15,0),MATCH(N1398,10_ASIL_Matrix!$D$3:$F$3,0)))))</f>
        <v>—</v>
      </c>
      <c r="Q1398" s="5" t="s">
        <v>448</v>
      </c>
    </row>
    <row r="1399" customFormat="false" ht="35.05" hidden="false" customHeight="false" outlineLevel="0" collapsed="false">
      <c r="A1399" s="6" t="s">
        <v>3478</v>
      </c>
      <c r="B1399" s="6" t="s">
        <v>105</v>
      </c>
      <c r="C1399" s="6" t="s">
        <v>106</v>
      </c>
      <c r="D1399" s="6" t="s">
        <v>152</v>
      </c>
      <c r="E1399" s="6" t="s">
        <v>153</v>
      </c>
      <c r="F1399" s="6" t="s">
        <v>202</v>
      </c>
      <c r="G1399" s="6" t="s">
        <v>590</v>
      </c>
      <c r="H1399" s="6" t="s">
        <v>228</v>
      </c>
      <c r="I1399" s="6" t="s">
        <v>3479</v>
      </c>
      <c r="J1399" s="6" t="s">
        <v>238</v>
      </c>
      <c r="K1399" s="6" t="s">
        <v>2410</v>
      </c>
      <c r="L1399" s="6" t="s">
        <v>205</v>
      </c>
      <c r="M1399" s="6" t="s">
        <v>601</v>
      </c>
      <c r="N1399" s="6" t="s">
        <v>278</v>
      </c>
      <c r="O1399" s="6" t="s">
        <v>634</v>
      </c>
      <c r="P1399" s="6" t="str">
        <f aca="false">IF(J1399="S0","—",IF(K1399="","",IF(L1399="E0","QM",INDEX(10_ASIL_Matrix!$D$4:$F$15,MATCH(J1399&amp;"-"&amp;L1399,10_ASIL_Matrix!$C$4:$C$15,0),MATCH(N1399,10_ASIL_Matrix!$D$3:$F$3,0)))))</f>
        <v>—</v>
      </c>
      <c r="Q1399" s="6" t="s">
        <v>448</v>
      </c>
    </row>
    <row r="1400" customFormat="false" ht="35.05" hidden="false" customHeight="false" outlineLevel="0" collapsed="false">
      <c r="A1400" s="5" t="s">
        <v>3480</v>
      </c>
      <c r="B1400" s="5" t="s">
        <v>105</v>
      </c>
      <c r="C1400" s="5" t="s">
        <v>106</v>
      </c>
      <c r="D1400" s="5" t="s">
        <v>152</v>
      </c>
      <c r="E1400" s="5" t="s">
        <v>153</v>
      </c>
      <c r="F1400" s="5" t="s">
        <v>202</v>
      </c>
      <c r="G1400" s="5" t="s">
        <v>590</v>
      </c>
      <c r="H1400" s="5" t="s">
        <v>230</v>
      </c>
      <c r="I1400" s="5" t="s">
        <v>3481</v>
      </c>
      <c r="J1400" s="5" t="s">
        <v>238</v>
      </c>
      <c r="K1400" s="5" t="s">
        <v>2410</v>
      </c>
      <c r="L1400" s="5" t="s">
        <v>205</v>
      </c>
      <c r="M1400" s="5" t="s">
        <v>604</v>
      </c>
      <c r="N1400" s="5" t="s">
        <v>278</v>
      </c>
      <c r="O1400" s="5" t="s">
        <v>634</v>
      </c>
      <c r="P1400" s="5" t="str">
        <f aca="false">IF(J1400="S0","—",IF(K1400="","",IF(L1400="E0","QM",INDEX(10_ASIL_Matrix!$D$4:$F$15,MATCH(J1400&amp;"-"&amp;L1400,10_ASIL_Matrix!$C$4:$C$15,0),MATCH(N1400,10_ASIL_Matrix!$D$3:$F$3,0)))))</f>
        <v>—</v>
      </c>
      <c r="Q1400" s="5" t="s">
        <v>448</v>
      </c>
    </row>
    <row r="1401" customFormat="false" ht="46.25" hidden="false" customHeight="false" outlineLevel="0" collapsed="false">
      <c r="A1401" s="6" t="s">
        <v>3482</v>
      </c>
      <c r="B1401" s="6" t="s">
        <v>105</v>
      </c>
      <c r="C1401" s="6" t="s">
        <v>106</v>
      </c>
      <c r="D1401" s="6" t="s">
        <v>152</v>
      </c>
      <c r="E1401" s="6" t="s">
        <v>153</v>
      </c>
      <c r="F1401" s="6" t="s">
        <v>202</v>
      </c>
      <c r="G1401" s="6" t="s">
        <v>590</v>
      </c>
      <c r="H1401" s="6" t="s">
        <v>232</v>
      </c>
      <c r="I1401" s="6" t="s">
        <v>3483</v>
      </c>
      <c r="J1401" s="6" t="s">
        <v>238</v>
      </c>
      <c r="K1401" s="6" t="s">
        <v>2410</v>
      </c>
      <c r="L1401" s="6" t="s">
        <v>233</v>
      </c>
      <c r="M1401" s="6" t="s">
        <v>607</v>
      </c>
      <c r="N1401" s="6" t="s">
        <v>278</v>
      </c>
      <c r="O1401" s="6" t="s">
        <v>634</v>
      </c>
      <c r="P1401" s="6" t="str">
        <f aca="false">IF(J1401="S0","—",IF(K1401="","",IF(L1401="E0","QM",INDEX(10_ASIL_Matrix!$D$4:$F$15,MATCH(J1401&amp;"-"&amp;L1401,10_ASIL_Matrix!$C$4:$C$15,0),MATCH(N1401,10_ASIL_Matrix!$D$3:$F$3,0)))))</f>
        <v>—</v>
      </c>
      <c r="Q1401" s="6" t="s">
        <v>448</v>
      </c>
    </row>
    <row r="1402" customFormat="false" ht="35.05" hidden="false" customHeight="false" outlineLevel="0" collapsed="false">
      <c r="A1402" s="5" t="s">
        <v>3484</v>
      </c>
      <c r="B1402" s="5" t="s">
        <v>105</v>
      </c>
      <c r="C1402" s="5" t="s">
        <v>106</v>
      </c>
      <c r="D1402" s="5" t="s">
        <v>152</v>
      </c>
      <c r="E1402" s="5" t="s">
        <v>153</v>
      </c>
      <c r="F1402" s="5" t="s">
        <v>204</v>
      </c>
      <c r="G1402" s="5" t="s">
        <v>609</v>
      </c>
      <c r="H1402" s="5" t="s">
        <v>222</v>
      </c>
      <c r="I1402" s="5" t="s">
        <v>3485</v>
      </c>
      <c r="J1402" s="5" t="s">
        <v>250</v>
      </c>
      <c r="K1402" s="5" t="s">
        <v>2519</v>
      </c>
      <c r="L1402" s="5" t="s">
        <v>205</v>
      </c>
      <c r="M1402" s="5" t="s">
        <v>612</v>
      </c>
      <c r="N1402" s="5" t="s">
        <v>290</v>
      </c>
      <c r="O1402" s="5" t="s">
        <v>2520</v>
      </c>
      <c r="P1402" s="18" t="str">
        <f aca="false">IF(J1402="S0","—",IF(K1402="","",IF(L1402="E0","QM",INDEX(10_ASIL_Matrix!$D$4:$F$15,MATCH(J1402&amp;"-"&amp;L1402,10_ASIL_Matrix!$C$4:$C$15,0),MATCH(N1402,10_ASIL_Matrix!$D$3:$F$3,0)))))</f>
        <v>B</v>
      </c>
      <c r="Q1402" s="5" t="s">
        <v>448</v>
      </c>
    </row>
    <row r="1403" customFormat="false" ht="35.05" hidden="false" customHeight="false" outlineLevel="0" collapsed="false">
      <c r="A1403" s="6" t="s">
        <v>3486</v>
      </c>
      <c r="B1403" s="6" t="s">
        <v>105</v>
      </c>
      <c r="C1403" s="6" t="s">
        <v>106</v>
      </c>
      <c r="D1403" s="6" t="s">
        <v>152</v>
      </c>
      <c r="E1403" s="6" t="s">
        <v>153</v>
      </c>
      <c r="F1403" s="6" t="s">
        <v>204</v>
      </c>
      <c r="G1403" s="6" t="s">
        <v>609</v>
      </c>
      <c r="H1403" s="6" t="s">
        <v>224</v>
      </c>
      <c r="I1403" s="6" t="s">
        <v>3487</v>
      </c>
      <c r="J1403" s="6" t="s">
        <v>250</v>
      </c>
      <c r="K1403" s="6" t="s">
        <v>2519</v>
      </c>
      <c r="L1403" s="6" t="s">
        <v>205</v>
      </c>
      <c r="M1403" s="6" t="s">
        <v>616</v>
      </c>
      <c r="N1403" s="6" t="s">
        <v>290</v>
      </c>
      <c r="O1403" s="6" t="s">
        <v>2520</v>
      </c>
      <c r="P1403" s="18" t="str">
        <f aca="false">IF(J1403="S0","—",IF(K1403="","",IF(L1403="E0","QM",INDEX(10_ASIL_Matrix!$D$4:$F$15,MATCH(J1403&amp;"-"&amp;L1403,10_ASIL_Matrix!$C$4:$C$15,0),MATCH(N1403,10_ASIL_Matrix!$D$3:$F$3,0)))))</f>
        <v>B</v>
      </c>
      <c r="Q1403" s="6" t="s">
        <v>448</v>
      </c>
    </row>
    <row r="1404" customFormat="false" ht="35.05" hidden="false" customHeight="false" outlineLevel="0" collapsed="false">
      <c r="A1404" s="5" t="s">
        <v>3488</v>
      </c>
      <c r="B1404" s="5" t="s">
        <v>105</v>
      </c>
      <c r="C1404" s="5" t="s">
        <v>106</v>
      </c>
      <c r="D1404" s="5" t="s">
        <v>152</v>
      </c>
      <c r="E1404" s="5" t="s">
        <v>153</v>
      </c>
      <c r="F1404" s="5" t="s">
        <v>204</v>
      </c>
      <c r="G1404" s="5" t="s">
        <v>609</v>
      </c>
      <c r="H1404" s="5" t="s">
        <v>226</v>
      </c>
      <c r="I1404" s="5" t="s">
        <v>3489</v>
      </c>
      <c r="J1404" s="5" t="s">
        <v>250</v>
      </c>
      <c r="K1404" s="5" t="s">
        <v>2519</v>
      </c>
      <c r="L1404" s="5" t="s">
        <v>205</v>
      </c>
      <c r="M1404" s="5" t="s">
        <v>619</v>
      </c>
      <c r="N1404" s="5" t="s">
        <v>290</v>
      </c>
      <c r="O1404" s="5" t="s">
        <v>2520</v>
      </c>
      <c r="P1404" s="18" t="str">
        <f aca="false">IF(J1404="S0","—",IF(K1404="","",IF(L1404="E0","QM",INDEX(10_ASIL_Matrix!$D$4:$F$15,MATCH(J1404&amp;"-"&amp;L1404,10_ASIL_Matrix!$C$4:$C$15,0),MATCH(N1404,10_ASIL_Matrix!$D$3:$F$3,0)))))</f>
        <v>B</v>
      </c>
      <c r="Q1404" s="5" t="s">
        <v>448</v>
      </c>
    </row>
    <row r="1405" customFormat="false" ht="35.05" hidden="false" customHeight="false" outlineLevel="0" collapsed="false">
      <c r="A1405" s="6" t="s">
        <v>3490</v>
      </c>
      <c r="B1405" s="6" t="s">
        <v>105</v>
      </c>
      <c r="C1405" s="6" t="s">
        <v>106</v>
      </c>
      <c r="D1405" s="6" t="s">
        <v>152</v>
      </c>
      <c r="E1405" s="6" t="s">
        <v>153</v>
      </c>
      <c r="F1405" s="6" t="s">
        <v>204</v>
      </c>
      <c r="G1405" s="6" t="s">
        <v>609</v>
      </c>
      <c r="H1405" s="6" t="s">
        <v>228</v>
      </c>
      <c r="I1405" s="6" t="s">
        <v>3491</v>
      </c>
      <c r="J1405" s="6" t="s">
        <v>250</v>
      </c>
      <c r="K1405" s="6" t="s">
        <v>2519</v>
      </c>
      <c r="L1405" s="6" t="s">
        <v>205</v>
      </c>
      <c r="M1405" s="6" t="s">
        <v>622</v>
      </c>
      <c r="N1405" s="6" t="s">
        <v>290</v>
      </c>
      <c r="O1405" s="6" t="s">
        <v>2527</v>
      </c>
      <c r="P1405" s="18" t="str">
        <f aca="false">IF(J1405="S0","—",IF(K1405="","",IF(L1405="E0","QM",INDEX(10_ASIL_Matrix!$D$4:$F$15,MATCH(J1405&amp;"-"&amp;L1405,10_ASIL_Matrix!$C$4:$C$15,0),MATCH(N1405,10_ASIL_Matrix!$D$3:$F$3,0)))))</f>
        <v>B</v>
      </c>
      <c r="Q1405" s="6" t="s">
        <v>448</v>
      </c>
    </row>
    <row r="1406" customFormat="false" ht="35.05" hidden="false" customHeight="false" outlineLevel="0" collapsed="false">
      <c r="A1406" s="5" t="s">
        <v>3492</v>
      </c>
      <c r="B1406" s="5" t="s">
        <v>105</v>
      </c>
      <c r="C1406" s="5" t="s">
        <v>106</v>
      </c>
      <c r="D1406" s="5" t="s">
        <v>152</v>
      </c>
      <c r="E1406" s="5" t="s">
        <v>153</v>
      </c>
      <c r="F1406" s="5" t="s">
        <v>204</v>
      </c>
      <c r="G1406" s="5" t="s">
        <v>609</v>
      </c>
      <c r="H1406" s="5" t="s">
        <v>230</v>
      </c>
      <c r="I1406" s="5" t="s">
        <v>3493</v>
      </c>
      <c r="J1406" s="5" t="s">
        <v>250</v>
      </c>
      <c r="K1406" s="5" t="s">
        <v>2519</v>
      </c>
      <c r="L1406" s="5" t="s">
        <v>205</v>
      </c>
      <c r="M1406" s="5" t="s">
        <v>625</v>
      </c>
      <c r="N1406" s="5" t="s">
        <v>290</v>
      </c>
      <c r="O1406" s="5" t="s">
        <v>2530</v>
      </c>
      <c r="P1406" s="18" t="str">
        <f aca="false">IF(J1406="S0","—",IF(K1406="","",IF(L1406="E0","QM",INDEX(10_ASIL_Matrix!$D$4:$F$15,MATCH(J1406&amp;"-"&amp;L1406,10_ASIL_Matrix!$C$4:$C$15,0),MATCH(N1406,10_ASIL_Matrix!$D$3:$F$3,0)))))</f>
        <v>B</v>
      </c>
      <c r="Q1406" s="5" t="s">
        <v>448</v>
      </c>
    </row>
    <row r="1407" customFormat="false" ht="46.25" hidden="false" customHeight="false" outlineLevel="0" collapsed="false">
      <c r="A1407" s="6" t="s">
        <v>3494</v>
      </c>
      <c r="B1407" s="6" t="s">
        <v>105</v>
      </c>
      <c r="C1407" s="6" t="s">
        <v>106</v>
      </c>
      <c r="D1407" s="6" t="s">
        <v>152</v>
      </c>
      <c r="E1407" s="6" t="s">
        <v>153</v>
      </c>
      <c r="F1407" s="6" t="s">
        <v>204</v>
      </c>
      <c r="G1407" s="6" t="s">
        <v>609</v>
      </c>
      <c r="H1407" s="6" t="s">
        <v>232</v>
      </c>
      <c r="I1407" s="6" t="s">
        <v>3495</v>
      </c>
      <c r="J1407" s="6" t="s">
        <v>250</v>
      </c>
      <c r="K1407" s="6" t="s">
        <v>2519</v>
      </c>
      <c r="L1407" s="6" t="s">
        <v>233</v>
      </c>
      <c r="M1407" s="6" t="s">
        <v>629</v>
      </c>
      <c r="N1407" s="6" t="s">
        <v>290</v>
      </c>
      <c r="O1407" s="6" t="s">
        <v>2527</v>
      </c>
      <c r="P1407" s="19" t="str">
        <f aca="false">IF(J1407="S0","—",IF(K1407="","",IF(L1407="E0","QM",INDEX(10_ASIL_Matrix!$D$4:$F$15,MATCH(J1407&amp;"-"&amp;L1407,10_ASIL_Matrix!$C$4:$C$15,0),MATCH(N1407,10_ASIL_Matrix!$D$3:$F$3,0)))))</f>
        <v>A</v>
      </c>
      <c r="Q1407" s="6" t="s">
        <v>448</v>
      </c>
    </row>
    <row r="1408" customFormat="false" ht="35.05" hidden="false" customHeight="false" outlineLevel="0" collapsed="false">
      <c r="A1408" s="5" t="s">
        <v>3496</v>
      </c>
      <c r="B1408" s="5" t="s">
        <v>105</v>
      </c>
      <c r="C1408" s="5" t="s">
        <v>106</v>
      </c>
      <c r="D1408" s="5" t="s">
        <v>152</v>
      </c>
      <c r="E1408" s="5" t="s">
        <v>153</v>
      </c>
      <c r="F1408" s="5" t="s">
        <v>207</v>
      </c>
      <c r="G1408" s="5" t="s">
        <v>609</v>
      </c>
      <c r="H1408" s="5" t="s">
        <v>222</v>
      </c>
      <c r="I1408" s="5" t="s">
        <v>3497</v>
      </c>
      <c r="J1408" s="5" t="s">
        <v>238</v>
      </c>
      <c r="K1408" s="5" t="s">
        <v>2410</v>
      </c>
      <c r="L1408" s="5" t="s">
        <v>190</v>
      </c>
      <c r="M1408" s="5" t="s">
        <v>633</v>
      </c>
      <c r="N1408" s="5" t="s">
        <v>278</v>
      </c>
      <c r="O1408" s="5" t="s">
        <v>634</v>
      </c>
      <c r="P1408" s="5" t="str">
        <f aca="false">IF(J1408="S0","—",IF(K1408="","",IF(L1408="E0","QM",INDEX(10_ASIL_Matrix!$D$4:$F$15,MATCH(J1408&amp;"-"&amp;L1408,10_ASIL_Matrix!$C$4:$C$15,0),MATCH(N1408,10_ASIL_Matrix!$D$3:$F$3,0)))))</f>
        <v>—</v>
      </c>
      <c r="Q1408" s="5" t="s">
        <v>448</v>
      </c>
    </row>
    <row r="1409" customFormat="false" ht="35.05" hidden="false" customHeight="false" outlineLevel="0" collapsed="false">
      <c r="A1409" s="6" t="s">
        <v>3498</v>
      </c>
      <c r="B1409" s="6" t="s">
        <v>105</v>
      </c>
      <c r="C1409" s="6" t="s">
        <v>106</v>
      </c>
      <c r="D1409" s="6" t="s">
        <v>152</v>
      </c>
      <c r="E1409" s="6" t="s">
        <v>153</v>
      </c>
      <c r="F1409" s="6" t="s">
        <v>207</v>
      </c>
      <c r="G1409" s="6" t="s">
        <v>609</v>
      </c>
      <c r="H1409" s="6" t="s">
        <v>224</v>
      </c>
      <c r="I1409" s="6" t="s">
        <v>3499</v>
      </c>
      <c r="J1409" s="6" t="s">
        <v>238</v>
      </c>
      <c r="K1409" s="6" t="s">
        <v>2410</v>
      </c>
      <c r="L1409" s="6" t="s">
        <v>190</v>
      </c>
      <c r="M1409" s="6" t="s">
        <v>637</v>
      </c>
      <c r="N1409" s="6" t="s">
        <v>278</v>
      </c>
      <c r="O1409" s="6" t="s">
        <v>634</v>
      </c>
      <c r="P1409" s="6" t="str">
        <f aca="false">IF(J1409="S0","—",IF(K1409="","",IF(L1409="E0","QM",INDEX(10_ASIL_Matrix!$D$4:$F$15,MATCH(J1409&amp;"-"&amp;L1409,10_ASIL_Matrix!$C$4:$C$15,0),MATCH(N1409,10_ASIL_Matrix!$D$3:$F$3,0)))))</f>
        <v>—</v>
      </c>
      <c r="Q1409" s="6" t="s">
        <v>448</v>
      </c>
    </row>
    <row r="1410" customFormat="false" ht="35.05" hidden="false" customHeight="false" outlineLevel="0" collapsed="false">
      <c r="A1410" s="5" t="s">
        <v>3500</v>
      </c>
      <c r="B1410" s="5" t="s">
        <v>105</v>
      </c>
      <c r="C1410" s="5" t="s">
        <v>106</v>
      </c>
      <c r="D1410" s="5" t="s">
        <v>152</v>
      </c>
      <c r="E1410" s="5" t="s">
        <v>153</v>
      </c>
      <c r="F1410" s="5" t="s">
        <v>207</v>
      </c>
      <c r="G1410" s="5" t="s">
        <v>609</v>
      </c>
      <c r="H1410" s="5" t="s">
        <v>226</v>
      </c>
      <c r="I1410" s="5" t="s">
        <v>3501</v>
      </c>
      <c r="J1410" s="5" t="s">
        <v>238</v>
      </c>
      <c r="K1410" s="5" t="s">
        <v>2410</v>
      </c>
      <c r="L1410" s="5" t="s">
        <v>190</v>
      </c>
      <c r="M1410" s="5" t="s">
        <v>640</v>
      </c>
      <c r="N1410" s="5" t="s">
        <v>278</v>
      </c>
      <c r="O1410" s="5" t="s">
        <v>634</v>
      </c>
      <c r="P1410" s="5" t="str">
        <f aca="false">IF(J1410="S0","—",IF(K1410="","",IF(L1410="E0","QM",INDEX(10_ASIL_Matrix!$D$4:$F$15,MATCH(J1410&amp;"-"&amp;L1410,10_ASIL_Matrix!$C$4:$C$15,0),MATCH(N1410,10_ASIL_Matrix!$D$3:$F$3,0)))))</f>
        <v>—</v>
      </c>
      <c r="Q1410" s="5" t="s">
        <v>448</v>
      </c>
    </row>
    <row r="1411" customFormat="false" ht="35.05" hidden="false" customHeight="false" outlineLevel="0" collapsed="false">
      <c r="A1411" s="6" t="s">
        <v>3502</v>
      </c>
      <c r="B1411" s="6" t="s">
        <v>105</v>
      </c>
      <c r="C1411" s="6" t="s">
        <v>106</v>
      </c>
      <c r="D1411" s="6" t="s">
        <v>152</v>
      </c>
      <c r="E1411" s="6" t="s">
        <v>153</v>
      </c>
      <c r="F1411" s="6" t="s">
        <v>207</v>
      </c>
      <c r="G1411" s="6" t="s">
        <v>609</v>
      </c>
      <c r="H1411" s="6" t="s">
        <v>228</v>
      </c>
      <c r="I1411" s="6" t="s">
        <v>3503</v>
      </c>
      <c r="J1411" s="6" t="s">
        <v>238</v>
      </c>
      <c r="K1411" s="6" t="s">
        <v>2410</v>
      </c>
      <c r="L1411" s="6" t="s">
        <v>205</v>
      </c>
      <c r="M1411" s="6" t="s">
        <v>643</v>
      </c>
      <c r="N1411" s="6" t="s">
        <v>278</v>
      </c>
      <c r="O1411" s="6" t="s">
        <v>634</v>
      </c>
      <c r="P1411" s="6" t="str">
        <f aca="false">IF(J1411="S0","—",IF(K1411="","",IF(L1411="E0","QM",INDEX(10_ASIL_Matrix!$D$4:$F$15,MATCH(J1411&amp;"-"&amp;L1411,10_ASIL_Matrix!$C$4:$C$15,0),MATCH(N1411,10_ASIL_Matrix!$D$3:$F$3,0)))))</f>
        <v>—</v>
      </c>
      <c r="Q1411" s="6" t="s">
        <v>448</v>
      </c>
    </row>
    <row r="1412" customFormat="false" ht="35.05" hidden="false" customHeight="false" outlineLevel="0" collapsed="false">
      <c r="A1412" s="5" t="s">
        <v>3504</v>
      </c>
      <c r="B1412" s="5" t="s">
        <v>105</v>
      </c>
      <c r="C1412" s="5" t="s">
        <v>106</v>
      </c>
      <c r="D1412" s="5" t="s">
        <v>152</v>
      </c>
      <c r="E1412" s="5" t="s">
        <v>153</v>
      </c>
      <c r="F1412" s="5" t="s">
        <v>207</v>
      </c>
      <c r="G1412" s="5" t="s">
        <v>609</v>
      </c>
      <c r="H1412" s="5" t="s">
        <v>230</v>
      </c>
      <c r="I1412" s="5" t="s">
        <v>3505</v>
      </c>
      <c r="J1412" s="5" t="s">
        <v>238</v>
      </c>
      <c r="K1412" s="5" t="s">
        <v>2410</v>
      </c>
      <c r="L1412" s="5" t="s">
        <v>205</v>
      </c>
      <c r="M1412" s="5" t="s">
        <v>646</v>
      </c>
      <c r="N1412" s="5" t="s">
        <v>278</v>
      </c>
      <c r="O1412" s="5" t="s">
        <v>634</v>
      </c>
      <c r="P1412" s="5" t="str">
        <f aca="false">IF(J1412="S0","—",IF(K1412="","",IF(L1412="E0","QM",INDEX(10_ASIL_Matrix!$D$4:$F$15,MATCH(J1412&amp;"-"&amp;L1412,10_ASIL_Matrix!$C$4:$C$15,0),MATCH(N1412,10_ASIL_Matrix!$D$3:$F$3,0)))))</f>
        <v>—</v>
      </c>
      <c r="Q1412" s="5" t="s">
        <v>448</v>
      </c>
    </row>
    <row r="1413" customFormat="false" ht="46.25" hidden="false" customHeight="false" outlineLevel="0" collapsed="false">
      <c r="A1413" s="6" t="s">
        <v>3506</v>
      </c>
      <c r="B1413" s="6" t="s">
        <v>105</v>
      </c>
      <c r="C1413" s="6" t="s">
        <v>106</v>
      </c>
      <c r="D1413" s="6" t="s">
        <v>152</v>
      </c>
      <c r="E1413" s="6" t="s">
        <v>153</v>
      </c>
      <c r="F1413" s="6" t="s">
        <v>207</v>
      </c>
      <c r="G1413" s="6" t="s">
        <v>609</v>
      </c>
      <c r="H1413" s="6" t="s">
        <v>232</v>
      </c>
      <c r="I1413" s="6" t="s">
        <v>3507</v>
      </c>
      <c r="J1413" s="6" t="s">
        <v>238</v>
      </c>
      <c r="K1413" s="6" t="s">
        <v>2410</v>
      </c>
      <c r="L1413" s="6" t="s">
        <v>233</v>
      </c>
      <c r="M1413" s="6" t="s">
        <v>649</v>
      </c>
      <c r="N1413" s="6" t="s">
        <v>278</v>
      </c>
      <c r="O1413" s="6" t="s">
        <v>634</v>
      </c>
      <c r="P1413" s="6" t="str">
        <f aca="false">IF(J1413="S0","—",IF(K1413="","",IF(L1413="E0","QM",INDEX(10_ASIL_Matrix!$D$4:$F$15,MATCH(J1413&amp;"-"&amp;L1413,10_ASIL_Matrix!$C$4:$C$15,0),MATCH(N1413,10_ASIL_Matrix!$D$3:$F$3,0)))))</f>
        <v>—</v>
      </c>
      <c r="Q1413" s="6" t="s">
        <v>448</v>
      </c>
    </row>
    <row r="1414" customFormat="false" ht="35.05" hidden="false" customHeight="false" outlineLevel="0" collapsed="false">
      <c r="A1414" s="5" t="s">
        <v>3508</v>
      </c>
      <c r="B1414" s="5" t="s">
        <v>105</v>
      </c>
      <c r="C1414" s="5" t="s">
        <v>106</v>
      </c>
      <c r="D1414" s="5" t="s">
        <v>152</v>
      </c>
      <c r="E1414" s="5" t="s">
        <v>153</v>
      </c>
      <c r="F1414" s="5" t="s">
        <v>209</v>
      </c>
      <c r="G1414" s="5" t="s">
        <v>570</v>
      </c>
      <c r="H1414" s="5" t="s">
        <v>222</v>
      </c>
      <c r="I1414" s="5" t="s">
        <v>3509</v>
      </c>
      <c r="J1414" s="5" t="s">
        <v>238</v>
      </c>
      <c r="K1414" s="5" t="s">
        <v>2410</v>
      </c>
      <c r="L1414" s="5" t="s">
        <v>190</v>
      </c>
      <c r="M1414" s="5" t="s">
        <v>653</v>
      </c>
      <c r="N1414" s="5" t="s">
        <v>278</v>
      </c>
      <c r="O1414" s="5" t="s">
        <v>634</v>
      </c>
      <c r="P1414" s="5" t="str">
        <f aca="false">IF(J1414="S0","—",IF(K1414="","",IF(L1414="E0","QM",INDEX(10_ASIL_Matrix!$D$4:$F$15,MATCH(J1414&amp;"-"&amp;L1414,10_ASIL_Matrix!$C$4:$C$15,0),MATCH(N1414,10_ASIL_Matrix!$D$3:$F$3,0)))))</f>
        <v>—</v>
      </c>
      <c r="Q1414" s="5" t="s">
        <v>448</v>
      </c>
    </row>
    <row r="1415" customFormat="false" ht="35.05" hidden="false" customHeight="false" outlineLevel="0" collapsed="false">
      <c r="A1415" s="6" t="s">
        <v>3510</v>
      </c>
      <c r="B1415" s="6" t="s">
        <v>105</v>
      </c>
      <c r="C1415" s="6" t="s">
        <v>106</v>
      </c>
      <c r="D1415" s="6" t="s">
        <v>152</v>
      </c>
      <c r="E1415" s="6" t="s">
        <v>153</v>
      </c>
      <c r="F1415" s="6" t="s">
        <v>209</v>
      </c>
      <c r="G1415" s="6" t="s">
        <v>570</v>
      </c>
      <c r="H1415" s="6" t="s">
        <v>224</v>
      </c>
      <c r="I1415" s="6" t="s">
        <v>3511</v>
      </c>
      <c r="J1415" s="6" t="s">
        <v>238</v>
      </c>
      <c r="K1415" s="6" t="s">
        <v>2410</v>
      </c>
      <c r="L1415" s="6" t="s">
        <v>190</v>
      </c>
      <c r="M1415" s="6" t="s">
        <v>656</v>
      </c>
      <c r="N1415" s="6" t="s">
        <v>278</v>
      </c>
      <c r="O1415" s="6" t="s">
        <v>634</v>
      </c>
      <c r="P1415" s="6" t="str">
        <f aca="false">IF(J1415="S0","—",IF(K1415="","",IF(L1415="E0","QM",INDEX(10_ASIL_Matrix!$D$4:$F$15,MATCH(J1415&amp;"-"&amp;L1415,10_ASIL_Matrix!$C$4:$C$15,0),MATCH(N1415,10_ASIL_Matrix!$D$3:$F$3,0)))))</f>
        <v>—</v>
      </c>
      <c r="Q1415" s="6" t="s">
        <v>448</v>
      </c>
    </row>
    <row r="1416" customFormat="false" ht="35.05" hidden="false" customHeight="false" outlineLevel="0" collapsed="false">
      <c r="A1416" s="5" t="s">
        <v>3512</v>
      </c>
      <c r="B1416" s="5" t="s">
        <v>105</v>
      </c>
      <c r="C1416" s="5" t="s">
        <v>106</v>
      </c>
      <c r="D1416" s="5" t="s">
        <v>152</v>
      </c>
      <c r="E1416" s="5" t="s">
        <v>153</v>
      </c>
      <c r="F1416" s="5" t="s">
        <v>209</v>
      </c>
      <c r="G1416" s="5" t="s">
        <v>570</v>
      </c>
      <c r="H1416" s="5" t="s">
        <v>226</v>
      </c>
      <c r="I1416" s="5" t="s">
        <v>3513</v>
      </c>
      <c r="J1416" s="5" t="s">
        <v>238</v>
      </c>
      <c r="K1416" s="5" t="s">
        <v>2410</v>
      </c>
      <c r="L1416" s="5" t="s">
        <v>190</v>
      </c>
      <c r="M1416" s="5" t="s">
        <v>659</v>
      </c>
      <c r="N1416" s="5" t="s">
        <v>278</v>
      </c>
      <c r="O1416" s="5" t="s">
        <v>634</v>
      </c>
      <c r="P1416" s="5" t="str">
        <f aca="false">IF(J1416="S0","—",IF(K1416="","",IF(L1416="E0","QM",INDEX(10_ASIL_Matrix!$D$4:$F$15,MATCH(J1416&amp;"-"&amp;L1416,10_ASIL_Matrix!$C$4:$C$15,0),MATCH(N1416,10_ASIL_Matrix!$D$3:$F$3,0)))))</f>
        <v>—</v>
      </c>
      <c r="Q1416" s="5" t="s">
        <v>448</v>
      </c>
    </row>
    <row r="1417" customFormat="false" ht="35.05" hidden="false" customHeight="false" outlineLevel="0" collapsed="false">
      <c r="A1417" s="6" t="s">
        <v>3514</v>
      </c>
      <c r="B1417" s="6" t="s">
        <v>105</v>
      </c>
      <c r="C1417" s="6" t="s">
        <v>106</v>
      </c>
      <c r="D1417" s="6" t="s">
        <v>152</v>
      </c>
      <c r="E1417" s="6" t="s">
        <v>153</v>
      </c>
      <c r="F1417" s="6" t="s">
        <v>209</v>
      </c>
      <c r="G1417" s="6" t="s">
        <v>570</v>
      </c>
      <c r="H1417" s="6" t="s">
        <v>228</v>
      </c>
      <c r="I1417" s="6" t="s">
        <v>3515</v>
      </c>
      <c r="J1417" s="6" t="s">
        <v>238</v>
      </c>
      <c r="K1417" s="6" t="s">
        <v>2410</v>
      </c>
      <c r="L1417" s="6" t="s">
        <v>205</v>
      </c>
      <c r="M1417" s="6" t="s">
        <v>662</v>
      </c>
      <c r="N1417" s="6" t="s">
        <v>278</v>
      </c>
      <c r="O1417" s="6" t="s">
        <v>634</v>
      </c>
      <c r="P1417" s="6" t="str">
        <f aca="false">IF(J1417="S0","—",IF(K1417="","",IF(L1417="E0","QM",INDEX(10_ASIL_Matrix!$D$4:$F$15,MATCH(J1417&amp;"-"&amp;L1417,10_ASIL_Matrix!$C$4:$C$15,0),MATCH(N1417,10_ASIL_Matrix!$D$3:$F$3,0)))))</f>
        <v>—</v>
      </c>
      <c r="Q1417" s="6" t="s">
        <v>448</v>
      </c>
    </row>
    <row r="1418" customFormat="false" ht="35.05" hidden="false" customHeight="false" outlineLevel="0" collapsed="false">
      <c r="A1418" s="5" t="s">
        <v>3516</v>
      </c>
      <c r="B1418" s="5" t="s">
        <v>105</v>
      </c>
      <c r="C1418" s="5" t="s">
        <v>106</v>
      </c>
      <c r="D1418" s="5" t="s">
        <v>152</v>
      </c>
      <c r="E1418" s="5" t="s">
        <v>153</v>
      </c>
      <c r="F1418" s="5" t="s">
        <v>209</v>
      </c>
      <c r="G1418" s="5" t="s">
        <v>570</v>
      </c>
      <c r="H1418" s="5" t="s">
        <v>230</v>
      </c>
      <c r="I1418" s="5" t="s">
        <v>3517</v>
      </c>
      <c r="J1418" s="5" t="s">
        <v>238</v>
      </c>
      <c r="K1418" s="5" t="s">
        <v>2410</v>
      </c>
      <c r="L1418" s="5" t="s">
        <v>205</v>
      </c>
      <c r="M1418" s="5" t="s">
        <v>665</v>
      </c>
      <c r="N1418" s="5" t="s">
        <v>278</v>
      </c>
      <c r="O1418" s="5" t="s">
        <v>634</v>
      </c>
      <c r="P1418" s="5" t="str">
        <f aca="false">IF(J1418="S0","—",IF(K1418="","",IF(L1418="E0","QM",INDEX(10_ASIL_Matrix!$D$4:$F$15,MATCH(J1418&amp;"-"&amp;L1418,10_ASIL_Matrix!$C$4:$C$15,0),MATCH(N1418,10_ASIL_Matrix!$D$3:$F$3,0)))))</f>
        <v>—</v>
      </c>
      <c r="Q1418" s="5" t="s">
        <v>448</v>
      </c>
    </row>
    <row r="1419" customFormat="false" ht="46.25" hidden="false" customHeight="false" outlineLevel="0" collapsed="false">
      <c r="A1419" s="6" t="s">
        <v>3518</v>
      </c>
      <c r="B1419" s="6" t="s">
        <v>105</v>
      </c>
      <c r="C1419" s="6" t="s">
        <v>106</v>
      </c>
      <c r="D1419" s="6" t="s">
        <v>152</v>
      </c>
      <c r="E1419" s="6" t="s">
        <v>153</v>
      </c>
      <c r="F1419" s="6" t="s">
        <v>209</v>
      </c>
      <c r="G1419" s="6" t="s">
        <v>570</v>
      </c>
      <c r="H1419" s="6" t="s">
        <v>232</v>
      </c>
      <c r="I1419" s="6" t="s">
        <v>3519</v>
      </c>
      <c r="J1419" s="6" t="s">
        <v>238</v>
      </c>
      <c r="K1419" s="6" t="s">
        <v>2410</v>
      </c>
      <c r="L1419" s="6" t="s">
        <v>233</v>
      </c>
      <c r="M1419" s="6" t="s">
        <v>668</v>
      </c>
      <c r="N1419" s="6" t="s">
        <v>278</v>
      </c>
      <c r="O1419" s="6" t="s">
        <v>634</v>
      </c>
      <c r="P1419" s="6" t="str">
        <f aca="false">IF(J1419="S0","—",IF(K1419="","",IF(L1419="E0","QM",INDEX(10_ASIL_Matrix!$D$4:$F$15,MATCH(J1419&amp;"-"&amp;L1419,10_ASIL_Matrix!$C$4:$C$15,0),MATCH(N1419,10_ASIL_Matrix!$D$3:$F$3,0)))))</f>
        <v>—</v>
      </c>
      <c r="Q1419" s="6" t="s">
        <v>448</v>
      </c>
    </row>
    <row r="1420" customFormat="false" ht="35.05" hidden="false" customHeight="false" outlineLevel="0" collapsed="false">
      <c r="A1420" s="5" t="s">
        <v>3520</v>
      </c>
      <c r="B1420" s="5" t="s">
        <v>105</v>
      </c>
      <c r="C1420" s="5" t="s">
        <v>106</v>
      </c>
      <c r="D1420" s="5" t="s">
        <v>152</v>
      </c>
      <c r="E1420" s="5" t="s">
        <v>153</v>
      </c>
      <c r="F1420" s="5" t="s">
        <v>211</v>
      </c>
      <c r="G1420" s="5" t="s">
        <v>609</v>
      </c>
      <c r="H1420" s="5" t="s">
        <v>222</v>
      </c>
      <c r="I1420" s="5" t="s">
        <v>3521</v>
      </c>
      <c r="J1420" s="5" t="s">
        <v>238</v>
      </c>
      <c r="K1420" s="5" t="s">
        <v>1637</v>
      </c>
      <c r="L1420" s="5" t="s">
        <v>187</v>
      </c>
      <c r="M1420" s="5" t="s">
        <v>672</v>
      </c>
      <c r="N1420" s="5" t="s">
        <v>278</v>
      </c>
      <c r="O1420" s="5" t="s">
        <v>634</v>
      </c>
      <c r="P1420" s="5" t="str">
        <f aca="false">IF(J1420="S0","—",IF(K1420="","",IF(L1420="E0","QM",INDEX(10_ASIL_Matrix!$D$4:$F$15,MATCH(J1420&amp;"-"&amp;L1420,10_ASIL_Matrix!$C$4:$C$15,0),MATCH(N1420,10_ASIL_Matrix!$D$3:$F$3,0)))))</f>
        <v>—</v>
      </c>
      <c r="Q1420" s="5" t="s">
        <v>448</v>
      </c>
    </row>
    <row r="1421" customFormat="false" ht="35.05" hidden="false" customHeight="false" outlineLevel="0" collapsed="false">
      <c r="A1421" s="6" t="s">
        <v>3522</v>
      </c>
      <c r="B1421" s="6" t="s">
        <v>105</v>
      </c>
      <c r="C1421" s="6" t="s">
        <v>106</v>
      </c>
      <c r="D1421" s="6" t="s">
        <v>152</v>
      </c>
      <c r="E1421" s="6" t="s">
        <v>153</v>
      </c>
      <c r="F1421" s="6" t="s">
        <v>211</v>
      </c>
      <c r="G1421" s="6" t="s">
        <v>609</v>
      </c>
      <c r="H1421" s="6" t="s">
        <v>224</v>
      </c>
      <c r="I1421" s="6" t="s">
        <v>3523</v>
      </c>
      <c r="J1421" s="6" t="s">
        <v>238</v>
      </c>
      <c r="K1421" s="6" t="s">
        <v>1637</v>
      </c>
      <c r="L1421" s="6" t="s">
        <v>190</v>
      </c>
      <c r="M1421" s="6" t="s">
        <v>675</v>
      </c>
      <c r="N1421" s="6" t="s">
        <v>278</v>
      </c>
      <c r="O1421" s="6" t="s">
        <v>634</v>
      </c>
      <c r="P1421" s="6" t="str">
        <f aca="false">IF(J1421="S0","—",IF(K1421="","",IF(L1421="E0","QM",INDEX(10_ASIL_Matrix!$D$4:$F$15,MATCH(J1421&amp;"-"&amp;L1421,10_ASIL_Matrix!$C$4:$C$15,0),MATCH(N1421,10_ASIL_Matrix!$D$3:$F$3,0)))))</f>
        <v>—</v>
      </c>
      <c r="Q1421" s="6" t="s">
        <v>448</v>
      </c>
    </row>
    <row r="1422" customFormat="false" ht="35.05" hidden="false" customHeight="false" outlineLevel="0" collapsed="false">
      <c r="A1422" s="5" t="s">
        <v>3524</v>
      </c>
      <c r="B1422" s="5" t="s">
        <v>105</v>
      </c>
      <c r="C1422" s="5" t="s">
        <v>106</v>
      </c>
      <c r="D1422" s="5" t="s">
        <v>152</v>
      </c>
      <c r="E1422" s="5" t="s">
        <v>153</v>
      </c>
      <c r="F1422" s="5" t="s">
        <v>211</v>
      </c>
      <c r="G1422" s="5" t="s">
        <v>609</v>
      </c>
      <c r="H1422" s="5" t="s">
        <v>226</v>
      </c>
      <c r="I1422" s="5" t="s">
        <v>3525</v>
      </c>
      <c r="J1422" s="5" t="s">
        <v>238</v>
      </c>
      <c r="K1422" s="5" t="s">
        <v>1637</v>
      </c>
      <c r="L1422" s="5" t="s">
        <v>190</v>
      </c>
      <c r="M1422" s="5" t="s">
        <v>678</v>
      </c>
      <c r="N1422" s="5" t="s">
        <v>278</v>
      </c>
      <c r="O1422" s="5" t="s">
        <v>634</v>
      </c>
      <c r="P1422" s="5" t="str">
        <f aca="false">IF(J1422="S0","—",IF(K1422="","",IF(L1422="E0","QM",INDEX(10_ASIL_Matrix!$D$4:$F$15,MATCH(J1422&amp;"-"&amp;L1422,10_ASIL_Matrix!$C$4:$C$15,0),MATCH(N1422,10_ASIL_Matrix!$D$3:$F$3,0)))))</f>
        <v>—</v>
      </c>
      <c r="Q1422" s="5" t="s">
        <v>448</v>
      </c>
    </row>
    <row r="1423" customFormat="false" ht="35.05" hidden="false" customHeight="false" outlineLevel="0" collapsed="false">
      <c r="A1423" s="6" t="s">
        <v>3526</v>
      </c>
      <c r="B1423" s="6" t="s">
        <v>105</v>
      </c>
      <c r="C1423" s="6" t="s">
        <v>106</v>
      </c>
      <c r="D1423" s="6" t="s">
        <v>152</v>
      </c>
      <c r="E1423" s="6" t="s">
        <v>153</v>
      </c>
      <c r="F1423" s="6" t="s">
        <v>211</v>
      </c>
      <c r="G1423" s="6" t="s">
        <v>609</v>
      </c>
      <c r="H1423" s="6" t="s">
        <v>228</v>
      </c>
      <c r="I1423" s="6" t="s">
        <v>3527</v>
      </c>
      <c r="J1423" s="6" t="s">
        <v>238</v>
      </c>
      <c r="K1423" s="6" t="s">
        <v>1637</v>
      </c>
      <c r="L1423" s="6" t="s">
        <v>205</v>
      </c>
      <c r="M1423" s="6" t="s">
        <v>681</v>
      </c>
      <c r="N1423" s="6" t="s">
        <v>278</v>
      </c>
      <c r="O1423" s="6" t="s">
        <v>634</v>
      </c>
      <c r="P1423" s="6" t="str">
        <f aca="false">IF(J1423="S0","—",IF(K1423="","",IF(L1423="E0","QM",INDEX(10_ASIL_Matrix!$D$4:$F$15,MATCH(J1423&amp;"-"&amp;L1423,10_ASIL_Matrix!$C$4:$C$15,0),MATCH(N1423,10_ASIL_Matrix!$D$3:$F$3,0)))))</f>
        <v>—</v>
      </c>
      <c r="Q1423" s="6" t="s">
        <v>448</v>
      </c>
    </row>
    <row r="1424" customFormat="false" ht="35.05" hidden="false" customHeight="false" outlineLevel="0" collapsed="false">
      <c r="A1424" s="5" t="s">
        <v>3528</v>
      </c>
      <c r="B1424" s="5" t="s">
        <v>105</v>
      </c>
      <c r="C1424" s="5" t="s">
        <v>106</v>
      </c>
      <c r="D1424" s="5" t="s">
        <v>152</v>
      </c>
      <c r="E1424" s="5" t="s">
        <v>153</v>
      </c>
      <c r="F1424" s="5" t="s">
        <v>211</v>
      </c>
      <c r="G1424" s="5" t="s">
        <v>609</v>
      </c>
      <c r="H1424" s="5" t="s">
        <v>230</v>
      </c>
      <c r="I1424" s="5" t="s">
        <v>3529</v>
      </c>
      <c r="J1424" s="5" t="s">
        <v>238</v>
      </c>
      <c r="K1424" s="5" t="s">
        <v>1637</v>
      </c>
      <c r="L1424" s="5" t="s">
        <v>205</v>
      </c>
      <c r="M1424" s="5" t="s">
        <v>684</v>
      </c>
      <c r="N1424" s="5" t="s">
        <v>278</v>
      </c>
      <c r="O1424" s="5" t="s">
        <v>634</v>
      </c>
      <c r="P1424" s="5" t="str">
        <f aca="false">IF(J1424="S0","—",IF(K1424="","",IF(L1424="E0","QM",INDEX(10_ASIL_Matrix!$D$4:$F$15,MATCH(J1424&amp;"-"&amp;L1424,10_ASIL_Matrix!$C$4:$C$15,0),MATCH(N1424,10_ASIL_Matrix!$D$3:$F$3,0)))))</f>
        <v>—</v>
      </c>
      <c r="Q1424" s="5" t="s">
        <v>448</v>
      </c>
    </row>
    <row r="1425" customFormat="false" ht="46.25" hidden="false" customHeight="false" outlineLevel="0" collapsed="false">
      <c r="A1425" s="6" t="s">
        <v>3530</v>
      </c>
      <c r="B1425" s="6" t="s">
        <v>105</v>
      </c>
      <c r="C1425" s="6" t="s">
        <v>106</v>
      </c>
      <c r="D1425" s="6" t="s">
        <v>152</v>
      </c>
      <c r="E1425" s="6" t="s">
        <v>153</v>
      </c>
      <c r="F1425" s="6" t="s">
        <v>211</v>
      </c>
      <c r="G1425" s="6" t="s">
        <v>609</v>
      </c>
      <c r="H1425" s="6" t="s">
        <v>232</v>
      </c>
      <c r="I1425" s="6" t="s">
        <v>3531</v>
      </c>
      <c r="J1425" s="6" t="s">
        <v>238</v>
      </c>
      <c r="K1425" s="6" t="s">
        <v>1637</v>
      </c>
      <c r="L1425" s="6" t="s">
        <v>233</v>
      </c>
      <c r="M1425" s="6" t="s">
        <v>687</v>
      </c>
      <c r="N1425" s="6" t="s">
        <v>278</v>
      </c>
      <c r="O1425" s="6" t="s">
        <v>634</v>
      </c>
      <c r="P1425" s="6" t="str">
        <f aca="false">IF(J1425="S0","—",IF(K1425="","",IF(L1425="E0","QM",INDEX(10_ASIL_Matrix!$D$4:$F$15,MATCH(J1425&amp;"-"&amp;L1425,10_ASIL_Matrix!$C$4:$C$15,0),MATCH(N1425,10_ASIL_Matrix!$D$3:$F$3,0)))))</f>
        <v>—</v>
      </c>
      <c r="Q1425" s="6" t="s">
        <v>448</v>
      </c>
    </row>
    <row r="1426" customFormat="false" ht="46.25" hidden="false" customHeight="false" outlineLevel="0" collapsed="false">
      <c r="A1426" s="5" t="s">
        <v>3532</v>
      </c>
      <c r="B1426" s="5" t="s">
        <v>105</v>
      </c>
      <c r="C1426" s="5" t="s">
        <v>106</v>
      </c>
      <c r="D1426" s="5" t="s">
        <v>152</v>
      </c>
      <c r="E1426" s="5" t="s">
        <v>153</v>
      </c>
      <c r="F1426" s="5" t="s">
        <v>213</v>
      </c>
      <c r="G1426" s="5" t="s">
        <v>689</v>
      </c>
      <c r="H1426" s="5" t="s">
        <v>222</v>
      </c>
      <c r="I1426" s="5" t="s">
        <v>3533</v>
      </c>
      <c r="J1426" s="5" t="s">
        <v>246</v>
      </c>
      <c r="K1426" s="5" t="s">
        <v>2571</v>
      </c>
      <c r="L1426" s="5" t="s">
        <v>205</v>
      </c>
      <c r="M1426" s="5" t="s">
        <v>692</v>
      </c>
      <c r="N1426" s="5" t="s">
        <v>286</v>
      </c>
      <c r="O1426" s="5" t="s">
        <v>2476</v>
      </c>
      <c r="P1426" s="5" t="str">
        <f aca="false">IF(J1426="S0","—",IF(K1426="","",IF(L1426="E0","QM",INDEX(10_ASIL_Matrix!$D$4:$F$15,MATCH(J1426&amp;"-"&amp;L1426,10_ASIL_Matrix!$C$4:$C$15,0),MATCH(N1426,10_ASIL_Matrix!$D$3:$F$3,0)))))</f>
        <v>QM</v>
      </c>
      <c r="Q1426" s="5" t="s">
        <v>448</v>
      </c>
    </row>
    <row r="1427" customFormat="false" ht="46.25" hidden="false" customHeight="false" outlineLevel="0" collapsed="false">
      <c r="A1427" s="6" t="s">
        <v>3534</v>
      </c>
      <c r="B1427" s="6" t="s">
        <v>105</v>
      </c>
      <c r="C1427" s="6" t="s">
        <v>106</v>
      </c>
      <c r="D1427" s="6" t="s">
        <v>152</v>
      </c>
      <c r="E1427" s="6" t="s">
        <v>153</v>
      </c>
      <c r="F1427" s="6" t="s">
        <v>213</v>
      </c>
      <c r="G1427" s="6" t="s">
        <v>689</v>
      </c>
      <c r="H1427" s="6" t="s">
        <v>224</v>
      </c>
      <c r="I1427" s="6" t="s">
        <v>3535</v>
      </c>
      <c r="J1427" s="6" t="s">
        <v>246</v>
      </c>
      <c r="K1427" s="6" t="s">
        <v>2571</v>
      </c>
      <c r="L1427" s="6" t="s">
        <v>205</v>
      </c>
      <c r="M1427" s="6" t="s">
        <v>696</v>
      </c>
      <c r="N1427" s="6" t="s">
        <v>286</v>
      </c>
      <c r="O1427" s="6" t="s">
        <v>2476</v>
      </c>
      <c r="P1427" s="6" t="str">
        <f aca="false">IF(J1427="S0","—",IF(K1427="","",IF(L1427="E0","QM",INDEX(10_ASIL_Matrix!$D$4:$F$15,MATCH(J1427&amp;"-"&amp;L1427,10_ASIL_Matrix!$C$4:$C$15,0),MATCH(N1427,10_ASIL_Matrix!$D$3:$F$3,0)))))</f>
        <v>QM</v>
      </c>
      <c r="Q1427" s="6" t="s">
        <v>448</v>
      </c>
    </row>
    <row r="1428" customFormat="false" ht="46.25" hidden="false" customHeight="false" outlineLevel="0" collapsed="false">
      <c r="A1428" s="5" t="s">
        <v>3536</v>
      </c>
      <c r="B1428" s="5" t="s">
        <v>105</v>
      </c>
      <c r="C1428" s="5" t="s">
        <v>106</v>
      </c>
      <c r="D1428" s="5" t="s">
        <v>152</v>
      </c>
      <c r="E1428" s="5" t="s">
        <v>153</v>
      </c>
      <c r="F1428" s="5" t="s">
        <v>213</v>
      </c>
      <c r="G1428" s="5" t="s">
        <v>689</v>
      </c>
      <c r="H1428" s="5" t="s">
        <v>226</v>
      </c>
      <c r="I1428" s="5" t="s">
        <v>3537</v>
      </c>
      <c r="J1428" s="5" t="s">
        <v>246</v>
      </c>
      <c r="K1428" s="5" t="s">
        <v>2571</v>
      </c>
      <c r="L1428" s="5" t="s">
        <v>205</v>
      </c>
      <c r="M1428" s="5" t="s">
        <v>699</v>
      </c>
      <c r="N1428" s="5" t="s">
        <v>286</v>
      </c>
      <c r="O1428" s="5" t="s">
        <v>2476</v>
      </c>
      <c r="P1428" s="5" t="str">
        <f aca="false">IF(J1428="S0","—",IF(K1428="","",IF(L1428="E0","QM",INDEX(10_ASIL_Matrix!$D$4:$F$15,MATCH(J1428&amp;"-"&amp;L1428,10_ASIL_Matrix!$C$4:$C$15,0),MATCH(N1428,10_ASIL_Matrix!$D$3:$F$3,0)))))</f>
        <v>QM</v>
      </c>
      <c r="Q1428" s="5" t="s">
        <v>448</v>
      </c>
    </row>
    <row r="1429" customFormat="false" ht="46.25" hidden="false" customHeight="false" outlineLevel="0" collapsed="false">
      <c r="A1429" s="6" t="s">
        <v>3538</v>
      </c>
      <c r="B1429" s="6" t="s">
        <v>105</v>
      </c>
      <c r="C1429" s="6" t="s">
        <v>106</v>
      </c>
      <c r="D1429" s="6" t="s">
        <v>152</v>
      </c>
      <c r="E1429" s="6" t="s">
        <v>153</v>
      </c>
      <c r="F1429" s="6" t="s">
        <v>213</v>
      </c>
      <c r="G1429" s="6" t="s">
        <v>689</v>
      </c>
      <c r="H1429" s="6" t="s">
        <v>228</v>
      </c>
      <c r="I1429" s="6" t="s">
        <v>3539</v>
      </c>
      <c r="J1429" s="6" t="s">
        <v>246</v>
      </c>
      <c r="K1429" s="6" t="s">
        <v>2571</v>
      </c>
      <c r="L1429" s="6" t="s">
        <v>205</v>
      </c>
      <c r="M1429" s="6" t="s">
        <v>702</v>
      </c>
      <c r="N1429" s="6" t="s">
        <v>290</v>
      </c>
      <c r="O1429" s="6" t="s">
        <v>2483</v>
      </c>
      <c r="P1429" s="19" t="str">
        <f aca="false">IF(J1429="S0","—",IF(K1429="","",IF(L1429="E0","QM",INDEX(10_ASIL_Matrix!$D$4:$F$15,MATCH(J1429&amp;"-"&amp;L1429,10_ASIL_Matrix!$C$4:$C$15,0),MATCH(N1429,10_ASIL_Matrix!$D$3:$F$3,0)))))</f>
        <v>A</v>
      </c>
      <c r="Q1429" s="6" t="s">
        <v>448</v>
      </c>
    </row>
    <row r="1430" customFormat="false" ht="46.25" hidden="false" customHeight="false" outlineLevel="0" collapsed="false">
      <c r="A1430" s="5" t="s">
        <v>3540</v>
      </c>
      <c r="B1430" s="5" t="s">
        <v>105</v>
      </c>
      <c r="C1430" s="5" t="s">
        <v>106</v>
      </c>
      <c r="D1430" s="5" t="s">
        <v>152</v>
      </c>
      <c r="E1430" s="5" t="s">
        <v>153</v>
      </c>
      <c r="F1430" s="5" t="s">
        <v>213</v>
      </c>
      <c r="G1430" s="5" t="s">
        <v>689</v>
      </c>
      <c r="H1430" s="5" t="s">
        <v>230</v>
      </c>
      <c r="I1430" s="5" t="s">
        <v>3541</v>
      </c>
      <c r="J1430" s="5" t="s">
        <v>246</v>
      </c>
      <c r="K1430" s="5" t="s">
        <v>2571</v>
      </c>
      <c r="L1430" s="5" t="s">
        <v>205</v>
      </c>
      <c r="M1430" s="5" t="s">
        <v>705</v>
      </c>
      <c r="N1430" s="5" t="s">
        <v>290</v>
      </c>
      <c r="O1430" s="5" t="s">
        <v>2486</v>
      </c>
      <c r="P1430" s="19" t="str">
        <f aca="false">IF(J1430="S0","—",IF(K1430="","",IF(L1430="E0","QM",INDEX(10_ASIL_Matrix!$D$4:$F$15,MATCH(J1430&amp;"-"&amp;L1430,10_ASIL_Matrix!$C$4:$C$15,0),MATCH(N1430,10_ASIL_Matrix!$D$3:$F$3,0)))))</f>
        <v>A</v>
      </c>
      <c r="Q1430" s="5" t="s">
        <v>448</v>
      </c>
    </row>
    <row r="1431" customFormat="false" ht="46.25" hidden="false" customHeight="false" outlineLevel="0" collapsed="false">
      <c r="A1431" s="6" t="s">
        <v>3542</v>
      </c>
      <c r="B1431" s="6" t="s">
        <v>105</v>
      </c>
      <c r="C1431" s="6" t="s">
        <v>106</v>
      </c>
      <c r="D1431" s="6" t="s">
        <v>152</v>
      </c>
      <c r="E1431" s="6" t="s">
        <v>153</v>
      </c>
      <c r="F1431" s="6" t="s">
        <v>213</v>
      </c>
      <c r="G1431" s="6" t="s">
        <v>689</v>
      </c>
      <c r="H1431" s="6" t="s">
        <v>232</v>
      </c>
      <c r="I1431" s="6" t="s">
        <v>3543</v>
      </c>
      <c r="J1431" s="6" t="s">
        <v>246</v>
      </c>
      <c r="K1431" s="6" t="s">
        <v>2571</v>
      </c>
      <c r="L1431" s="6" t="s">
        <v>233</v>
      </c>
      <c r="M1431" s="6" t="s">
        <v>709</v>
      </c>
      <c r="N1431" s="6" t="s">
        <v>290</v>
      </c>
      <c r="O1431" s="6" t="s">
        <v>2483</v>
      </c>
      <c r="P1431" s="6" t="str">
        <f aca="false">IF(J1431="S0","—",IF(K1431="","",IF(L1431="E0","QM",INDEX(10_ASIL_Matrix!$D$4:$F$15,MATCH(J1431&amp;"-"&amp;L1431,10_ASIL_Matrix!$C$4:$C$15,0),MATCH(N1431,10_ASIL_Matrix!$D$3:$F$3,0)))))</f>
        <v>QM</v>
      </c>
      <c r="Q1431" s="6" t="s">
        <v>448</v>
      </c>
    </row>
    <row r="1432" customFormat="false" ht="35.05" hidden="false" customHeight="false" outlineLevel="0" collapsed="false">
      <c r="A1432" s="5" t="s">
        <v>3544</v>
      </c>
      <c r="B1432" s="5" t="s">
        <v>105</v>
      </c>
      <c r="C1432" s="5" t="s">
        <v>106</v>
      </c>
      <c r="D1432" s="5" t="s">
        <v>152</v>
      </c>
      <c r="E1432" s="5" t="s">
        <v>153</v>
      </c>
      <c r="F1432" s="5" t="s">
        <v>215</v>
      </c>
      <c r="G1432" s="5" t="s">
        <v>711</v>
      </c>
      <c r="H1432" s="5" t="s">
        <v>222</v>
      </c>
      <c r="I1432" s="5" t="s">
        <v>3545</v>
      </c>
      <c r="J1432" s="5" t="s">
        <v>246</v>
      </c>
      <c r="K1432" s="5" t="s">
        <v>2584</v>
      </c>
      <c r="L1432" s="5" t="s">
        <v>190</v>
      </c>
      <c r="M1432" s="5" t="s">
        <v>714</v>
      </c>
      <c r="N1432" s="5" t="s">
        <v>286</v>
      </c>
      <c r="O1432" s="5" t="s">
        <v>2476</v>
      </c>
      <c r="P1432" s="19" t="str">
        <f aca="false">IF(J1432="S0","—",IF(K1432="","",IF(L1432="E0","QM",INDEX(10_ASIL_Matrix!$D$4:$F$15,MATCH(J1432&amp;"-"&amp;L1432,10_ASIL_Matrix!$C$4:$C$15,0),MATCH(N1432,10_ASIL_Matrix!$D$3:$F$3,0)))))</f>
        <v>A</v>
      </c>
      <c r="Q1432" s="5" t="s">
        <v>448</v>
      </c>
    </row>
    <row r="1433" customFormat="false" ht="35.05" hidden="false" customHeight="false" outlineLevel="0" collapsed="false">
      <c r="A1433" s="6" t="s">
        <v>3546</v>
      </c>
      <c r="B1433" s="6" t="s">
        <v>105</v>
      </c>
      <c r="C1433" s="6" t="s">
        <v>106</v>
      </c>
      <c r="D1433" s="6" t="s">
        <v>152</v>
      </c>
      <c r="E1433" s="6" t="s">
        <v>153</v>
      </c>
      <c r="F1433" s="6" t="s">
        <v>215</v>
      </c>
      <c r="G1433" s="6" t="s">
        <v>711</v>
      </c>
      <c r="H1433" s="6" t="s">
        <v>224</v>
      </c>
      <c r="I1433" s="6" t="s">
        <v>3547</v>
      </c>
      <c r="J1433" s="6" t="s">
        <v>246</v>
      </c>
      <c r="K1433" s="6" t="s">
        <v>2584</v>
      </c>
      <c r="L1433" s="6" t="s">
        <v>190</v>
      </c>
      <c r="M1433" s="6" t="s">
        <v>717</v>
      </c>
      <c r="N1433" s="6" t="s">
        <v>286</v>
      </c>
      <c r="O1433" s="6" t="s">
        <v>2476</v>
      </c>
      <c r="P1433" s="19" t="str">
        <f aca="false">IF(J1433="S0","—",IF(K1433="","",IF(L1433="E0","QM",INDEX(10_ASIL_Matrix!$D$4:$F$15,MATCH(J1433&amp;"-"&amp;L1433,10_ASIL_Matrix!$C$4:$C$15,0),MATCH(N1433,10_ASIL_Matrix!$D$3:$F$3,0)))))</f>
        <v>A</v>
      </c>
      <c r="Q1433" s="6" t="s">
        <v>448</v>
      </c>
    </row>
    <row r="1434" customFormat="false" ht="35.05" hidden="false" customHeight="false" outlineLevel="0" collapsed="false">
      <c r="A1434" s="5" t="s">
        <v>3548</v>
      </c>
      <c r="B1434" s="5" t="s">
        <v>105</v>
      </c>
      <c r="C1434" s="5" t="s">
        <v>106</v>
      </c>
      <c r="D1434" s="5" t="s">
        <v>152</v>
      </c>
      <c r="E1434" s="5" t="s">
        <v>153</v>
      </c>
      <c r="F1434" s="5" t="s">
        <v>215</v>
      </c>
      <c r="G1434" s="5" t="s">
        <v>711</v>
      </c>
      <c r="H1434" s="5" t="s">
        <v>226</v>
      </c>
      <c r="I1434" s="5" t="s">
        <v>3549</v>
      </c>
      <c r="J1434" s="5" t="s">
        <v>246</v>
      </c>
      <c r="K1434" s="5" t="s">
        <v>2584</v>
      </c>
      <c r="L1434" s="5" t="s">
        <v>190</v>
      </c>
      <c r="M1434" s="5" t="s">
        <v>720</v>
      </c>
      <c r="N1434" s="5" t="s">
        <v>286</v>
      </c>
      <c r="O1434" s="5" t="s">
        <v>2476</v>
      </c>
      <c r="P1434" s="19" t="str">
        <f aca="false">IF(J1434="S0","—",IF(K1434="","",IF(L1434="E0","QM",INDEX(10_ASIL_Matrix!$D$4:$F$15,MATCH(J1434&amp;"-"&amp;L1434,10_ASIL_Matrix!$C$4:$C$15,0),MATCH(N1434,10_ASIL_Matrix!$D$3:$F$3,0)))))</f>
        <v>A</v>
      </c>
      <c r="Q1434" s="5" t="s">
        <v>448</v>
      </c>
    </row>
    <row r="1435" customFormat="false" ht="35.05" hidden="false" customHeight="false" outlineLevel="0" collapsed="false">
      <c r="A1435" s="6" t="s">
        <v>3550</v>
      </c>
      <c r="B1435" s="6" t="s">
        <v>105</v>
      </c>
      <c r="C1435" s="6" t="s">
        <v>106</v>
      </c>
      <c r="D1435" s="6" t="s">
        <v>152</v>
      </c>
      <c r="E1435" s="6" t="s">
        <v>153</v>
      </c>
      <c r="F1435" s="6" t="s">
        <v>215</v>
      </c>
      <c r="G1435" s="6" t="s">
        <v>711</v>
      </c>
      <c r="H1435" s="6" t="s">
        <v>228</v>
      </c>
      <c r="I1435" s="6" t="s">
        <v>3551</v>
      </c>
      <c r="J1435" s="6" t="s">
        <v>246</v>
      </c>
      <c r="K1435" s="6" t="s">
        <v>2584</v>
      </c>
      <c r="L1435" s="6" t="s">
        <v>205</v>
      </c>
      <c r="M1435" s="6" t="s">
        <v>723</v>
      </c>
      <c r="N1435" s="6" t="s">
        <v>290</v>
      </c>
      <c r="O1435" s="6" t="s">
        <v>2483</v>
      </c>
      <c r="P1435" s="19" t="str">
        <f aca="false">IF(J1435="S0","—",IF(K1435="","",IF(L1435="E0","QM",INDEX(10_ASIL_Matrix!$D$4:$F$15,MATCH(J1435&amp;"-"&amp;L1435,10_ASIL_Matrix!$C$4:$C$15,0),MATCH(N1435,10_ASIL_Matrix!$D$3:$F$3,0)))))</f>
        <v>A</v>
      </c>
      <c r="Q1435" s="6" t="s">
        <v>448</v>
      </c>
    </row>
    <row r="1436" customFormat="false" ht="35.05" hidden="false" customHeight="false" outlineLevel="0" collapsed="false">
      <c r="A1436" s="5" t="s">
        <v>3552</v>
      </c>
      <c r="B1436" s="5" t="s">
        <v>105</v>
      </c>
      <c r="C1436" s="5" t="s">
        <v>106</v>
      </c>
      <c r="D1436" s="5" t="s">
        <v>152</v>
      </c>
      <c r="E1436" s="5" t="s">
        <v>153</v>
      </c>
      <c r="F1436" s="5" t="s">
        <v>215</v>
      </c>
      <c r="G1436" s="5" t="s">
        <v>711</v>
      </c>
      <c r="H1436" s="5" t="s">
        <v>230</v>
      </c>
      <c r="I1436" s="5" t="s">
        <v>3553</v>
      </c>
      <c r="J1436" s="5" t="s">
        <v>246</v>
      </c>
      <c r="K1436" s="5" t="s">
        <v>2584</v>
      </c>
      <c r="L1436" s="5" t="s">
        <v>205</v>
      </c>
      <c r="M1436" s="5" t="s">
        <v>726</v>
      </c>
      <c r="N1436" s="5" t="s">
        <v>290</v>
      </c>
      <c r="O1436" s="5" t="s">
        <v>2486</v>
      </c>
      <c r="P1436" s="19" t="str">
        <f aca="false">IF(J1436="S0","—",IF(K1436="","",IF(L1436="E0","QM",INDEX(10_ASIL_Matrix!$D$4:$F$15,MATCH(J1436&amp;"-"&amp;L1436,10_ASIL_Matrix!$C$4:$C$15,0),MATCH(N1436,10_ASIL_Matrix!$D$3:$F$3,0)))))</f>
        <v>A</v>
      </c>
      <c r="Q1436" s="5" t="s">
        <v>448</v>
      </c>
    </row>
    <row r="1437" customFormat="false" ht="46.25" hidden="false" customHeight="false" outlineLevel="0" collapsed="false">
      <c r="A1437" s="6" t="s">
        <v>3554</v>
      </c>
      <c r="B1437" s="6" t="s">
        <v>105</v>
      </c>
      <c r="C1437" s="6" t="s">
        <v>106</v>
      </c>
      <c r="D1437" s="6" t="s">
        <v>152</v>
      </c>
      <c r="E1437" s="6" t="s">
        <v>153</v>
      </c>
      <c r="F1437" s="6" t="s">
        <v>215</v>
      </c>
      <c r="G1437" s="6" t="s">
        <v>711</v>
      </c>
      <c r="H1437" s="6" t="s">
        <v>232</v>
      </c>
      <c r="I1437" s="6" t="s">
        <v>3555</v>
      </c>
      <c r="J1437" s="6" t="s">
        <v>246</v>
      </c>
      <c r="K1437" s="6" t="s">
        <v>2584</v>
      </c>
      <c r="L1437" s="6" t="s">
        <v>233</v>
      </c>
      <c r="M1437" s="6" t="s">
        <v>729</v>
      </c>
      <c r="N1437" s="6" t="s">
        <v>290</v>
      </c>
      <c r="O1437" s="6" t="s">
        <v>2483</v>
      </c>
      <c r="P1437" s="6" t="str">
        <f aca="false">IF(J1437="S0","—",IF(K1437="","",IF(L1437="E0","QM",INDEX(10_ASIL_Matrix!$D$4:$F$15,MATCH(J1437&amp;"-"&amp;L1437,10_ASIL_Matrix!$C$4:$C$15,0),MATCH(N1437,10_ASIL_Matrix!$D$3:$F$3,0)))))</f>
        <v>QM</v>
      </c>
      <c r="Q1437" s="6" t="s">
        <v>448</v>
      </c>
    </row>
    <row r="1438" customFormat="false" ht="35.05" hidden="false" customHeight="false" outlineLevel="0" collapsed="false">
      <c r="A1438" s="5" t="s">
        <v>3556</v>
      </c>
      <c r="B1438" s="5" t="s">
        <v>105</v>
      </c>
      <c r="C1438" s="5" t="s">
        <v>106</v>
      </c>
      <c r="D1438" s="5" t="s">
        <v>152</v>
      </c>
      <c r="E1438" s="5" t="s">
        <v>153</v>
      </c>
      <c r="F1438" s="5" t="s">
        <v>217</v>
      </c>
      <c r="G1438" s="5" t="s">
        <v>488</v>
      </c>
      <c r="H1438" s="5" t="s">
        <v>222</v>
      </c>
      <c r="I1438" s="5" t="s">
        <v>3557</v>
      </c>
      <c r="J1438" s="5" t="s">
        <v>238</v>
      </c>
      <c r="K1438" s="5" t="s">
        <v>2410</v>
      </c>
      <c r="L1438" s="5" t="s">
        <v>190</v>
      </c>
      <c r="M1438" s="5" t="s">
        <v>733</v>
      </c>
      <c r="N1438" s="5" t="s">
        <v>278</v>
      </c>
      <c r="O1438" s="5" t="s">
        <v>634</v>
      </c>
      <c r="P1438" s="5" t="str">
        <f aca="false">IF(J1438="S0","—",IF(K1438="","",IF(L1438="E0","QM",INDEX(10_ASIL_Matrix!$D$4:$F$15,MATCH(J1438&amp;"-"&amp;L1438,10_ASIL_Matrix!$C$4:$C$15,0),MATCH(N1438,10_ASIL_Matrix!$D$3:$F$3,0)))))</f>
        <v>—</v>
      </c>
      <c r="Q1438" s="5" t="s">
        <v>448</v>
      </c>
    </row>
    <row r="1439" customFormat="false" ht="35.05" hidden="false" customHeight="false" outlineLevel="0" collapsed="false">
      <c r="A1439" s="6" t="s">
        <v>3558</v>
      </c>
      <c r="B1439" s="6" t="s">
        <v>105</v>
      </c>
      <c r="C1439" s="6" t="s">
        <v>106</v>
      </c>
      <c r="D1439" s="6" t="s">
        <v>152</v>
      </c>
      <c r="E1439" s="6" t="s">
        <v>153</v>
      </c>
      <c r="F1439" s="6" t="s">
        <v>217</v>
      </c>
      <c r="G1439" s="6" t="s">
        <v>488</v>
      </c>
      <c r="H1439" s="6" t="s">
        <v>224</v>
      </c>
      <c r="I1439" s="6" t="s">
        <v>3559</v>
      </c>
      <c r="J1439" s="6" t="s">
        <v>238</v>
      </c>
      <c r="K1439" s="6" t="s">
        <v>2410</v>
      </c>
      <c r="L1439" s="6" t="s">
        <v>190</v>
      </c>
      <c r="M1439" s="6" t="s">
        <v>736</v>
      </c>
      <c r="N1439" s="6" t="s">
        <v>278</v>
      </c>
      <c r="O1439" s="6" t="s">
        <v>634</v>
      </c>
      <c r="P1439" s="6" t="str">
        <f aca="false">IF(J1439="S0","—",IF(K1439="","",IF(L1439="E0","QM",INDEX(10_ASIL_Matrix!$D$4:$F$15,MATCH(J1439&amp;"-"&amp;L1439,10_ASIL_Matrix!$C$4:$C$15,0),MATCH(N1439,10_ASIL_Matrix!$D$3:$F$3,0)))))</f>
        <v>—</v>
      </c>
      <c r="Q1439" s="6" t="s">
        <v>448</v>
      </c>
    </row>
    <row r="1440" customFormat="false" ht="35.05" hidden="false" customHeight="false" outlineLevel="0" collapsed="false">
      <c r="A1440" s="5" t="s">
        <v>3560</v>
      </c>
      <c r="B1440" s="5" t="s">
        <v>105</v>
      </c>
      <c r="C1440" s="5" t="s">
        <v>106</v>
      </c>
      <c r="D1440" s="5" t="s">
        <v>152</v>
      </c>
      <c r="E1440" s="5" t="s">
        <v>153</v>
      </c>
      <c r="F1440" s="5" t="s">
        <v>217</v>
      </c>
      <c r="G1440" s="5" t="s">
        <v>488</v>
      </c>
      <c r="H1440" s="5" t="s">
        <v>226</v>
      </c>
      <c r="I1440" s="5" t="s">
        <v>3561</v>
      </c>
      <c r="J1440" s="5" t="s">
        <v>238</v>
      </c>
      <c r="K1440" s="5" t="s">
        <v>2410</v>
      </c>
      <c r="L1440" s="5" t="s">
        <v>190</v>
      </c>
      <c r="M1440" s="5" t="s">
        <v>739</v>
      </c>
      <c r="N1440" s="5" t="s">
        <v>278</v>
      </c>
      <c r="O1440" s="5" t="s">
        <v>634</v>
      </c>
      <c r="P1440" s="5" t="str">
        <f aca="false">IF(J1440="S0","—",IF(K1440="","",IF(L1440="E0","QM",INDEX(10_ASIL_Matrix!$D$4:$F$15,MATCH(J1440&amp;"-"&amp;L1440,10_ASIL_Matrix!$C$4:$C$15,0),MATCH(N1440,10_ASIL_Matrix!$D$3:$F$3,0)))))</f>
        <v>—</v>
      </c>
      <c r="Q1440" s="5" t="s">
        <v>448</v>
      </c>
    </row>
    <row r="1441" customFormat="false" ht="35.05" hidden="false" customHeight="false" outlineLevel="0" collapsed="false">
      <c r="A1441" s="6" t="s">
        <v>3562</v>
      </c>
      <c r="B1441" s="6" t="s">
        <v>105</v>
      </c>
      <c r="C1441" s="6" t="s">
        <v>106</v>
      </c>
      <c r="D1441" s="6" t="s">
        <v>152</v>
      </c>
      <c r="E1441" s="6" t="s">
        <v>153</v>
      </c>
      <c r="F1441" s="6" t="s">
        <v>217</v>
      </c>
      <c r="G1441" s="6" t="s">
        <v>488</v>
      </c>
      <c r="H1441" s="6" t="s">
        <v>228</v>
      </c>
      <c r="I1441" s="6" t="s">
        <v>3563</v>
      </c>
      <c r="J1441" s="6" t="s">
        <v>238</v>
      </c>
      <c r="K1441" s="6" t="s">
        <v>2410</v>
      </c>
      <c r="L1441" s="6" t="s">
        <v>205</v>
      </c>
      <c r="M1441" s="6" t="s">
        <v>742</v>
      </c>
      <c r="N1441" s="6" t="s">
        <v>278</v>
      </c>
      <c r="O1441" s="6" t="s">
        <v>634</v>
      </c>
      <c r="P1441" s="6" t="str">
        <f aca="false">IF(J1441="S0","—",IF(K1441="","",IF(L1441="E0","QM",INDEX(10_ASIL_Matrix!$D$4:$F$15,MATCH(J1441&amp;"-"&amp;L1441,10_ASIL_Matrix!$C$4:$C$15,0),MATCH(N1441,10_ASIL_Matrix!$D$3:$F$3,0)))))</f>
        <v>—</v>
      </c>
      <c r="Q1441" s="6" t="s">
        <v>448</v>
      </c>
    </row>
    <row r="1442" customFormat="false" ht="35.05" hidden="false" customHeight="false" outlineLevel="0" collapsed="false">
      <c r="A1442" s="5" t="s">
        <v>3564</v>
      </c>
      <c r="B1442" s="5" t="s">
        <v>105</v>
      </c>
      <c r="C1442" s="5" t="s">
        <v>106</v>
      </c>
      <c r="D1442" s="5" t="s">
        <v>152</v>
      </c>
      <c r="E1442" s="5" t="s">
        <v>153</v>
      </c>
      <c r="F1442" s="5" t="s">
        <v>217</v>
      </c>
      <c r="G1442" s="5" t="s">
        <v>488</v>
      </c>
      <c r="H1442" s="5" t="s">
        <v>230</v>
      </c>
      <c r="I1442" s="5" t="s">
        <v>3565</v>
      </c>
      <c r="J1442" s="5" t="s">
        <v>238</v>
      </c>
      <c r="K1442" s="5" t="s">
        <v>2410</v>
      </c>
      <c r="L1442" s="5" t="s">
        <v>205</v>
      </c>
      <c r="M1442" s="5" t="s">
        <v>745</v>
      </c>
      <c r="N1442" s="5" t="s">
        <v>278</v>
      </c>
      <c r="O1442" s="5" t="s">
        <v>634</v>
      </c>
      <c r="P1442" s="5" t="str">
        <f aca="false">IF(J1442="S0","—",IF(K1442="","",IF(L1442="E0","QM",INDEX(10_ASIL_Matrix!$D$4:$F$15,MATCH(J1442&amp;"-"&amp;L1442,10_ASIL_Matrix!$C$4:$C$15,0),MATCH(N1442,10_ASIL_Matrix!$D$3:$F$3,0)))))</f>
        <v>—</v>
      </c>
      <c r="Q1442" s="5" t="s">
        <v>448</v>
      </c>
    </row>
    <row r="1443" customFormat="false" ht="46.25" hidden="false" customHeight="false" outlineLevel="0" collapsed="false">
      <c r="A1443" s="6" t="s">
        <v>3566</v>
      </c>
      <c r="B1443" s="6" t="s">
        <v>105</v>
      </c>
      <c r="C1443" s="6" t="s">
        <v>106</v>
      </c>
      <c r="D1443" s="6" t="s">
        <v>152</v>
      </c>
      <c r="E1443" s="6" t="s">
        <v>153</v>
      </c>
      <c r="F1443" s="6" t="s">
        <v>217</v>
      </c>
      <c r="G1443" s="6" t="s">
        <v>488</v>
      </c>
      <c r="H1443" s="6" t="s">
        <v>232</v>
      </c>
      <c r="I1443" s="6" t="s">
        <v>3567</v>
      </c>
      <c r="J1443" s="6" t="s">
        <v>238</v>
      </c>
      <c r="K1443" s="6" t="s">
        <v>2410</v>
      </c>
      <c r="L1443" s="6" t="s">
        <v>233</v>
      </c>
      <c r="M1443" s="6" t="s">
        <v>748</v>
      </c>
      <c r="N1443" s="6" t="s">
        <v>278</v>
      </c>
      <c r="O1443" s="6" t="s">
        <v>634</v>
      </c>
      <c r="P1443" s="6" t="str">
        <f aca="false">IF(J1443="S0","—",IF(K1443="","",IF(L1443="E0","QM",INDEX(10_ASIL_Matrix!$D$4:$F$15,MATCH(J1443&amp;"-"&amp;L1443,10_ASIL_Matrix!$C$4:$C$15,0),MATCH(N1443,10_ASIL_Matrix!$D$3:$F$3,0)))))</f>
        <v>—</v>
      </c>
      <c r="Q1443" s="6" t="s">
        <v>448</v>
      </c>
    </row>
    <row r="1444" customFormat="false" ht="35.05" hidden="false" customHeight="false" outlineLevel="0" collapsed="false">
      <c r="A1444" s="5" t="s">
        <v>3568</v>
      </c>
      <c r="B1444" s="5" t="s">
        <v>105</v>
      </c>
      <c r="C1444" s="5" t="s">
        <v>106</v>
      </c>
      <c r="D1444" s="5" t="s">
        <v>164</v>
      </c>
      <c r="E1444" s="5" t="s">
        <v>165</v>
      </c>
      <c r="F1444" s="5" t="s">
        <v>186</v>
      </c>
      <c r="G1444" s="5" t="s">
        <v>443</v>
      </c>
      <c r="H1444" s="5" t="s">
        <v>222</v>
      </c>
      <c r="I1444" s="5" t="s">
        <v>3569</v>
      </c>
      <c r="J1444" s="5" t="s">
        <v>246</v>
      </c>
      <c r="K1444" s="5" t="s">
        <v>2789</v>
      </c>
      <c r="L1444" s="5" t="s">
        <v>187</v>
      </c>
      <c r="M1444" s="5" t="s">
        <v>446</v>
      </c>
      <c r="N1444" s="5" t="s">
        <v>282</v>
      </c>
      <c r="O1444" s="5" t="s">
        <v>2790</v>
      </c>
      <c r="P1444" s="19" t="str">
        <f aca="false">IF(J1444="S0","—",IF(K1444="","",IF(L1444="E0","QM",INDEX(10_ASIL_Matrix!$D$4:$F$15,MATCH(J1444&amp;"-"&amp;L1444,10_ASIL_Matrix!$C$4:$C$15,0),MATCH(N1444,10_ASIL_Matrix!$D$3:$F$3,0)))))</f>
        <v>A</v>
      </c>
      <c r="Q1444" s="5" t="s">
        <v>448</v>
      </c>
    </row>
    <row r="1445" customFormat="false" ht="35.05" hidden="false" customHeight="false" outlineLevel="0" collapsed="false">
      <c r="A1445" s="6" t="s">
        <v>3570</v>
      </c>
      <c r="B1445" s="6" t="s">
        <v>105</v>
      </c>
      <c r="C1445" s="6" t="s">
        <v>106</v>
      </c>
      <c r="D1445" s="6" t="s">
        <v>164</v>
      </c>
      <c r="E1445" s="6" t="s">
        <v>165</v>
      </c>
      <c r="F1445" s="6" t="s">
        <v>186</v>
      </c>
      <c r="G1445" s="6" t="s">
        <v>443</v>
      </c>
      <c r="H1445" s="6" t="s">
        <v>224</v>
      </c>
      <c r="I1445" s="6" t="s">
        <v>3571</v>
      </c>
      <c r="J1445" s="6" t="s">
        <v>246</v>
      </c>
      <c r="K1445" s="6" t="s">
        <v>2789</v>
      </c>
      <c r="L1445" s="6" t="s">
        <v>190</v>
      </c>
      <c r="M1445" s="6" t="s">
        <v>451</v>
      </c>
      <c r="N1445" s="6" t="s">
        <v>282</v>
      </c>
      <c r="O1445" s="6" t="s">
        <v>2790</v>
      </c>
      <c r="P1445" s="6" t="str">
        <f aca="false">IF(J1445="S0","—",IF(K1445="","",IF(L1445="E0","QM",INDEX(10_ASIL_Matrix!$D$4:$F$15,MATCH(J1445&amp;"-"&amp;L1445,10_ASIL_Matrix!$C$4:$C$15,0),MATCH(N1445,10_ASIL_Matrix!$D$3:$F$3,0)))))</f>
        <v>QM</v>
      </c>
      <c r="Q1445" s="6" t="s">
        <v>448</v>
      </c>
    </row>
    <row r="1446" customFormat="false" ht="35.05" hidden="false" customHeight="false" outlineLevel="0" collapsed="false">
      <c r="A1446" s="5" t="s">
        <v>3572</v>
      </c>
      <c r="B1446" s="5" t="s">
        <v>105</v>
      </c>
      <c r="C1446" s="5" t="s">
        <v>106</v>
      </c>
      <c r="D1446" s="5" t="s">
        <v>164</v>
      </c>
      <c r="E1446" s="5" t="s">
        <v>165</v>
      </c>
      <c r="F1446" s="5" t="s">
        <v>186</v>
      </c>
      <c r="G1446" s="5" t="s">
        <v>443</v>
      </c>
      <c r="H1446" s="5" t="s">
        <v>226</v>
      </c>
      <c r="I1446" s="5" t="s">
        <v>3573</v>
      </c>
      <c r="J1446" s="5" t="s">
        <v>246</v>
      </c>
      <c r="K1446" s="5" t="s">
        <v>2789</v>
      </c>
      <c r="L1446" s="5" t="s">
        <v>190</v>
      </c>
      <c r="M1446" s="5" t="s">
        <v>454</v>
      </c>
      <c r="N1446" s="5" t="s">
        <v>282</v>
      </c>
      <c r="O1446" s="5" t="s">
        <v>2790</v>
      </c>
      <c r="P1446" s="5" t="str">
        <f aca="false">IF(J1446="S0","—",IF(K1446="","",IF(L1446="E0","QM",INDEX(10_ASIL_Matrix!$D$4:$F$15,MATCH(J1446&amp;"-"&amp;L1446,10_ASIL_Matrix!$C$4:$C$15,0),MATCH(N1446,10_ASIL_Matrix!$D$3:$F$3,0)))))</f>
        <v>QM</v>
      </c>
      <c r="Q1446" s="5" t="s">
        <v>448</v>
      </c>
    </row>
    <row r="1447" customFormat="false" ht="35.05" hidden="false" customHeight="false" outlineLevel="0" collapsed="false">
      <c r="A1447" s="6" t="s">
        <v>3574</v>
      </c>
      <c r="B1447" s="6" t="s">
        <v>105</v>
      </c>
      <c r="C1447" s="6" t="s">
        <v>106</v>
      </c>
      <c r="D1447" s="6" t="s">
        <v>164</v>
      </c>
      <c r="E1447" s="6" t="s">
        <v>165</v>
      </c>
      <c r="F1447" s="6" t="s">
        <v>186</v>
      </c>
      <c r="G1447" s="6" t="s">
        <v>443</v>
      </c>
      <c r="H1447" s="6" t="s">
        <v>228</v>
      </c>
      <c r="I1447" s="6" t="s">
        <v>3575</v>
      </c>
      <c r="J1447" s="6" t="s">
        <v>246</v>
      </c>
      <c r="K1447" s="6" t="s">
        <v>2789</v>
      </c>
      <c r="L1447" s="6" t="s">
        <v>205</v>
      </c>
      <c r="M1447" s="6" t="s">
        <v>457</v>
      </c>
      <c r="N1447" s="6" t="s">
        <v>282</v>
      </c>
      <c r="O1447" s="6" t="s">
        <v>2790</v>
      </c>
      <c r="P1447" s="6" t="str">
        <f aca="false">IF(J1447="S0","—",IF(K1447="","",IF(L1447="E0","QM",INDEX(10_ASIL_Matrix!$D$4:$F$15,MATCH(J1447&amp;"-"&amp;L1447,10_ASIL_Matrix!$C$4:$C$15,0),MATCH(N1447,10_ASIL_Matrix!$D$3:$F$3,0)))))</f>
        <v>QM</v>
      </c>
      <c r="Q1447" s="6" t="s">
        <v>448</v>
      </c>
    </row>
    <row r="1448" customFormat="false" ht="35.05" hidden="false" customHeight="false" outlineLevel="0" collapsed="false">
      <c r="A1448" s="5" t="s">
        <v>3576</v>
      </c>
      <c r="B1448" s="5" t="s">
        <v>105</v>
      </c>
      <c r="C1448" s="5" t="s">
        <v>106</v>
      </c>
      <c r="D1448" s="5" t="s">
        <v>164</v>
      </c>
      <c r="E1448" s="5" t="s">
        <v>165</v>
      </c>
      <c r="F1448" s="5" t="s">
        <v>186</v>
      </c>
      <c r="G1448" s="5" t="s">
        <v>443</v>
      </c>
      <c r="H1448" s="5" t="s">
        <v>230</v>
      </c>
      <c r="I1448" s="5" t="s">
        <v>3577</v>
      </c>
      <c r="J1448" s="5" t="s">
        <v>250</v>
      </c>
      <c r="K1448" s="5" t="s">
        <v>2799</v>
      </c>
      <c r="L1448" s="5" t="s">
        <v>205</v>
      </c>
      <c r="M1448" s="5" t="s">
        <v>460</v>
      </c>
      <c r="N1448" s="5" t="s">
        <v>286</v>
      </c>
      <c r="O1448" s="5" t="s">
        <v>2800</v>
      </c>
      <c r="P1448" s="19" t="str">
        <f aca="false">IF(J1448="S0","—",IF(K1448="","",IF(L1448="E0","QM",INDEX(10_ASIL_Matrix!$D$4:$F$15,MATCH(J1448&amp;"-"&amp;L1448,10_ASIL_Matrix!$C$4:$C$15,0),MATCH(N1448,10_ASIL_Matrix!$D$3:$F$3,0)))))</f>
        <v>A</v>
      </c>
      <c r="Q1448" s="5" t="s">
        <v>448</v>
      </c>
    </row>
    <row r="1449" customFormat="false" ht="46.25" hidden="false" customHeight="false" outlineLevel="0" collapsed="false">
      <c r="A1449" s="6" t="s">
        <v>3578</v>
      </c>
      <c r="B1449" s="6" t="s">
        <v>105</v>
      </c>
      <c r="C1449" s="6" t="s">
        <v>106</v>
      </c>
      <c r="D1449" s="6" t="s">
        <v>164</v>
      </c>
      <c r="E1449" s="6" t="s">
        <v>165</v>
      </c>
      <c r="F1449" s="6" t="s">
        <v>186</v>
      </c>
      <c r="G1449" s="6" t="s">
        <v>443</v>
      </c>
      <c r="H1449" s="6" t="s">
        <v>232</v>
      </c>
      <c r="I1449" s="6" t="s">
        <v>3579</v>
      </c>
      <c r="J1449" s="6" t="s">
        <v>246</v>
      </c>
      <c r="K1449" s="6" t="s">
        <v>2789</v>
      </c>
      <c r="L1449" s="6" t="s">
        <v>233</v>
      </c>
      <c r="M1449" s="6" t="s">
        <v>464</v>
      </c>
      <c r="N1449" s="6" t="s">
        <v>282</v>
      </c>
      <c r="O1449" s="6" t="s">
        <v>2790</v>
      </c>
      <c r="P1449" s="6" t="str">
        <f aca="false">IF(J1449="S0","—",IF(K1449="","",IF(L1449="E0","QM",INDEX(10_ASIL_Matrix!$D$4:$F$15,MATCH(J1449&amp;"-"&amp;L1449,10_ASIL_Matrix!$C$4:$C$15,0),MATCH(N1449,10_ASIL_Matrix!$D$3:$F$3,0)))))</f>
        <v>QM</v>
      </c>
      <c r="Q1449" s="6" t="s">
        <v>448</v>
      </c>
    </row>
    <row r="1450" customFormat="false" ht="35.05" hidden="false" customHeight="false" outlineLevel="0" collapsed="false">
      <c r="A1450" s="5" t="s">
        <v>3580</v>
      </c>
      <c r="B1450" s="5" t="s">
        <v>105</v>
      </c>
      <c r="C1450" s="5" t="s">
        <v>106</v>
      </c>
      <c r="D1450" s="5" t="s">
        <v>164</v>
      </c>
      <c r="E1450" s="5" t="s">
        <v>165</v>
      </c>
      <c r="F1450" s="5" t="s">
        <v>189</v>
      </c>
      <c r="G1450" s="5" t="s">
        <v>466</v>
      </c>
      <c r="H1450" s="5" t="s">
        <v>222</v>
      </c>
      <c r="I1450" s="5" t="s">
        <v>3581</v>
      </c>
      <c r="J1450" s="5" t="s">
        <v>246</v>
      </c>
      <c r="K1450" s="5" t="s">
        <v>2805</v>
      </c>
      <c r="L1450" s="5" t="s">
        <v>190</v>
      </c>
      <c r="M1450" s="5" t="s">
        <v>469</v>
      </c>
      <c r="N1450" s="5" t="s">
        <v>282</v>
      </c>
      <c r="O1450" s="5" t="s">
        <v>2790</v>
      </c>
      <c r="P1450" s="5" t="str">
        <f aca="false">IF(J1450="S0","—",IF(K1450="","",IF(L1450="E0","QM",INDEX(10_ASIL_Matrix!$D$4:$F$15,MATCH(J1450&amp;"-"&amp;L1450,10_ASIL_Matrix!$C$4:$C$15,0),MATCH(N1450,10_ASIL_Matrix!$D$3:$F$3,0)))))</f>
        <v>QM</v>
      </c>
      <c r="Q1450" s="5" t="s">
        <v>448</v>
      </c>
    </row>
    <row r="1451" customFormat="false" ht="35.05" hidden="false" customHeight="false" outlineLevel="0" collapsed="false">
      <c r="A1451" s="6" t="s">
        <v>3582</v>
      </c>
      <c r="B1451" s="6" t="s">
        <v>105</v>
      </c>
      <c r="C1451" s="6" t="s">
        <v>106</v>
      </c>
      <c r="D1451" s="6" t="s">
        <v>164</v>
      </c>
      <c r="E1451" s="6" t="s">
        <v>165</v>
      </c>
      <c r="F1451" s="6" t="s">
        <v>189</v>
      </c>
      <c r="G1451" s="6" t="s">
        <v>466</v>
      </c>
      <c r="H1451" s="6" t="s">
        <v>224</v>
      </c>
      <c r="I1451" s="6" t="s">
        <v>3583</v>
      </c>
      <c r="J1451" s="6" t="s">
        <v>250</v>
      </c>
      <c r="K1451" s="6" t="s">
        <v>2808</v>
      </c>
      <c r="L1451" s="6" t="s">
        <v>190</v>
      </c>
      <c r="M1451" s="6" t="s">
        <v>473</v>
      </c>
      <c r="N1451" s="6" t="s">
        <v>282</v>
      </c>
      <c r="O1451" s="6" t="s">
        <v>2809</v>
      </c>
      <c r="P1451" s="19" t="str">
        <f aca="false">IF(J1451="S0","—",IF(K1451="","",IF(L1451="E0","QM",INDEX(10_ASIL_Matrix!$D$4:$F$15,MATCH(J1451&amp;"-"&amp;L1451,10_ASIL_Matrix!$C$4:$C$15,0),MATCH(N1451,10_ASIL_Matrix!$D$3:$F$3,0)))))</f>
        <v>A</v>
      </c>
      <c r="Q1451" s="6" t="s">
        <v>448</v>
      </c>
    </row>
    <row r="1452" customFormat="false" ht="35.05" hidden="false" customHeight="false" outlineLevel="0" collapsed="false">
      <c r="A1452" s="5" t="s">
        <v>3584</v>
      </c>
      <c r="B1452" s="5" t="s">
        <v>105</v>
      </c>
      <c r="C1452" s="5" t="s">
        <v>106</v>
      </c>
      <c r="D1452" s="5" t="s">
        <v>164</v>
      </c>
      <c r="E1452" s="5" t="s">
        <v>165</v>
      </c>
      <c r="F1452" s="5" t="s">
        <v>189</v>
      </c>
      <c r="G1452" s="5" t="s">
        <v>466</v>
      </c>
      <c r="H1452" s="5" t="s">
        <v>226</v>
      </c>
      <c r="I1452" s="5" t="s">
        <v>3585</v>
      </c>
      <c r="J1452" s="5" t="s">
        <v>246</v>
      </c>
      <c r="K1452" s="5" t="s">
        <v>2805</v>
      </c>
      <c r="L1452" s="5" t="s">
        <v>190</v>
      </c>
      <c r="M1452" s="5" t="s">
        <v>476</v>
      </c>
      <c r="N1452" s="5" t="s">
        <v>282</v>
      </c>
      <c r="O1452" s="5" t="s">
        <v>2790</v>
      </c>
      <c r="P1452" s="5" t="str">
        <f aca="false">IF(J1452="S0","—",IF(K1452="","",IF(L1452="E0","QM",INDEX(10_ASIL_Matrix!$D$4:$F$15,MATCH(J1452&amp;"-"&amp;L1452,10_ASIL_Matrix!$C$4:$C$15,0),MATCH(N1452,10_ASIL_Matrix!$D$3:$F$3,0)))))</f>
        <v>QM</v>
      </c>
      <c r="Q1452" s="5" t="s">
        <v>448</v>
      </c>
    </row>
    <row r="1453" customFormat="false" ht="46.25" hidden="false" customHeight="false" outlineLevel="0" collapsed="false">
      <c r="A1453" s="6" t="s">
        <v>3586</v>
      </c>
      <c r="B1453" s="6" t="s">
        <v>105</v>
      </c>
      <c r="C1453" s="6" t="s">
        <v>106</v>
      </c>
      <c r="D1453" s="6" t="s">
        <v>164</v>
      </c>
      <c r="E1453" s="6" t="s">
        <v>165</v>
      </c>
      <c r="F1453" s="6" t="s">
        <v>189</v>
      </c>
      <c r="G1453" s="6" t="s">
        <v>466</v>
      </c>
      <c r="H1453" s="6" t="s">
        <v>228</v>
      </c>
      <c r="I1453" s="6" t="s">
        <v>3587</v>
      </c>
      <c r="J1453" s="6" t="s">
        <v>250</v>
      </c>
      <c r="K1453" s="6" t="s">
        <v>2808</v>
      </c>
      <c r="L1453" s="6" t="s">
        <v>205</v>
      </c>
      <c r="M1453" s="6" t="s">
        <v>479</v>
      </c>
      <c r="N1453" s="6" t="s">
        <v>282</v>
      </c>
      <c r="O1453" s="6" t="s">
        <v>2809</v>
      </c>
      <c r="P1453" s="6" t="str">
        <f aca="false">IF(J1453="S0","—",IF(K1453="","",IF(L1453="E0","QM",INDEX(10_ASIL_Matrix!$D$4:$F$15,MATCH(J1453&amp;"-"&amp;L1453,10_ASIL_Matrix!$C$4:$C$15,0),MATCH(N1453,10_ASIL_Matrix!$D$3:$F$3,0)))))</f>
        <v>QM</v>
      </c>
      <c r="Q1453" s="6" t="s">
        <v>448</v>
      </c>
    </row>
    <row r="1454" customFormat="false" ht="46.25" hidden="false" customHeight="false" outlineLevel="0" collapsed="false">
      <c r="A1454" s="5" t="s">
        <v>3588</v>
      </c>
      <c r="B1454" s="5" t="s">
        <v>105</v>
      </c>
      <c r="C1454" s="5" t="s">
        <v>106</v>
      </c>
      <c r="D1454" s="5" t="s">
        <v>164</v>
      </c>
      <c r="E1454" s="5" t="s">
        <v>165</v>
      </c>
      <c r="F1454" s="5" t="s">
        <v>189</v>
      </c>
      <c r="G1454" s="5" t="s">
        <v>466</v>
      </c>
      <c r="H1454" s="5" t="s">
        <v>230</v>
      </c>
      <c r="I1454" s="5" t="s">
        <v>3589</v>
      </c>
      <c r="J1454" s="5" t="s">
        <v>250</v>
      </c>
      <c r="K1454" s="5" t="s">
        <v>2816</v>
      </c>
      <c r="L1454" s="5" t="s">
        <v>205</v>
      </c>
      <c r="M1454" s="5" t="s">
        <v>482</v>
      </c>
      <c r="N1454" s="5" t="s">
        <v>286</v>
      </c>
      <c r="O1454" s="5" t="s">
        <v>2800</v>
      </c>
      <c r="P1454" s="19" t="str">
        <f aca="false">IF(J1454="S0","—",IF(K1454="","",IF(L1454="E0","QM",INDEX(10_ASIL_Matrix!$D$4:$F$15,MATCH(J1454&amp;"-"&amp;L1454,10_ASIL_Matrix!$C$4:$C$15,0),MATCH(N1454,10_ASIL_Matrix!$D$3:$F$3,0)))))</f>
        <v>A</v>
      </c>
      <c r="Q1454" s="5" t="s">
        <v>448</v>
      </c>
    </row>
    <row r="1455" customFormat="false" ht="46.25" hidden="false" customHeight="false" outlineLevel="0" collapsed="false">
      <c r="A1455" s="6" t="s">
        <v>3590</v>
      </c>
      <c r="B1455" s="6" t="s">
        <v>105</v>
      </c>
      <c r="C1455" s="6" t="s">
        <v>106</v>
      </c>
      <c r="D1455" s="6" t="s">
        <v>164</v>
      </c>
      <c r="E1455" s="6" t="s">
        <v>165</v>
      </c>
      <c r="F1455" s="6" t="s">
        <v>189</v>
      </c>
      <c r="G1455" s="6" t="s">
        <v>466</v>
      </c>
      <c r="H1455" s="6" t="s">
        <v>232</v>
      </c>
      <c r="I1455" s="6" t="s">
        <v>3591</v>
      </c>
      <c r="J1455" s="6" t="s">
        <v>246</v>
      </c>
      <c r="K1455" s="6" t="s">
        <v>2805</v>
      </c>
      <c r="L1455" s="6" t="s">
        <v>233</v>
      </c>
      <c r="M1455" s="6" t="s">
        <v>486</v>
      </c>
      <c r="N1455" s="6" t="s">
        <v>282</v>
      </c>
      <c r="O1455" s="6" t="s">
        <v>2790</v>
      </c>
      <c r="P1455" s="6" t="str">
        <f aca="false">IF(J1455="S0","—",IF(K1455="","",IF(L1455="E0","QM",INDEX(10_ASIL_Matrix!$D$4:$F$15,MATCH(J1455&amp;"-"&amp;L1455,10_ASIL_Matrix!$C$4:$C$15,0),MATCH(N1455,10_ASIL_Matrix!$D$3:$F$3,0)))))</f>
        <v>QM</v>
      </c>
      <c r="Q1455" s="6" t="s">
        <v>448</v>
      </c>
    </row>
    <row r="1456" customFormat="false" ht="35.05" hidden="false" customHeight="false" outlineLevel="0" collapsed="false">
      <c r="A1456" s="5" t="s">
        <v>3592</v>
      </c>
      <c r="B1456" s="5" t="s">
        <v>105</v>
      </c>
      <c r="C1456" s="5" t="s">
        <v>106</v>
      </c>
      <c r="D1456" s="5" t="s">
        <v>164</v>
      </c>
      <c r="E1456" s="5" t="s">
        <v>165</v>
      </c>
      <c r="F1456" s="5" t="s">
        <v>192</v>
      </c>
      <c r="G1456" s="5" t="s">
        <v>488</v>
      </c>
      <c r="H1456" s="5" t="s">
        <v>222</v>
      </c>
      <c r="I1456" s="5" t="s">
        <v>3593</v>
      </c>
      <c r="J1456" s="5" t="s">
        <v>246</v>
      </c>
      <c r="K1456" s="5" t="s">
        <v>2821</v>
      </c>
      <c r="L1456" s="5" t="s">
        <v>187</v>
      </c>
      <c r="M1456" s="5" t="s">
        <v>491</v>
      </c>
      <c r="N1456" s="5" t="s">
        <v>282</v>
      </c>
      <c r="O1456" s="5" t="s">
        <v>2790</v>
      </c>
      <c r="P1456" s="19" t="str">
        <f aca="false">IF(J1456="S0","—",IF(K1456="","",IF(L1456="E0","QM",INDEX(10_ASIL_Matrix!$D$4:$F$15,MATCH(J1456&amp;"-"&amp;L1456,10_ASIL_Matrix!$C$4:$C$15,0),MATCH(N1456,10_ASIL_Matrix!$D$3:$F$3,0)))))</f>
        <v>A</v>
      </c>
      <c r="Q1456" s="5" t="s">
        <v>448</v>
      </c>
    </row>
    <row r="1457" customFormat="false" ht="35.05" hidden="false" customHeight="false" outlineLevel="0" collapsed="false">
      <c r="A1457" s="6" t="s">
        <v>3594</v>
      </c>
      <c r="B1457" s="6" t="s">
        <v>105</v>
      </c>
      <c r="C1457" s="6" t="s">
        <v>106</v>
      </c>
      <c r="D1457" s="6" t="s">
        <v>164</v>
      </c>
      <c r="E1457" s="6" t="s">
        <v>165</v>
      </c>
      <c r="F1457" s="6" t="s">
        <v>192</v>
      </c>
      <c r="G1457" s="6" t="s">
        <v>488</v>
      </c>
      <c r="H1457" s="6" t="s">
        <v>224</v>
      </c>
      <c r="I1457" s="6" t="s">
        <v>3595</v>
      </c>
      <c r="J1457" s="6" t="s">
        <v>246</v>
      </c>
      <c r="K1457" s="6" t="s">
        <v>2821</v>
      </c>
      <c r="L1457" s="6" t="s">
        <v>190</v>
      </c>
      <c r="M1457" s="6" t="s">
        <v>494</v>
      </c>
      <c r="N1457" s="6" t="s">
        <v>282</v>
      </c>
      <c r="O1457" s="6" t="s">
        <v>2790</v>
      </c>
      <c r="P1457" s="6" t="str">
        <f aca="false">IF(J1457="S0","—",IF(K1457="","",IF(L1457="E0","QM",INDEX(10_ASIL_Matrix!$D$4:$F$15,MATCH(J1457&amp;"-"&amp;L1457,10_ASIL_Matrix!$C$4:$C$15,0),MATCH(N1457,10_ASIL_Matrix!$D$3:$F$3,0)))))</f>
        <v>QM</v>
      </c>
      <c r="Q1457" s="6" t="s">
        <v>448</v>
      </c>
    </row>
    <row r="1458" customFormat="false" ht="35.05" hidden="false" customHeight="false" outlineLevel="0" collapsed="false">
      <c r="A1458" s="5" t="s">
        <v>3596</v>
      </c>
      <c r="B1458" s="5" t="s">
        <v>105</v>
      </c>
      <c r="C1458" s="5" t="s">
        <v>106</v>
      </c>
      <c r="D1458" s="5" t="s">
        <v>164</v>
      </c>
      <c r="E1458" s="5" t="s">
        <v>165</v>
      </c>
      <c r="F1458" s="5" t="s">
        <v>192</v>
      </c>
      <c r="G1458" s="5" t="s">
        <v>488</v>
      </c>
      <c r="H1458" s="5" t="s">
        <v>226</v>
      </c>
      <c r="I1458" s="5" t="s">
        <v>3597</v>
      </c>
      <c r="J1458" s="5" t="s">
        <v>246</v>
      </c>
      <c r="K1458" s="5" t="s">
        <v>2821</v>
      </c>
      <c r="L1458" s="5" t="s">
        <v>190</v>
      </c>
      <c r="M1458" s="5" t="s">
        <v>497</v>
      </c>
      <c r="N1458" s="5" t="s">
        <v>282</v>
      </c>
      <c r="O1458" s="5" t="s">
        <v>2790</v>
      </c>
      <c r="P1458" s="5" t="str">
        <f aca="false">IF(J1458="S0","—",IF(K1458="","",IF(L1458="E0","QM",INDEX(10_ASIL_Matrix!$D$4:$F$15,MATCH(J1458&amp;"-"&amp;L1458,10_ASIL_Matrix!$C$4:$C$15,0),MATCH(N1458,10_ASIL_Matrix!$D$3:$F$3,0)))))</f>
        <v>QM</v>
      </c>
      <c r="Q1458" s="5" t="s">
        <v>448</v>
      </c>
    </row>
    <row r="1459" customFormat="false" ht="35.05" hidden="false" customHeight="false" outlineLevel="0" collapsed="false">
      <c r="A1459" s="6" t="s">
        <v>3598</v>
      </c>
      <c r="B1459" s="6" t="s">
        <v>105</v>
      </c>
      <c r="C1459" s="6" t="s">
        <v>106</v>
      </c>
      <c r="D1459" s="6" t="s">
        <v>164</v>
      </c>
      <c r="E1459" s="6" t="s">
        <v>165</v>
      </c>
      <c r="F1459" s="6" t="s">
        <v>192</v>
      </c>
      <c r="G1459" s="6" t="s">
        <v>488</v>
      </c>
      <c r="H1459" s="6" t="s">
        <v>228</v>
      </c>
      <c r="I1459" s="6" t="s">
        <v>3599</v>
      </c>
      <c r="J1459" s="6" t="s">
        <v>246</v>
      </c>
      <c r="K1459" s="6" t="s">
        <v>2821</v>
      </c>
      <c r="L1459" s="6" t="s">
        <v>205</v>
      </c>
      <c r="M1459" s="6" t="s">
        <v>500</v>
      </c>
      <c r="N1459" s="6" t="s">
        <v>282</v>
      </c>
      <c r="O1459" s="6" t="s">
        <v>2790</v>
      </c>
      <c r="P1459" s="6" t="str">
        <f aca="false">IF(J1459="S0","—",IF(K1459="","",IF(L1459="E0","QM",INDEX(10_ASIL_Matrix!$D$4:$F$15,MATCH(J1459&amp;"-"&amp;L1459,10_ASIL_Matrix!$C$4:$C$15,0),MATCH(N1459,10_ASIL_Matrix!$D$3:$F$3,0)))))</f>
        <v>QM</v>
      </c>
      <c r="Q1459" s="6" t="s">
        <v>448</v>
      </c>
    </row>
    <row r="1460" customFormat="false" ht="35.05" hidden="false" customHeight="false" outlineLevel="0" collapsed="false">
      <c r="A1460" s="5" t="s">
        <v>3600</v>
      </c>
      <c r="B1460" s="5" t="s">
        <v>105</v>
      </c>
      <c r="C1460" s="5" t="s">
        <v>106</v>
      </c>
      <c r="D1460" s="5" t="s">
        <v>164</v>
      </c>
      <c r="E1460" s="5" t="s">
        <v>165</v>
      </c>
      <c r="F1460" s="5" t="s">
        <v>192</v>
      </c>
      <c r="G1460" s="5" t="s">
        <v>488</v>
      </c>
      <c r="H1460" s="5" t="s">
        <v>230</v>
      </c>
      <c r="I1460" s="5" t="s">
        <v>3601</v>
      </c>
      <c r="J1460" s="5" t="s">
        <v>250</v>
      </c>
      <c r="K1460" s="5" t="s">
        <v>2830</v>
      </c>
      <c r="L1460" s="5" t="s">
        <v>205</v>
      </c>
      <c r="M1460" s="5" t="s">
        <v>503</v>
      </c>
      <c r="N1460" s="5" t="s">
        <v>286</v>
      </c>
      <c r="O1460" s="5" t="s">
        <v>2800</v>
      </c>
      <c r="P1460" s="19" t="str">
        <f aca="false">IF(J1460="S0","—",IF(K1460="","",IF(L1460="E0","QM",INDEX(10_ASIL_Matrix!$D$4:$F$15,MATCH(J1460&amp;"-"&amp;L1460,10_ASIL_Matrix!$C$4:$C$15,0),MATCH(N1460,10_ASIL_Matrix!$D$3:$F$3,0)))))</f>
        <v>A</v>
      </c>
      <c r="Q1460" s="5" t="s">
        <v>448</v>
      </c>
    </row>
    <row r="1461" customFormat="false" ht="46.25" hidden="false" customHeight="false" outlineLevel="0" collapsed="false">
      <c r="A1461" s="6" t="s">
        <v>3602</v>
      </c>
      <c r="B1461" s="6" t="s">
        <v>105</v>
      </c>
      <c r="C1461" s="6" t="s">
        <v>106</v>
      </c>
      <c r="D1461" s="6" t="s">
        <v>164</v>
      </c>
      <c r="E1461" s="6" t="s">
        <v>165</v>
      </c>
      <c r="F1461" s="6" t="s">
        <v>192</v>
      </c>
      <c r="G1461" s="6" t="s">
        <v>488</v>
      </c>
      <c r="H1461" s="6" t="s">
        <v>232</v>
      </c>
      <c r="I1461" s="6" t="s">
        <v>3603</v>
      </c>
      <c r="J1461" s="6" t="s">
        <v>246</v>
      </c>
      <c r="K1461" s="6" t="s">
        <v>2821</v>
      </c>
      <c r="L1461" s="6" t="s">
        <v>233</v>
      </c>
      <c r="M1461" s="6" t="s">
        <v>506</v>
      </c>
      <c r="N1461" s="6" t="s">
        <v>282</v>
      </c>
      <c r="O1461" s="6" t="s">
        <v>2790</v>
      </c>
      <c r="P1461" s="6" t="str">
        <f aca="false">IF(J1461="S0","—",IF(K1461="","",IF(L1461="E0","QM",INDEX(10_ASIL_Matrix!$D$4:$F$15,MATCH(J1461&amp;"-"&amp;L1461,10_ASIL_Matrix!$C$4:$C$15,0),MATCH(N1461,10_ASIL_Matrix!$D$3:$F$3,0)))))</f>
        <v>QM</v>
      </c>
      <c r="Q1461" s="6" t="s">
        <v>448</v>
      </c>
    </row>
    <row r="1462" customFormat="false" ht="35.05" hidden="false" customHeight="false" outlineLevel="0" collapsed="false">
      <c r="A1462" s="5" t="s">
        <v>3604</v>
      </c>
      <c r="B1462" s="5" t="s">
        <v>105</v>
      </c>
      <c r="C1462" s="5" t="s">
        <v>106</v>
      </c>
      <c r="D1462" s="5" t="s">
        <v>164</v>
      </c>
      <c r="E1462" s="5" t="s">
        <v>165</v>
      </c>
      <c r="F1462" s="5" t="s">
        <v>194</v>
      </c>
      <c r="G1462" s="5" t="s">
        <v>508</v>
      </c>
      <c r="H1462" s="5" t="s">
        <v>222</v>
      </c>
      <c r="I1462" s="5" t="s">
        <v>3605</v>
      </c>
      <c r="J1462" s="5" t="s">
        <v>242</v>
      </c>
      <c r="K1462" s="5" t="s">
        <v>2835</v>
      </c>
      <c r="L1462" s="5" t="s">
        <v>190</v>
      </c>
      <c r="M1462" s="5" t="s">
        <v>511</v>
      </c>
      <c r="N1462" s="5" t="s">
        <v>282</v>
      </c>
      <c r="O1462" s="5" t="s">
        <v>2790</v>
      </c>
      <c r="P1462" s="5" t="str">
        <f aca="false">IF(J1462="S0","—",IF(K1462="","",IF(L1462="E0","QM",INDEX(10_ASIL_Matrix!$D$4:$F$15,MATCH(J1462&amp;"-"&amp;L1462,10_ASIL_Matrix!$C$4:$C$15,0),MATCH(N1462,10_ASIL_Matrix!$D$3:$F$3,0)))))</f>
        <v>QM</v>
      </c>
      <c r="Q1462" s="5" t="s">
        <v>448</v>
      </c>
    </row>
    <row r="1463" customFormat="false" ht="35.05" hidden="false" customHeight="false" outlineLevel="0" collapsed="false">
      <c r="A1463" s="6" t="s">
        <v>3606</v>
      </c>
      <c r="B1463" s="6" t="s">
        <v>105</v>
      </c>
      <c r="C1463" s="6" t="s">
        <v>106</v>
      </c>
      <c r="D1463" s="6" t="s">
        <v>164</v>
      </c>
      <c r="E1463" s="6" t="s">
        <v>165</v>
      </c>
      <c r="F1463" s="6" t="s">
        <v>194</v>
      </c>
      <c r="G1463" s="6" t="s">
        <v>508</v>
      </c>
      <c r="H1463" s="6" t="s">
        <v>224</v>
      </c>
      <c r="I1463" s="6" t="s">
        <v>3607</v>
      </c>
      <c r="J1463" s="6" t="s">
        <v>242</v>
      </c>
      <c r="K1463" s="6" t="s">
        <v>2835</v>
      </c>
      <c r="L1463" s="6" t="s">
        <v>190</v>
      </c>
      <c r="M1463" s="6" t="s">
        <v>514</v>
      </c>
      <c r="N1463" s="6" t="s">
        <v>282</v>
      </c>
      <c r="O1463" s="6" t="s">
        <v>2790</v>
      </c>
      <c r="P1463" s="6" t="str">
        <f aca="false">IF(J1463="S0","—",IF(K1463="","",IF(L1463="E0","QM",INDEX(10_ASIL_Matrix!$D$4:$F$15,MATCH(J1463&amp;"-"&amp;L1463,10_ASIL_Matrix!$C$4:$C$15,0),MATCH(N1463,10_ASIL_Matrix!$D$3:$F$3,0)))))</f>
        <v>QM</v>
      </c>
      <c r="Q1463" s="6" t="s">
        <v>448</v>
      </c>
    </row>
    <row r="1464" customFormat="false" ht="35.05" hidden="false" customHeight="false" outlineLevel="0" collapsed="false">
      <c r="A1464" s="5" t="s">
        <v>3608</v>
      </c>
      <c r="B1464" s="5" t="s">
        <v>105</v>
      </c>
      <c r="C1464" s="5" t="s">
        <v>106</v>
      </c>
      <c r="D1464" s="5" t="s">
        <v>164</v>
      </c>
      <c r="E1464" s="5" t="s">
        <v>165</v>
      </c>
      <c r="F1464" s="5" t="s">
        <v>194</v>
      </c>
      <c r="G1464" s="5" t="s">
        <v>508</v>
      </c>
      <c r="H1464" s="5" t="s">
        <v>226</v>
      </c>
      <c r="I1464" s="5" t="s">
        <v>3609</v>
      </c>
      <c r="J1464" s="5" t="s">
        <v>242</v>
      </c>
      <c r="K1464" s="5" t="s">
        <v>2835</v>
      </c>
      <c r="L1464" s="5" t="s">
        <v>190</v>
      </c>
      <c r="M1464" s="5" t="s">
        <v>517</v>
      </c>
      <c r="N1464" s="5" t="s">
        <v>282</v>
      </c>
      <c r="O1464" s="5" t="s">
        <v>2790</v>
      </c>
      <c r="P1464" s="5" t="str">
        <f aca="false">IF(J1464="S0","—",IF(K1464="","",IF(L1464="E0","QM",INDEX(10_ASIL_Matrix!$D$4:$F$15,MATCH(J1464&amp;"-"&amp;L1464,10_ASIL_Matrix!$C$4:$C$15,0),MATCH(N1464,10_ASIL_Matrix!$D$3:$F$3,0)))))</f>
        <v>QM</v>
      </c>
      <c r="Q1464" s="5" t="s">
        <v>448</v>
      </c>
    </row>
    <row r="1465" customFormat="false" ht="46.25" hidden="false" customHeight="false" outlineLevel="0" collapsed="false">
      <c r="A1465" s="6" t="s">
        <v>3610</v>
      </c>
      <c r="B1465" s="6" t="s">
        <v>105</v>
      </c>
      <c r="C1465" s="6" t="s">
        <v>106</v>
      </c>
      <c r="D1465" s="6" t="s">
        <v>164</v>
      </c>
      <c r="E1465" s="6" t="s">
        <v>165</v>
      </c>
      <c r="F1465" s="6" t="s">
        <v>194</v>
      </c>
      <c r="G1465" s="6" t="s">
        <v>508</v>
      </c>
      <c r="H1465" s="6" t="s">
        <v>228</v>
      </c>
      <c r="I1465" s="6" t="s">
        <v>3611</v>
      </c>
      <c r="J1465" s="6" t="s">
        <v>242</v>
      </c>
      <c r="K1465" s="6" t="s">
        <v>2835</v>
      </c>
      <c r="L1465" s="6" t="s">
        <v>205</v>
      </c>
      <c r="M1465" s="6" t="s">
        <v>520</v>
      </c>
      <c r="N1465" s="6" t="s">
        <v>282</v>
      </c>
      <c r="O1465" s="6" t="s">
        <v>2790</v>
      </c>
      <c r="P1465" s="6" t="str">
        <f aca="false">IF(J1465="S0","—",IF(K1465="","",IF(L1465="E0","QM",INDEX(10_ASIL_Matrix!$D$4:$F$15,MATCH(J1465&amp;"-"&amp;L1465,10_ASIL_Matrix!$C$4:$C$15,0),MATCH(N1465,10_ASIL_Matrix!$D$3:$F$3,0)))))</f>
        <v>QM</v>
      </c>
      <c r="Q1465" s="6" t="s">
        <v>448</v>
      </c>
    </row>
    <row r="1466" customFormat="false" ht="35.05" hidden="false" customHeight="false" outlineLevel="0" collapsed="false">
      <c r="A1466" s="5" t="s">
        <v>3612</v>
      </c>
      <c r="B1466" s="5" t="s">
        <v>105</v>
      </c>
      <c r="C1466" s="5" t="s">
        <v>106</v>
      </c>
      <c r="D1466" s="5" t="s">
        <v>164</v>
      </c>
      <c r="E1466" s="5" t="s">
        <v>165</v>
      </c>
      <c r="F1466" s="5" t="s">
        <v>194</v>
      </c>
      <c r="G1466" s="5" t="s">
        <v>508</v>
      </c>
      <c r="H1466" s="5" t="s">
        <v>230</v>
      </c>
      <c r="I1466" s="5" t="s">
        <v>3613</v>
      </c>
      <c r="J1466" s="5" t="s">
        <v>246</v>
      </c>
      <c r="K1466" s="5" t="s">
        <v>2844</v>
      </c>
      <c r="L1466" s="5" t="s">
        <v>205</v>
      </c>
      <c r="M1466" s="5" t="s">
        <v>523</v>
      </c>
      <c r="N1466" s="5" t="s">
        <v>286</v>
      </c>
      <c r="O1466" s="5" t="s">
        <v>2800</v>
      </c>
      <c r="P1466" s="5" t="str">
        <f aca="false">IF(J1466="S0","—",IF(K1466="","",IF(L1466="E0","QM",INDEX(10_ASIL_Matrix!$D$4:$F$15,MATCH(J1466&amp;"-"&amp;L1466,10_ASIL_Matrix!$C$4:$C$15,0),MATCH(N1466,10_ASIL_Matrix!$D$3:$F$3,0)))))</f>
        <v>QM</v>
      </c>
      <c r="Q1466" s="5" t="s">
        <v>448</v>
      </c>
    </row>
    <row r="1467" customFormat="false" ht="46.25" hidden="false" customHeight="false" outlineLevel="0" collapsed="false">
      <c r="A1467" s="6" t="s">
        <v>3614</v>
      </c>
      <c r="B1467" s="6" t="s">
        <v>105</v>
      </c>
      <c r="C1467" s="6" t="s">
        <v>106</v>
      </c>
      <c r="D1467" s="6" t="s">
        <v>164</v>
      </c>
      <c r="E1467" s="6" t="s">
        <v>165</v>
      </c>
      <c r="F1467" s="6" t="s">
        <v>194</v>
      </c>
      <c r="G1467" s="6" t="s">
        <v>508</v>
      </c>
      <c r="H1467" s="6" t="s">
        <v>232</v>
      </c>
      <c r="I1467" s="6" t="s">
        <v>3615</v>
      </c>
      <c r="J1467" s="6" t="s">
        <v>242</v>
      </c>
      <c r="K1467" s="6" t="s">
        <v>2835</v>
      </c>
      <c r="L1467" s="6" t="s">
        <v>233</v>
      </c>
      <c r="M1467" s="6" t="s">
        <v>526</v>
      </c>
      <c r="N1467" s="6" t="s">
        <v>282</v>
      </c>
      <c r="O1467" s="6" t="s">
        <v>2790</v>
      </c>
      <c r="P1467" s="6" t="str">
        <f aca="false">IF(J1467="S0","—",IF(K1467="","",IF(L1467="E0","QM",INDEX(10_ASIL_Matrix!$D$4:$F$15,MATCH(J1467&amp;"-"&amp;L1467,10_ASIL_Matrix!$C$4:$C$15,0),MATCH(N1467,10_ASIL_Matrix!$D$3:$F$3,0)))))</f>
        <v>QM</v>
      </c>
      <c r="Q1467" s="6" t="s">
        <v>448</v>
      </c>
    </row>
    <row r="1468" customFormat="false" ht="35.05" hidden="false" customHeight="false" outlineLevel="0" collapsed="false">
      <c r="A1468" s="5" t="s">
        <v>3616</v>
      </c>
      <c r="B1468" s="5" t="s">
        <v>105</v>
      </c>
      <c r="C1468" s="5" t="s">
        <v>106</v>
      </c>
      <c r="D1468" s="5" t="s">
        <v>164</v>
      </c>
      <c r="E1468" s="5" t="s">
        <v>165</v>
      </c>
      <c r="F1468" s="5" t="s">
        <v>196</v>
      </c>
      <c r="G1468" s="5" t="s">
        <v>528</v>
      </c>
      <c r="H1468" s="5" t="s">
        <v>222</v>
      </c>
      <c r="I1468" s="5" t="s">
        <v>3617</v>
      </c>
      <c r="J1468" s="5" t="s">
        <v>246</v>
      </c>
      <c r="K1468" s="5" t="s">
        <v>2849</v>
      </c>
      <c r="L1468" s="5" t="s">
        <v>187</v>
      </c>
      <c r="M1468" s="5" t="s">
        <v>531</v>
      </c>
      <c r="N1468" s="5" t="s">
        <v>286</v>
      </c>
      <c r="O1468" s="5" t="s">
        <v>2850</v>
      </c>
      <c r="P1468" s="18" t="str">
        <f aca="false">IF(J1468="S0","—",IF(K1468="","",IF(L1468="E0","QM",INDEX(10_ASIL_Matrix!$D$4:$F$15,MATCH(J1468&amp;"-"&amp;L1468,10_ASIL_Matrix!$C$4:$C$15,0),MATCH(N1468,10_ASIL_Matrix!$D$3:$F$3,0)))))</f>
        <v>B</v>
      </c>
      <c r="Q1468" s="5" t="s">
        <v>448</v>
      </c>
    </row>
    <row r="1469" customFormat="false" ht="35.05" hidden="false" customHeight="false" outlineLevel="0" collapsed="false">
      <c r="A1469" s="6" t="s">
        <v>3618</v>
      </c>
      <c r="B1469" s="6" t="s">
        <v>105</v>
      </c>
      <c r="C1469" s="6" t="s">
        <v>106</v>
      </c>
      <c r="D1469" s="6" t="s">
        <v>164</v>
      </c>
      <c r="E1469" s="6" t="s">
        <v>165</v>
      </c>
      <c r="F1469" s="6" t="s">
        <v>196</v>
      </c>
      <c r="G1469" s="6" t="s">
        <v>528</v>
      </c>
      <c r="H1469" s="6" t="s">
        <v>224</v>
      </c>
      <c r="I1469" s="6" t="s">
        <v>3619</v>
      </c>
      <c r="J1469" s="6" t="s">
        <v>246</v>
      </c>
      <c r="K1469" s="6" t="s">
        <v>2849</v>
      </c>
      <c r="L1469" s="6" t="s">
        <v>190</v>
      </c>
      <c r="M1469" s="6" t="s">
        <v>534</v>
      </c>
      <c r="N1469" s="6" t="s">
        <v>286</v>
      </c>
      <c r="O1469" s="6" t="s">
        <v>2850</v>
      </c>
      <c r="P1469" s="19" t="str">
        <f aca="false">IF(J1469="S0","—",IF(K1469="","",IF(L1469="E0","QM",INDEX(10_ASIL_Matrix!$D$4:$F$15,MATCH(J1469&amp;"-"&amp;L1469,10_ASIL_Matrix!$C$4:$C$15,0),MATCH(N1469,10_ASIL_Matrix!$D$3:$F$3,0)))))</f>
        <v>A</v>
      </c>
      <c r="Q1469" s="6" t="s">
        <v>448</v>
      </c>
    </row>
    <row r="1470" customFormat="false" ht="35.05" hidden="false" customHeight="false" outlineLevel="0" collapsed="false">
      <c r="A1470" s="5" t="s">
        <v>3620</v>
      </c>
      <c r="B1470" s="5" t="s">
        <v>105</v>
      </c>
      <c r="C1470" s="5" t="s">
        <v>106</v>
      </c>
      <c r="D1470" s="5" t="s">
        <v>164</v>
      </c>
      <c r="E1470" s="5" t="s">
        <v>165</v>
      </c>
      <c r="F1470" s="5" t="s">
        <v>196</v>
      </c>
      <c r="G1470" s="5" t="s">
        <v>528</v>
      </c>
      <c r="H1470" s="5" t="s">
        <v>226</v>
      </c>
      <c r="I1470" s="5" t="s">
        <v>3621</v>
      </c>
      <c r="J1470" s="5" t="s">
        <v>246</v>
      </c>
      <c r="K1470" s="5" t="s">
        <v>2849</v>
      </c>
      <c r="L1470" s="5" t="s">
        <v>190</v>
      </c>
      <c r="M1470" s="5" t="s">
        <v>537</v>
      </c>
      <c r="N1470" s="5" t="s">
        <v>286</v>
      </c>
      <c r="O1470" s="5" t="s">
        <v>2850</v>
      </c>
      <c r="P1470" s="19" t="str">
        <f aca="false">IF(J1470="S0","—",IF(K1470="","",IF(L1470="E0","QM",INDEX(10_ASIL_Matrix!$D$4:$F$15,MATCH(J1470&amp;"-"&amp;L1470,10_ASIL_Matrix!$C$4:$C$15,0),MATCH(N1470,10_ASIL_Matrix!$D$3:$F$3,0)))))</f>
        <v>A</v>
      </c>
      <c r="Q1470" s="5" t="s">
        <v>448</v>
      </c>
    </row>
    <row r="1471" customFormat="false" ht="46.25" hidden="false" customHeight="false" outlineLevel="0" collapsed="false">
      <c r="A1471" s="6" t="s">
        <v>3622</v>
      </c>
      <c r="B1471" s="6" t="s">
        <v>105</v>
      </c>
      <c r="C1471" s="6" t="s">
        <v>106</v>
      </c>
      <c r="D1471" s="6" t="s">
        <v>164</v>
      </c>
      <c r="E1471" s="6" t="s">
        <v>165</v>
      </c>
      <c r="F1471" s="6" t="s">
        <v>196</v>
      </c>
      <c r="G1471" s="6" t="s">
        <v>528</v>
      </c>
      <c r="H1471" s="6" t="s">
        <v>228</v>
      </c>
      <c r="I1471" s="6" t="s">
        <v>3623</v>
      </c>
      <c r="J1471" s="6" t="s">
        <v>246</v>
      </c>
      <c r="K1471" s="6" t="s">
        <v>2849</v>
      </c>
      <c r="L1471" s="6" t="s">
        <v>205</v>
      </c>
      <c r="M1471" s="6" t="s">
        <v>540</v>
      </c>
      <c r="N1471" s="6" t="s">
        <v>286</v>
      </c>
      <c r="O1471" s="6" t="s">
        <v>2850</v>
      </c>
      <c r="P1471" s="6" t="str">
        <f aca="false">IF(J1471="S0","—",IF(K1471="","",IF(L1471="E0","QM",INDEX(10_ASIL_Matrix!$D$4:$F$15,MATCH(J1471&amp;"-"&amp;L1471,10_ASIL_Matrix!$C$4:$C$15,0),MATCH(N1471,10_ASIL_Matrix!$D$3:$F$3,0)))))</f>
        <v>QM</v>
      </c>
      <c r="Q1471" s="6" t="s">
        <v>448</v>
      </c>
    </row>
    <row r="1472" customFormat="false" ht="35.05" hidden="false" customHeight="false" outlineLevel="0" collapsed="false">
      <c r="A1472" s="5" t="s">
        <v>3624</v>
      </c>
      <c r="B1472" s="5" t="s">
        <v>105</v>
      </c>
      <c r="C1472" s="5" t="s">
        <v>106</v>
      </c>
      <c r="D1472" s="5" t="s">
        <v>164</v>
      </c>
      <c r="E1472" s="5" t="s">
        <v>165</v>
      </c>
      <c r="F1472" s="5" t="s">
        <v>196</v>
      </c>
      <c r="G1472" s="5" t="s">
        <v>528</v>
      </c>
      <c r="H1472" s="5" t="s">
        <v>230</v>
      </c>
      <c r="I1472" s="5" t="s">
        <v>3625</v>
      </c>
      <c r="J1472" s="5" t="s">
        <v>250</v>
      </c>
      <c r="K1472" s="5" t="s">
        <v>2859</v>
      </c>
      <c r="L1472" s="5" t="s">
        <v>205</v>
      </c>
      <c r="M1472" s="5" t="s">
        <v>543</v>
      </c>
      <c r="N1472" s="5" t="s">
        <v>290</v>
      </c>
      <c r="O1472" s="5" t="s">
        <v>2860</v>
      </c>
      <c r="P1472" s="18" t="str">
        <f aca="false">IF(J1472="S0","—",IF(K1472="","",IF(L1472="E0","QM",INDEX(10_ASIL_Matrix!$D$4:$F$15,MATCH(J1472&amp;"-"&amp;L1472,10_ASIL_Matrix!$C$4:$C$15,0),MATCH(N1472,10_ASIL_Matrix!$D$3:$F$3,0)))))</f>
        <v>B</v>
      </c>
      <c r="Q1472" s="5" t="s">
        <v>448</v>
      </c>
    </row>
    <row r="1473" customFormat="false" ht="46.25" hidden="false" customHeight="false" outlineLevel="0" collapsed="false">
      <c r="A1473" s="6" t="s">
        <v>3626</v>
      </c>
      <c r="B1473" s="6" t="s">
        <v>105</v>
      </c>
      <c r="C1473" s="6" t="s">
        <v>106</v>
      </c>
      <c r="D1473" s="6" t="s">
        <v>164</v>
      </c>
      <c r="E1473" s="6" t="s">
        <v>165</v>
      </c>
      <c r="F1473" s="6" t="s">
        <v>196</v>
      </c>
      <c r="G1473" s="6" t="s">
        <v>528</v>
      </c>
      <c r="H1473" s="6" t="s">
        <v>232</v>
      </c>
      <c r="I1473" s="6" t="s">
        <v>3627</v>
      </c>
      <c r="J1473" s="6" t="s">
        <v>246</v>
      </c>
      <c r="K1473" s="6" t="s">
        <v>2849</v>
      </c>
      <c r="L1473" s="6" t="s">
        <v>233</v>
      </c>
      <c r="M1473" s="6" t="s">
        <v>546</v>
      </c>
      <c r="N1473" s="6" t="s">
        <v>286</v>
      </c>
      <c r="O1473" s="6" t="s">
        <v>2850</v>
      </c>
      <c r="P1473" s="6" t="str">
        <f aca="false">IF(J1473="S0","—",IF(K1473="","",IF(L1473="E0","QM",INDEX(10_ASIL_Matrix!$D$4:$F$15,MATCH(J1473&amp;"-"&amp;L1473,10_ASIL_Matrix!$C$4:$C$15,0),MATCH(N1473,10_ASIL_Matrix!$D$3:$F$3,0)))))</f>
        <v>QM</v>
      </c>
      <c r="Q1473" s="6" t="s">
        <v>448</v>
      </c>
    </row>
    <row r="1474" customFormat="false" ht="35.05" hidden="false" customHeight="false" outlineLevel="0" collapsed="false">
      <c r="A1474" s="5" t="s">
        <v>3628</v>
      </c>
      <c r="B1474" s="5" t="s">
        <v>105</v>
      </c>
      <c r="C1474" s="5" t="s">
        <v>106</v>
      </c>
      <c r="D1474" s="5" t="s">
        <v>164</v>
      </c>
      <c r="E1474" s="5" t="s">
        <v>165</v>
      </c>
      <c r="F1474" s="5" t="s">
        <v>198</v>
      </c>
      <c r="G1474" s="5" t="s">
        <v>548</v>
      </c>
      <c r="H1474" s="5" t="s">
        <v>222</v>
      </c>
      <c r="I1474" s="5" t="s">
        <v>3629</v>
      </c>
      <c r="J1474" s="5" t="s">
        <v>242</v>
      </c>
      <c r="K1474" s="5" t="s">
        <v>2865</v>
      </c>
      <c r="L1474" s="5" t="s">
        <v>190</v>
      </c>
      <c r="M1474" s="5" t="s">
        <v>551</v>
      </c>
      <c r="N1474" s="5" t="s">
        <v>282</v>
      </c>
      <c r="O1474" s="5" t="s">
        <v>2790</v>
      </c>
      <c r="P1474" s="5" t="str">
        <f aca="false">IF(J1474="S0","—",IF(K1474="","",IF(L1474="E0","QM",INDEX(10_ASIL_Matrix!$D$4:$F$15,MATCH(J1474&amp;"-"&amp;L1474,10_ASIL_Matrix!$C$4:$C$15,0),MATCH(N1474,10_ASIL_Matrix!$D$3:$F$3,0)))))</f>
        <v>QM</v>
      </c>
      <c r="Q1474" s="5" t="s">
        <v>448</v>
      </c>
    </row>
    <row r="1475" customFormat="false" ht="35.05" hidden="false" customHeight="false" outlineLevel="0" collapsed="false">
      <c r="A1475" s="6" t="s">
        <v>3630</v>
      </c>
      <c r="B1475" s="6" t="s">
        <v>105</v>
      </c>
      <c r="C1475" s="6" t="s">
        <v>106</v>
      </c>
      <c r="D1475" s="6" t="s">
        <v>164</v>
      </c>
      <c r="E1475" s="6" t="s">
        <v>165</v>
      </c>
      <c r="F1475" s="6" t="s">
        <v>198</v>
      </c>
      <c r="G1475" s="6" t="s">
        <v>548</v>
      </c>
      <c r="H1475" s="6" t="s">
        <v>224</v>
      </c>
      <c r="I1475" s="6" t="s">
        <v>3631</v>
      </c>
      <c r="J1475" s="6" t="s">
        <v>242</v>
      </c>
      <c r="K1475" s="6" t="s">
        <v>2865</v>
      </c>
      <c r="L1475" s="6" t="s">
        <v>190</v>
      </c>
      <c r="M1475" s="6" t="s">
        <v>555</v>
      </c>
      <c r="N1475" s="6" t="s">
        <v>282</v>
      </c>
      <c r="O1475" s="6" t="s">
        <v>2790</v>
      </c>
      <c r="P1475" s="6" t="str">
        <f aca="false">IF(J1475="S0","—",IF(K1475="","",IF(L1475="E0","QM",INDEX(10_ASIL_Matrix!$D$4:$F$15,MATCH(J1475&amp;"-"&amp;L1475,10_ASIL_Matrix!$C$4:$C$15,0),MATCH(N1475,10_ASIL_Matrix!$D$3:$F$3,0)))))</f>
        <v>QM</v>
      </c>
      <c r="Q1475" s="6" t="s">
        <v>448</v>
      </c>
    </row>
    <row r="1476" customFormat="false" ht="35.05" hidden="false" customHeight="false" outlineLevel="0" collapsed="false">
      <c r="A1476" s="5" t="s">
        <v>3632</v>
      </c>
      <c r="B1476" s="5" t="s">
        <v>105</v>
      </c>
      <c r="C1476" s="5" t="s">
        <v>106</v>
      </c>
      <c r="D1476" s="5" t="s">
        <v>164</v>
      </c>
      <c r="E1476" s="5" t="s">
        <v>165</v>
      </c>
      <c r="F1476" s="5" t="s">
        <v>198</v>
      </c>
      <c r="G1476" s="5" t="s">
        <v>548</v>
      </c>
      <c r="H1476" s="5" t="s">
        <v>226</v>
      </c>
      <c r="I1476" s="5" t="s">
        <v>3633</v>
      </c>
      <c r="J1476" s="5" t="s">
        <v>242</v>
      </c>
      <c r="K1476" s="5" t="s">
        <v>2865</v>
      </c>
      <c r="L1476" s="5" t="s">
        <v>190</v>
      </c>
      <c r="M1476" s="5" t="s">
        <v>558</v>
      </c>
      <c r="N1476" s="5" t="s">
        <v>282</v>
      </c>
      <c r="O1476" s="5" t="s">
        <v>2790</v>
      </c>
      <c r="P1476" s="5" t="str">
        <f aca="false">IF(J1476="S0","—",IF(K1476="","",IF(L1476="E0","QM",INDEX(10_ASIL_Matrix!$D$4:$F$15,MATCH(J1476&amp;"-"&amp;L1476,10_ASIL_Matrix!$C$4:$C$15,0),MATCH(N1476,10_ASIL_Matrix!$D$3:$F$3,0)))))</f>
        <v>QM</v>
      </c>
      <c r="Q1476" s="5" t="s">
        <v>448</v>
      </c>
    </row>
    <row r="1477" customFormat="false" ht="46.25" hidden="false" customHeight="false" outlineLevel="0" collapsed="false">
      <c r="A1477" s="6" t="s">
        <v>3634</v>
      </c>
      <c r="B1477" s="6" t="s">
        <v>105</v>
      </c>
      <c r="C1477" s="6" t="s">
        <v>106</v>
      </c>
      <c r="D1477" s="6" t="s">
        <v>164</v>
      </c>
      <c r="E1477" s="6" t="s">
        <v>165</v>
      </c>
      <c r="F1477" s="6" t="s">
        <v>198</v>
      </c>
      <c r="G1477" s="6" t="s">
        <v>548</v>
      </c>
      <c r="H1477" s="6" t="s">
        <v>228</v>
      </c>
      <c r="I1477" s="6" t="s">
        <v>3635</v>
      </c>
      <c r="J1477" s="6" t="s">
        <v>242</v>
      </c>
      <c r="K1477" s="6" t="s">
        <v>2865</v>
      </c>
      <c r="L1477" s="6" t="s">
        <v>205</v>
      </c>
      <c r="M1477" s="6" t="s">
        <v>561</v>
      </c>
      <c r="N1477" s="6" t="s">
        <v>282</v>
      </c>
      <c r="O1477" s="6" t="s">
        <v>2790</v>
      </c>
      <c r="P1477" s="6" t="str">
        <f aca="false">IF(J1477="S0","—",IF(K1477="","",IF(L1477="E0","QM",INDEX(10_ASIL_Matrix!$D$4:$F$15,MATCH(J1477&amp;"-"&amp;L1477,10_ASIL_Matrix!$C$4:$C$15,0),MATCH(N1477,10_ASIL_Matrix!$D$3:$F$3,0)))))</f>
        <v>QM</v>
      </c>
      <c r="Q1477" s="6" t="s">
        <v>448</v>
      </c>
    </row>
    <row r="1478" customFormat="false" ht="46.25" hidden="false" customHeight="false" outlineLevel="0" collapsed="false">
      <c r="A1478" s="5" t="s">
        <v>3636</v>
      </c>
      <c r="B1478" s="5" t="s">
        <v>105</v>
      </c>
      <c r="C1478" s="5" t="s">
        <v>106</v>
      </c>
      <c r="D1478" s="5" t="s">
        <v>164</v>
      </c>
      <c r="E1478" s="5" t="s">
        <v>165</v>
      </c>
      <c r="F1478" s="5" t="s">
        <v>198</v>
      </c>
      <c r="G1478" s="5" t="s">
        <v>548</v>
      </c>
      <c r="H1478" s="5" t="s">
        <v>230</v>
      </c>
      <c r="I1478" s="5" t="s">
        <v>3637</v>
      </c>
      <c r="J1478" s="5" t="s">
        <v>246</v>
      </c>
      <c r="K1478" s="5" t="s">
        <v>2874</v>
      </c>
      <c r="L1478" s="5" t="s">
        <v>205</v>
      </c>
      <c r="M1478" s="5" t="s">
        <v>564</v>
      </c>
      <c r="N1478" s="5" t="s">
        <v>286</v>
      </c>
      <c r="O1478" s="5" t="s">
        <v>2800</v>
      </c>
      <c r="P1478" s="5" t="str">
        <f aca="false">IF(J1478="S0","—",IF(K1478="","",IF(L1478="E0","QM",INDEX(10_ASIL_Matrix!$D$4:$F$15,MATCH(J1478&amp;"-"&amp;L1478,10_ASIL_Matrix!$C$4:$C$15,0),MATCH(N1478,10_ASIL_Matrix!$D$3:$F$3,0)))))</f>
        <v>QM</v>
      </c>
      <c r="Q1478" s="5" t="s">
        <v>448</v>
      </c>
    </row>
    <row r="1479" customFormat="false" ht="46.25" hidden="false" customHeight="false" outlineLevel="0" collapsed="false">
      <c r="A1479" s="6" t="s">
        <v>3638</v>
      </c>
      <c r="B1479" s="6" t="s">
        <v>105</v>
      </c>
      <c r="C1479" s="6" t="s">
        <v>106</v>
      </c>
      <c r="D1479" s="6" t="s">
        <v>164</v>
      </c>
      <c r="E1479" s="6" t="s">
        <v>165</v>
      </c>
      <c r="F1479" s="6" t="s">
        <v>198</v>
      </c>
      <c r="G1479" s="6" t="s">
        <v>548</v>
      </c>
      <c r="H1479" s="6" t="s">
        <v>232</v>
      </c>
      <c r="I1479" s="6" t="s">
        <v>3639</v>
      </c>
      <c r="J1479" s="6" t="s">
        <v>242</v>
      </c>
      <c r="K1479" s="6" t="s">
        <v>2865</v>
      </c>
      <c r="L1479" s="6" t="s">
        <v>233</v>
      </c>
      <c r="M1479" s="6" t="s">
        <v>568</v>
      </c>
      <c r="N1479" s="6" t="s">
        <v>282</v>
      </c>
      <c r="O1479" s="6" t="s">
        <v>2790</v>
      </c>
      <c r="P1479" s="6" t="str">
        <f aca="false">IF(J1479="S0","—",IF(K1479="","",IF(L1479="E0","QM",INDEX(10_ASIL_Matrix!$D$4:$F$15,MATCH(J1479&amp;"-"&amp;L1479,10_ASIL_Matrix!$C$4:$C$15,0),MATCH(N1479,10_ASIL_Matrix!$D$3:$F$3,0)))))</f>
        <v>QM</v>
      </c>
      <c r="Q1479" s="6" t="s">
        <v>448</v>
      </c>
    </row>
    <row r="1480" customFormat="false" ht="35.05" hidden="false" customHeight="false" outlineLevel="0" collapsed="false">
      <c r="A1480" s="5" t="s">
        <v>3640</v>
      </c>
      <c r="B1480" s="5" t="s">
        <v>105</v>
      </c>
      <c r="C1480" s="5" t="s">
        <v>106</v>
      </c>
      <c r="D1480" s="5" t="s">
        <v>164</v>
      </c>
      <c r="E1480" s="5" t="s">
        <v>165</v>
      </c>
      <c r="F1480" s="5" t="s">
        <v>200</v>
      </c>
      <c r="G1480" s="5" t="s">
        <v>570</v>
      </c>
      <c r="H1480" s="5" t="s">
        <v>222</v>
      </c>
      <c r="I1480" s="5" t="s">
        <v>3641</v>
      </c>
      <c r="J1480" s="5" t="s">
        <v>242</v>
      </c>
      <c r="K1480" s="5" t="s">
        <v>2879</v>
      </c>
      <c r="L1480" s="5" t="s">
        <v>190</v>
      </c>
      <c r="M1480" s="5" t="s">
        <v>573</v>
      </c>
      <c r="N1480" s="5" t="s">
        <v>282</v>
      </c>
      <c r="O1480" s="5" t="s">
        <v>2790</v>
      </c>
      <c r="P1480" s="5" t="str">
        <f aca="false">IF(J1480="S0","—",IF(K1480="","",IF(L1480="E0","QM",INDEX(10_ASIL_Matrix!$D$4:$F$15,MATCH(J1480&amp;"-"&amp;L1480,10_ASIL_Matrix!$C$4:$C$15,0),MATCH(N1480,10_ASIL_Matrix!$D$3:$F$3,0)))))</f>
        <v>QM</v>
      </c>
      <c r="Q1480" s="5" t="s">
        <v>448</v>
      </c>
    </row>
    <row r="1481" customFormat="false" ht="35.05" hidden="false" customHeight="false" outlineLevel="0" collapsed="false">
      <c r="A1481" s="6" t="s">
        <v>3642</v>
      </c>
      <c r="B1481" s="6" t="s">
        <v>105</v>
      </c>
      <c r="C1481" s="6" t="s">
        <v>106</v>
      </c>
      <c r="D1481" s="6" t="s">
        <v>164</v>
      </c>
      <c r="E1481" s="6" t="s">
        <v>165</v>
      </c>
      <c r="F1481" s="6" t="s">
        <v>200</v>
      </c>
      <c r="G1481" s="6" t="s">
        <v>570</v>
      </c>
      <c r="H1481" s="6" t="s">
        <v>224</v>
      </c>
      <c r="I1481" s="6" t="s">
        <v>3643</v>
      </c>
      <c r="J1481" s="6" t="s">
        <v>242</v>
      </c>
      <c r="K1481" s="6" t="s">
        <v>2879</v>
      </c>
      <c r="L1481" s="6" t="s">
        <v>190</v>
      </c>
      <c r="M1481" s="6" t="s">
        <v>576</v>
      </c>
      <c r="N1481" s="6" t="s">
        <v>282</v>
      </c>
      <c r="O1481" s="6" t="s">
        <v>2790</v>
      </c>
      <c r="P1481" s="6" t="str">
        <f aca="false">IF(J1481="S0","—",IF(K1481="","",IF(L1481="E0","QM",INDEX(10_ASIL_Matrix!$D$4:$F$15,MATCH(J1481&amp;"-"&amp;L1481,10_ASIL_Matrix!$C$4:$C$15,0),MATCH(N1481,10_ASIL_Matrix!$D$3:$F$3,0)))))</f>
        <v>QM</v>
      </c>
      <c r="Q1481" s="6" t="s">
        <v>448</v>
      </c>
    </row>
    <row r="1482" customFormat="false" ht="35.05" hidden="false" customHeight="false" outlineLevel="0" collapsed="false">
      <c r="A1482" s="5" t="s">
        <v>3644</v>
      </c>
      <c r="B1482" s="5" t="s">
        <v>105</v>
      </c>
      <c r="C1482" s="5" t="s">
        <v>106</v>
      </c>
      <c r="D1482" s="5" t="s">
        <v>164</v>
      </c>
      <c r="E1482" s="5" t="s">
        <v>165</v>
      </c>
      <c r="F1482" s="5" t="s">
        <v>200</v>
      </c>
      <c r="G1482" s="5" t="s">
        <v>570</v>
      </c>
      <c r="H1482" s="5" t="s">
        <v>226</v>
      </c>
      <c r="I1482" s="5" t="s">
        <v>3645</v>
      </c>
      <c r="J1482" s="5" t="s">
        <v>242</v>
      </c>
      <c r="K1482" s="5" t="s">
        <v>2879</v>
      </c>
      <c r="L1482" s="5" t="s">
        <v>190</v>
      </c>
      <c r="M1482" s="5" t="s">
        <v>579</v>
      </c>
      <c r="N1482" s="5" t="s">
        <v>282</v>
      </c>
      <c r="O1482" s="5" t="s">
        <v>2790</v>
      </c>
      <c r="P1482" s="5" t="str">
        <f aca="false">IF(J1482="S0","—",IF(K1482="","",IF(L1482="E0","QM",INDEX(10_ASIL_Matrix!$D$4:$F$15,MATCH(J1482&amp;"-"&amp;L1482,10_ASIL_Matrix!$C$4:$C$15,0),MATCH(N1482,10_ASIL_Matrix!$D$3:$F$3,0)))))</f>
        <v>QM</v>
      </c>
      <c r="Q1482" s="5" t="s">
        <v>448</v>
      </c>
    </row>
    <row r="1483" customFormat="false" ht="46.25" hidden="false" customHeight="false" outlineLevel="0" collapsed="false">
      <c r="A1483" s="6" t="s">
        <v>3646</v>
      </c>
      <c r="B1483" s="6" t="s">
        <v>105</v>
      </c>
      <c r="C1483" s="6" t="s">
        <v>106</v>
      </c>
      <c r="D1483" s="6" t="s">
        <v>164</v>
      </c>
      <c r="E1483" s="6" t="s">
        <v>165</v>
      </c>
      <c r="F1483" s="6" t="s">
        <v>200</v>
      </c>
      <c r="G1483" s="6" t="s">
        <v>570</v>
      </c>
      <c r="H1483" s="6" t="s">
        <v>228</v>
      </c>
      <c r="I1483" s="6" t="s">
        <v>3647</v>
      </c>
      <c r="J1483" s="6" t="s">
        <v>242</v>
      </c>
      <c r="K1483" s="6" t="s">
        <v>2879</v>
      </c>
      <c r="L1483" s="6" t="s">
        <v>205</v>
      </c>
      <c r="M1483" s="6" t="s">
        <v>582</v>
      </c>
      <c r="N1483" s="6" t="s">
        <v>282</v>
      </c>
      <c r="O1483" s="6" t="s">
        <v>2790</v>
      </c>
      <c r="P1483" s="6" t="str">
        <f aca="false">IF(J1483="S0","—",IF(K1483="","",IF(L1483="E0","QM",INDEX(10_ASIL_Matrix!$D$4:$F$15,MATCH(J1483&amp;"-"&amp;L1483,10_ASIL_Matrix!$C$4:$C$15,0),MATCH(N1483,10_ASIL_Matrix!$D$3:$F$3,0)))))</f>
        <v>QM</v>
      </c>
      <c r="Q1483" s="6" t="s">
        <v>448</v>
      </c>
    </row>
    <row r="1484" customFormat="false" ht="46.25" hidden="false" customHeight="false" outlineLevel="0" collapsed="false">
      <c r="A1484" s="5" t="s">
        <v>3648</v>
      </c>
      <c r="B1484" s="5" t="s">
        <v>105</v>
      </c>
      <c r="C1484" s="5" t="s">
        <v>106</v>
      </c>
      <c r="D1484" s="5" t="s">
        <v>164</v>
      </c>
      <c r="E1484" s="5" t="s">
        <v>165</v>
      </c>
      <c r="F1484" s="5" t="s">
        <v>200</v>
      </c>
      <c r="G1484" s="5" t="s">
        <v>570</v>
      </c>
      <c r="H1484" s="5" t="s">
        <v>230</v>
      </c>
      <c r="I1484" s="5" t="s">
        <v>3649</v>
      </c>
      <c r="J1484" s="5" t="s">
        <v>246</v>
      </c>
      <c r="K1484" s="5" t="s">
        <v>2888</v>
      </c>
      <c r="L1484" s="5" t="s">
        <v>205</v>
      </c>
      <c r="M1484" s="5" t="s">
        <v>585</v>
      </c>
      <c r="N1484" s="5" t="s">
        <v>286</v>
      </c>
      <c r="O1484" s="5" t="s">
        <v>2800</v>
      </c>
      <c r="P1484" s="5" t="str">
        <f aca="false">IF(J1484="S0","—",IF(K1484="","",IF(L1484="E0","QM",INDEX(10_ASIL_Matrix!$D$4:$F$15,MATCH(J1484&amp;"-"&amp;L1484,10_ASIL_Matrix!$C$4:$C$15,0),MATCH(N1484,10_ASIL_Matrix!$D$3:$F$3,0)))))</f>
        <v>QM</v>
      </c>
      <c r="Q1484" s="5" t="s">
        <v>448</v>
      </c>
    </row>
    <row r="1485" customFormat="false" ht="46.25" hidden="false" customHeight="false" outlineLevel="0" collapsed="false">
      <c r="A1485" s="6" t="s">
        <v>3650</v>
      </c>
      <c r="B1485" s="6" t="s">
        <v>105</v>
      </c>
      <c r="C1485" s="6" t="s">
        <v>106</v>
      </c>
      <c r="D1485" s="6" t="s">
        <v>164</v>
      </c>
      <c r="E1485" s="6" t="s">
        <v>165</v>
      </c>
      <c r="F1485" s="6" t="s">
        <v>200</v>
      </c>
      <c r="G1485" s="6" t="s">
        <v>570</v>
      </c>
      <c r="H1485" s="6" t="s">
        <v>232</v>
      </c>
      <c r="I1485" s="6" t="s">
        <v>3651</v>
      </c>
      <c r="J1485" s="6" t="s">
        <v>242</v>
      </c>
      <c r="K1485" s="6" t="s">
        <v>2879</v>
      </c>
      <c r="L1485" s="6" t="s">
        <v>233</v>
      </c>
      <c r="M1485" s="6" t="s">
        <v>588</v>
      </c>
      <c r="N1485" s="6" t="s">
        <v>282</v>
      </c>
      <c r="O1485" s="6" t="s">
        <v>2790</v>
      </c>
      <c r="P1485" s="6" t="str">
        <f aca="false">IF(J1485="S0","—",IF(K1485="","",IF(L1485="E0","QM",INDEX(10_ASIL_Matrix!$D$4:$F$15,MATCH(J1485&amp;"-"&amp;L1485,10_ASIL_Matrix!$C$4:$C$15,0),MATCH(N1485,10_ASIL_Matrix!$D$3:$F$3,0)))))</f>
        <v>QM</v>
      </c>
      <c r="Q1485" s="6" t="s">
        <v>448</v>
      </c>
    </row>
    <row r="1486" customFormat="false" ht="35.05" hidden="false" customHeight="false" outlineLevel="0" collapsed="false">
      <c r="A1486" s="5" t="s">
        <v>3652</v>
      </c>
      <c r="B1486" s="5" t="s">
        <v>105</v>
      </c>
      <c r="C1486" s="5" t="s">
        <v>106</v>
      </c>
      <c r="D1486" s="5" t="s">
        <v>164</v>
      </c>
      <c r="E1486" s="5" t="s">
        <v>165</v>
      </c>
      <c r="F1486" s="5" t="s">
        <v>202</v>
      </c>
      <c r="G1486" s="5" t="s">
        <v>590</v>
      </c>
      <c r="H1486" s="5" t="s">
        <v>222</v>
      </c>
      <c r="I1486" s="5" t="s">
        <v>3653</v>
      </c>
      <c r="J1486" s="5" t="s">
        <v>246</v>
      </c>
      <c r="K1486" s="5" t="s">
        <v>2893</v>
      </c>
      <c r="L1486" s="5" t="s">
        <v>187</v>
      </c>
      <c r="M1486" s="5" t="s">
        <v>592</v>
      </c>
      <c r="N1486" s="5" t="s">
        <v>286</v>
      </c>
      <c r="O1486" s="5" t="s">
        <v>2850</v>
      </c>
      <c r="P1486" s="18" t="str">
        <f aca="false">IF(J1486="S0","—",IF(K1486="","",IF(L1486="E0","QM",INDEX(10_ASIL_Matrix!$D$4:$F$15,MATCH(J1486&amp;"-"&amp;L1486,10_ASIL_Matrix!$C$4:$C$15,0),MATCH(N1486,10_ASIL_Matrix!$D$3:$F$3,0)))))</f>
        <v>B</v>
      </c>
      <c r="Q1486" s="5" t="s">
        <v>448</v>
      </c>
    </row>
    <row r="1487" customFormat="false" ht="35.05" hidden="false" customHeight="false" outlineLevel="0" collapsed="false">
      <c r="A1487" s="6" t="s">
        <v>3654</v>
      </c>
      <c r="B1487" s="6" t="s">
        <v>105</v>
      </c>
      <c r="C1487" s="6" t="s">
        <v>106</v>
      </c>
      <c r="D1487" s="6" t="s">
        <v>164</v>
      </c>
      <c r="E1487" s="6" t="s">
        <v>165</v>
      </c>
      <c r="F1487" s="6" t="s">
        <v>202</v>
      </c>
      <c r="G1487" s="6" t="s">
        <v>590</v>
      </c>
      <c r="H1487" s="6" t="s">
        <v>224</v>
      </c>
      <c r="I1487" s="6" t="s">
        <v>3655</v>
      </c>
      <c r="J1487" s="6" t="s">
        <v>246</v>
      </c>
      <c r="K1487" s="6" t="s">
        <v>2893</v>
      </c>
      <c r="L1487" s="6" t="s">
        <v>190</v>
      </c>
      <c r="M1487" s="6" t="s">
        <v>595</v>
      </c>
      <c r="N1487" s="6" t="s">
        <v>286</v>
      </c>
      <c r="O1487" s="6" t="s">
        <v>2850</v>
      </c>
      <c r="P1487" s="19" t="str">
        <f aca="false">IF(J1487="S0","—",IF(K1487="","",IF(L1487="E0","QM",INDEX(10_ASIL_Matrix!$D$4:$F$15,MATCH(J1487&amp;"-"&amp;L1487,10_ASIL_Matrix!$C$4:$C$15,0),MATCH(N1487,10_ASIL_Matrix!$D$3:$F$3,0)))))</f>
        <v>A</v>
      </c>
      <c r="Q1487" s="6" t="s">
        <v>448</v>
      </c>
    </row>
    <row r="1488" customFormat="false" ht="35.05" hidden="false" customHeight="false" outlineLevel="0" collapsed="false">
      <c r="A1488" s="5" t="s">
        <v>3656</v>
      </c>
      <c r="B1488" s="5" t="s">
        <v>105</v>
      </c>
      <c r="C1488" s="5" t="s">
        <v>106</v>
      </c>
      <c r="D1488" s="5" t="s">
        <v>164</v>
      </c>
      <c r="E1488" s="5" t="s">
        <v>165</v>
      </c>
      <c r="F1488" s="5" t="s">
        <v>202</v>
      </c>
      <c r="G1488" s="5" t="s">
        <v>590</v>
      </c>
      <c r="H1488" s="5" t="s">
        <v>226</v>
      </c>
      <c r="I1488" s="5" t="s">
        <v>3657</v>
      </c>
      <c r="J1488" s="5" t="s">
        <v>246</v>
      </c>
      <c r="K1488" s="5" t="s">
        <v>2893</v>
      </c>
      <c r="L1488" s="5" t="s">
        <v>190</v>
      </c>
      <c r="M1488" s="5" t="s">
        <v>598</v>
      </c>
      <c r="N1488" s="5" t="s">
        <v>286</v>
      </c>
      <c r="O1488" s="5" t="s">
        <v>2850</v>
      </c>
      <c r="P1488" s="19" t="str">
        <f aca="false">IF(J1488="S0","—",IF(K1488="","",IF(L1488="E0","QM",INDEX(10_ASIL_Matrix!$D$4:$F$15,MATCH(J1488&amp;"-"&amp;L1488,10_ASIL_Matrix!$C$4:$C$15,0),MATCH(N1488,10_ASIL_Matrix!$D$3:$F$3,0)))))</f>
        <v>A</v>
      </c>
      <c r="Q1488" s="5" t="s">
        <v>448</v>
      </c>
    </row>
    <row r="1489" customFormat="false" ht="35.05" hidden="false" customHeight="false" outlineLevel="0" collapsed="false">
      <c r="A1489" s="6" t="s">
        <v>3658</v>
      </c>
      <c r="B1489" s="6" t="s">
        <v>105</v>
      </c>
      <c r="C1489" s="6" t="s">
        <v>106</v>
      </c>
      <c r="D1489" s="6" t="s">
        <v>164</v>
      </c>
      <c r="E1489" s="6" t="s">
        <v>165</v>
      </c>
      <c r="F1489" s="6" t="s">
        <v>202</v>
      </c>
      <c r="G1489" s="6" t="s">
        <v>590</v>
      </c>
      <c r="H1489" s="6" t="s">
        <v>228</v>
      </c>
      <c r="I1489" s="6" t="s">
        <v>3659</v>
      </c>
      <c r="J1489" s="6" t="s">
        <v>246</v>
      </c>
      <c r="K1489" s="6" t="s">
        <v>2893</v>
      </c>
      <c r="L1489" s="6" t="s">
        <v>205</v>
      </c>
      <c r="M1489" s="6" t="s">
        <v>601</v>
      </c>
      <c r="N1489" s="6" t="s">
        <v>286</v>
      </c>
      <c r="O1489" s="6" t="s">
        <v>2850</v>
      </c>
      <c r="P1489" s="6" t="str">
        <f aca="false">IF(J1489="S0","—",IF(K1489="","",IF(L1489="E0","QM",INDEX(10_ASIL_Matrix!$D$4:$F$15,MATCH(J1489&amp;"-"&amp;L1489,10_ASIL_Matrix!$C$4:$C$15,0),MATCH(N1489,10_ASIL_Matrix!$D$3:$F$3,0)))))</f>
        <v>QM</v>
      </c>
      <c r="Q1489" s="6" t="s">
        <v>448</v>
      </c>
    </row>
    <row r="1490" customFormat="false" ht="35.05" hidden="false" customHeight="false" outlineLevel="0" collapsed="false">
      <c r="A1490" s="5" t="s">
        <v>3660</v>
      </c>
      <c r="B1490" s="5" t="s">
        <v>105</v>
      </c>
      <c r="C1490" s="5" t="s">
        <v>106</v>
      </c>
      <c r="D1490" s="5" t="s">
        <v>164</v>
      </c>
      <c r="E1490" s="5" t="s">
        <v>165</v>
      </c>
      <c r="F1490" s="5" t="s">
        <v>202</v>
      </c>
      <c r="G1490" s="5" t="s">
        <v>590</v>
      </c>
      <c r="H1490" s="5" t="s">
        <v>230</v>
      </c>
      <c r="I1490" s="5" t="s">
        <v>3661</v>
      </c>
      <c r="J1490" s="5" t="s">
        <v>250</v>
      </c>
      <c r="K1490" s="5" t="s">
        <v>2902</v>
      </c>
      <c r="L1490" s="5" t="s">
        <v>205</v>
      </c>
      <c r="M1490" s="5" t="s">
        <v>604</v>
      </c>
      <c r="N1490" s="5" t="s">
        <v>290</v>
      </c>
      <c r="O1490" s="5" t="s">
        <v>2860</v>
      </c>
      <c r="P1490" s="18" t="str">
        <f aca="false">IF(J1490="S0","—",IF(K1490="","",IF(L1490="E0","QM",INDEX(10_ASIL_Matrix!$D$4:$F$15,MATCH(J1490&amp;"-"&amp;L1490,10_ASIL_Matrix!$C$4:$C$15,0),MATCH(N1490,10_ASIL_Matrix!$D$3:$F$3,0)))))</f>
        <v>B</v>
      </c>
      <c r="Q1490" s="5" t="s">
        <v>448</v>
      </c>
    </row>
    <row r="1491" customFormat="false" ht="46.25" hidden="false" customHeight="false" outlineLevel="0" collapsed="false">
      <c r="A1491" s="6" t="s">
        <v>3662</v>
      </c>
      <c r="B1491" s="6" t="s">
        <v>105</v>
      </c>
      <c r="C1491" s="6" t="s">
        <v>106</v>
      </c>
      <c r="D1491" s="6" t="s">
        <v>164</v>
      </c>
      <c r="E1491" s="6" t="s">
        <v>165</v>
      </c>
      <c r="F1491" s="6" t="s">
        <v>202</v>
      </c>
      <c r="G1491" s="6" t="s">
        <v>590</v>
      </c>
      <c r="H1491" s="6" t="s">
        <v>232</v>
      </c>
      <c r="I1491" s="6" t="s">
        <v>3663</v>
      </c>
      <c r="J1491" s="6" t="s">
        <v>246</v>
      </c>
      <c r="K1491" s="6" t="s">
        <v>2893</v>
      </c>
      <c r="L1491" s="6" t="s">
        <v>233</v>
      </c>
      <c r="M1491" s="6" t="s">
        <v>607</v>
      </c>
      <c r="N1491" s="6" t="s">
        <v>286</v>
      </c>
      <c r="O1491" s="6" t="s">
        <v>2850</v>
      </c>
      <c r="P1491" s="6" t="str">
        <f aca="false">IF(J1491="S0","—",IF(K1491="","",IF(L1491="E0","QM",INDEX(10_ASIL_Matrix!$D$4:$F$15,MATCH(J1491&amp;"-"&amp;L1491,10_ASIL_Matrix!$C$4:$C$15,0),MATCH(N1491,10_ASIL_Matrix!$D$3:$F$3,0)))))</f>
        <v>QM</v>
      </c>
      <c r="Q1491" s="6" t="s">
        <v>448</v>
      </c>
    </row>
    <row r="1492" customFormat="false" ht="35.05" hidden="false" customHeight="false" outlineLevel="0" collapsed="false">
      <c r="A1492" s="5" t="s">
        <v>3664</v>
      </c>
      <c r="B1492" s="5" t="s">
        <v>105</v>
      </c>
      <c r="C1492" s="5" t="s">
        <v>106</v>
      </c>
      <c r="D1492" s="5" t="s">
        <v>164</v>
      </c>
      <c r="E1492" s="5" t="s">
        <v>165</v>
      </c>
      <c r="F1492" s="5" t="s">
        <v>204</v>
      </c>
      <c r="G1492" s="5" t="s">
        <v>609</v>
      </c>
      <c r="H1492" s="5" t="s">
        <v>222</v>
      </c>
      <c r="I1492" s="5" t="s">
        <v>3665</v>
      </c>
      <c r="J1492" s="5" t="s">
        <v>238</v>
      </c>
      <c r="K1492" s="5" t="s">
        <v>2907</v>
      </c>
      <c r="L1492" s="5" t="s">
        <v>205</v>
      </c>
      <c r="M1492" s="5" t="s">
        <v>612</v>
      </c>
      <c r="N1492" s="5" t="s">
        <v>278</v>
      </c>
      <c r="O1492" s="5" t="s">
        <v>634</v>
      </c>
      <c r="P1492" s="5" t="str">
        <f aca="false">IF(J1492="S0","—",IF(K1492="","",IF(L1492="E0","QM",INDEX(10_ASIL_Matrix!$D$4:$F$15,MATCH(J1492&amp;"-"&amp;L1492,10_ASIL_Matrix!$C$4:$C$15,0),MATCH(N1492,10_ASIL_Matrix!$D$3:$F$3,0)))))</f>
        <v>—</v>
      </c>
      <c r="Q1492" s="5" t="s">
        <v>448</v>
      </c>
    </row>
    <row r="1493" customFormat="false" ht="35.05" hidden="false" customHeight="false" outlineLevel="0" collapsed="false">
      <c r="A1493" s="6" t="s">
        <v>3666</v>
      </c>
      <c r="B1493" s="6" t="s">
        <v>105</v>
      </c>
      <c r="C1493" s="6" t="s">
        <v>106</v>
      </c>
      <c r="D1493" s="6" t="s">
        <v>164</v>
      </c>
      <c r="E1493" s="6" t="s">
        <v>165</v>
      </c>
      <c r="F1493" s="6" t="s">
        <v>204</v>
      </c>
      <c r="G1493" s="6" t="s">
        <v>609</v>
      </c>
      <c r="H1493" s="6" t="s">
        <v>224</v>
      </c>
      <c r="I1493" s="6" t="s">
        <v>3667</v>
      </c>
      <c r="J1493" s="6" t="s">
        <v>238</v>
      </c>
      <c r="K1493" s="6" t="s">
        <v>2907</v>
      </c>
      <c r="L1493" s="6" t="s">
        <v>205</v>
      </c>
      <c r="M1493" s="6" t="s">
        <v>616</v>
      </c>
      <c r="N1493" s="6" t="s">
        <v>278</v>
      </c>
      <c r="O1493" s="6" t="s">
        <v>634</v>
      </c>
      <c r="P1493" s="6" t="str">
        <f aca="false">IF(J1493="S0","—",IF(K1493="","",IF(L1493="E0","QM",INDEX(10_ASIL_Matrix!$D$4:$F$15,MATCH(J1493&amp;"-"&amp;L1493,10_ASIL_Matrix!$C$4:$C$15,0),MATCH(N1493,10_ASIL_Matrix!$D$3:$F$3,0)))))</f>
        <v>—</v>
      </c>
      <c r="Q1493" s="6" t="s">
        <v>448</v>
      </c>
    </row>
    <row r="1494" customFormat="false" ht="35.05" hidden="false" customHeight="false" outlineLevel="0" collapsed="false">
      <c r="A1494" s="5" t="s">
        <v>3668</v>
      </c>
      <c r="B1494" s="5" t="s">
        <v>105</v>
      </c>
      <c r="C1494" s="5" t="s">
        <v>106</v>
      </c>
      <c r="D1494" s="5" t="s">
        <v>164</v>
      </c>
      <c r="E1494" s="5" t="s">
        <v>165</v>
      </c>
      <c r="F1494" s="5" t="s">
        <v>204</v>
      </c>
      <c r="G1494" s="5" t="s">
        <v>609</v>
      </c>
      <c r="H1494" s="5" t="s">
        <v>226</v>
      </c>
      <c r="I1494" s="5" t="s">
        <v>3669</v>
      </c>
      <c r="J1494" s="5" t="s">
        <v>238</v>
      </c>
      <c r="K1494" s="5" t="s">
        <v>2907</v>
      </c>
      <c r="L1494" s="5" t="s">
        <v>205</v>
      </c>
      <c r="M1494" s="5" t="s">
        <v>619</v>
      </c>
      <c r="N1494" s="5" t="s">
        <v>278</v>
      </c>
      <c r="O1494" s="5" t="s">
        <v>634</v>
      </c>
      <c r="P1494" s="5" t="str">
        <f aca="false">IF(J1494="S0","—",IF(K1494="","",IF(L1494="E0","QM",INDEX(10_ASIL_Matrix!$D$4:$F$15,MATCH(J1494&amp;"-"&amp;L1494,10_ASIL_Matrix!$C$4:$C$15,0),MATCH(N1494,10_ASIL_Matrix!$D$3:$F$3,0)))))</f>
        <v>—</v>
      </c>
      <c r="Q1494" s="5" t="s">
        <v>448</v>
      </c>
    </row>
    <row r="1495" customFormat="false" ht="46.25" hidden="false" customHeight="false" outlineLevel="0" collapsed="false">
      <c r="A1495" s="6" t="s">
        <v>3670</v>
      </c>
      <c r="B1495" s="6" t="s">
        <v>105</v>
      </c>
      <c r="C1495" s="6" t="s">
        <v>106</v>
      </c>
      <c r="D1495" s="6" t="s">
        <v>164</v>
      </c>
      <c r="E1495" s="6" t="s">
        <v>165</v>
      </c>
      <c r="F1495" s="6" t="s">
        <v>204</v>
      </c>
      <c r="G1495" s="6" t="s">
        <v>609</v>
      </c>
      <c r="H1495" s="6" t="s">
        <v>228</v>
      </c>
      <c r="I1495" s="6" t="s">
        <v>3671</v>
      </c>
      <c r="J1495" s="6" t="s">
        <v>238</v>
      </c>
      <c r="K1495" s="6" t="s">
        <v>2907</v>
      </c>
      <c r="L1495" s="6" t="s">
        <v>205</v>
      </c>
      <c r="M1495" s="6" t="s">
        <v>622</v>
      </c>
      <c r="N1495" s="6" t="s">
        <v>278</v>
      </c>
      <c r="O1495" s="6" t="s">
        <v>634</v>
      </c>
      <c r="P1495" s="6" t="str">
        <f aca="false">IF(J1495="S0","—",IF(K1495="","",IF(L1495="E0","QM",INDEX(10_ASIL_Matrix!$D$4:$F$15,MATCH(J1495&amp;"-"&amp;L1495,10_ASIL_Matrix!$C$4:$C$15,0),MATCH(N1495,10_ASIL_Matrix!$D$3:$F$3,0)))))</f>
        <v>—</v>
      </c>
      <c r="Q1495" s="6" t="s">
        <v>448</v>
      </c>
    </row>
    <row r="1496" customFormat="false" ht="35.05" hidden="false" customHeight="false" outlineLevel="0" collapsed="false">
      <c r="A1496" s="5" t="s">
        <v>3672</v>
      </c>
      <c r="B1496" s="5" t="s">
        <v>105</v>
      </c>
      <c r="C1496" s="5" t="s">
        <v>106</v>
      </c>
      <c r="D1496" s="5" t="s">
        <v>164</v>
      </c>
      <c r="E1496" s="5" t="s">
        <v>165</v>
      </c>
      <c r="F1496" s="5" t="s">
        <v>204</v>
      </c>
      <c r="G1496" s="5" t="s">
        <v>609</v>
      </c>
      <c r="H1496" s="5" t="s">
        <v>230</v>
      </c>
      <c r="I1496" s="5" t="s">
        <v>3673</v>
      </c>
      <c r="J1496" s="5" t="s">
        <v>238</v>
      </c>
      <c r="K1496" s="5" t="s">
        <v>2907</v>
      </c>
      <c r="L1496" s="5" t="s">
        <v>205</v>
      </c>
      <c r="M1496" s="5" t="s">
        <v>625</v>
      </c>
      <c r="N1496" s="5" t="s">
        <v>278</v>
      </c>
      <c r="O1496" s="5" t="s">
        <v>634</v>
      </c>
      <c r="P1496" s="5" t="str">
        <f aca="false">IF(J1496="S0","—",IF(K1496="","",IF(L1496="E0","QM",INDEX(10_ASIL_Matrix!$D$4:$F$15,MATCH(J1496&amp;"-"&amp;L1496,10_ASIL_Matrix!$C$4:$C$15,0),MATCH(N1496,10_ASIL_Matrix!$D$3:$F$3,0)))))</f>
        <v>—</v>
      </c>
      <c r="Q1496" s="5" t="s">
        <v>448</v>
      </c>
    </row>
    <row r="1497" customFormat="false" ht="46.25" hidden="false" customHeight="false" outlineLevel="0" collapsed="false">
      <c r="A1497" s="6" t="s">
        <v>3674</v>
      </c>
      <c r="B1497" s="6" t="s">
        <v>105</v>
      </c>
      <c r="C1497" s="6" t="s">
        <v>106</v>
      </c>
      <c r="D1497" s="6" t="s">
        <v>164</v>
      </c>
      <c r="E1497" s="6" t="s">
        <v>165</v>
      </c>
      <c r="F1497" s="6" t="s">
        <v>204</v>
      </c>
      <c r="G1497" s="6" t="s">
        <v>609</v>
      </c>
      <c r="H1497" s="6" t="s">
        <v>232</v>
      </c>
      <c r="I1497" s="6" t="s">
        <v>3675</v>
      </c>
      <c r="J1497" s="6" t="s">
        <v>238</v>
      </c>
      <c r="K1497" s="6" t="s">
        <v>2907</v>
      </c>
      <c r="L1497" s="6" t="s">
        <v>233</v>
      </c>
      <c r="M1497" s="6" t="s">
        <v>629</v>
      </c>
      <c r="N1497" s="6" t="s">
        <v>278</v>
      </c>
      <c r="O1497" s="6" t="s">
        <v>634</v>
      </c>
      <c r="P1497" s="6" t="str">
        <f aca="false">IF(J1497="S0","—",IF(K1497="","",IF(L1497="E0","QM",INDEX(10_ASIL_Matrix!$D$4:$F$15,MATCH(J1497&amp;"-"&amp;L1497,10_ASIL_Matrix!$C$4:$C$15,0),MATCH(N1497,10_ASIL_Matrix!$D$3:$F$3,0)))))</f>
        <v>—</v>
      </c>
      <c r="Q1497" s="6" t="s">
        <v>448</v>
      </c>
    </row>
    <row r="1498" customFormat="false" ht="35.05" hidden="false" customHeight="false" outlineLevel="0" collapsed="false">
      <c r="A1498" s="5" t="s">
        <v>3676</v>
      </c>
      <c r="B1498" s="5" t="s">
        <v>105</v>
      </c>
      <c r="C1498" s="5" t="s">
        <v>106</v>
      </c>
      <c r="D1498" s="5" t="s">
        <v>164</v>
      </c>
      <c r="E1498" s="5" t="s">
        <v>165</v>
      </c>
      <c r="F1498" s="5" t="s">
        <v>207</v>
      </c>
      <c r="G1498" s="5" t="s">
        <v>609</v>
      </c>
      <c r="H1498" s="5" t="s">
        <v>222</v>
      </c>
      <c r="I1498" s="5" t="s">
        <v>3677</v>
      </c>
      <c r="J1498" s="5" t="s">
        <v>246</v>
      </c>
      <c r="K1498" s="5" t="s">
        <v>2920</v>
      </c>
      <c r="L1498" s="5" t="s">
        <v>190</v>
      </c>
      <c r="M1498" s="5" t="s">
        <v>633</v>
      </c>
      <c r="N1498" s="5" t="s">
        <v>282</v>
      </c>
      <c r="O1498" s="5" t="s">
        <v>2790</v>
      </c>
      <c r="P1498" s="5" t="str">
        <f aca="false">IF(J1498="S0","—",IF(K1498="","",IF(L1498="E0","QM",INDEX(10_ASIL_Matrix!$D$4:$F$15,MATCH(J1498&amp;"-"&amp;L1498,10_ASIL_Matrix!$C$4:$C$15,0),MATCH(N1498,10_ASIL_Matrix!$D$3:$F$3,0)))))</f>
        <v>QM</v>
      </c>
      <c r="Q1498" s="5" t="s">
        <v>448</v>
      </c>
    </row>
    <row r="1499" customFormat="false" ht="35.05" hidden="false" customHeight="false" outlineLevel="0" collapsed="false">
      <c r="A1499" s="6" t="s">
        <v>3678</v>
      </c>
      <c r="B1499" s="6" t="s">
        <v>105</v>
      </c>
      <c r="C1499" s="6" t="s">
        <v>106</v>
      </c>
      <c r="D1499" s="6" t="s">
        <v>164</v>
      </c>
      <c r="E1499" s="6" t="s">
        <v>165</v>
      </c>
      <c r="F1499" s="6" t="s">
        <v>207</v>
      </c>
      <c r="G1499" s="6" t="s">
        <v>609</v>
      </c>
      <c r="H1499" s="6" t="s">
        <v>224</v>
      </c>
      <c r="I1499" s="6" t="s">
        <v>3679</v>
      </c>
      <c r="J1499" s="6" t="s">
        <v>246</v>
      </c>
      <c r="K1499" s="6" t="s">
        <v>2920</v>
      </c>
      <c r="L1499" s="6" t="s">
        <v>190</v>
      </c>
      <c r="M1499" s="6" t="s">
        <v>637</v>
      </c>
      <c r="N1499" s="6" t="s">
        <v>282</v>
      </c>
      <c r="O1499" s="6" t="s">
        <v>2790</v>
      </c>
      <c r="P1499" s="6" t="str">
        <f aca="false">IF(J1499="S0","—",IF(K1499="","",IF(L1499="E0","QM",INDEX(10_ASIL_Matrix!$D$4:$F$15,MATCH(J1499&amp;"-"&amp;L1499,10_ASIL_Matrix!$C$4:$C$15,0),MATCH(N1499,10_ASIL_Matrix!$D$3:$F$3,0)))))</f>
        <v>QM</v>
      </c>
      <c r="Q1499" s="6" t="s">
        <v>448</v>
      </c>
    </row>
    <row r="1500" customFormat="false" ht="35.05" hidden="false" customHeight="false" outlineLevel="0" collapsed="false">
      <c r="A1500" s="5" t="s">
        <v>3680</v>
      </c>
      <c r="B1500" s="5" t="s">
        <v>105</v>
      </c>
      <c r="C1500" s="5" t="s">
        <v>106</v>
      </c>
      <c r="D1500" s="5" t="s">
        <v>164</v>
      </c>
      <c r="E1500" s="5" t="s">
        <v>165</v>
      </c>
      <c r="F1500" s="5" t="s">
        <v>207</v>
      </c>
      <c r="G1500" s="5" t="s">
        <v>609</v>
      </c>
      <c r="H1500" s="5" t="s">
        <v>226</v>
      </c>
      <c r="I1500" s="5" t="s">
        <v>3681</v>
      </c>
      <c r="J1500" s="5" t="s">
        <v>246</v>
      </c>
      <c r="K1500" s="5" t="s">
        <v>2920</v>
      </c>
      <c r="L1500" s="5" t="s">
        <v>190</v>
      </c>
      <c r="M1500" s="5" t="s">
        <v>640</v>
      </c>
      <c r="N1500" s="5" t="s">
        <v>282</v>
      </c>
      <c r="O1500" s="5" t="s">
        <v>2790</v>
      </c>
      <c r="P1500" s="5" t="str">
        <f aca="false">IF(J1500="S0","—",IF(K1500="","",IF(L1500="E0","QM",INDEX(10_ASIL_Matrix!$D$4:$F$15,MATCH(J1500&amp;"-"&amp;L1500,10_ASIL_Matrix!$C$4:$C$15,0),MATCH(N1500,10_ASIL_Matrix!$D$3:$F$3,0)))))</f>
        <v>QM</v>
      </c>
      <c r="Q1500" s="5" t="s">
        <v>448</v>
      </c>
    </row>
    <row r="1501" customFormat="false" ht="46.25" hidden="false" customHeight="false" outlineLevel="0" collapsed="false">
      <c r="A1501" s="6" t="s">
        <v>3682</v>
      </c>
      <c r="B1501" s="6" t="s">
        <v>105</v>
      </c>
      <c r="C1501" s="6" t="s">
        <v>106</v>
      </c>
      <c r="D1501" s="6" t="s">
        <v>164</v>
      </c>
      <c r="E1501" s="6" t="s">
        <v>165</v>
      </c>
      <c r="F1501" s="6" t="s">
        <v>207</v>
      </c>
      <c r="G1501" s="6" t="s">
        <v>609</v>
      </c>
      <c r="H1501" s="6" t="s">
        <v>228</v>
      </c>
      <c r="I1501" s="6" t="s">
        <v>3683</v>
      </c>
      <c r="J1501" s="6" t="s">
        <v>246</v>
      </c>
      <c r="K1501" s="6" t="s">
        <v>2920</v>
      </c>
      <c r="L1501" s="6" t="s">
        <v>205</v>
      </c>
      <c r="M1501" s="6" t="s">
        <v>643</v>
      </c>
      <c r="N1501" s="6" t="s">
        <v>282</v>
      </c>
      <c r="O1501" s="6" t="s">
        <v>2790</v>
      </c>
      <c r="P1501" s="6" t="str">
        <f aca="false">IF(J1501="S0","—",IF(K1501="","",IF(L1501="E0","QM",INDEX(10_ASIL_Matrix!$D$4:$F$15,MATCH(J1501&amp;"-"&amp;L1501,10_ASIL_Matrix!$C$4:$C$15,0),MATCH(N1501,10_ASIL_Matrix!$D$3:$F$3,0)))))</f>
        <v>QM</v>
      </c>
      <c r="Q1501" s="6" t="s">
        <v>448</v>
      </c>
    </row>
    <row r="1502" customFormat="false" ht="46.25" hidden="false" customHeight="false" outlineLevel="0" collapsed="false">
      <c r="A1502" s="5" t="s">
        <v>3684</v>
      </c>
      <c r="B1502" s="5" t="s">
        <v>105</v>
      </c>
      <c r="C1502" s="5" t="s">
        <v>106</v>
      </c>
      <c r="D1502" s="5" t="s">
        <v>164</v>
      </c>
      <c r="E1502" s="5" t="s">
        <v>165</v>
      </c>
      <c r="F1502" s="5" t="s">
        <v>207</v>
      </c>
      <c r="G1502" s="5" t="s">
        <v>609</v>
      </c>
      <c r="H1502" s="5" t="s">
        <v>230</v>
      </c>
      <c r="I1502" s="5" t="s">
        <v>3685</v>
      </c>
      <c r="J1502" s="5" t="s">
        <v>250</v>
      </c>
      <c r="K1502" s="5" t="s">
        <v>2929</v>
      </c>
      <c r="L1502" s="5" t="s">
        <v>205</v>
      </c>
      <c r="M1502" s="5" t="s">
        <v>646</v>
      </c>
      <c r="N1502" s="5" t="s">
        <v>286</v>
      </c>
      <c r="O1502" s="5" t="s">
        <v>2800</v>
      </c>
      <c r="P1502" s="19" t="str">
        <f aca="false">IF(J1502="S0","—",IF(K1502="","",IF(L1502="E0","QM",INDEX(10_ASIL_Matrix!$D$4:$F$15,MATCH(J1502&amp;"-"&amp;L1502,10_ASIL_Matrix!$C$4:$C$15,0),MATCH(N1502,10_ASIL_Matrix!$D$3:$F$3,0)))))</f>
        <v>A</v>
      </c>
      <c r="Q1502" s="5" t="s">
        <v>448</v>
      </c>
    </row>
    <row r="1503" customFormat="false" ht="46.25" hidden="false" customHeight="false" outlineLevel="0" collapsed="false">
      <c r="A1503" s="6" t="s">
        <v>3686</v>
      </c>
      <c r="B1503" s="6" t="s">
        <v>105</v>
      </c>
      <c r="C1503" s="6" t="s">
        <v>106</v>
      </c>
      <c r="D1503" s="6" t="s">
        <v>164</v>
      </c>
      <c r="E1503" s="6" t="s">
        <v>165</v>
      </c>
      <c r="F1503" s="6" t="s">
        <v>207</v>
      </c>
      <c r="G1503" s="6" t="s">
        <v>609</v>
      </c>
      <c r="H1503" s="6" t="s">
        <v>232</v>
      </c>
      <c r="I1503" s="6" t="s">
        <v>3687</v>
      </c>
      <c r="J1503" s="6" t="s">
        <v>246</v>
      </c>
      <c r="K1503" s="6" t="s">
        <v>2920</v>
      </c>
      <c r="L1503" s="6" t="s">
        <v>233</v>
      </c>
      <c r="M1503" s="6" t="s">
        <v>649</v>
      </c>
      <c r="N1503" s="6" t="s">
        <v>282</v>
      </c>
      <c r="O1503" s="6" t="s">
        <v>2790</v>
      </c>
      <c r="P1503" s="6" t="str">
        <f aca="false">IF(J1503="S0","—",IF(K1503="","",IF(L1503="E0","QM",INDEX(10_ASIL_Matrix!$D$4:$F$15,MATCH(J1503&amp;"-"&amp;L1503,10_ASIL_Matrix!$C$4:$C$15,0),MATCH(N1503,10_ASIL_Matrix!$D$3:$F$3,0)))))</f>
        <v>QM</v>
      </c>
      <c r="Q1503" s="6" t="s">
        <v>448</v>
      </c>
    </row>
    <row r="1504" customFormat="false" ht="35.05" hidden="false" customHeight="false" outlineLevel="0" collapsed="false">
      <c r="A1504" s="5" t="s">
        <v>3688</v>
      </c>
      <c r="B1504" s="5" t="s">
        <v>105</v>
      </c>
      <c r="C1504" s="5" t="s">
        <v>106</v>
      </c>
      <c r="D1504" s="5" t="s">
        <v>164</v>
      </c>
      <c r="E1504" s="5" t="s">
        <v>165</v>
      </c>
      <c r="F1504" s="5" t="s">
        <v>209</v>
      </c>
      <c r="G1504" s="5" t="s">
        <v>570</v>
      </c>
      <c r="H1504" s="5" t="s">
        <v>222</v>
      </c>
      <c r="I1504" s="5" t="s">
        <v>3689</v>
      </c>
      <c r="J1504" s="5" t="s">
        <v>246</v>
      </c>
      <c r="K1504" s="5" t="s">
        <v>2934</v>
      </c>
      <c r="L1504" s="5" t="s">
        <v>190</v>
      </c>
      <c r="M1504" s="5" t="s">
        <v>653</v>
      </c>
      <c r="N1504" s="5" t="s">
        <v>286</v>
      </c>
      <c r="O1504" s="5" t="s">
        <v>2850</v>
      </c>
      <c r="P1504" s="19" t="str">
        <f aca="false">IF(J1504="S0","—",IF(K1504="","",IF(L1504="E0","QM",INDEX(10_ASIL_Matrix!$D$4:$F$15,MATCH(J1504&amp;"-"&amp;L1504,10_ASIL_Matrix!$C$4:$C$15,0),MATCH(N1504,10_ASIL_Matrix!$D$3:$F$3,0)))))</f>
        <v>A</v>
      </c>
      <c r="Q1504" s="5" t="s">
        <v>448</v>
      </c>
    </row>
    <row r="1505" customFormat="false" ht="35.05" hidden="false" customHeight="false" outlineLevel="0" collapsed="false">
      <c r="A1505" s="6" t="s">
        <v>3690</v>
      </c>
      <c r="B1505" s="6" t="s">
        <v>105</v>
      </c>
      <c r="C1505" s="6" t="s">
        <v>106</v>
      </c>
      <c r="D1505" s="6" t="s">
        <v>164</v>
      </c>
      <c r="E1505" s="6" t="s">
        <v>165</v>
      </c>
      <c r="F1505" s="6" t="s">
        <v>209</v>
      </c>
      <c r="G1505" s="6" t="s">
        <v>570</v>
      </c>
      <c r="H1505" s="6" t="s">
        <v>224</v>
      </c>
      <c r="I1505" s="6" t="s">
        <v>3691</v>
      </c>
      <c r="J1505" s="6" t="s">
        <v>246</v>
      </c>
      <c r="K1505" s="6" t="s">
        <v>2934</v>
      </c>
      <c r="L1505" s="6" t="s">
        <v>190</v>
      </c>
      <c r="M1505" s="6" t="s">
        <v>656</v>
      </c>
      <c r="N1505" s="6" t="s">
        <v>286</v>
      </c>
      <c r="O1505" s="6" t="s">
        <v>2850</v>
      </c>
      <c r="P1505" s="19" t="str">
        <f aca="false">IF(J1505="S0","—",IF(K1505="","",IF(L1505="E0","QM",INDEX(10_ASIL_Matrix!$D$4:$F$15,MATCH(J1505&amp;"-"&amp;L1505,10_ASIL_Matrix!$C$4:$C$15,0),MATCH(N1505,10_ASIL_Matrix!$D$3:$F$3,0)))))</f>
        <v>A</v>
      </c>
      <c r="Q1505" s="6" t="s">
        <v>448</v>
      </c>
    </row>
    <row r="1506" customFormat="false" ht="35.05" hidden="false" customHeight="false" outlineLevel="0" collapsed="false">
      <c r="A1506" s="5" t="s">
        <v>3692</v>
      </c>
      <c r="B1506" s="5" t="s">
        <v>105</v>
      </c>
      <c r="C1506" s="5" t="s">
        <v>106</v>
      </c>
      <c r="D1506" s="5" t="s">
        <v>164</v>
      </c>
      <c r="E1506" s="5" t="s">
        <v>165</v>
      </c>
      <c r="F1506" s="5" t="s">
        <v>209</v>
      </c>
      <c r="G1506" s="5" t="s">
        <v>570</v>
      </c>
      <c r="H1506" s="5" t="s">
        <v>226</v>
      </c>
      <c r="I1506" s="5" t="s">
        <v>3693</v>
      </c>
      <c r="J1506" s="5" t="s">
        <v>246</v>
      </c>
      <c r="K1506" s="5" t="s">
        <v>2934</v>
      </c>
      <c r="L1506" s="5" t="s">
        <v>190</v>
      </c>
      <c r="M1506" s="5" t="s">
        <v>659</v>
      </c>
      <c r="N1506" s="5" t="s">
        <v>286</v>
      </c>
      <c r="O1506" s="5" t="s">
        <v>2850</v>
      </c>
      <c r="P1506" s="19" t="str">
        <f aca="false">IF(J1506="S0","—",IF(K1506="","",IF(L1506="E0","QM",INDEX(10_ASIL_Matrix!$D$4:$F$15,MATCH(J1506&amp;"-"&amp;L1506,10_ASIL_Matrix!$C$4:$C$15,0),MATCH(N1506,10_ASIL_Matrix!$D$3:$F$3,0)))))</f>
        <v>A</v>
      </c>
      <c r="Q1506" s="5" t="s">
        <v>448</v>
      </c>
    </row>
    <row r="1507" customFormat="false" ht="35.05" hidden="false" customHeight="false" outlineLevel="0" collapsed="false">
      <c r="A1507" s="6" t="s">
        <v>3694</v>
      </c>
      <c r="B1507" s="6" t="s">
        <v>105</v>
      </c>
      <c r="C1507" s="6" t="s">
        <v>106</v>
      </c>
      <c r="D1507" s="6" t="s">
        <v>164</v>
      </c>
      <c r="E1507" s="6" t="s">
        <v>165</v>
      </c>
      <c r="F1507" s="6" t="s">
        <v>209</v>
      </c>
      <c r="G1507" s="6" t="s">
        <v>570</v>
      </c>
      <c r="H1507" s="6" t="s">
        <v>228</v>
      </c>
      <c r="I1507" s="6" t="s">
        <v>3695</v>
      </c>
      <c r="J1507" s="6" t="s">
        <v>246</v>
      </c>
      <c r="K1507" s="6" t="s">
        <v>2934</v>
      </c>
      <c r="L1507" s="6" t="s">
        <v>205</v>
      </c>
      <c r="M1507" s="6" t="s">
        <v>662</v>
      </c>
      <c r="N1507" s="6" t="s">
        <v>286</v>
      </c>
      <c r="O1507" s="6" t="s">
        <v>2850</v>
      </c>
      <c r="P1507" s="6" t="str">
        <f aca="false">IF(J1507="S0","—",IF(K1507="","",IF(L1507="E0","QM",INDEX(10_ASIL_Matrix!$D$4:$F$15,MATCH(J1507&amp;"-"&amp;L1507,10_ASIL_Matrix!$C$4:$C$15,0),MATCH(N1507,10_ASIL_Matrix!$D$3:$F$3,0)))))</f>
        <v>QM</v>
      </c>
      <c r="Q1507" s="6" t="s">
        <v>448</v>
      </c>
    </row>
    <row r="1508" customFormat="false" ht="35.05" hidden="false" customHeight="false" outlineLevel="0" collapsed="false">
      <c r="A1508" s="5" t="s">
        <v>3696</v>
      </c>
      <c r="B1508" s="5" t="s">
        <v>105</v>
      </c>
      <c r="C1508" s="5" t="s">
        <v>106</v>
      </c>
      <c r="D1508" s="5" t="s">
        <v>164</v>
      </c>
      <c r="E1508" s="5" t="s">
        <v>165</v>
      </c>
      <c r="F1508" s="5" t="s">
        <v>209</v>
      </c>
      <c r="G1508" s="5" t="s">
        <v>570</v>
      </c>
      <c r="H1508" s="5" t="s">
        <v>230</v>
      </c>
      <c r="I1508" s="5" t="s">
        <v>3697</v>
      </c>
      <c r="J1508" s="5" t="s">
        <v>250</v>
      </c>
      <c r="K1508" s="5" t="s">
        <v>2943</v>
      </c>
      <c r="L1508" s="5" t="s">
        <v>205</v>
      </c>
      <c r="M1508" s="5" t="s">
        <v>665</v>
      </c>
      <c r="N1508" s="5" t="s">
        <v>290</v>
      </c>
      <c r="O1508" s="5" t="s">
        <v>2860</v>
      </c>
      <c r="P1508" s="18" t="str">
        <f aca="false">IF(J1508="S0","—",IF(K1508="","",IF(L1508="E0","QM",INDEX(10_ASIL_Matrix!$D$4:$F$15,MATCH(J1508&amp;"-"&amp;L1508,10_ASIL_Matrix!$C$4:$C$15,0),MATCH(N1508,10_ASIL_Matrix!$D$3:$F$3,0)))))</f>
        <v>B</v>
      </c>
      <c r="Q1508" s="5" t="s">
        <v>448</v>
      </c>
    </row>
    <row r="1509" customFormat="false" ht="46.25" hidden="false" customHeight="false" outlineLevel="0" collapsed="false">
      <c r="A1509" s="6" t="s">
        <v>3698</v>
      </c>
      <c r="B1509" s="6" t="s">
        <v>105</v>
      </c>
      <c r="C1509" s="6" t="s">
        <v>106</v>
      </c>
      <c r="D1509" s="6" t="s">
        <v>164</v>
      </c>
      <c r="E1509" s="6" t="s">
        <v>165</v>
      </c>
      <c r="F1509" s="6" t="s">
        <v>209</v>
      </c>
      <c r="G1509" s="6" t="s">
        <v>570</v>
      </c>
      <c r="H1509" s="6" t="s">
        <v>232</v>
      </c>
      <c r="I1509" s="6" t="s">
        <v>3699</v>
      </c>
      <c r="J1509" s="6" t="s">
        <v>246</v>
      </c>
      <c r="K1509" s="6" t="s">
        <v>2934</v>
      </c>
      <c r="L1509" s="6" t="s">
        <v>233</v>
      </c>
      <c r="M1509" s="6" t="s">
        <v>668</v>
      </c>
      <c r="N1509" s="6" t="s">
        <v>286</v>
      </c>
      <c r="O1509" s="6" t="s">
        <v>2850</v>
      </c>
      <c r="P1509" s="6" t="str">
        <f aca="false">IF(J1509="S0","—",IF(K1509="","",IF(L1509="E0","QM",INDEX(10_ASIL_Matrix!$D$4:$F$15,MATCH(J1509&amp;"-"&amp;L1509,10_ASIL_Matrix!$C$4:$C$15,0),MATCH(N1509,10_ASIL_Matrix!$D$3:$F$3,0)))))</f>
        <v>QM</v>
      </c>
      <c r="Q1509" s="6" t="s">
        <v>448</v>
      </c>
    </row>
    <row r="1510" customFormat="false" ht="35.05" hidden="false" customHeight="false" outlineLevel="0" collapsed="false">
      <c r="A1510" s="5" t="s">
        <v>3700</v>
      </c>
      <c r="B1510" s="5" t="s">
        <v>105</v>
      </c>
      <c r="C1510" s="5" t="s">
        <v>106</v>
      </c>
      <c r="D1510" s="5" t="s">
        <v>164</v>
      </c>
      <c r="E1510" s="5" t="s">
        <v>165</v>
      </c>
      <c r="F1510" s="5" t="s">
        <v>211</v>
      </c>
      <c r="G1510" s="5" t="s">
        <v>609</v>
      </c>
      <c r="H1510" s="5" t="s">
        <v>222</v>
      </c>
      <c r="I1510" s="5" t="s">
        <v>3701</v>
      </c>
      <c r="J1510" s="5" t="s">
        <v>246</v>
      </c>
      <c r="K1510" s="5" t="s">
        <v>2948</v>
      </c>
      <c r="L1510" s="5" t="s">
        <v>187</v>
      </c>
      <c r="M1510" s="5" t="s">
        <v>672</v>
      </c>
      <c r="N1510" s="5" t="s">
        <v>286</v>
      </c>
      <c r="O1510" s="5" t="s">
        <v>2850</v>
      </c>
      <c r="P1510" s="18" t="str">
        <f aca="false">IF(J1510="S0","—",IF(K1510="","",IF(L1510="E0","QM",INDEX(10_ASIL_Matrix!$D$4:$F$15,MATCH(J1510&amp;"-"&amp;L1510,10_ASIL_Matrix!$C$4:$C$15,0),MATCH(N1510,10_ASIL_Matrix!$D$3:$F$3,0)))))</f>
        <v>B</v>
      </c>
      <c r="Q1510" s="5" t="s">
        <v>448</v>
      </c>
    </row>
    <row r="1511" customFormat="false" ht="35.05" hidden="false" customHeight="false" outlineLevel="0" collapsed="false">
      <c r="A1511" s="6" t="s">
        <v>3702</v>
      </c>
      <c r="B1511" s="6" t="s">
        <v>105</v>
      </c>
      <c r="C1511" s="6" t="s">
        <v>106</v>
      </c>
      <c r="D1511" s="6" t="s">
        <v>164</v>
      </c>
      <c r="E1511" s="6" t="s">
        <v>165</v>
      </c>
      <c r="F1511" s="6" t="s">
        <v>211</v>
      </c>
      <c r="G1511" s="6" t="s">
        <v>609</v>
      </c>
      <c r="H1511" s="6" t="s">
        <v>224</v>
      </c>
      <c r="I1511" s="6" t="s">
        <v>3703</v>
      </c>
      <c r="J1511" s="6" t="s">
        <v>246</v>
      </c>
      <c r="K1511" s="6" t="s">
        <v>2948</v>
      </c>
      <c r="L1511" s="6" t="s">
        <v>190</v>
      </c>
      <c r="M1511" s="6" t="s">
        <v>675</v>
      </c>
      <c r="N1511" s="6" t="s">
        <v>286</v>
      </c>
      <c r="O1511" s="6" t="s">
        <v>2850</v>
      </c>
      <c r="P1511" s="19" t="str">
        <f aca="false">IF(J1511="S0","—",IF(K1511="","",IF(L1511="E0","QM",INDEX(10_ASIL_Matrix!$D$4:$F$15,MATCH(J1511&amp;"-"&amp;L1511,10_ASIL_Matrix!$C$4:$C$15,0),MATCH(N1511,10_ASIL_Matrix!$D$3:$F$3,0)))))</f>
        <v>A</v>
      </c>
      <c r="Q1511" s="6" t="s">
        <v>448</v>
      </c>
    </row>
    <row r="1512" customFormat="false" ht="35.05" hidden="false" customHeight="false" outlineLevel="0" collapsed="false">
      <c r="A1512" s="5" t="s">
        <v>3704</v>
      </c>
      <c r="B1512" s="5" t="s">
        <v>105</v>
      </c>
      <c r="C1512" s="5" t="s">
        <v>106</v>
      </c>
      <c r="D1512" s="5" t="s">
        <v>164</v>
      </c>
      <c r="E1512" s="5" t="s">
        <v>165</v>
      </c>
      <c r="F1512" s="5" t="s">
        <v>211</v>
      </c>
      <c r="G1512" s="5" t="s">
        <v>609</v>
      </c>
      <c r="H1512" s="5" t="s">
        <v>226</v>
      </c>
      <c r="I1512" s="5" t="s">
        <v>3705</v>
      </c>
      <c r="J1512" s="5" t="s">
        <v>246</v>
      </c>
      <c r="K1512" s="5" t="s">
        <v>2948</v>
      </c>
      <c r="L1512" s="5" t="s">
        <v>190</v>
      </c>
      <c r="M1512" s="5" t="s">
        <v>678</v>
      </c>
      <c r="N1512" s="5" t="s">
        <v>286</v>
      </c>
      <c r="O1512" s="5" t="s">
        <v>2850</v>
      </c>
      <c r="P1512" s="19" t="str">
        <f aca="false">IF(J1512="S0","—",IF(K1512="","",IF(L1512="E0","QM",INDEX(10_ASIL_Matrix!$D$4:$F$15,MATCH(J1512&amp;"-"&amp;L1512,10_ASIL_Matrix!$C$4:$C$15,0),MATCH(N1512,10_ASIL_Matrix!$D$3:$F$3,0)))))</f>
        <v>A</v>
      </c>
      <c r="Q1512" s="5" t="s">
        <v>448</v>
      </c>
    </row>
    <row r="1513" customFormat="false" ht="35.05" hidden="false" customHeight="false" outlineLevel="0" collapsed="false">
      <c r="A1513" s="6" t="s">
        <v>3706</v>
      </c>
      <c r="B1513" s="6" t="s">
        <v>105</v>
      </c>
      <c r="C1513" s="6" t="s">
        <v>106</v>
      </c>
      <c r="D1513" s="6" t="s">
        <v>164</v>
      </c>
      <c r="E1513" s="6" t="s">
        <v>165</v>
      </c>
      <c r="F1513" s="6" t="s">
        <v>211</v>
      </c>
      <c r="G1513" s="6" t="s">
        <v>609</v>
      </c>
      <c r="H1513" s="6" t="s">
        <v>228</v>
      </c>
      <c r="I1513" s="6" t="s">
        <v>3707</v>
      </c>
      <c r="J1513" s="6" t="s">
        <v>246</v>
      </c>
      <c r="K1513" s="6" t="s">
        <v>2948</v>
      </c>
      <c r="L1513" s="6" t="s">
        <v>205</v>
      </c>
      <c r="M1513" s="6" t="s">
        <v>681</v>
      </c>
      <c r="N1513" s="6" t="s">
        <v>286</v>
      </c>
      <c r="O1513" s="6" t="s">
        <v>2850</v>
      </c>
      <c r="P1513" s="6" t="str">
        <f aca="false">IF(J1513="S0","—",IF(K1513="","",IF(L1513="E0","QM",INDEX(10_ASIL_Matrix!$D$4:$F$15,MATCH(J1513&amp;"-"&amp;L1513,10_ASIL_Matrix!$C$4:$C$15,0),MATCH(N1513,10_ASIL_Matrix!$D$3:$F$3,0)))))</f>
        <v>QM</v>
      </c>
      <c r="Q1513" s="6" t="s">
        <v>448</v>
      </c>
    </row>
    <row r="1514" customFormat="false" ht="35.05" hidden="false" customHeight="false" outlineLevel="0" collapsed="false">
      <c r="A1514" s="5" t="s">
        <v>3708</v>
      </c>
      <c r="B1514" s="5" t="s">
        <v>105</v>
      </c>
      <c r="C1514" s="5" t="s">
        <v>106</v>
      </c>
      <c r="D1514" s="5" t="s">
        <v>164</v>
      </c>
      <c r="E1514" s="5" t="s">
        <v>165</v>
      </c>
      <c r="F1514" s="5" t="s">
        <v>211</v>
      </c>
      <c r="G1514" s="5" t="s">
        <v>609</v>
      </c>
      <c r="H1514" s="5" t="s">
        <v>230</v>
      </c>
      <c r="I1514" s="5" t="s">
        <v>3709</v>
      </c>
      <c r="J1514" s="5" t="s">
        <v>250</v>
      </c>
      <c r="K1514" s="5" t="s">
        <v>2957</v>
      </c>
      <c r="L1514" s="5" t="s">
        <v>205</v>
      </c>
      <c r="M1514" s="5" t="s">
        <v>684</v>
      </c>
      <c r="N1514" s="5" t="s">
        <v>290</v>
      </c>
      <c r="O1514" s="5" t="s">
        <v>2860</v>
      </c>
      <c r="P1514" s="18" t="str">
        <f aca="false">IF(J1514="S0","—",IF(K1514="","",IF(L1514="E0","QM",INDEX(10_ASIL_Matrix!$D$4:$F$15,MATCH(J1514&amp;"-"&amp;L1514,10_ASIL_Matrix!$C$4:$C$15,0),MATCH(N1514,10_ASIL_Matrix!$D$3:$F$3,0)))))</f>
        <v>B</v>
      </c>
      <c r="Q1514" s="5" t="s">
        <v>448</v>
      </c>
    </row>
    <row r="1515" customFormat="false" ht="46.25" hidden="false" customHeight="false" outlineLevel="0" collapsed="false">
      <c r="A1515" s="6" t="s">
        <v>3710</v>
      </c>
      <c r="B1515" s="6" t="s">
        <v>105</v>
      </c>
      <c r="C1515" s="6" t="s">
        <v>106</v>
      </c>
      <c r="D1515" s="6" t="s">
        <v>164</v>
      </c>
      <c r="E1515" s="6" t="s">
        <v>165</v>
      </c>
      <c r="F1515" s="6" t="s">
        <v>211</v>
      </c>
      <c r="G1515" s="6" t="s">
        <v>609</v>
      </c>
      <c r="H1515" s="6" t="s">
        <v>232</v>
      </c>
      <c r="I1515" s="6" t="s">
        <v>3711</v>
      </c>
      <c r="J1515" s="6" t="s">
        <v>246</v>
      </c>
      <c r="K1515" s="6" t="s">
        <v>2948</v>
      </c>
      <c r="L1515" s="6" t="s">
        <v>233</v>
      </c>
      <c r="M1515" s="6" t="s">
        <v>687</v>
      </c>
      <c r="N1515" s="6" t="s">
        <v>286</v>
      </c>
      <c r="O1515" s="6" t="s">
        <v>2850</v>
      </c>
      <c r="P1515" s="6" t="str">
        <f aca="false">IF(J1515="S0","—",IF(K1515="","",IF(L1515="E0","QM",INDEX(10_ASIL_Matrix!$D$4:$F$15,MATCH(J1515&amp;"-"&amp;L1515,10_ASIL_Matrix!$C$4:$C$15,0),MATCH(N1515,10_ASIL_Matrix!$D$3:$F$3,0)))))</f>
        <v>QM</v>
      </c>
      <c r="Q1515" s="6" t="s">
        <v>448</v>
      </c>
    </row>
    <row r="1516" customFormat="false" ht="46.25" hidden="false" customHeight="false" outlineLevel="0" collapsed="false">
      <c r="A1516" s="5" t="s">
        <v>3712</v>
      </c>
      <c r="B1516" s="5" t="s">
        <v>105</v>
      </c>
      <c r="C1516" s="5" t="s">
        <v>106</v>
      </c>
      <c r="D1516" s="5" t="s">
        <v>164</v>
      </c>
      <c r="E1516" s="5" t="s">
        <v>165</v>
      </c>
      <c r="F1516" s="5" t="s">
        <v>213</v>
      </c>
      <c r="G1516" s="5" t="s">
        <v>689</v>
      </c>
      <c r="H1516" s="5" t="s">
        <v>222</v>
      </c>
      <c r="I1516" s="5" t="s">
        <v>3713</v>
      </c>
      <c r="J1516" s="5" t="s">
        <v>242</v>
      </c>
      <c r="K1516" s="5" t="s">
        <v>2962</v>
      </c>
      <c r="L1516" s="5" t="s">
        <v>205</v>
      </c>
      <c r="M1516" s="5" t="s">
        <v>692</v>
      </c>
      <c r="N1516" s="5" t="s">
        <v>282</v>
      </c>
      <c r="O1516" s="5" t="s">
        <v>2790</v>
      </c>
      <c r="P1516" s="5" t="str">
        <f aca="false">IF(J1516="S0","—",IF(K1516="","",IF(L1516="E0","QM",INDEX(10_ASIL_Matrix!$D$4:$F$15,MATCH(J1516&amp;"-"&amp;L1516,10_ASIL_Matrix!$C$4:$C$15,0),MATCH(N1516,10_ASIL_Matrix!$D$3:$F$3,0)))))</f>
        <v>QM</v>
      </c>
      <c r="Q1516" s="5" t="s">
        <v>448</v>
      </c>
    </row>
    <row r="1517" customFormat="false" ht="46.25" hidden="false" customHeight="false" outlineLevel="0" collapsed="false">
      <c r="A1517" s="6" t="s">
        <v>3714</v>
      </c>
      <c r="B1517" s="6" t="s">
        <v>105</v>
      </c>
      <c r="C1517" s="6" t="s">
        <v>106</v>
      </c>
      <c r="D1517" s="6" t="s">
        <v>164</v>
      </c>
      <c r="E1517" s="6" t="s">
        <v>165</v>
      </c>
      <c r="F1517" s="6" t="s">
        <v>213</v>
      </c>
      <c r="G1517" s="6" t="s">
        <v>689</v>
      </c>
      <c r="H1517" s="6" t="s">
        <v>224</v>
      </c>
      <c r="I1517" s="6" t="s">
        <v>3715</v>
      </c>
      <c r="J1517" s="6" t="s">
        <v>250</v>
      </c>
      <c r="K1517" s="6" t="s">
        <v>2965</v>
      </c>
      <c r="L1517" s="6" t="s">
        <v>205</v>
      </c>
      <c r="M1517" s="6" t="s">
        <v>696</v>
      </c>
      <c r="N1517" s="6" t="s">
        <v>282</v>
      </c>
      <c r="O1517" s="6" t="s">
        <v>2809</v>
      </c>
      <c r="P1517" s="6" t="str">
        <f aca="false">IF(J1517="S0","—",IF(K1517="","",IF(L1517="E0","QM",INDEX(10_ASIL_Matrix!$D$4:$F$15,MATCH(J1517&amp;"-"&amp;L1517,10_ASIL_Matrix!$C$4:$C$15,0),MATCH(N1517,10_ASIL_Matrix!$D$3:$F$3,0)))))</f>
        <v>QM</v>
      </c>
      <c r="Q1517" s="6" t="s">
        <v>448</v>
      </c>
    </row>
    <row r="1518" customFormat="false" ht="46.25" hidden="false" customHeight="false" outlineLevel="0" collapsed="false">
      <c r="A1518" s="5" t="s">
        <v>3716</v>
      </c>
      <c r="B1518" s="5" t="s">
        <v>105</v>
      </c>
      <c r="C1518" s="5" t="s">
        <v>106</v>
      </c>
      <c r="D1518" s="5" t="s">
        <v>164</v>
      </c>
      <c r="E1518" s="5" t="s">
        <v>165</v>
      </c>
      <c r="F1518" s="5" t="s">
        <v>213</v>
      </c>
      <c r="G1518" s="5" t="s">
        <v>689</v>
      </c>
      <c r="H1518" s="5" t="s">
        <v>226</v>
      </c>
      <c r="I1518" s="5" t="s">
        <v>3717</v>
      </c>
      <c r="J1518" s="5" t="s">
        <v>242</v>
      </c>
      <c r="K1518" s="5" t="s">
        <v>2962</v>
      </c>
      <c r="L1518" s="5" t="s">
        <v>205</v>
      </c>
      <c r="M1518" s="5" t="s">
        <v>699</v>
      </c>
      <c r="N1518" s="5" t="s">
        <v>282</v>
      </c>
      <c r="O1518" s="5" t="s">
        <v>2790</v>
      </c>
      <c r="P1518" s="5" t="str">
        <f aca="false">IF(J1518="S0","—",IF(K1518="","",IF(L1518="E0","QM",INDEX(10_ASIL_Matrix!$D$4:$F$15,MATCH(J1518&amp;"-"&amp;L1518,10_ASIL_Matrix!$C$4:$C$15,0),MATCH(N1518,10_ASIL_Matrix!$D$3:$F$3,0)))))</f>
        <v>QM</v>
      </c>
      <c r="Q1518" s="5" t="s">
        <v>448</v>
      </c>
    </row>
    <row r="1519" customFormat="false" ht="46.25" hidden="false" customHeight="false" outlineLevel="0" collapsed="false">
      <c r="A1519" s="6" t="s">
        <v>3718</v>
      </c>
      <c r="B1519" s="6" t="s">
        <v>105</v>
      </c>
      <c r="C1519" s="6" t="s">
        <v>106</v>
      </c>
      <c r="D1519" s="6" t="s">
        <v>164</v>
      </c>
      <c r="E1519" s="6" t="s">
        <v>165</v>
      </c>
      <c r="F1519" s="6" t="s">
        <v>213</v>
      </c>
      <c r="G1519" s="6" t="s">
        <v>689</v>
      </c>
      <c r="H1519" s="6" t="s">
        <v>228</v>
      </c>
      <c r="I1519" s="6" t="s">
        <v>3719</v>
      </c>
      <c r="J1519" s="6" t="s">
        <v>250</v>
      </c>
      <c r="K1519" s="6" t="s">
        <v>2965</v>
      </c>
      <c r="L1519" s="6" t="s">
        <v>205</v>
      </c>
      <c r="M1519" s="6" t="s">
        <v>702</v>
      </c>
      <c r="N1519" s="6" t="s">
        <v>282</v>
      </c>
      <c r="O1519" s="6" t="s">
        <v>2809</v>
      </c>
      <c r="P1519" s="6" t="str">
        <f aca="false">IF(J1519="S0","—",IF(K1519="","",IF(L1519="E0","QM",INDEX(10_ASIL_Matrix!$D$4:$F$15,MATCH(J1519&amp;"-"&amp;L1519,10_ASIL_Matrix!$C$4:$C$15,0),MATCH(N1519,10_ASIL_Matrix!$D$3:$F$3,0)))))</f>
        <v>QM</v>
      </c>
      <c r="Q1519" s="6" t="s">
        <v>448</v>
      </c>
    </row>
    <row r="1520" customFormat="false" ht="46.25" hidden="false" customHeight="false" outlineLevel="0" collapsed="false">
      <c r="A1520" s="5" t="s">
        <v>3720</v>
      </c>
      <c r="B1520" s="5" t="s">
        <v>105</v>
      </c>
      <c r="C1520" s="5" t="s">
        <v>106</v>
      </c>
      <c r="D1520" s="5" t="s">
        <v>164</v>
      </c>
      <c r="E1520" s="5" t="s">
        <v>165</v>
      </c>
      <c r="F1520" s="5" t="s">
        <v>213</v>
      </c>
      <c r="G1520" s="5" t="s">
        <v>689</v>
      </c>
      <c r="H1520" s="5" t="s">
        <v>230</v>
      </c>
      <c r="I1520" s="5" t="s">
        <v>3721</v>
      </c>
      <c r="J1520" s="5" t="s">
        <v>246</v>
      </c>
      <c r="K1520" s="5" t="s">
        <v>2972</v>
      </c>
      <c r="L1520" s="5" t="s">
        <v>205</v>
      </c>
      <c r="M1520" s="5" t="s">
        <v>705</v>
      </c>
      <c r="N1520" s="5" t="s">
        <v>286</v>
      </c>
      <c r="O1520" s="5" t="s">
        <v>2800</v>
      </c>
      <c r="P1520" s="5" t="str">
        <f aca="false">IF(J1520="S0","—",IF(K1520="","",IF(L1520="E0","QM",INDEX(10_ASIL_Matrix!$D$4:$F$15,MATCH(J1520&amp;"-"&amp;L1520,10_ASIL_Matrix!$C$4:$C$15,0),MATCH(N1520,10_ASIL_Matrix!$D$3:$F$3,0)))))</f>
        <v>QM</v>
      </c>
      <c r="Q1520" s="5" t="s">
        <v>448</v>
      </c>
    </row>
    <row r="1521" customFormat="false" ht="46.25" hidden="false" customHeight="false" outlineLevel="0" collapsed="false">
      <c r="A1521" s="6" t="s">
        <v>3722</v>
      </c>
      <c r="B1521" s="6" t="s">
        <v>105</v>
      </c>
      <c r="C1521" s="6" t="s">
        <v>106</v>
      </c>
      <c r="D1521" s="6" t="s">
        <v>164</v>
      </c>
      <c r="E1521" s="6" t="s">
        <v>165</v>
      </c>
      <c r="F1521" s="6" t="s">
        <v>213</v>
      </c>
      <c r="G1521" s="6" t="s">
        <v>689</v>
      </c>
      <c r="H1521" s="6" t="s">
        <v>232</v>
      </c>
      <c r="I1521" s="6" t="s">
        <v>3723</v>
      </c>
      <c r="J1521" s="6" t="s">
        <v>242</v>
      </c>
      <c r="K1521" s="6" t="s">
        <v>2962</v>
      </c>
      <c r="L1521" s="6" t="s">
        <v>233</v>
      </c>
      <c r="M1521" s="6" t="s">
        <v>709</v>
      </c>
      <c r="N1521" s="6" t="s">
        <v>282</v>
      </c>
      <c r="O1521" s="6" t="s">
        <v>2790</v>
      </c>
      <c r="P1521" s="6" t="str">
        <f aca="false">IF(J1521="S0","—",IF(K1521="","",IF(L1521="E0","QM",INDEX(10_ASIL_Matrix!$D$4:$F$15,MATCH(J1521&amp;"-"&amp;L1521,10_ASIL_Matrix!$C$4:$C$15,0),MATCH(N1521,10_ASIL_Matrix!$D$3:$F$3,0)))))</f>
        <v>QM</v>
      </c>
      <c r="Q1521" s="6" t="s">
        <v>448</v>
      </c>
    </row>
    <row r="1522" customFormat="false" ht="35.05" hidden="false" customHeight="false" outlineLevel="0" collapsed="false">
      <c r="A1522" s="5" t="s">
        <v>3724</v>
      </c>
      <c r="B1522" s="5" t="s">
        <v>105</v>
      </c>
      <c r="C1522" s="5" t="s">
        <v>106</v>
      </c>
      <c r="D1522" s="5" t="s">
        <v>164</v>
      </c>
      <c r="E1522" s="5" t="s">
        <v>165</v>
      </c>
      <c r="F1522" s="5" t="s">
        <v>215</v>
      </c>
      <c r="G1522" s="5" t="s">
        <v>711</v>
      </c>
      <c r="H1522" s="5" t="s">
        <v>222</v>
      </c>
      <c r="I1522" s="5" t="s">
        <v>3725</v>
      </c>
      <c r="J1522" s="5" t="s">
        <v>246</v>
      </c>
      <c r="K1522" s="5" t="s">
        <v>2977</v>
      </c>
      <c r="L1522" s="5" t="s">
        <v>190</v>
      </c>
      <c r="M1522" s="5" t="s">
        <v>714</v>
      </c>
      <c r="N1522" s="5" t="s">
        <v>282</v>
      </c>
      <c r="O1522" s="5" t="s">
        <v>2790</v>
      </c>
      <c r="P1522" s="5" t="str">
        <f aca="false">IF(J1522="S0","—",IF(K1522="","",IF(L1522="E0","QM",INDEX(10_ASIL_Matrix!$D$4:$F$15,MATCH(J1522&amp;"-"&amp;L1522,10_ASIL_Matrix!$C$4:$C$15,0),MATCH(N1522,10_ASIL_Matrix!$D$3:$F$3,0)))))</f>
        <v>QM</v>
      </c>
      <c r="Q1522" s="5" t="s">
        <v>448</v>
      </c>
    </row>
    <row r="1523" customFormat="false" ht="35.05" hidden="false" customHeight="false" outlineLevel="0" collapsed="false">
      <c r="A1523" s="6" t="s">
        <v>3726</v>
      </c>
      <c r="B1523" s="6" t="s">
        <v>105</v>
      </c>
      <c r="C1523" s="6" t="s">
        <v>106</v>
      </c>
      <c r="D1523" s="6" t="s">
        <v>164</v>
      </c>
      <c r="E1523" s="6" t="s">
        <v>165</v>
      </c>
      <c r="F1523" s="6" t="s">
        <v>215</v>
      </c>
      <c r="G1523" s="6" t="s">
        <v>711</v>
      </c>
      <c r="H1523" s="6" t="s">
        <v>224</v>
      </c>
      <c r="I1523" s="6" t="s">
        <v>3727</v>
      </c>
      <c r="J1523" s="6" t="s">
        <v>246</v>
      </c>
      <c r="K1523" s="6" t="s">
        <v>2977</v>
      </c>
      <c r="L1523" s="6" t="s">
        <v>190</v>
      </c>
      <c r="M1523" s="6" t="s">
        <v>717</v>
      </c>
      <c r="N1523" s="6" t="s">
        <v>282</v>
      </c>
      <c r="O1523" s="6" t="s">
        <v>2790</v>
      </c>
      <c r="P1523" s="6" t="str">
        <f aca="false">IF(J1523="S0","—",IF(K1523="","",IF(L1523="E0","QM",INDEX(10_ASIL_Matrix!$D$4:$F$15,MATCH(J1523&amp;"-"&amp;L1523,10_ASIL_Matrix!$C$4:$C$15,0),MATCH(N1523,10_ASIL_Matrix!$D$3:$F$3,0)))))</f>
        <v>QM</v>
      </c>
      <c r="Q1523" s="6" t="s">
        <v>448</v>
      </c>
    </row>
    <row r="1524" customFormat="false" ht="35.05" hidden="false" customHeight="false" outlineLevel="0" collapsed="false">
      <c r="A1524" s="5" t="s">
        <v>3728</v>
      </c>
      <c r="B1524" s="5" t="s">
        <v>105</v>
      </c>
      <c r="C1524" s="5" t="s">
        <v>106</v>
      </c>
      <c r="D1524" s="5" t="s">
        <v>164</v>
      </c>
      <c r="E1524" s="5" t="s">
        <v>165</v>
      </c>
      <c r="F1524" s="5" t="s">
        <v>215</v>
      </c>
      <c r="G1524" s="5" t="s">
        <v>711</v>
      </c>
      <c r="H1524" s="5" t="s">
        <v>226</v>
      </c>
      <c r="I1524" s="5" t="s">
        <v>3729</v>
      </c>
      <c r="J1524" s="5" t="s">
        <v>246</v>
      </c>
      <c r="K1524" s="5" t="s">
        <v>2977</v>
      </c>
      <c r="L1524" s="5" t="s">
        <v>190</v>
      </c>
      <c r="M1524" s="5" t="s">
        <v>720</v>
      </c>
      <c r="N1524" s="5" t="s">
        <v>282</v>
      </c>
      <c r="O1524" s="5" t="s">
        <v>2790</v>
      </c>
      <c r="P1524" s="5" t="str">
        <f aca="false">IF(J1524="S0","—",IF(K1524="","",IF(L1524="E0","QM",INDEX(10_ASIL_Matrix!$D$4:$F$15,MATCH(J1524&amp;"-"&amp;L1524,10_ASIL_Matrix!$C$4:$C$15,0),MATCH(N1524,10_ASIL_Matrix!$D$3:$F$3,0)))))</f>
        <v>QM</v>
      </c>
      <c r="Q1524" s="5" t="s">
        <v>448</v>
      </c>
    </row>
    <row r="1525" customFormat="false" ht="46.25" hidden="false" customHeight="false" outlineLevel="0" collapsed="false">
      <c r="A1525" s="6" t="s">
        <v>3730</v>
      </c>
      <c r="B1525" s="6" t="s">
        <v>105</v>
      </c>
      <c r="C1525" s="6" t="s">
        <v>106</v>
      </c>
      <c r="D1525" s="6" t="s">
        <v>164</v>
      </c>
      <c r="E1525" s="6" t="s">
        <v>165</v>
      </c>
      <c r="F1525" s="6" t="s">
        <v>215</v>
      </c>
      <c r="G1525" s="6" t="s">
        <v>711</v>
      </c>
      <c r="H1525" s="6" t="s">
        <v>228</v>
      </c>
      <c r="I1525" s="6" t="s">
        <v>3731</v>
      </c>
      <c r="J1525" s="6" t="s">
        <v>246</v>
      </c>
      <c r="K1525" s="6" t="s">
        <v>2977</v>
      </c>
      <c r="L1525" s="6" t="s">
        <v>205</v>
      </c>
      <c r="M1525" s="6" t="s">
        <v>723</v>
      </c>
      <c r="N1525" s="6" t="s">
        <v>282</v>
      </c>
      <c r="O1525" s="6" t="s">
        <v>2790</v>
      </c>
      <c r="P1525" s="6" t="str">
        <f aca="false">IF(J1525="S0","—",IF(K1525="","",IF(L1525="E0","QM",INDEX(10_ASIL_Matrix!$D$4:$F$15,MATCH(J1525&amp;"-"&amp;L1525,10_ASIL_Matrix!$C$4:$C$15,0),MATCH(N1525,10_ASIL_Matrix!$D$3:$F$3,0)))))</f>
        <v>QM</v>
      </c>
      <c r="Q1525" s="6" t="s">
        <v>448</v>
      </c>
    </row>
    <row r="1526" customFormat="false" ht="46.25" hidden="false" customHeight="false" outlineLevel="0" collapsed="false">
      <c r="A1526" s="5" t="s">
        <v>3732</v>
      </c>
      <c r="B1526" s="5" t="s">
        <v>105</v>
      </c>
      <c r="C1526" s="5" t="s">
        <v>106</v>
      </c>
      <c r="D1526" s="5" t="s">
        <v>164</v>
      </c>
      <c r="E1526" s="5" t="s">
        <v>165</v>
      </c>
      <c r="F1526" s="5" t="s">
        <v>215</v>
      </c>
      <c r="G1526" s="5" t="s">
        <v>711</v>
      </c>
      <c r="H1526" s="5" t="s">
        <v>230</v>
      </c>
      <c r="I1526" s="5" t="s">
        <v>3733</v>
      </c>
      <c r="J1526" s="5" t="s">
        <v>250</v>
      </c>
      <c r="K1526" s="5" t="s">
        <v>2986</v>
      </c>
      <c r="L1526" s="5" t="s">
        <v>205</v>
      </c>
      <c r="M1526" s="5" t="s">
        <v>726</v>
      </c>
      <c r="N1526" s="5" t="s">
        <v>286</v>
      </c>
      <c r="O1526" s="5" t="s">
        <v>2800</v>
      </c>
      <c r="P1526" s="19" t="str">
        <f aca="false">IF(J1526="S0","—",IF(K1526="","",IF(L1526="E0","QM",INDEX(10_ASIL_Matrix!$D$4:$F$15,MATCH(J1526&amp;"-"&amp;L1526,10_ASIL_Matrix!$C$4:$C$15,0),MATCH(N1526,10_ASIL_Matrix!$D$3:$F$3,0)))))</f>
        <v>A</v>
      </c>
      <c r="Q1526" s="5" t="s">
        <v>448</v>
      </c>
    </row>
    <row r="1527" customFormat="false" ht="46.25" hidden="false" customHeight="false" outlineLevel="0" collapsed="false">
      <c r="A1527" s="6" t="s">
        <v>3734</v>
      </c>
      <c r="B1527" s="6" t="s">
        <v>105</v>
      </c>
      <c r="C1527" s="6" t="s">
        <v>106</v>
      </c>
      <c r="D1527" s="6" t="s">
        <v>164</v>
      </c>
      <c r="E1527" s="6" t="s">
        <v>165</v>
      </c>
      <c r="F1527" s="6" t="s">
        <v>215</v>
      </c>
      <c r="G1527" s="6" t="s">
        <v>711</v>
      </c>
      <c r="H1527" s="6" t="s">
        <v>232</v>
      </c>
      <c r="I1527" s="6" t="s">
        <v>3735</v>
      </c>
      <c r="J1527" s="6" t="s">
        <v>246</v>
      </c>
      <c r="K1527" s="6" t="s">
        <v>2977</v>
      </c>
      <c r="L1527" s="6" t="s">
        <v>233</v>
      </c>
      <c r="M1527" s="6" t="s">
        <v>729</v>
      </c>
      <c r="N1527" s="6" t="s">
        <v>282</v>
      </c>
      <c r="O1527" s="6" t="s">
        <v>2790</v>
      </c>
      <c r="P1527" s="6" t="str">
        <f aca="false">IF(J1527="S0","—",IF(K1527="","",IF(L1527="E0","QM",INDEX(10_ASIL_Matrix!$D$4:$F$15,MATCH(J1527&amp;"-"&amp;L1527,10_ASIL_Matrix!$C$4:$C$15,0),MATCH(N1527,10_ASIL_Matrix!$D$3:$F$3,0)))))</f>
        <v>QM</v>
      </c>
      <c r="Q1527" s="6" t="s">
        <v>448</v>
      </c>
    </row>
    <row r="1528" customFormat="false" ht="35.05" hidden="false" customHeight="false" outlineLevel="0" collapsed="false">
      <c r="A1528" s="5" t="s">
        <v>3736</v>
      </c>
      <c r="B1528" s="5" t="s">
        <v>105</v>
      </c>
      <c r="C1528" s="5" t="s">
        <v>106</v>
      </c>
      <c r="D1528" s="5" t="s">
        <v>164</v>
      </c>
      <c r="E1528" s="5" t="s">
        <v>165</v>
      </c>
      <c r="F1528" s="5" t="s">
        <v>217</v>
      </c>
      <c r="G1528" s="5" t="s">
        <v>488</v>
      </c>
      <c r="H1528" s="5" t="s">
        <v>222</v>
      </c>
      <c r="I1528" s="5" t="s">
        <v>3737</v>
      </c>
      <c r="J1528" s="5" t="s">
        <v>246</v>
      </c>
      <c r="K1528" s="5" t="s">
        <v>2991</v>
      </c>
      <c r="L1528" s="5" t="s">
        <v>190</v>
      </c>
      <c r="M1528" s="5" t="s">
        <v>733</v>
      </c>
      <c r="N1528" s="5" t="s">
        <v>282</v>
      </c>
      <c r="O1528" s="5" t="s">
        <v>2790</v>
      </c>
      <c r="P1528" s="5" t="str">
        <f aca="false">IF(J1528="S0","—",IF(K1528="","",IF(L1528="E0","QM",INDEX(10_ASIL_Matrix!$D$4:$F$15,MATCH(J1528&amp;"-"&amp;L1528,10_ASIL_Matrix!$C$4:$C$15,0),MATCH(N1528,10_ASIL_Matrix!$D$3:$F$3,0)))))</f>
        <v>QM</v>
      </c>
      <c r="Q1528" s="5" t="s">
        <v>448</v>
      </c>
    </row>
    <row r="1529" customFormat="false" ht="35.05" hidden="false" customHeight="false" outlineLevel="0" collapsed="false">
      <c r="A1529" s="6" t="s">
        <v>3738</v>
      </c>
      <c r="B1529" s="6" t="s">
        <v>105</v>
      </c>
      <c r="C1529" s="6" t="s">
        <v>106</v>
      </c>
      <c r="D1529" s="6" t="s">
        <v>164</v>
      </c>
      <c r="E1529" s="6" t="s">
        <v>165</v>
      </c>
      <c r="F1529" s="6" t="s">
        <v>217</v>
      </c>
      <c r="G1529" s="6" t="s">
        <v>488</v>
      </c>
      <c r="H1529" s="6" t="s">
        <v>224</v>
      </c>
      <c r="I1529" s="6" t="s">
        <v>3739</v>
      </c>
      <c r="J1529" s="6" t="s">
        <v>250</v>
      </c>
      <c r="K1529" s="6" t="s">
        <v>2994</v>
      </c>
      <c r="L1529" s="6" t="s">
        <v>190</v>
      </c>
      <c r="M1529" s="6" t="s">
        <v>736</v>
      </c>
      <c r="N1529" s="6" t="s">
        <v>282</v>
      </c>
      <c r="O1529" s="6" t="s">
        <v>2809</v>
      </c>
      <c r="P1529" s="19" t="str">
        <f aca="false">IF(J1529="S0","—",IF(K1529="","",IF(L1529="E0","QM",INDEX(10_ASIL_Matrix!$D$4:$F$15,MATCH(J1529&amp;"-"&amp;L1529,10_ASIL_Matrix!$C$4:$C$15,0),MATCH(N1529,10_ASIL_Matrix!$D$3:$F$3,0)))))</f>
        <v>A</v>
      </c>
      <c r="Q1529" s="6" t="s">
        <v>448</v>
      </c>
    </row>
    <row r="1530" customFormat="false" ht="35.05" hidden="false" customHeight="false" outlineLevel="0" collapsed="false">
      <c r="A1530" s="5" t="s">
        <v>3740</v>
      </c>
      <c r="B1530" s="5" t="s">
        <v>105</v>
      </c>
      <c r="C1530" s="5" t="s">
        <v>106</v>
      </c>
      <c r="D1530" s="5" t="s">
        <v>164</v>
      </c>
      <c r="E1530" s="5" t="s">
        <v>165</v>
      </c>
      <c r="F1530" s="5" t="s">
        <v>217</v>
      </c>
      <c r="G1530" s="5" t="s">
        <v>488</v>
      </c>
      <c r="H1530" s="5" t="s">
        <v>226</v>
      </c>
      <c r="I1530" s="5" t="s">
        <v>3741</v>
      </c>
      <c r="J1530" s="5" t="s">
        <v>246</v>
      </c>
      <c r="K1530" s="5" t="s">
        <v>2991</v>
      </c>
      <c r="L1530" s="5" t="s">
        <v>190</v>
      </c>
      <c r="M1530" s="5" t="s">
        <v>739</v>
      </c>
      <c r="N1530" s="5" t="s">
        <v>282</v>
      </c>
      <c r="O1530" s="5" t="s">
        <v>2790</v>
      </c>
      <c r="P1530" s="5" t="str">
        <f aca="false">IF(J1530="S0","—",IF(K1530="","",IF(L1530="E0","QM",INDEX(10_ASIL_Matrix!$D$4:$F$15,MATCH(J1530&amp;"-"&amp;L1530,10_ASIL_Matrix!$C$4:$C$15,0),MATCH(N1530,10_ASIL_Matrix!$D$3:$F$3,0)))))</f>
        <v>QM</v>
      </c>
      <c r="Q1530" s="5" t="s">
        <v>448</v>
      </c>
    </row>
    <row r="1531" customFormat="false" ht="46.25" hidden="false" customHeight="false" outlineLevel="0" collapsed="false">
      <c r="A1531" s="6" t="s">
        <v>3742</v>
      </c>
      <c r="B1531" s="6" t="s">
        <v>105</v>
      </c>
      <c r="C1531" s="6" t="s">
        <v>106</v>
      </c>
      <c r="D1531" s="6" t="s">
        <v>164</v>
      </c>
      <c r="E1531" s="6" t="s">
        <v>165</v>
      </c>
      <c r="F1531" s="6" t="s">
        <v>217</v>
      </c>
      <c r="G1531" s="6" t="s">
        <v>488</v>
      </c>
      <c r="H1531" s="6" t="s">
        <v>228</v>
      </c>
      <c r="I1531" s="6" t="s">
        <v>3743</v>
      </c>
      <c r="J1531" s="6" t="s">
        <v>250</v>
      </c>
      <c r="K1531" s="6" t="s">
        <v>2994</v>
      </c>
      <c r="L1531" s="6" t="s">
        <v>205</v>
      </c>
      <c r="M1531" s="6" t="s">
        <v>742</v>
      </c>
      <c r="N1531" s="6" t="s">
        <v>282</v>
      </c>
      <c r="O1531" s="6" t="s">
        <v>2809</v>
      </c>
      <c r="P1531" s="6" t="str">
        <f aca="false">IF(J1531="S0","—",IF(K1531="","",IF(L1531="E0","QM",INDEX(10_ASIL_Matrix!$D$4:$F$15,MATCH(J1531&amp;"-"&amp;L1531,10_ASIL_Matrix!$C$4:$C$15,0),MATCH(N1531,10_ASIL_Matrix!$D$3:$F$3,0)))))</f>
        <v>QM</v>
      </c>
      <c r="Q1531" s="6" t="s">
        <v>448</v>
      </c>
    </row>
    <row r="1532" customFormat="false" ht="35.05" hidden="false" customHeight="false" outlineLevel="0" collapsed="false">
      <c r="A1532" s="5" t="s">
        <v>3744</v>
      </c>
      <c r="B1532" s="5" t="s">
        <v>105</v>
      </c>
      <c r="C1532" s="5" t="s">
        <v>106</v>
      </c>
      <c r="D1532" s="5" t="s">
        <v>164</v>
      </c>
      <c r="E1532" s="5" t="s">
        <v>165</v>
      </c>
      <c r="F1532" s="5" t="s">
        <v>217</v>
      </c>
      <c r="G1532" s="5" t="s">
        <v>488</v>
      </c>
      <c r="H1532" s="5" t="s">
        <v>230</v>
      </c>
      <c r="I1532" s="5" t="s">
        <v>3745</v>
      </c>
      <c r="J1532" s="5" t="s">
        <v>250</v>
      </c>
      <c r="K1532" s="5" t="s">
        <v>3001</v>
      </c>
      <c r="L1532" s="5" t="s">
        <v>205</v>
      </c>
      <c r="M1532" s="5" t="s">
        <v>745</v>
      </c>
      <c r="N1532" s="5" t="s">
        <v>286</v>
      </c>
      <c r="O1532" s="5" t="s">
        <v>2800</v>
      </c>
      <c r="P1532" s="19" t="str">
        <f aca="false">IF(J1532="S0","—",IF(K1532="","",IF(L1532="E0","QM",INDEX(10_ASIL_Matrix!$D$4:$F$15,MATCH(J1532&amp;"-"&amp;L1532,10_ASIL_Matrix!$C$4:$C$15,0),MATCH(N1532,10_ASIL_Matrix!$D$3:$F$3,0)))))</f>
        <v>A</v>
      </c>
      <c r="Q1532" s="5" t="s">
        <v>448</v>
      </c>
    </row>
    <row r="1533" customFormat="false" ht="46.25" hidden="false" customHeight="false" outlineLevel="0" collapsed="false">
      <c r="A1533" s="6" t="s">
        <v>3746</v>
      </c>
      <c r="B1533" s="6" t="s">
        <v>105</v>
      </c>
      <c r="C1533" s="6" t="s">
        <v>106</v>
      </c>
      <c r="D1533" s="6" t="s">
        <v>164</v>
      </c>
      <c r="E1533" s="6" t="s">
        <v>165</v>
      </c>
      <c r="F1533" s="6" t="s">
        <v>217</v>
      </c>
      <c r="G1533" s="6" t="s">
        <v>488</v>
      </c>
      <c r="H1533" s="6" t="s">
        <v>232</v>
      </c>
      <c r="I1533" s="6" t="s">
        <v>3747</v>
      </c>
      <c r="J1533" s="6" t="s">
        <v>246</v>
      </c>
      <c r="K1533" s="6" t="s">
        <v>2991</v>
      </c>
      <c r="L1533" s="6" t="s">
        <v>233</v>
      </c>
      <c r="M1533" s="6" t="s">
        <v>748</v>
      </c>
      <c r="N1533" s="6" t="s">
        <v>282</v>
      </c>
      <c r="O1533" s="6" t="s">
        <v>2790</v>
      </c>
      <c r="P1533" s="6" t="str">
        <f aca="false">IF(J1533="S0","—",IF(K1533="","",IF(L1533="E0","QM",INDEX(10_ASIL_Matrix!$D$4:$F$15,MATCH(J1533&amp;"-"&amp;L1533,10_ASIL_Matrix!$C$4:$C$15,0),MATCH(N1533,10_ASIL_Matrix!$D$3:$F$3,0)))))</f>
        <v>QM</v>
      </c>
      <c r="Q1533" s="6" t="s">
        <v>448</v>
      </c>
    </row>
    <row r="1534" customFormat="false" ht="35.05" hidden="false" customHeight="false" outlineLevel="0" collapsed="false">
      <c r="A1534" s="5" t="s">
        <v>3748</v>
      </c>
      <c r="B1534" s="5" t="s">
        <v>105</v>
      </c>
      <c r="C1534" s="5" t="s">
        <v>106</v>
      </c>
      <c r="D1534" s="5" t="s">
        <v>167</v>
      </c>
      <c r="E1534" s="5" t="s">
        <v>168</v>
      </c>
      <c r="F1534" s="5" t="s">
        <v>186</v>
      </c>
      <c r="G1534" s="5" t="s">
        <v>443</v>
      </c>
      <c r="H1534" s="5" t="s">
        <v>222</v>
      </c>
      <c r="I1534" s="5" t="s">
        <v>3749</v>
      </c>
      <c r="J1534" s="5" t="s">
        <v>238</v>
      </c>
      <c r="K1534" s="5" t="s">
        <v>2410</v>
      </c>
      <c r="L1534" s="5" t="s">
        <v>187</v>
      </c>
      <c r="M1534" s="5" t="s">
        <v>446</v>
      </c>
      <c r="N1534" s="5" t="s">
        <v>278</v>
      </c>
      <c r="O1534" s="5" t="s">
        <v>634</v>
      </c>
      <c r="P1534" s="5" t="str">
        <f aca="false">IF(J1534="S0","—",IF(K1534="","",IF(L1534="E0","QM",INDEX(10_ASIL_Matrix!$D$4:$F$15,MATCH(J1534&amp;"-"&amp;L1534,10_ASIL_Matrix!$C$4:$C$15,0),MATCH(N1534,10_ASIL_Matrix!$D$3:$F$3,0)))))</f>
        <v>—</v>
      </c>
      <c r="Q1534" s="5" t="s">
        <v>448</v>
      </c>
    </row>
    <row r="1535" customFormat="false" ht="35.05" hidden="false" customHeight="false" outlineLevel="0" collapsed="false">
      <c r="A1535" s="6" t="s">
        <v>3750</v>
      </c>
      <c r="B1535" s="6" t="s">
        <v>105</v>
      </c>
      <c r="C1535" s="6" t="s">
        <v>106</v>
      </c>
      <c r="D1535" s="6" t="s">
        <v>167</v>
      </c>
      <c r="E1535" s="6" t="s">
        <v>168</v>
      </c>
      <c r="F1535" s="6" t="s">
        <v>186</v>
      </c>
      <c r="G1535" s="6" t="s">
        <v>443</v>
      </c>
      <c r="H1535" s="6" t="s">
        <v>224</v>
      </c>
      <c r="I1535" s="6" t="s">
        <v>3751</v>
      </c>
      <c r="J1535" s="6" t="s">
        <v>238</v>
      </c>
      <c r="K1535" s="6" t="s">
        <v>2410</v>
      </c>
      <c r="L1535" s="6" t="s">
        <v>190</v>
      </c>
      <c r="M1535" s="6" t="s">
        <v>451</v>
      </c>
      <c r="N1535" s="6" t="s">
        <v>278</v>
      </c>
      <c r="O1535" s="6" t="s">
        <v>634</v>
      </c>
      <c r="P1535" s="6" t="str">
        <f aca="false">IF(J1535="S0","—",IF(K1535="","",IF(L1535="E0","QM",INDEX(10_ASIL_Matrix!$D$4:$F$15,MATCH(J1535&amp;"-"&amp;L1535,10_ASIL_Matrix!$C$4:$C$15,0),MATCH(N1535,10_ASIL_Matrix!$D$3:$F$3,0)))))</f>
        <v>—</v>
      </c>
      <c r="Q1535" s="6" t="s">
        <v>448</v>
      </c>
    </row>
    <row r="1536" customFormat="false" ht="35.05" hidden="false" customHeight="false" outlineLevel="0" collapsed="false">
      <c r="A1536" s="5" t="s">
        <v>3752</v>
      </c>
      <c r="B1536" s="5" t="s">
        <v>105</v>
      </c>
      <c r="C1536" s="5" t="s">
        <v>106</v>
      </c>
      <c r="D1536" s="5" t="s">
        <v>167</v>
      </c>
      <c r="E1536" s="5" t="s">
        <v>168</v>
      </c>
      <c r="F1536" s="5" t="s">
        <v>186</v>
      </c>
      <c r="G1536" s="5" t="s">
        <v>443</v>
      </c>
      <c r="H1536" s="5" t="s">
        <v>226</v>
      </c>
      <c r="I1536" s="5" t="s">
        <v>3753</v>
      </c>
      <c r="J1536" s="5" t="s">
        <v>238</v>
      </c>
      <c r="K1536" s="5" t="s">
        <v>2410</v>
      </c>
      <c r="L1536" s="5" t="s">
        <v>190</v>
      </c>
      <c r="M1536" s="5" t="s">
        <v>454</v>
      </c>
      <c r="N1536" s="5" t="s">
        <v>278</v>
      </c>
      <c r="O1536" s="5" t="s">
        <v>634</v>
      </c>
      <c r="P1536" s="5" t="str">
        <f aca="false">IF(J1536="S0","—",IF(K1536="","",IF(L1536="E0","QM",INDEX(10_ASIL_Matrix!$D$4:$F$15,MATCH(J1536&amp;"-"&amp;L1536,10_ASIL_Matrix!$C$4:$C$15,0),MATCH(N1536,10_ASIL_Matrix!$D$3:$F$3,0)))))</f>
        <v>—</v>
      </c>
      <c r="Q1536" s="5" t="s">
        <v>448</v>
      </c>
    </row>
    <row r="1537" customFormat="false" ht="35.05" hidden="false" customHeight="false" outlineLevel="0" collapsed="false">
      <c r="A1537" s="6" t="s">
        <v>3754</v>
      </c>
      <c r="B1537" s="6" t="s">
        <v>105</v>
      </c>
      <c r="C1537" s="6" t="s">
        <v>106</v>
      </c>
      <c r="D1537" s="6" t="s">
        <v>167</v>
      </c>
      <c r="E1537" s="6" t="s">
        <v>168</v>
      </c>
      <c r="F1537" s="6" t="s">
        <v>186</v>
      </c>
      <c r="G1537" s="6" t="s">
        <v>443</v>
      </c>
      <c r="H1537" s="6" t="s">
        <v>228</v>
      </c>
      <c r="I1537" s="6" t="s">
        <v>3755</v>
      </c>
      <c r="J1537" s="6" t="s">
        <v>238</v>
      </c>
      <c r="K1537" s="6" t="s">
        <v>2410</v>
      </c>
      <c r="L1537" s="6" t="s">
        <v>205</v>
      </c>
      <c r="M1537" s="6" t="s">
        <v>457</v>
      </c>
      <c r="N1537" s="6" t="s">
        <v>278</v>
      </c>
      <c r="O1537" s="6" t="s">
        <v>634</v>
      </c>
      <c r="P1537" s="6" t="str">
        <f aca="false">IF(J1537="S0","—",IF(K1537="","",IF(L1537="E0","QM",INDEX(10_ASIL_Matrix!$D$4:$F$15,MATCH(J1537&amp;"-"&amp;L1537,10_ASIL_Matrix!$C$4:$C$15,0),MATCH(N1537,10_ASIL_Matrix!$D$3:$F$3,0)))))</f>
        <v>—</v>
      </c>
      <c r="Q1537" s="6" t="s">
        <v>448</v>
      </c>
    </row>
    <row r="1538" customFormat="false" ht="35.05" hidden="false" customHeight="false" outlineLevel="0" collapsed="false">
      <c r="A1538" s="5" t="s">
        <v>3756</v>
      </c>
      <c r="B1538" s="5" t="s">
        <v>105</v>
      </c>
      <c r="C1538" s="5" t="s">
        <v>106</v>
      </c>
      <c r="D1538" s="5" t="s">
        <v>167</v>
      </c>
      <c r="E1538" s="5" t="s">
        <v>168</v>
      </c>
      <c r="F1538" s="5" t="s">
        <v>186</v>
      </c>
      <c r="G1538" s="5" t="s">
        <v>443</v>
      </c>
      <c r="H1538" s="5" t="s">
        <v>230</v>
      </c>
      <c r="I1538" s="5" t="s">
        <v>3757</v>
      </c>
      <c r="J1538" s="5" t="s">
        <v>238</v>
      </c>
      <c r="K1538" s="5" t="s">
        <v>2410</v>
      </c>
      <c r="L1538" s="5" t="s">
        <v>205</v>
      </c>
      <c r="M1538" s="5" t="s">
        <v>460</v>
      </c>
      <c r="N1538" s="5" t="s">
        <v>278</v>
      </c>
      <c r="O1538" s="5" t="s">
        <v>634</v>
      </c>
      <c r="P1538" s="5" t="str">
        <f aca="false">IF(J1538="S0","—",IF(K1538="","",IF(L1538="E0","QM",INDEX(10_ASIL_Matrix!$D$4:$F$15,MATCH(J1538&amp;"-"&amp;L1538,10_ASIL_Matrix!$C$4:$C$15,0),MATCH(N1538,10_ASIL_Matrix!$D$3:$F$3,0)))))</f>
        <v>—</v>
      </c>
      <c r="Q1538" s="5" t="s">
        <v>448</v>
      </c>
    </row>
    <row r="1539" customFormat="false" ht="46.25" hidden="false" customHeight="false" outlineLevel="0" collapsed="false">
      <c r="A1539" s="6" t="s">
        <v>3758</v>
      </c>
      <c r="B1539" s="6" t="s">
        <v>105</v>
      </c>
      <c r="C1539" s="6" t="s">
        <v>106</v>
      </c>
      <c r="D1539" s="6" t="s">
        <v>167</v>
      </c>
      <c r="E1539" s="6" t="s">
        <v>168</v>
      </c>
      <c r="F1539" s="6" t="s">
        <v>186</v>
      </c>
      <c r="G1539" s="6" t="s">
        <v>443</v>
      </c>
      <c r="H1539" s="6" t="s">
        <v>232</v>
      </c>
      <c r="I1539" s="6" t="s">
        <v>3759</v>
      </c>
      <c r="J1539" s="6" t="s">
        <v>238</v>
      </c>
      <c r="K1539" s="6" t="s">
        <v>2410</v>
      </c>
      <c r="L1539" s="6" t="s">
        <v>233</v>
      </c>
      <c r="M1539" s="6" t="s">
        <v>464</v>
      </c>
      <c r="N1539" s="6" t="s">
        <v>278</v>
      </c>
      <c r="O1539" s="6" t="s">
        <v>634</v>
      </c>
      <c r="P1539" s="6" t="str">
        <f aca="false">IF(J1539="S0","—",IF(K1539="","",IF(L1539="E0","QM",INDEX(10_ASIL_Matrix!$D$4:$F$15,MATCH(J1539&amp;"-"&amp;L1539,10_ASIL_Matrix!$C$4:$C$15,0),MATCH(N1539,10_ASIL_Matrix!$D$3:$F$3,0)))))</f>
        <v>—</v>
      </c>
      <c r="Q1539" s="6" t="s">
        <v>448</v>
      </c>
    </row>
    <row r="1540" customFormat="false" ht="35.05" hidden="false" customHeight="false" outlineLevel="0" collapsed="false">
      <c r="A1540" s="5" t="s">
        <v>3760</v>
      </c>
      <c r="B1540" s="5" t="s">
        <v>105</v>
      </c>
      <c r="C1540" s="5" t="s">
        <v>106</v>
      </c>
      <c r="D1540" s="5" t="s">
        <v>167</v>
      </c>
      <c r="E1540" s="5" t="s">
        <v>168</v>
      </c>
      <c r="F1540" s="5" t="s">
        <v>189</v>
      </c>
      <c r="G1540" s="5" t="s">
        <v>466</v>
      </c>
      <c r="H1540" s="5" t="s">
        <v>222</v>
      </c>
      <c r="I1540" s="5" t="s">
        <v>3761</v>
      </c>
      <c r="J1540" s="5" t="s">
        <v>238</v>
      </c>
      <c r="K1540" s="5" t="s">
        <v>2410</v>
      </c>
      <c r="L1540" s="5" t="s">
        <v>190</v>
      </c>
      <c r="M1540" s="5" t="s">
        <v>469</v>
      </c>
      <c r="N1540" s="5" t="s">
        <v>278</v>
      </c>
      <c r="O1540" s="5" t="s">
        <v>634</v>
      </c>
      <c r="P1540" s="5" t="str">
        <f aca="false">IF(J1540="S0","—",IF(K1540="","",IF(L1540="E0","QM",INDEX(10_ASIL_Matrix!$D$4:$F$15,MATCH(J1540&amp;"-"&amp;L1540,10_ASIL_Matrix!$C$4:$C$15,0),MATCH(N1540,10_ASIL_Matrix!$D$3:$F$3,0)))))</f>
        <v>—</v>
      </c>
      <c r="Q1540" s="5" t="s">
        <v>448</v>
      </c>
    </row>
    <row r="1541" customFormat="false" ht="35.05" hidden="false" customHeight="false" outlineLevel="0" collapsed="false">
      <c r="A1541" s="6" t="s">
        <v>3762</v>
      </c>
      <c r="B1541" s="6" t="s">
        <v>105</v>
      </c>
      <c r="C1541" s="6" t="s">
        <v>106</v>
      </c>
      <c r="D1541" s="6" t="s">
        <v>167</v>
      </c>
      <c r="E1541" s="6" t="s">
        <v>168</v>
      </c>
      <c r="F1541" s="6" t="s">
        <v>189</v>
      </c>
      <c r="G1541" s="6" t="s">
        <v>466</v>
      </c>
      <c r="H1541" s="6" t="s">
        <v>224</v>
      </c>
      <c r="I1541" s="6" t="s">
        <v>3763</v>
      </c>
      <c r="J1541" s="6" t="s">
        <v>238</v>
      </c>
      <c r="K1541" s="6" t="s">
        <v>2410</v>
      </c>
      <c r="L1541" s="6" t="s">
        <v>190</v>
      </c>
      <c r="M1541" s="6" t="s">
        <v>473</v>
      </c>
      <c r="N1541" s="6" t="s">
        <v>278</v>
      </c>
      <c r="O1541" s="6" t="s">
        <v>634</v>
      </c>
      <c r="P1541" s="6" t="str">
        <f aca="false">IF(J1541="S0","—",IF(K1541="","",IF(L1541="E0","QM",INDEX(10_ASIL_Matrix!$D$4:$F$15,MATCH(J1541&amp;"-"&amp;L1541,10_ASIL_Matrix!$C$4:$C$15,0),MATCH(N1541,10_ASIL_Matrix!$D$3:$F$3,0)))))</f>
        <v>—</v>
      </c>
      <c r="Q1541" s="6" t="s">
        <v>448</v>
      </c>
    </row>
    <row r="1542" customFormat="false" ht="35.05" hidden="false" customHeight="false" outlineLevel="0" collapsed="false">
      <c r="A1542" s="5" t="s">
        <v>3764</v>
      </c>
      <c r="B1542" s="5" t="s">
        <v>105</v>
      </c>
      <c r="C1542" s="5" t="s">
        <v>106</v>
      </c>
      <c r="D1542" s="5" t="s">
        <v>167</v>
      </c>
      <c r="E1542" s="5" t="s">
        <v>168</v>
      </c>
      <c r="F1542" s="5" t="s">
        <v>189</v>
      </c>
      <c r="G1542" s="5" t="s">
        <v>466</v>
      </c>
      <c r="H1542" s="5" t="s">
        <v>226</v>
      </c>
      <c r="I1542" s="5" t="s">
        <v>3765</v>
      </c>
      <c r="J1542" s="5" t="s">
        <v>238</v>
      </c>
      <c r="K1542" s="5" t="s">
        <v>2410</v>
      </c>
      <c r="L1542" s="5" t="s">
        <v>190</v>
      </c>
      <c r="M1542" s="5" t="s">
        <v>476</v>
      </c>
      <c r="N1542" s="5" t="s">
        <v>278</v>
      </c>
      <c r="O1542" s="5" t="s">
        <v>634</v>
      </c>
      <c r="P1542" s="5" t="str">
        <f aca="false">IF(J1542="S0","—",IF(K1542="","",IF(L1542="E0","QM",INDEX(10_ASIL_Matrix!$D$4:$F$15,MATCH(J1542&amp;"-"&amp;L1542,10_ASIL_Matrix!$C$4:$C$15,0),MATCH(N1542,10_ASIL_Matrix!$D$3:$F$3,0)))))</f>
        <v>—</v>
      </c>
      <c r="Q1542" s="5" t="s">
        <v>448</v>
      </c>
    </row>
    <row r="1543" customFormat="false" ht="35.05" hidden="false" customHeight="false" outlineLevel="0" collapsed="false">
      <c r="A1543" s="6" t="s">
        <v>3766</v>
      </c>
      <c r="B1543" s="6" t="s">
        <v>105</v>
      </c>
      <c r="C1543" s="6" t="s">
        <v>106</v>
      </c>
      <c r="D1543" s="6" t="s">
        <v>167</v>
      </c>
      <c r="E1543" s="6" t="s">
        <v>168</v>
      </c>
      <c r="F1543" s="6" t="s">
        <v>189</v>
      </c>
      <c r="G1543" s="6" t="s">
        <v>466</v>
      </c>
      <c r="H1543" s="6" t="s">
        <v>228</v>
      </c>
      <c r="I1543" s="6" t="s">
        <v>3767</v>
      </c>
      <c r="J1543" s="6" t="s">
        <v>238</v>
      </c>
      <c r="K1543" s="6" t="s">
        <v>2410</v>
      </c>
      <c r="L1543" s="6" t="s">
        <v>205</v>
      </c>
      <c r="M1543" s="6" t="s">
        <v>479</v>
      </c>
      <c r="N1543" s="6" t="s">
        <v>278</v>
      </c>
      <c r="O1543" s="6" t="s">
        <v>634</v>
      </c>
      <c r="P1543" s="6" t="str">
        <f aca="false">IF(J1543="S0","—",IF(K1543="","",IF(L1543="E0","QM",INDEX(10_ASIL_Matrix!$D$4:$F$15,MATCH(J1543&amp;"-"&amp;L1543,10_ASIL_Matrix!$C$4:$C$15,0),MATCH(N1543,10_ASIL_Matrix!$D$3:$F$3,0)))))</f>
        <v>—</v>
      </c>
      <c r="Q1543" s="6" t="s">
        <v>448</v>
      </c>
    </row>
    <row r="1544" customFormat="false" ht="35.05" hidden="false" customHeight="false" outlineLevel="0" collapsed="false">
      <c r="A1544" s="5" t="s">
        <v>3768</v>
      </c>
      <c r="B1544" s="5" t="s">
        <v>105</v>
      </c>
      <c r="C1544" s="5" t="s">
        <v>106</v>
      </c>
      <c r="D1544" s="5" t="s">
        <v>167</v>
      </c>
      <c r="E1544" s="5" t="s">
        <v>168</v>
      </c>
      <c r="F1544" s="5" t="s">
        <v>189</v>
      </c>
      <c r="G1544" s="5" t="s">
        <v>466</v>
      </c>
      <c r="H1544" s="5" t="s">
        <v>230</v>
      </c>
      <c r="I1544" s="5" t="s">
        <v>3769</v>
      </c>
      <c r="J1544" s="5" t="s">
        <v>238</v>
      </c>
      <c r="K1544" s="5" t="s">
        <v>2410</v>
      </c>
      <c r="L1544" s="5" t="s">
        <v>205</v>
      </c>
      <c r="M1544" s="5" t="s">
        <v>482</v>
      </c>
      <c r="N1544" s="5" t="s">
        <v>278</v>
      </c>
      <c r="O1544" s="5" t="s">
        <v>634</v>
      </c>
      <c r="P1544" s="5" t="str">
        <f aca="false">IF(J1544="S0","—",IF(K1544="","",IF(L1544="E0","QM",INDEX(10_ASIL_Matrix!$D$4:$F$15,MATCH(J1544&amp;"-"&amp;L1544,10_ASIL_Matrix!$C$4:$C$15,0),MATCH(N1544,10_ASIL_Matrix!$D$3:$F$3,0)))))</f>
        <v>—</v>
      </c>
      <c r="Q1544" s="5" t="s">
        <v>448</v>
      </c>
    </row>
    <row r="1545" customFormat="false" ht="46.25" hidden="false" customHeight="false" outlineLevel="0" collapsed="false">
      <c r="A1545" s="6" t="s">
        <v>3770</v>
      </c>
      <c r="B1545" s="6" t="s">
        <v>105</v>
      </c>
      <c r="C1545" s="6" t="s">
        <v>106</v>
      </c>
      <c r="D1545" s="6" t="s">
        <v>167</v>
      </c>
      <c r="E1545" s="6" t="s">
        <v>168</v>
      </c>
      <c r="F1545" s="6" t="s">
        <v>189</v>
      </c>
      <c r="G1545" s="6" t="s">
        <v>466</v>
      </c>
      <c r="H1545" s="6" t="s">
        <v>232</v>
      </c>
      <c r="I1545" s="6" t="s">
        <v>3771</v>
      </c>
      <c r="J1545" s="6" t="s">
        <v>238</v>
      </c>
      <c r="K1545" s="6" t="s">
        <v>2410</v>
      </c>
      <c r="L1545" s="6" t="s">
        <v>233</v>
      </c>
      <c r="M1545" s="6" t="s">
        <v>486</v>
      </c>
      <c r="N1545" s="6" t="s">
        <v>278</v>
      </c>
      <c r="O1545" s="6" t="s">
        <v>634</v>
      </c>
      <c r="P1545" s="6" t="str">
        <f aca="false">IF(J1545="S0","—",IF(K1545="","",IF(L1545="E0","QM",INDEX(10_ASIL_Matrix!$D$4:$F$15,MATCH(J1545&amp;"-"&amp;L1545,10_ASIL_Matrix!$C$4:$C$15,0),MATCH(N1545,10_ASIL_Matrix!$D$3:$F$3,0)))))</f>
        <v>—</v>
      </c>
      <c r="Q1545" s="6" t="s">
        <v>448</v>
      </c>
    </row>
    <row r="1546" customFormat="false" ht="35.05" hidden="false" customHeight="false" outlineLevel="0" collapsed="false">
      <c r="A1546" s="5" t="s">
        <v>3772</v>
      </c>
      <c r="B1546" s="5" t="s">
        <v>105</v>
      </c>
      <c r="C1546" s="5" t="s">
        <v>106</v>
      </c>
      <c r="D1546" s="5" t="s">
        <v>167</v>
      </c>
      <c r="E1546" s="5" t="s">
        <v>168</v>
      </c>
      <c r="F1546" s="5" t="s">
        <v>192</v>
      </c>
      <c r="G1546" s="5" t="s">
        <v>488</v>
      </c>
      <c r="H1546" s="5" t="s">
        <v>222</v>
      </c>
      <c r="I1546" s="5" t="s">
        <v>3773</v>
      </c>
      <c r="J1546" s="5" t="s">
        <v>238</v>
      </c>
      <c r="K1546" s="5" t="s">
        <v>2410</v>
      </c>
      <c r="L1546" s="5" t="s">
        <v>187</v>
      </c>
      <c r="M1546" s="5" t="s">
        <v>491</v>
      </c>
      <c r="N1546" s="5" t="s">
        <v>278</v>
      </c>
      <c r="O1546" s="5" t="s">
        <v>634</v>
      </c>
      <c r="P1546" s="5" t="str">
        <f aca="false">IF(J1546="S0","—",IF(K1546="","",IF(L1546="E0","QM",INDEX(10_ASIL_Matrix!$D$4:$F$15,MATCH(J1546&amp;"-"&amp;L1546,10_ASIL_Matrix!$C$4:$C$15,0),MATCH(N1546,10_ASIL_Matrix!$D$3:$F$3,0)))))</f>
        <v>—</v>
      </c>
      <c r="Q1546" s="5" t="s">
        <v>448</v>
      </c>
    </row>
    <row r="1547" customFormat="false" ht="35.05" hidden="false" customHeight="false" outlineLevel="0" collapsed="false">
      <c r="A1547" s="6" t="s">
        <v>3774</v>
      </c>
      <c r="B1547" s="6" t="s">
        <v>105</v>
      </c>
      <c r="C1547" s="6" t="s">
        <v>106</v>
      </c>
      <c r="D1547" s="6" t="s">
        <v>167</v>
      </c>
      <c r="E1547" s="6" t="s">
        <v>168</v>
      </c>
      <c r="F1547" s="6" t="s">
        <v>192</v>
      </c>
      <c r="G1547" s="6" t="s">
        <v>488</v>
      </c>
      <c r="H1547" s="6" t="s">
        <v>224</v>
      </c>
      <c r="I1547" s="6" t="s">
        <v>3775</v>
      </c>
      <c r="J1547" s="6" t="s">
        <v>238</v>
      </c>
      <c r="K1547" s="6" t="s">
        <v>2410</v>
      </c>
      <c r="L1547" s="6" t="s">
        <v>190</v>
      </c>
      <c r="M1547" s="6" t="s">
        <v>494</v>
      </c>
      <c r="N1547" s="6" t="s">
        <v>278</v>
      </c>
      <c r="O1547" s="6" t="s">
        <v>634</v>
      </c>
      <c r="P1547" s="6" t="str">
        <f aca="false">IF(J1547="S0","—",IF(K1547="","",IF(L1547="E0","QM",INDEX(10_ASIL_Matrix!$D$4:$F$15,MATCH(J1547&amp;"-"&amp;L1547,10_ASIL_Matrix!$C$4:$C$15,0),MATCH(N1547,10_ASIL_Matrix!$D$3:$F$3,0)))))</f>
        <v>—</v>
      </c>
      <c r="Q1547" s="6" t="s">
        <v>448</v>
      </c>
    </row>
    <row r="1548" customFormat="false" ht="35.05" hidden="false" customHeight="false" outlineLevel="0" collapsed="false">
      <c r="A1548" s="5" t="s">
        <v>3776</v>
      </c>
      <c r="B1548" s="5" t="s">
        <v>105</v>
      </c>
      <c r="C1548" s="5" t="s">
        <v>106</v>
      </c>
      <c r="D1548" s="5" t="s">
        <v>167</v>
      </c>
      <c r="E1548" s="5" t="s">
        <v>168</v>
      </c>
      <c r="F1548" s="5" t="s">
        <v>192</v>
      </c>
      <c r="G1548" s="5" t="s">
        <v>488</v>
      </c>
      <c r="H1548" s="5" t="s">
        <v>226</v>
      </c>
      <c r="I1548" s="5" t="s">
        <v>3777</v>
      </c>
      <c r="J1548" s="5" t="s">
        <v>238</v>
      </c>
      <c r="K1548" s="5" t="s">
        <v>2410</v>
      </c>
      <c r="L1548" s="5" t="s">
        <v>190</v>
      </c>
      <c r="M1548" s="5" t="s">
        <v>497</v>
      </c>
      <c r="N1548" s="5" t="s">
        <v>278</v>
      </c>
      <c r="O1548" s="5" t="s">
        <v>634</v>
      </c>
      <c r="P1548" s="5" t="str">
        <f aca="false">IF(J1548="S0","—",IF(K1548="","",IF(L1548="E0","QM",INDEX(10_ASIL_Matrix!$D$4:$F$15,MATCH(J1548&amp;"-"&amp;L1548,10_ASIL_Matrix!$C$4:$C$15,0),MATCH(N1548,10_ASIL_Matrix!$D$3:$F$3,0)))))</f>
        <v>—</v>
      </c>
      <c r="Q1548" s="5" t="s">
        <v>448</v>
      </c>
    </row>
    <row r="1549" customFormat="false" ht="35.05" hidden="false" customHeight="false" outlineLevel="0" collapsed="false">
      <c r="A1549" s="6" t="s">
        <v>3778</v>
      </c>
      <c r="B1549" s="6" t="s">
        <v>105</v>
      </c>
      <c r="C1549" s="6" t="s">
        <v>106</v>
      </c>
      <c r="D1549" s="6" t="s">
        <v>167</v>
      </c>
      <c r="E1549" s="6" t="s">
        <v>168</v>
      </c>
      <c r="F1549" s="6" t="s">
        <v>192</v>
      </c>
      <c r="G1549" s="6" t="s">
        <v>488</v>
      </c>
      <c r="H1549" s="6" t="s">
        <v>228</v>
      </c>
      <c r="I1549" s="6" t="s">
        <v>3779</v>
      </c>
      <c r="J1549" s="6" t="s">
        <v>238</v>
      </c>
      <c r="K1549" s="6" t="s">
        <v>2410</v>
      </c>
      <c r="L1549" s="6" t="s">
        <v>205</v>
      </c>
      <c r="M1549" s="6" t="s">
        <v>500</v>
      </c>
      <c r="N1549" s="6" t="s">
        <v>278</v>
      </c>
      <c r="O1549" s="6" t="s">
        <v>634</v>
      </c>
      <c r="P1549" s="6" t="str">
        <f aca="false">IF(J1549="S0","—",IF(K1549="","",IF(L1549="E0","QM",INDEX(10_ASIL_Matrix!$D$4:$F$15,MATCH(J1549&amp;"-"&amp;L1549,10_ASIL_Matrix!$C$4:$C$15,0),MATCH(N1549,10_ASIL_Matrix!$D$3:$F$3,0)))))</f>
        <v>—</v>
      </c>
      <c r="Q1549" s="6" t="s">
        <v>448</v>
      </c>
    </row>
    <row r="1550" customFormat="false" ht="35.05" hidden="false" customHeight="false" outlineLevel="0" collapsed="false">
      <c r="A1550" s="5" t="s">
        <v>3780</v>
      </c>
      <c r="B1550" s="5" t="s">
        <v>105</v>
      </c>
      <c r="C1550" s="5" t="s">
        <v>106</v>
      </c>
      <c r="D1550" s="5" t="s">
        <v>167</v>
      </c>
      <c r="E1550" s="5" t="s">
        <v>168</v>
      </c>
      <c r="F1550" s="5" t="s">
        <v>192</v>
      </c>
      <c r="G1550" s="5" t="s">
        <v>488</v>
      </c>
      <c r="H1550" s="5" t="s">
        <v>230</v>
      </c>
      <c r="I1550" s="5" t="s">
        <v>3781</v>
      </c>
      <c r="J1550" s="5" t="s">
        <v>238</v>
      </c>
      <c r="K1550" s="5" t="s">
        <v>2410</v>
      </c>
      <c r="L1550" s="5" t="s">
        <v>205</v>
      </c>
      <c r="M1550" s="5" t="s">
        <v>503</v>
      </c>
      <c r="N1550" s="5" t="s">
        <v>278</v>
      </c>
      <c r="O1550" s="5" t="s">
        <v>634</v>
      </c>
      <c r="P1550" s="5" t="str">
        <f aca="false">IF(J1550="S0","—",IF(K1550="","",IF(L1550="E0","QM",INDEX(10_ASIL_Matrix!$D$4:$F$15,MATCH(J1550&amp;"-"&amp;L1550,10_ASIL_Matrix!$C$4:$C$15,0),MATCH(N1550,10_ASIL_Matrix!$D$3:$F$3,0)))))</f>
        <v>—</v>
      </c>
      <c r="Q1550" s="5" t="s">
        <v>448</v>
      </c>
    </row>
    <row r="1551" customFormat="false" ht="46.25" hidden="false" customHeight="false" outlineLevel="0" collapsed="false">
      <c r="A1551" s="6" t="s">
        <v>3782</v>
      </c>
      <c r="B1551" s="6" t="s">
        <v>105</v>
      </c>
      <c r="C1551" s="6" t="s">
        <v>106</v>
      </c>
      <c r="D1551" s="6" t="s">
        <v>167</v>
      </c>
      <c r="E1551" s="6" t="s">
        <v>168</v>
      </c>
      <c r="F1551" s="6" t="s">
        <v>192</v>
      </c>
      <c r="G1551" s="6" t="s">
        <v>488</v>
      </c>
      <c r="H1551" s="6" t="s">
        <v>232</v>
      </c>
      <c r="I1551" s="6" t="s">
        <v>3783</v>
      </c>
      <c r="J1551" s="6" t="s">
        <v>238</v>
      </c>
      <c r="K1551" s="6" t="s">
        <v>2410</v>
      </c>
      <c r="L1551" s="6" t="s">
        <v>233</v>
      </c>
      <c r="M1551" s="6" t="s">
        <v>506</v>
      </c>
      <c r="N1551" s="6" t="s">
        <v>278</v>
      </c>
      <c r="O1551" s="6" t="s">
        <v>634</v>
      </c>
      <c r="P1551" s="6" t="str">
        <f aca="false">IF(J1551="S0","—",IF(K1551="","",IF(L1551="E0","QM",INDEX(10_ASIL_Matrix!$D$4:$F$15,MATCH(J1551&amp;"-"&amp;L1551,10_ASIL_Matrix!$C$4:$C$15,0),MATCH(N1551,10_ASIL_Matrix!$D$3:$F$3,0)))))</f>
        <v>—</v>
      </c>
      <c r="Q1551" s="6" t="s">
        <v>448</v>
      </c>
    </row>
    <row r="1552" customFormat="false" ht="35.05" hidden="false" customHeight="false" outlineLevel="0" collapsed="false">
      <c r="A1552" s="5" t="s">
        <v>3784</v>
      </c>
      <c r="B1552" s="5" t="s">
        <v>105</v>
      </c>
      <c r="C1552" s="5" t="s">
        <v>106</v>
      </c>
      <c r="D1552" s="5" t="s">
        <v>167</v>
      </c>
      <c r="E1552" s="5" t="s">
        <v>168</v>
      </c>
      <c r="F1552" s="5" t="s">
        <v>194</v>
      </c>
      <c r="G1552" s="5" t="s">
        <v>508</v>
      </c>
      <c r="H1552" s="5" t="s">
        <v>222</v>
      </c>
      <c r="I1552" s="5" t="s">
        <v>3785</v>
      </c>
      <c r="J1552" s="5" t="s">
        <v>238</v>
      </c>
      <c r="K1552" s="5" t="s">
        <v>2410</v>
      </c>
      <c r="L1552" s="5" t="s">
        <v>190</v>
      </c>
      <c r="M1552" s="5" t="s">
        <v>511</v>
      </c>
      <c r="N1552" s="5" t="s">
        <v>278</v>
      </c>
      <c r="O1552" s="5" t="s">
        <v>634</v>
      </c>
      <c r="P1552" s="5" t="str">
        <f aca="false">IF(J1552="S0","—",IF(K1552="","",IF(L1552="E0","QM",INDEX(10_ASIL_Matrix!$D$4:$F$15,MATCH(J1552&amp;"-"&amp;L1552,10_ASIL_Matrix!$C$4:$C$15,0),MATCH(N1552,10_ASIL_Matrix!$D$3:$F$3,0)))))</f>
        <v>—</v>
      </c>
      <c r="Q1552" s="5" t="s">
        <v>448</v>
      </c>
    </row>
    <row r="1553" customFormat="false" ht="35.05" hidden="false" customHeight="false" outlineLevel="0" collapsed="false">
      <c r="A1553" s="6" t="s">
        <v>3786</v>
      </c>
      <c r="B1553" s="6" t="s">
        <v>105</v>
      </c>
      <c r="C1553" s="6" t="s">
        <v>106</v>
      </c>
      <c r="D1553" s="6" t="s">
        <v>167</v>
      </c>
      <c r="E1553" s="6" t="s">
        <v>168</v>
      </c>
      <c r="F1553" s="6" t="s">
        <v>194</v>
      </c>
      <c r="G1553" s="6" t="s">
        <v>508</v>
      </c>
      <c r="H1553" s="6" t="s">
        <v>224</v>
      </c>
      <c r="I1553" s="6" t="s">
        <v>3787</v>
      </c>
      <c r="J1553" s="6" t="s">
        <v>238</v>
      </c>
      <c r="K1553" s="6" t="s">
        <v>2410</v>
      </c>
      <c r="L1553" s="6" t="s">
        <v>190</v>
      </c>
      <c r="M1553" s="6" t="s">
        <v>514</v>
      </c>
      <c r="N1553" s="6" t="s">
        <v>278</v>
      </c>
      <c r="O1553" s="6" t="s">
        <v>634</v>
      </c>
      <c r="P1553" s="6" t="str">
        <f aca="false">IF(J1553="S0","—",IF(K1553="","",IF(L1553="E0","QM",INDEX(10_ASIL_Matrix!$D$4:$F$15,MATCH(J1553&amp;"-"&amp;L1553,10_ASIL_Matrix!$C$4:$C$15,0),MATCH(N1553,10_ASIL_Matrix!$D$3:$F$3,0)))))</f>
        <v>—</v>
      </c>
      <c r="Q1553" s="6" t="s">
        <v>448</v>
      </c>
    </row>
    <row r="1554" customFormat="false" ht="35.05" hidden="false" customHeight="false" outlineLevel="0" collapsed="false">
      <c r="A1554" s="5" t="s">
        <v>3788</v>
      </c>
      <c r="B1554" s="5" t="s">
        <v>105</v>
      </c>
      <c r="C1554" s="5" t="s">
        <v>106</v>
      </c>
      <c r="D1554" s="5" t="s">
        <v>167</v>
      </c>
      <c r="E1554" s="5" t="s">
        <v>168</v>
      </c>
      <c r="F1554" s="5" t="s">
        <v>194</v>
      </c>
      <c r="G1554" s="5" t="s">
        <v>508</v>
      </c>
      <c r="H1554" s="5" t="s">
        <v>226</v>
      </c>
      <c r="I1554" s="5" t="s">
        <v>3789</v>
      </c>
      <c r="J1554" s="5" t="s">
        <v>238</v>
      </c>
      <c r="K1554" s="5" t="s">
        <v>2410</v>
      </c>
      <c r="L1554" s="5" t="s">
        <v>190</v>
      </c>
      <c r="M1554" s="5" t="s">
        <v>517</v>
      </c>
      <c r="N1554" s="5" t="s">
        <v>278</v>
      </c>
      <c r="O1554" s="5" t="s">
        <v>634</v>
      </c>
      <c r="P1554" s="5" t="str">
        <f aca="false">IF(J1554="S0","—",IF(K1554="","",IF(L1554="E0","QM",INDEX(10_ASIL_Matrix!$D$4:$F$15,MATCH(J1554&amp;"-"&amp;L1554,10_ASIL_Matrix!$C$4:$C$15,0),MATCH(N1554,10_ASIL_Matrix!$D$3:$F$3,0)))))</f>
        <v>—</v>
      </c>
      <c r="Q1554" s="5" t="s">
        <v>448</v>
      </c>
    </row>
    <row r="1555" customFormat="false" ht="35.05" hidden="false" customHeight="false" outlineLevel="0" collapsed="false">
      <c r="A1555" s="6" t="s">
        <v>3790</v>
      </c>
      <c r="B1555" s="6" t="s">
        <v>105</v>
      </c>
      <c r="C1555" s="6" t="s">
        <v>106</v>
      </c>
      <c r="D1555" s="6" t="s">
        <v>167</v>
      </c>
      <c r="E1555" s="6" t="s">
        <v>168</v>
      </c>
      <c r="F1555" s="6" t="s">
        <v>194</v>
      </c>
      <c r="G1555" s="6" t="s">
        <v>508</v>
      </c>
      <c r="H1555" s="6" t="s">
        <v>228</v>
      </c>
      <c r="I1555" s="6" t="s">
        <v>3791</v>
      </c>
      <c r="J1555" s="6" t="s">
        <v>238</v>
      </c>
      <c r="K1555" s="6" t="s">
        <v>2410</v>
      </c>
      <c r="L1555" s="6" t="s">
        <v>205</v>
      </c>
      <c r="M1555" s="6" t="s">
        <v>520</v>
      </c>
      <c r="N1555" s="6" t="s">
        <v>278</v>
      </c>
      <c r="O1555" s="6" t="s">
        <v>634</v>
      </c>
      <c r="P1555" s="6" t="str">
        <f aca="false">IF(J1555="S0","—",IF(K1555="","",IF(L1555="E0","QM",INDEX(10_ASIL_Matrix!$D$4:$F$15,MATCH(J1555&amp;"-"&amp;L1555,10_ASIL_Matrix!$C$4:$C$15,0),MATCH(N1555,10_ASIL_Matrix!$D$3:$F$3,0)))))</f>
        <v>—</v>
      </c>
      <c r="Q1555" s="6" t="s">
        <v>448</v>
      </c>
    </row>
    <row r="1556" customFormat="false" ht="35.05" hidden="false" customHeight="false" outlineLevel="0" collapsed="false">
      <c r="A1556" s="5" t="s">
        <v>3792</v>
      </c>
      <c r="B1556" s="5" t="s">
        <v>105</v>
      </c>
      <c r="C1556" s="5" t="s">
        <v>106</v>
      </c>
      <c r="D1556" s="5" t="s">
        <v>167</v>
      </c>
      <c r="E1556" s="5" t="s">
        <v>168</v>
      </c>
      <c r="F1556" s="5" t="s">
        <v>194</v>
      </c>
      <c r="G1556" s="5" t="s">
        <v>508</v>
      </c>
      <c r="H1556" s="5" t="s">
        <v>230</v>
      </c>
      <c r="I1556" s="5" t="s">
        <v>3793</v>
      </c>
      <c r="J1556" s="5" t="s">
        <v>238</v>
      </c>
      <c r="K1556" s="5" t="s">
        <v>2410</v>
      </c>
      <c r="L1556" s="5" t="s">
        <v>205</v>
      </c>
      <c r="M1556" s="5" t="s">
        <v>523</v>
      </c>
      <c r="N1556" s="5" t="s">
        <v>278</v>
      </c>
      <c r="O1556" s="5" t="s">
        <v>634</v>
      </c>
      <c r="P1556" s="5" t="str">
        <f aca="false">IF(J1556="S0","—",IF(K1556="","",IF(L1556="E0","QM",INDEX(10_ASIL_Matrix!$D$4:$F$15,MATCH(J1556&amp;"-"&amp;L1556,10_ASIL_Matrix!$C$4:$C$15,0),MATCH(N1556,10_ASIL_Matrix!$D$3:$F$3,0)))))</f>
        <v>—</v>
      </c>
      <c r="Q1556" s="5" t="s">
        <v>448</v>
      </c>
    </row>
    <row r="1557" customFormat="false" ht="46.25" hidden="false" customHeight="false" outlineLevel="0" collapsed="false">
      <c r="A1557" s="6" t="s">
        <v>3794</v>
      </c>
      <c r="B1557" s="6" t="s">
        <v>105</v>
      </c>
      <c r="C1557" s="6" t="s">
        <v>106</v>
      </c>
      <c r="D1557" s="6" t="s">
        <v>167</v>
      </c>
      <c r="E1557" s="6" t="s">
        <v>168</v>
      </c>
      <c r="F1557" s="6" t="s">
        <v>194</v>
      </c>
      <c r="G1557" s="6" t="s">
        <v>508</v>
      </c>
      <c r="H1557" s="6" t="s">
        <v>232</v>
      </c>
      <c r="I1557" s="6" t="s">
        <v>3795</v>
      </c>
      <c r="J1557" s="6" t="s">
        <v>238</v>
      </c>
      <c r="K1557" s="6" t="s">
        <v>2410</v>
      </c>
      <c r="L1557" s="6" t="s">
        <v>233</v>
      </c>
      <c r="M1557" s="6" t="s">
        <v>526</v>
      </c>
      <c r="N1557" s="6" t="s">
        <v>278</v>
      </c>
      <c r="O1557" s="6" t="s">
        <v>634</v>
      </c>
      <c r="P1557" s="6" t="str">
        <f aca="false">IF(J1557="S0","—",IF(K1557="","",IF(L1557="E0","QM",INDEX(10_ASIL_Matrix!$D$4:$F$15,MATCH(J1557&amp;"-"&amp;L1557,10_ASIL_Matrix!$C$4:$C$15,0),MATCH(N1557,10_ASIL_Matrix!$D$3:$F$3,0)))))</f>
        <v>—</v>
      </c>
      <c r="Q1557" s="6" t="s">
        <v>448</v>
      </c>
    </row>
    <row r="1558" customFormat="false" ht="35.05" hidden="false" customHeight="false" outlineLevel="0" collapsed="false">
      <c r="A1558" s="5" t="s">
        <v>3796</v>
      </c>
      <c r="B1558" s="5" t="s">
        <v>105</v>
      </c>
      <c r="C1558" s="5" t="s">
        <v>106</v>
      </c>
      <c r="D1558" s="5" t="s">
        <v>167</v>
      </c>
      <c r="E1558" s="5" t="s">
        <v>168</v>
      </c>
      <c r="F1558" s="5" t="s">
        <v>196</v>
      </c>
      <c r="G1558" s="5" t="s">
        <v>528</v>
      </c>
      <c r="H1558" s="5" t="s">
        <v>222</v>
      </c>
      <c r="I1558" s="5" t="s">
        <v>3797</v>
      </c>
      <c r="J1558" s="5" t="s">
        <v>246</v>
      </c>
      <c r="K1558" s="5" t="s">
        <v>2459</v>
      </c>
      <c r="L1558" s="5" t="s">
        <v>187</v>
      </c>
      <c r="M1558" s="5" t="s">
        <v>531</v>
      </c>
      <c r="N1558" s="5" t="s">
        <v>286</v>
      </c>
      <c r="O1558" s="5" t="s">
        <v>2460</v>
      </c>
      <c r="P1558" s="18" t="str">
        <f aca="false">IF(J1558="S0","—",IF(K1558="","",IF(L1558="E0","QM",INDEX(10_ASIL_Matrix!$D$4:$F$15,MATCH(J1558&amp;"-"&amp;L1558,10_ASIL_Matrix!$C$4:$C$15,0),MATCH(N1558,10_ASIL_Matrix!$D$3:$F$3,0)))))</f>
        <v>B</v>
      </c>
      <c r="Q1558" s="5" t="s">
        <v>448</v>
      </c>
    </row>
    <row r="1559" customFormat="false" ht="35.05" hidden="false" customHeight="false" outlineLevel="0" collapsed="false">
      <c r="A1559" s="6" t="s">
        <v>3798</v>
      </c>
      <c r="B1559" s="6" t="s">
        <v>105</v>
      </c>
      <c r="C1559" s="6" t="s">
        <v>106</v>
      </c>
      <c r="D1559" s="6" t="s">
        <v>167</v>
      </c>
      <c r="E1559" s="6" t="s">
        <v>168</v>
      </c>
      <c r="F1559" s="6" t="s">
        <v>196</v>
      </c>
      <c r="G1559" s="6" t="s">
        <v>528</v>
      </c>
      <c r="H1559" s="6" t="s">
        <v>224</v>
      </c>
      <c r="I1559" s="6" t="s">
        <v>3799</v>
      </c>
      <c r="J1559" s="6" t="s">
        <v>246</v>
      </c>
      <c r="K1559" s="6" t="s">
        <v>2459</v>
      </c>
      <c r="L1559" s="6" t="s">
        <v>190</v>
      </c>
      <c r="M1559" s="6" t="s">
        <v>534</v>
      </c>
      <c r="N1559" s="6" t="s">
        <v>286</v>
      </c>
      <c r="O1559" s="6" t="s">
        <v>2460</v>
      </c>
      <c r="P1559" s="19" t="str">
        <f aca="false">IF(J1559="S0","—",IF(K1559="","",IF(L1559="E0","QM",INDEX(10_ASIL_Matrix!$D$4:$F$15,MATCH(J1559&amp;"-"&amp;L1559,10_ASIL_Matrix!$C$4:$C$15,0),MATCH(N1559,10_ASIL_Matrix!$D$3:$F$3,0)))))</f>
        <v>A</v>
      </c>
      <c r="Q1559" s="6" t="s">
        <v>448</v>
      </c>
    </row>
    <row r="1560" customFormat="false" ht="35.05" hidden="false" customHeight="false" outlineLevel="0" collapsed="false">
      <c r="A1560" s="5" t="s">
        <v>3800</v>
      </c>
      <c r="B1560" s="5" t="s">
        <v>105</v>
      </c>
      <c r="C1560" s="5" t="s">
        <v>106</v>
      </c>
      <c r="D1560" s="5" t="s">
        <v>167</v>
      </c>
      <c r="E1560" s="5" t="s">
        <v>168</v>
      </c>
      <c r="F1560" s="5" t="s">
        <v>196</v>
      </c>
      <c r="G1560" s="5" t="s">
        <v>528</v>
      </c>
      <c r="H1560" s="5" t="s">
        <v>226</v>
      </c>
      <c r="I1560" s="5" t="s">
        <v>3801</v>
      </c>
      <c r="J1560" s="5" t="s">
        <v>246</v>
      </c>
      <c r="K1560" s="5" t="s">
        <v>2459</v>
      </c>
      <c r="L1560" s="5" t="s">
        <v>190</v>
      </c>
      <c r="M1560" s="5" t="s">
        <v>537</v>
      </c>
      <c r="N1560" s="5" t="s">
        <v>286</v>
      </c>
      <c r="O1560" s="5" t="s">
        <v>2460</v>
      </c>
      <c r="P1560" s="19" t="str">
        <f aca="false">IF(J1560="S0","—",IF(K1560="","",IF(L1560="E0","QM",INDEX(10_ASIL_Matrix!$D$4:$F$15,MATCH(J1560&amp;"-"&amp;L1560,10_ASIL_Matrix!$C$4:$C$15,0),MATCH(N1560,10_ASIL_Matrix!$D$3:$F$3,0)))))</f>
        <v>A</v>
      </c>
      <c r="Q1560" s="5" t="s">
        <v>448</v>
      </c>
    </row>
    <row r="1561" customFormat="false" ht="35.05" hidden="false" customHeight="false" outlineLevel="0" collapsed="false">
      <c r="A1561" s="6" t="s">
        <v>3802</v>
      </c>
      <c r="B1561" s="6" t="s">
        <v>105</v>
      </c>
      <c r="C1561" s="6" t="s">
        <v>106</v>
      </c>
      <c r="D1561" s="6" t="s">
        <v>167</v>
      </c>
      <c r="E1561" s="6" t="s">
        <v>168</v>
      </c>
      <c r="F1561" s="6" t="s">
        <v>196</v>
      </c>
      <c r="G1561" s="6" t="s">
        <v>528</v>
      </c>
      <c r="H1561" s="6" t="s">
        <v>228</v>
      </c>
      <c r="I1561" s="6" t="s">
        <v>3803</v>
      </c>
      <c r="J1561" s="6" t="s">
        <v>246</v>
      </c>
      <c r="K1561" s="6" t="s">
        <v>2459</v>
      </c>
      <c r="L1561" s="6" t="s">
        <v>205</v>
      </c>
      <c r="M1561" s="6" t="s">
        <v>540</v>
      </c>
      <c r="N1561" s="6" t="s">
        <v>290</v>
      </c>
      <c r="O1561" s="6" t="s">
        <v>2467</v>
      </c>
      <c r="P1561" s="19" t="str">
        <f aca="false">IF(J1561="S0","—",IF(K1561="","",IF(L1561="E0","QM",INDEX(10_ASIL_Matrix!$D$4:$F$15,MATCH(J1561&amp;"-"&amp;L1561,10_ASIL_Matrix!$C$4:$C$15,0),MATCH(N1561,10_ASIL_Matrix!$D$3:$F$3,0)))))</f>
        <v>A</v>
      </c>
      <c r="Q1561" s="6" t="s">
        <v>448</v>
      </c>
    </row>
    <row r="1562" customFormat="false" ht="35.05" hidden="false" customHeight="false" outlineLevel="0" collapsed="false">
      <c r="A1562" s="5" t="s">
        <v>3804</v>
      </c>
      <c r="B1562" s="5" t="s">
        <v>105</v>
      </c>
      <c r="C1562" s="5" t="s">
        <v>106</v>
      </c>
      <c r="D1562" s="5" t="s">
        <v>167</v>
      </c>
      <c r="E1562" s="5" t="s">
        <v>168</v>
      </c>
      <c r="F1562" s="5" t="s">
        <v>196</v>
      </c>
      <c r="G1562" s="5" t="s">
        <v>528</v>
      </c>
      <c r="H1562" s="5" t="s">
        <v>230</v>
      </c>
      <c r="I1562" s="5" t="s">
        <v>3805</v>
      </c>
      <c r="J1562" s="5" t="s">
        <v>246</v>
      </c>
      <c r="K1562" s="5" t="s">
        <v>2459</v>
      </c>
      <c r="L1562" s="5" t="s">
        <v>205</v>
      </c>
      <c r="M1562" s="5" t="s">
        <v>543</v>
      </c>
      <c r="N1562" s="5" t="s">
        <v>290</v>
      </c>
      <c r="O1562" s="5" t="s">
        <v>2470</v>
      </c>
      <c r="P1562" s="19" t="str">
        <f aca="false">IF(J1562="S0","—",IF(K1562="","",IF(L1562="E0","QM",INDEX(10_ASIL_Matrix!$D$4:$F$15,MATCH(J1562&amp;"-"&amp;L1562,10_ASIL_Matrix!$C$4:$C$15,0),MATCH(N1562,10_ASIL_Matrix!$D$3:$F$3,0)))))</f>
        <v>A</v>
      </c>
      <c r="Q1562" s="5" t="s">
        <v>448</v>
      </c>
    </row>
    <row r="1563" customFormat="false" ht="46.25" hidden="false" customHeight="false" outlineLevel="0" collapsed="false">
      <c r="A1563" s="6" t="s">
        <v>3806</v>
      </c>
      <c r="B1563" s="6" t="s">
        <v>105</v>
      </c>
      <c r="C1563" s="6" t="s">
        <v>106</v>
      </c>
      <c r="D1563" s="6" t="s">
        <v>167</v>
      </c>
      <c r="E1563" s="6" t="s">
        <v>168</v>
      </c>
      <c r="F1563" s="6" t="s">
        <v>196</v>
      </c>
      <c r="G1563" s="6" t="s">
        <v>528</v>
      </c>
      <c r="H1563" s="6" t="s">
        <v>232</v>
      </c>
      <c r="I1563" s="6" t="s">
        <v>3807</v>
      </c>
      <c r="J1563" s="6" t="s">
        <v>246</v>
      </c>
      <c r="K1563" s="6" t="s">
        <v>2459</v>
      </c>
      <c r="L1563" s="6" t="s">
        <v>233</v>
      </c>
      <c r="M1563" s="6" t="s">
        <v>546</v>
      </c>
      <c r="N1563" s="6" t="s">
        <v>290</v>
      </c>
      <c r="O1563" s="6" t="s">
        <v>2467</v>
      </c>
      <c r="P1563" s="6" t="str">
        <f aca="false">IF(J1563="S0","—",IF(K1563="","",IF(L1563="E0","QM",INDEX(10_ASIL_Matrix!$D$4:$F$15,MATCH(J1563&amp;"-"&amp;L1563,10_ASIL_Matrix!$C$4:$C$15,0),MATCH(N1563,10_ASIL_Matrix!$D$3:$F$3,0)))))</f>
        <v>QM</v>
      </c>
      <c r="Q1563" s="6" t="s">
        <v>448</v>
      </c>
    </row>
    <row r="1564" customFormat="false" ht="35.05" hidden="false" customHeight="false" outlineLevel="0" collapsed="false">
      <c r="A1564" s="5" t="s">
        <v>3808</v>
      </c>
      <c r="B1564" s="5" t="s">
        <v>105</v>
      </c>
      <c r="C1564" s="5" t="s">
        <v>106</v>
      </c>
      <c r="D1564" s="5" t="s">
        <v>167</v>
      </c>
      <c r="E1564" s="5" t="s">
        <v>168</v>
      </c>
      <c r="F1564" s="5" t="s">
        <v>198</v>
      </c>
      <c r="G1564" s="5" t="s">
        <v>548</v>
      </c>
      <c r="H1564" s="5" t="s">
        <v>222</v>
      </c>
      <c r="I1564" s="5" t="s">
        <v>3809</v>
      </c>
      <c r="J1564" s="5" t="s">
        <v>242</v>
      </c>
      <c r="K1564" s="5" t="s">
        <v>2475</v>
      </c>
      <c r="L1564" s="5" t="s">
        <v>190</v>
      </c>
      <c r="M1564" s="5" t="s">
        <v>551</v>
      </c>
      <c r="N1564" s="5" t="s">
        <v>286</v>
      </c>
      <c r="O1564" s="5" t="s">
        <v>2476</v>
      </c>
      <c r="P1564" s="5" t="str">
        <f aca="false">IF(J1564="S0","—",IF(K1564="","",IF(L1564="E0","QM",INDEX(10_ASIL_Matrix!$D$4:$F$15,MATCH(J1564&amp;"-"&amp;L1564,10_ASIL_Matrix!$C$4:$C$15,0),MATCH(N1564,10_ASIL_Matrix!$D$3:$F$3,0)))))</f>
        <v>QM</v>
      </c>
      <c r="Q1564" s="5" t="s">
        <v>448</v>
      </c>
    </row>
    <row r="1565" customFormat="false" ht="35.05" hidden="false" customHeight="false" outlineLevel="0" collapsed="false">
      <c r="A1565" s="6" t="s">
        <v>3810</v>
      </c>
      <c r="B1565" s="6" t="s">
        <v>105</v>
      </c>
      <c r="C1565" s="6" t="s">
        <v>106</v>
      </c>
      <c r="D1565" s="6" t="s">
        <v>167</v>
      </c>
      <c r="E1565" s="6" t="s">
        <v>168</v>
      </c>
      <c r="F1565" s="6" t="s">
        <v>198</v>
      </c>
      <c r="G1565" s="6" t="s">
        <v>548</v>
      </c>
      <c r="H1565" s="6" t="s">
        <v>224</v>
      </c>
      <c r="I1565" s="6" t="s">
        <v>3811</v>
      </c>
      <c r="J1565" s="6" t="s">
        <v>242</v>
      </c>
      <c r="K1565" s="6" t="s">
        <v>2475</v>
      </c>
      <c r="L1565" s="6" t="s">
        <v>190</v>
      </c>
      <c r="M1565" s="6" t="s">
        <v>555</v>
      </c>
      <c r="N1565" s="6" t="s">
        <v>286</v>
      </c>
      <c r="O1565" s="6" t="s">
        <v>2476</v>
      </c>
      <c r="P1565" s="6" t="str">
        <f aca="false">IF(J1565="S0","—",IF(K1565="","",IF(L1565="E0","QM",INDEX(10_ASIL_Matrix!$D$4:$F$15,MATCH(J1565&amp;"-"&amp;L1565,10_ASIL_Matrix!$C$4:$C$15,0),MATCH(N1565,10_ASIL_Matrix!$D$3:$F$3,0)))))</f>
        <v>QM</v>
      </c>
      <c r="Q1565" s="6" t="s">
        <v>448</v>
      </c>
    </row>
    <row r="1566" customFormat="false" ht="35.05" hidden="false" customHeight="false" outlineLevel="0" collapsed="false">
      <c r="A1566" s="5" t="s">
        <v>3812</v>
      </c>
      <c r="B1566" s="5" t="s">
        <v>105</v>
      </c>
      <c r="C1566" s="5" t="s">
        <v>106</v>
      </c>
      <c r="D1566" s="5" t="s">
        <v>167</v>
      </c>
      <c r="E1566" s="5" t="s">
        <v>168</v>
      </c>
      <c r="F1566" s="5" t="s">
        <v>198</v>
      </c>
      <c r="G1566" s="5" t="s">
        <v>548</v>
      </c>
      <c r="H1566" s="5" t="s">
        <v>226</v>
      </c>
      <c r="I1566" s="5" t="s">
        <v>3813</v>
      </c>
      <c r="J1566" s="5" t="s">
        <v>242</v>
      </c>
      <c r="K1566" s="5" t="s">
        <v>2475</v>
      </c>
      <c r="L1566" s="5" t="s">
        <v>190</v>
      </c>
      <c r="M1566" s="5" t="s">
        <v>558</v>
      </c>
      <c r="N1566" s="5" t="s">
        <v>286</v>
      </c>
      <c r="O1566" s="5" t="s">
        <v>2476</v>
      </c>
      <c r="P1566" s="5" t="str">
        <f aca="false">IF(J1566="S0","—",IF(K1566="","",IF(L1566="E0","QM",INDEX(10_ASIL_Matrix!$D$4:$F$15,MATCH(J1566&amp;"-"&amp;L1566,10_ASIL_Matrix!$C$4:$C$15,0),MATCH(N1566,10_ASIL_Matrix!$D$3:$F$3,0)))))</f>
        <v>QM</v>
      </c>
      <c r="Q1566" s="5" t="s">
        <v>448</v>
      </c>
    </row>
    <row r="1567" customFormat="false" ht="46.25" hidden="false" customHeight="false" outlineLevel="0" collapsed="false">
      <c r="A1567" s="6" t="s">
        <v>3814</v>
      </c>
      <c r="B1567" s="6" t="s">
        <v>105</v>
      </c>
      <c r="C1567" s="6" t="s">
        <v>106</v>
      </c>
      <c r="D1567" s="6" t="s">
        <v>167</v>
      </c>
      <c r="E1567" s="6" t="s">
        <v>168</v>
      </c>
      <c r="F1567" s="6" t="s">
        <v>198</v>
      </c>
      <c r="G1567" s="6" t="s">
        <v>548</v>
      </c>
      <c r="H1567" s="6" t="s">
        <v>228</v>
      </c>
      <c r="I1567" s="6" t="s">
        <v>3815</v>
      </c>
      <c r="J1567" s="6" t="s">
        <v>242</v>
      </c>
      <c r="K1567" s="6" t="s">
        <v>2475</v>
      </c>
      <c r="L1567" s="6" t="s">
        <v>205</v>
      </c>
      <c r="M1567" s="6" t="s">
        <v>561</v>
      </c>
      <c r="N1567" s="6" t="s">
        <v>290</v>
      </c>
      <c r="O1567" s="6" t="s">
        <v>2483</v>
      </c>
      <c r="P1567" s="6" t="str">
        <f aca="false">IF(J1567="S0","—",IF(K1567="","",IF(L1567="E0","QM",INDEX(10_ASIL_Matrix!$D$4:$F$15,MATCH(J1567&amp;"-"&amp;L1567,10_ASIL_Matrix!$C$4:$C$15,0),MATCH(N1567,10_ASIL_Matrix!$D$3:$F$3,0)))))</f>
        <v>QM</v>
      </c>
      <c r="Q1567" s="6" t="s">
        <v>448</v>
      </c>
    </row>
    <row r="1568" customFormat="false" ht="35.05" hidden="false" customHeight="false" outlineLevel="0" collapsed="false">
      <c r="A1568" s="5" t="s">
        <v>3816</v>
      </c>
      <c r="B1568" s="5" t="s">
        <v>105</v>
      </c>
      <c r="C1568" s="5" t="s">
        <v>106</v>
      </c>
      <c r="D1568" s="5" t="s">
        <v>167</v>
      </c>
      <c r="E1568" s="5" t="s">
        <v>168</v>
      </c>
      <c r="F1568" s="5" t="s">
        <v>198</v>
      </c>
      <c r="G1568" s="5" t="s">
        <v>548</v>
      </c>
      <c r="H1568" s="5" t="s">
        <v>230</v>
      </c>
      <c r="I1568" s="5" t="s">
        <v>3817</v>
      </c>
      <c r="J1568" s="5" t="s">
        <v>242</v>
      </c>
      <c r="K1568" s="5" t="s">
        <v>2475</v>
      </c>
      <c r="L1568" s="5" t="s">
        <v>205</v>
      </c>
      <c r="M1568" s="5" t="s">
        <v>564</v>
      </c>
      <c r="N1568" s="5" t="s">
        <v>290</v>
      </c>
      <c r="O1568" s="5" t="s">
        <v>2486</v>
      </c>
      <c r="P1568" s="5" t="str">
        <f aca="false">IF(J1568="S0","—",IF(K1568="","",IF(L1568="E0","QM",INDEX(10_ASIL_Matrix!$D$4:$F$15,MATCH(J1568&amp;"-"&amp;L1568,10_ASIL_Matrix!$C$4:$C$15,0),MATCH(N1568,10_ASIL_Matrix!$D$3:$F$3,0)))))</f>
        <v>QM</v>
      </c>
      <c r="Q1568" s="5" t="s">
        <v>448</v>
      </c>
    </row>
    <row r="1569" customFormat="false" ht="46.25" hidden="false" customHeight="false" outlineLevel="0" collapsed="false">
      <c r="A1569" s="6" t="s">
        <v>3818</v>
      </c>
      <c r="B1569" s="6" t="s">
        <v>105</v>
      </c>
      <c r="C1569" s="6" t="s">
        <v>106</v>
      </c>
      <c r="D1569" s="6" t="s">
        <v>167</v>
      </c>
      <c r="E1569" s="6" t="s">
        <v>168</v>
      </c>
      <c r="F1569" s="6" t="s">
        <v>198</v>
      </c>
      <c r="G1569" s="6" t="s">
        <v>548</v>
      </c>
      <c r="H1569" s="6" t="s">
        <v>232</v>
      </c>
      <c r="I1569" s="6" t="s">
        <v>3819</v>
      </c>
      <c r="J1569" s="6" t="s">
        <v>242</v>
      </c>
      <c r="K1569" s="6" t="s">
        <v>2475</v>
      </c>
      <c r="L1569" s="6" t="s">
        <v>233</v>
      </c>
      <c r="M1569" s="6" t="s">
        <v>568</v>
      </c>
      <c r="N1569" s="6" t="s">
        <v>290</v>
      </c>
      <c r="O1569" s="6" t="s">
        <v>2483</v>
      </c>
      <c r="P1569" s="6" t="str">
        <f aca="false">IF(J1569="S0","—",IF(K1569="","",IF(L1569="E0","QM",INDEX(10_ASIL_Matrix!$D$4:$F$15,MATCH(J1569&amp;"-"&amp;L1569,10_ASIL_Matrix!$C$4:$C$15,0),MATCH(N1569,10_ASIL_Matrix!$D$3:$F$3,0)))))</f>
        <v>QM</v>
      </c>
      <c r="Q1569" s="6" t="s">
        <v>448</v>
      </c>
    </row>
    <row r="1570" customFormat="false" ht="35.05" hidden="false" customHeight="false" outlineLevel="0" collapsed="false">
      <c r="A1570" s="5" t="s">
        <v>3820</v>
      </c>
      <c r="B1570" s="5" t="s">
        <v>105</v>
      </c>
      <c r="C1570" s="5" t="s">
        <v>106</v>
      </c>
      <c r="D1570" s="5" t="s">
        <v>167</v>
      </c>
      <c r="E1570" s="5" t="s">
        <v>168</v>
      </c>
      <c r="F1570" s="5" t="s">
        <v>200</v>
      </c>
      <c r="G1570" s="5" t="s">
        <v>570</v>
      </c>
      <c r="H1570" s="5" t="s">
        <v>222</v>
      </c>
      <c r="I1570" s="5" t="s">
        <v>3821</v>
      </c>
      <c r="J1570" s="5" t="s">
        <v>250</v>
      </c>
      <c r="K1570" s="5" t="s">
        <v>2491</v>
      </c>
      <c r="L1570" s="5" t="s">
        <v>190</v>
      </c>
      <c r="M1570" s="5" t="s">
        <v>573</v>
      </c>
      <c r="N1570" s="5" t="s">
        <v>286</v>
      </c>
      <c r="O1570" s="5" t="s">
        <v>2492</v>
      </c>
      <c r="P1570" s="18" t="str">
        <f aca="false">IF(J1570="S0","—",IF(K1570="","",IF(L1570="E0","QM",INDEX(10_ASIL_Matrix!$D$4:$F$15,MATCH(J1570&amp;"-"&amp;L1570,10_ASIL_Matrix!$C$4:$C$15,0),MATCH(N1570,10_ASIL_Matrix!$D$3:$F$3,0)))))</f>
        <v>B</v>
      </c>
      <c r="Q1570" s="5" t="s">
        <v>448</v>
      </c>
    </row>
    <row r="1571" customFormat="false" ht="35.05" hidden="false" customHeight="false" outlineLevel="0" collapsed="false">
      <c r="A1571" s="6" t="s">
        <v>3822</v>
      </c>
      <c r="B1571" s="6" t="s">
        <v>105</v>
      </c>
      <c r="C1571" s="6" t="s">
        <v>106</v>
      </c>
      <c r="D1571" s="6" t="s">
        <v>167</v>
      </c>
      <c r="E1571" s="6" t="s">
        <v>168</v>
      </c>
      <c r="F1571" s="6" t="s">
        <v>200</v>
      </c>
      <c r="G1571" s="6" t="s">
        <v>570</v>
      </c>
      <c r="H1571" s="6" t="s">
        <v>224</v>
      </c>
      <c r="I1571" s="6" t="s">
        <v>3823</v>
      </c>
      <c r="J1571" s="6" t="s">
        <v>250</v>
      </c>
      <c r="K1571" s="6" t="s">
        <v>2491</v>
      </c>
      <c r="L1571" s="6" t="s">
        <v>190</v>
      </c>
      <c r="M1571" s="6" t="s">
        <v>576</v>
      </c>
      <c r="N1571" s="6" t="s">
        <v>286</v>
      </c>
      <c r="O1571" s="6" t="s">
        <v>2492</v>
      </c>
      <c r="P1571" s="18" t="str">
        <f aca="false">IF(J1571="S0","—",IF(K1571="","",IF(L1571="E0","QM",INDEX(10_ASIL_Matrix!$D$4:$F$15,MATCH(J1571&amp;"-"&amp;L1571,10_ASIL_Matrix!$C$4:$C$15,0),MATCH(N1571,10_ASIL_Matrix!$D$3:$F$3,0)))))</f>
        <v>B</v>
      </c>
      <c r="Q1571" s="6" t="s">
        <v>448</v>
      </c>
    </row>
    <row r="1572" customFormat="false" ht="35.05" hidden="false" customHeight="false" outlineLevel="0" collapsed="false">
      <c r="A1572" s="5" t="s">
        <v>3824</v>
      </c>
      <c r="B1572" s="5" t="s">
        <v>105</v>
      </c>
      <c r="C1572" s="5" t="s">
        <v>106</v>
      </c>
      <c r="D1572" s="5" t="s">
        <v>167</v>
      </c>
      <c r="E1572" s="5" t="s">
        <v>168</v>
      </c>
      <c r="F1572" s="5" t="s">
        <v>200</v>
      </c>
      <c r="G1572" s="5" t="s">
        <v>570</v>
      </c>
      <c r="H1572" s="5" t="s">
        <v>226</v>
      </c>
      <c r="I1572" s="5" t="s">
        <v>3825</v>
      </c>
      <c r="J1572" s="5" t="s">
        <v>250</v>
      </c>
      <c r="K1572" s="5" t="s">
        <v>2491</v>
      </c>
      <c r="L1572" s="5" t="s">
        <v>190</v>
      </c>
      <c r="M1572" s="5" t="s">
        <v>579</v>
      </c>
      <c r="N1572" s="5" t="s">
        <v>286</v>
      </c>
      <c r="O1572" s="5" t="s">
        <v>2492</v>
      </c>
      <c r="P1572" s="18" t="str">
        <f aca="false">IF(J1572="S0","—",IF(K1572="","",IF(L1572="E0","QM",INDEX(10_ASIL_Matrix!$D$4:$F$15,MATCH(J1572&amp;"-"&amp;L1572,10_ASIL_Matrix!$C$4:$C$15,0),MATCH(N1572,10_ASIL_Matrix!$D$3:$F$3,0)))))</f>
        <v>B</v>
      </c>
      <c r="Q1572" s="5" t="s">
        <v>448</v>
      </c>
    </row>
    <row r="1573" customFormat="false" ht="46.25" hidden="false" customHeight="false" outlineLevel="0" collapsed="false">
      <c r="A1573" s="6" t="s">
        <v>3826</v>
      </c>
      <c r="B1573" s="6" t="s">
        <v>105</v>
      </c>
      <c r="C1573" s="6" t="s">
        <v>106</v>
      </c>
      <c r="D1573" s="6" t="s">
        <v>167</v>
      </c>
      <c r="E1573" s="6" t="s">
        <v>168</v>
      </c>
      <c r="F1573" s="6" t="s">
        <v>200</v>
      </c>
      <c r="G1573" s="6" t="s">
        <v>570</v>
      </c>
      <c r="H1573" s="6" t="s">
        <v>228</v>
      </c>
      <c r="I1573" s="6" t="s">
        <v>3827</v>
      </c>
      <c r="J1573" s="6" t="s">
        <v>250</v>
      </c>
      <c r="K1573" s="6" t="s">
        <v>2491</v>
      </c>
      <c r="L1573" s="6" t="s">
        <v>205</v>
      </c>
      <c r="M1573" s="6" t="s">
        <v>582</v>
      </c>
      <c r="N1573" s="6" t="s">
        <v>290</v>
      </c>
      <c r="O1573" s="6" t="s">
        <v>2499</v>
      </c>
      <c r="P1573" s="18" t="str">
        <f aca="false">IF(J1573="S0","—",IF(K1573="","",IF(L1573="E0","QM",INDEX(10_ASIL_Matrix!$D$4:$F$15,MATCH(J1573&amp;"-"&amp;L1573,10_ASIL_Matrix!$C$4:$C$15,0),MATCH(N1573,10_ASIL_Matrix!$D$3:$F$3,0)))))</f>
        <v>B</v>
      </c>
      <c r="Q1573" s="6" t="s">
        <v>448</v>
      </c>
    </row>
    <row r="1574" customFormat="false" ht="35.05" hidden="false" customHeight="false" outlineLevel="0" collapsed="false">
      <c r="A1574" s="5" t="s">
        <v>3828</v>
      </c>
      <c r="B1574" s="5" t="s">
        <v>105</v>
      </c>
      <c r="C1574" s="5" t="s">
        <v>106</v>
      </c>
      <c r="D1574" s="5" t="s">
        <v>167</v>
      </c>
      <c r="E1574" s="5" t="s">
        <v>168</v>
      </c>
      <c r="F1574" s="5" t="s">
        <v>200</v>
      </c>
      <c r="G1574" s="5" t="s">
        <v>570</v>
      </c>
      <c r="H1574" s="5" t="s">
        <v>230</v>
      </c>
      <c r="I1574" s="5" t="s">
        <v>3829</v>
      </c>
      <c r="J1574" s="5" t="s">
        <v>250</v>
      </c>
      <c r="K1574" s="5" t="s">
        <v>2491</v>
      </c>
      <c r="L1574" s="5" t="s">
        <v>205</v>
      </c>
      <c r="M1574" s="5" t="s">
        <v>585</v>
      </c>
      <c r="N1574" s="5" t="s">
        <v>290</v>
      </c>
      <c r="O1574" s="5" t="s">
        <v>2502</v>
      </c>
      <c r="P1574" s="18" t="str">
        <f aca="false">IF(J1574="S0","—",IF(K1574="","",IF(L1574="E0","QM",INDEX(10_ASIL_Matrix!$D$4:$F$15,MATCH(J1574&amp;"-"&amp;L1574,10_ASIL_Matrix!$C$4:$C$15,0),MATCH(N1574,10_ASIL_Matrix!$D$3:$F$3,0)))))</f>
        <v>B</v>
      </c>
      <c r="Q1574" s="5" t="s">
        <v>448</v>
      </c>
    </row>
    <row r="1575" customFormat="false" ht="46.25" hidden="false" customHeight="false" outlineLevel="0" collapsed="false">
      <c r="A1575" s="6" t="s">
        <v>3830</v>
      </c>
      <c r="B1575" s="6" t="s">
        <v>105</v>
      </c>
      <c r="C1575" s="6" t="s">
        <v>106</v>
      </c>
      <c r="D1575" s="6" t="s">
        <v>167</v>
      </c>
      <c r="E1575" s="6" t="s">
        <v>168</v>
      </c>
      <c r="F1575" s="6" t="s">
        <v>200</v>
      </c>
      <c r="G1575" s="6" t="s">
        <v>570</v>
      </c>
      <c r="H1575" s="6" t="s">
        <v>232</v>
      </c>
      <c r="I1575" s="6" t="s">
        <v>3831</v>
      </c>
      <c r="J1575" s="6" t="s">
        <v>250</v>
      </c>
      <c r="K1575" s="6" t="s">
        <v>2491</v>
      </c>
      <c r="L1575" s="6" t="s">
        <v>233</v>
      </c>
      <c r="M1575" s="6" t="s">
        <v>588</v>
      </c>
      <c r="N1575" s="6" t="s">
        <v>290</v>
      </c>
      <c r="O1575" s="6" t="s">
        <v>2499</v>
      </c>
      <c r="P1575" s="19" t="str">
        <f aca="false">IF(J1575="S0","—",IF(K1575="","",IF(L1575="E0","QM",INDEX(10_ASIL_Matrix!$D$4:$F$15,MATCH(J1575&amp;"-"&amp;L1575,10_ASIL_Matrix!$C$4:$C$15,0),MATCH(N1575,10_ASIL_Matrix!$D$3:$F$3,0)))))</f>
        <v>A</v>
      </c>
      <c r="Q1575" s="6" t="s">
        <v>448</v>
      </c>
    </row>
    <row r="1576" customFormat="false" ht="35.05" hidden="false" customHeight="false" outlineLevel="0" collapsed="false">
      <c r="A1576" s="5" t="s">
        <v>3832</v>
      </c>
      <c r="B1576" s="5" t="s">
        <v>105</v>
      </c>
      <c r="C1576" s="5" t="s">
        <v>106</v>
      </c>
      <c r="D1576" s="5" t="s">
        <v>167</v>
      </c>
      <c r="E1576" s="5" t="s">
        <v>168</v>
      </c>
      <c r="F1576" s="5" t="s">
        <v>202</v>
      </c>
      <c r="G1576" s="5" t="s">
        <v>590</v>
      </c>
      <c r="H1576" s="5" t="s">
        <v>222</v>
      </c>
      <c r="I1576" s="5" t="s">
        <v>3833</v>
      </c>
      <c r="J1576" s="5" t="s">
        <v>238</v>
      </c>
      <c r="K1576" s="5" t="s">
        <v>2410</v>
      </c>
      <c r="L1576" s="5" t="s">
        <v>187</v>
      </c>
      <c r="M1576" s="5" t="s">
        <v>592</v>
      </c>
      <c r="N1576" s="5" t="s">
        <v>278</v>
      </c>
      <c r="O1576" s="5" t="s">
        <v>634</v>
      </c>
      <c r="P1576" s="5" t="str">
        <f aca="false">IF(J1576="S0","—",IF(K1576="","",IF(L1576="E0","QM",INDEX(10_ASIL_Matrix!$D$4:$F$15,MATCH(J1576&amp;"-"&amp;L1576,10_ASIL_Matrix!$C$4:$C$15,0),MATCH(N1576,10_ASIL_Matrix!$D$3:$F$3,0)))))</f>
        <v>—</v>
      </c>
      <c r="Q1576" s="5" t="s">
        <v>448</v>
      </c>
    </row>
    <row r="1577" customFormat="false" ht="35.05" hidden="false" customHeight="false" outlineLevel="0" collapsed="false">
      <c r="A1577" s="6" t="s">
        <v>3834</v>
      </c>
      <c r="B1577" s="6" t="s">
        <v>105</v>
      </c>
      <c r="C1577" s="6" t="s">
        <v>106</v>
      </c>
      <c r="D1577" s="6" t="s">
        <v>167</v>
      </c>
      <c r="E1577" s="6" t="s">
        <v>168</v>
      </c>
      <c r="F1577" s="6" t="s">
        <v>202</v>
      </c>
      <c r="G1577" s="6" t="s">
        <v>590</v>
      </c>
      <c r="H1577" s="6" t="s">
        <v>224</v>
      </c>
      <c r="I1577" s="6" t="s">
        <v>3835</v>
      </c>
      <c r="J1577" s="6" t="s">
        <v>238</v>
      </c>
      <c r="K1577" s="6" t="s">
        <v>2410</v>
      </c>
      <c r="L1577" s="6" t="s">
        <v>190</v>
      </c>
      <c r="M1577" s="6" t="s">
        <v>595</v>
      </c>
      <c r="N1577" s="6" t="s">
        <v>278</v>
      </c>
      <c r="O1577" s="6" t="s">
        <v>634</v>
      </c>
      <c r="P1577" s="6" t="str">
        <f aca="false">IF(J1577="S0","—",IF(K1577="","",IF(L1577="E0","QM",INDEX(10_ASIL_Matrix!$D$4:$F$15,MATCH(J1577&amp;"-"&amp;L1577,10_ASIL_Matrix!$C$4:$C$15,0),MATCH(N1577,10_ASIL_Matrix!$D$3:$F$3,0)))))</f>
        <v>—</v>
      </c>
      <c r="Q1577" s="6" t="s">
        <v>448</v>
      </c>
    </row>
    <row r="1578" customFormat="false" ht="35.05" hidden="false" customHeight="false" outlineLevel="0" collapsed="false">
      <c r="A1578" s="5" t="s">
        <v>3836</v>
      </c>
      <c r="B1578" s="5" t="s">
        <v>105</v>
      </c>
      <c r="C1578" s="5" t="s">
        <v>106</v>
      </c>
      <c r="D1578" s="5" t="s">
        <v>167</v>
      </c>
      <c r="E1578" s="5" t="s">
        <v>168</v>
      </c>
      <c r="F1578" s="5" t="s">
        <v>202</v>
      </c>
      <c r="G1578" s="5" t="s">
        <v>590</v>
      </c>
      <c r="H1578" s="5" t="s">
        <v>226</v>
      </c>
      <c r="I1578" s="5" t="s">
        <v>3837</v>
      </c>
      <c r="J1578" s="5" t="s">
        <v>238</v>
      </c>
      <c r="K1578" s="5" t="s">
        <v>2410</v>
      </c>
      <c r="L1578" s="5" t="s">
        <v>190</v>
      </c>
      <c r="M1578" s="5" t="s">
        <v>598</v>
      </c>
      <c r="N1578" s="5" t="s">
        <v>278</v>
      </c>
      <c r="O1578" s="5" t="s">
        <v>634</v>
      </c>
      <c r="P1578" s="5" t="str">
        <f aca="false">IF(J1578="S0","—",IF(K1578="","",IF(L1578="E0","QM",INDEX(10_ASIL_Matrix!$D$4:$F$15,MATCH(J1578&amp;"-"&amp;L1578,10_ASIL_Matrix!$C$4:$C$15,0),MATCH(N1578,10_ASIL_Matrix!$D$3:$F$3,0)))))</f>
        <v>—</v>
      </c>
      <c r="Q1578" s="5" t="s">
        <v>448</v>
      </c>
    </row>
    <row r="1579" customFormat="false" ht="35.05" hidden="false" customHeight="false" outlineLevel="0" collapsed="false">
      <c r="A1579" s="6" t="s">
        <v>3838</v>
      </c>
      <c r="B1579" s="6" t="s">
        <v>105</v>
      </c>
      <c r="C1579" s="6" t="s">
        <v>106</v>
      </c>
      <c r="D1579" s="6" t="s">
        <v>167</v>
      </c>
      <c r="E1579" s="6" t="s">
        <v>168</v>
      </c>
      <c r="F1579" s="6" t="s">
        <v>202</v>
      </c>
      <c r="G1579" s="6" t="s">
        <v>590</v>
      </c>
      <c r="H1579" s="6" t="s">
        <v>228</v>
      </c>
      <c r="I1579" s="6" t="s">
        <v>3839</v>
      </c>
      <c r="J1579" s="6" t="s">
        <v>238</v>
      </c>
      <c r="K1579" s="6" t="s">
        <v>2410</v>
      </c>
      <c r="L1579" s="6" t="s">
        <v>205</v>
      </c>
      <c r="M1579" s="6" t="s">
        <v>601</v>
      </c>
      <c r="N1579" s="6" t="s">
        <v>278</v>
      </c>
      <c r="O1579" s="6" t="s">
        <v>634</v>
      </c>
      <c r="P1579" s="6" t="str">
        <f aca="false">IF(J1579="S0","—",IF(K1579="","",IF(L1579="E0","QM",INDEX(10_ASIL_Matrix!$D$4:$F$15,MATCH(J1579&amp;"-"&amp;L1579,10_ASIL_Matrix!$C$4:$C$15,0),MATCH(N1579,10_ASIL_Matrix!$D$3:$F$3,0)))))</f>
        <v>—</v>
      </c>
      <c r="Q1579" s="6" t="s">
        <v>448</v>
      </c>
    </row>
    <row r="1580" customFormat="false" ht="35.05" hidden="false" customHeight="false" outlineLevel="0" collapsed="false">
      <c r="A1580" s="5" t="s">
        <v>3840</v>
      </c>
      <c r="B1580" s="5" t="s">
        <v>105</v>
      </c>
      <c r="C1580" s="5" t="s">
        <v>106</v>
      </c>
      <c r="D1580" s="5" t="s">
        <v>167</v>
      </c>
      <c r="E1580" s="5" t="s">
        <v>168</v>
      </c>
      <c r="F1580" s="5" t="s">
        <v>202</v>
      </c>
      <c r="G1580" s="5" t="s">
        <v>590</v>
      </c>
      <c r="H1580" s="5" t="s">
        <v>230</v>
      </c>
      <c r="I1580" s="5" t="s">
        <v>3841</v>
      </c>
      <c r="J1580" s="5" t="s">
        <v>238</v>
      </c>
      <c r="K1580" s="5" t="s">
        <v>2410</v>
      </c>
      <c r="L1580" s="5" t="s">
        <v>205</v>
      </c>
      <c r="M1580" s="5" t="s">
        <v>604</v>
      </c>
      <c r="N1580" s="5" t="s">
        <v>278</v>
      </c>
      <c r="O1580" s="5" t="s">
        <v>634</v>
      </c>
      <c r="P1580" s="5" t="str">
        <f aca="false">IF(J1580="S0","—",IF(K1580="","",IF(L1580="E0","QM",INDEX(10_ASIL_Matrix!$D$4:$F$15,MATCH(J1580&amp;"-"&amp;L1580,10_ASIL_Matrix!$C$4:$C$15,0),MATCH(N1580,10_ASIL_Matrix!$D$3:$F$3,0)))))</f>
        <v>—</v>
      </c>
      <c r="Q1580" s="5" t="s">
        <v>448</v>
      </c>
    </row>
    <row r="1581" customFormat="false" ht="46.25" hidden="false" customHeight="false" outlineLevel="0" collapsed="false">
      <c r="A1581" s="6" t="s">
        <v>3842</v>
      </c>
      <c r="B1581" s="6" t="s">
        <v>105</v>
      </c>
      <c r="C1581" s="6" t="s">
        <v>106</v>
      </c>
      <c r="D1581" s="6" t="s">
        <v>167</v>
      </c>
      <c r="E1581" s="6" t="s">
        <v>168</v>
      </c>
      <c r="F1581" s="6" t="s">
        <v>202</v>
      </c>
      <c r="G1581" s="6" t="s">
        <v>590</v>
      </c>
      <c r="H1581" s="6" t="s">
        <v>232</v>
      </c>
      <c r="I1581" s="6" t="s">
        <v>3843</v>
      </c>
      <c r="J1581" s="6" t="s">
        <v>238</v>
      </c>
      <c r="K1581" s="6" t="s">
        <v>2410</v>
      </c>
      <c r="L1581" s="6" t="s">
        <v>233</v>
      </c>
      <c r="M1581" s="6" t="s">
        <v>607</v>
      </c>
      <c r="N1581" s="6" t="s">
        <v>278</v>
      </c>
      <c r="O1581" s="6" t="s">
        <v>634</v>
      </c>
      <c r="P1581" s="6" t="str">
        <f aca="false">IF(J1581="S0","—",IF(K1581="","",IF(L1581="E0","QM",INDEX(10_ASIL_Matrix!$D$4:$F$15,MATCH(J1581&amp;"-"&amp;L1581,10_ASIL_Matrix!$C$4:$C$15,0),MATCH(N1581,10_ASIL_Matrix!$D$3:$F$3,0)))))</f>
        <v>—</v>
      </c>
      <c r="Q1581" s="6" t="s">
        <v>448</v>
      </c>
    </row>
    <row r="1582" customFormat="false" ht="35.05" hidden="false" customHeight="false" outlineLevel="0" collapsed="false">
      <c r="A1582" s="5" t="s">
        <v>3844</v>
      </c>
      <c r="B1582" s="5" t="s">
        <v>105</v>
      </c>
      <c r="C1582" s="5" t="s">
        <v>106</v>
      </c>
      <c r="D1582" s="5" t="s">
        <v>167</v>
      </c>
      <c r="E1582" s="5" t="s">
        <v>168</v>
      </c>
      <c r="F1582" s="5" t="s">
        <v>204</v>
      </c>
      <c r="G1582" s="5" t="s">
        <v>609</v>
      </c>
      <c r="H1582" s="5" t="s">
        <v>222</v>
      </c>
      <c r="I1582" s="5" t="s">
        <v>3845</v>
      </c>
      <c r="J1582" s="5" t="s">
        <v>250</v>
      </c>
      <c r="K1582" s="5" t="s">
        <v>2519</v>
      </c>
      <c r="L1582" s="5" t="s">
        <v>205</v>
      </c>
      <c r="M1582" s="5" t="s">
        <v>612</v>
      </c>
      <c r="N1582" s="5" t="s">
        <v>290</v>
      </c>
      <c r="O1582" s="5" t="s">
        <v>2520</v>
      </c>
      <c r="P1582" s="18" t="str">
        <f aca="false">IF(J1582="S0","—",IF(K1582="","",IF(L1582="E0","QM",INDEX(10_ASIL_Matrix!$D$4:$F$15,MATCH(J1582&amp;"-"&amp;L1582,10_ASIL_Matrix!$C$4:$C$15,0),MATCH(N1582,10_ASIL_Matrix!$D$3:$F$3,0)))))</f>
        <v>B</v>
      </c>
      <c r="Q1582" s="5" t="s">
        <v>448</v>
      </c>
    </row>
    <row r="1583" customFormat="false" ht="35.05" hidden="false" customHeight="false" outlineLevel="0" collapsed="false">
      <c r="A1583" s="6" t="s">
        <v>3846</v>
      </c>
      <c r="B1583" s="6" t="s">
        <v>105</v>
      </c>
      <c r="C1583" s="6" t="s">
        <v>106</v>
      </c>
      <c r="D1583" s="6" t="s">
        <v>167</v>
      </c>
      <c r="E1583" s="6" t="s">
        <v>168</v>
      </c>
      <c r="F1583" s="6" t="s">
        <v>204</v>
      </c>
      <c r="G1583" s="6" t="s">
        <v>609</v>
      </c>
      <c r="H1583" s="6" t="s">
        <v>224</v>
      </c>
      <c r="I1583" s="6" t="s">
        <v>3847</v>
      </c>
      <c r="J1583" s="6" t="s">
        <v>250</v>
      </c>
      <c r="K1583" s="6" t="s">
        <v>2519</v>
      </c>
      <c r="L1583" s="6" t="s">
        <v>205</v>
      </c>
      <c r="M1583" s="6" t="s">
        <v>616</v>
      </c>
      <c r="N1583" s="6" t="s">
        <v>290</v>
      </c>
      <c r="O1583" s="6" t="s">
        <v>2520</v>
      </c>
      <c r="P1583" s="18" t="str">
        <f aca="false">IF(J1583="S0","—",IF(K1583="","",IF(L1583="E0","QM",INDEX(10_ASIL_Matrix!$D$4:$F$15,MATCH(J1583&amp;"-"&amp;L1583,10_ASIL_Matrix!$C$4:$C$15,0),MATCH(N1583,10_ASIL_Matrix!$D$3:$F$3,0)))))</f>
        <v>B</v>
      </c>
      <c r="Q1583" s="6" t="s">
        <v>448</v>
      </c>
    </row>
    <row r="1584" customFormat="false" ht="35.05" hidden="false" customHeight="false" outlineLevel="0" collapsed="false">
      <c r="A1584" s="5" t="s">
        <v>3848</v>
      </c>
      <c r="B1584" s="5" t="s">
        <v>105</v>
      </c>
      <c r="C1584" s="5" t="s">
        <v>106</v>
      </c>
      <c r="D1584" s="5" t="s">
        <v>167</v>
      </c>
      <c r="E1584" s="5" t="s">
        <v>168</v>
      </c>
      <c r="F1584" s="5" t="s">
        <v>204</v>
      </c>
      <c r="G1584" s="5" t="s">
        <v>609</v>
      </c>
      <c r="H1584" s="5" t="s">
        <v>226</v>
      </c>
      <c r="I1584" s="5" t="s">
        <v>3849</v>
      </c>
      <c r="J1584" s="5" t="s">
        <v>250</v>
      </c>
      <c r="K1584" s="5" t="s">
        <v>2519</v>
      </c>
      <c r="L1584" s="5" t="s">
        <v>205</v>
      </c>
      <c r="M1584" s="5" t="s">
        <v>619</v>
      </c>
      <c r="N1584" s="5" t="s">
        <v>290</v>
      </c>
      <c r="O1584" s="5" t="s">
        <v>2520</v>
      </c>
      <c r="P1584" s="18" t="str">
        <f aca="false">IF(J1584="S0","—",IF(K1584="","",IF(L1584="E0","QM",INDEX(10_ASIL_Matrix!$D$4:$F$15,MATCH(J1584&amp;"-"&amp;L1584,10_ASIL_Matrix!$C$4:$C$15,0),MATCH(N1584,10_ASIL_Matrix!$D$3:$F$3,0)))))</f>
        <v>B</v>
      </c>
      <c r="Q1584" s="5" t="s">
        <v>448</v>
      </c>
    </row>
    <row r="1585" customFormat="false" ht="46.25" hidden="false" customHeight="false" outlineLevel="0" collapsed="false">
      <c r="A1585" s="6" t="s">
        <v>3850</v>
      </c>
      <c r="B1585" s="6" t="s">
        <v>105</v>
      </c>
      <c r="C1585" s="6" t="s">
        <v>106</v>
      </c>
      <c r="D1585" s="6" t="s">
        <v>167</v>
      </c>
      <c r="E1585" s="6" t="s">
        <v>168</v>
      </c>
      <c r="F1585" s="6" t="s">
        <v>204</v>
      </c>
      <c r="G1585" s="6" t="s">
        <v>609</v>
      </c>
      <c r="H1585" s="6" t="s">
        <v>228</v>
      </c>
      <c r="I1585" s="6" t="s">
        <v>3851</v>
      </c>
      <c r="J1585" s="6" t="s">
        <v>250</v>
      </c>
      <c r="K1585" s="6" t="s">
        <v>2519</v>
      </c>
      <c r="L1585" s="6" t="s">
        <v>205</v>
      </c>
      <c r="M1585" s="6" t="s">
        <v>622</v>
      </c>
      <c r="N1585" s="6" t="s">
        <v>290</v>
      </c>
      <c r="O1585" s="6" t="s">
        <v>2527</v>
      </c>
      <c r="P1585" s="18" t="str">
        <f aca="false">IF(J1585="S0","—",IF(K1585="","",IF(L1585="E0","QM",INDEX(10_ASIL_Matrix!$D$4:$F$15,MATCH(J1585&amp;"-"&amp;L1585,10_ASIL_Matrix!$C$4:$C$15,0),MATCH(N1585,10_ASIL_Matrix!$D$3:$F$3,0)))))</f>
        <v>B</v>
      </c>
      <c r="Q1585" s="6" t="s">
        <v>448</v>
      </c>
    </row>
    <row r="1586" customFormat="false" ht="35.05" hidden="false" customHeight="false" outlineLevel="0" collapsed="false">
      <c r="A1586" s="5" t="s">
        <v>3852</v>
      </c>
      <c r="B1586" s="5" t="s">
        <v>105</v>
      </c>
      <c r="C1586" s="5" t="s">
        <v>106</v>
      </c>
      <c r="D1586" s="5" t="s">
        <v>167</v>
      </c>
      <c r="E1586" s="5" t="s">
        <v>168</v>
      </c>
      <c r="F1586" s="5" t="s">
        <v>204</v>
      </c>
      <c r="G1586" s="5" t="s">
        <v>609</v>
      </c>
      <c r="H1586" s="5" t="s">
        <v>230</v>
      </c>
      <c r="I1586" s="5" t="s">
        <v>3853</v>
      </c>
      <c r="J1586" s="5" t="s">
        <v>250</v>
      </c>
      <c r="K1586" s="5" t="s">
        <v>2519</v>
      </c>
      <c r="L1586" s="5" t="s">
        <v>205</v>
      </c>
      <c r="M1586" s="5" t="s">
        <v>625</v>
      </c>
      <c r="N1586" s="5" t="s">
        <v>290</v>
      </c>
      <c r="O1586" s="5" t="s">
        <v>2530</v>
      </c>
      <c r="P1586" s="18" t="str">
        <f aca="false">IF(J1586="S0","—",IF(K1586="","",IF(L1586="E0","QM",INDEX(10_ASIL_Matrix!$D$4:$F$15,MATCH(J1586&amp;"-"&amp;L1586,10_ASIL_Matrix!$C$4:$C$15,0),MATCH(N1586,10_ASIL_Matrix!$D$3:$F$3,0)))))</f>
        <v>B</v>
      </c>
      <c r="Q1586" s="5" t="s">
        <v>448</v>
      </c>
    </row>
    <row r="1587" customFormat="false" ht="46.25" hidden="false" customHeight="false" outlineLevel="0" collapsed="false">
      <c r="A1587" s="6" t="s">
        <v>3854</v>
      </c>
      <c r="B1587" s="6" t="s">
        <v>105</v>
      </c>
      <c r="C1587" s="6" t="s">
        <v>106</v>
      </c>
      <c r="D1587" s="6" t="s">
        <v>167</v>
      </c>
      <c r="E1587" s="6" t="s">
        <v>168</v>
      </c>
      <c r="F1587" s="6" t="s">
        <v>204</v>
      </c>
      <c r="G1587" s="6" t="s">
        <v>609</v>
      </c>
      <c r="H1587" s="6" t="s">
        <v>232</v>
      </c>
      <c r="I1587" s="6" t="s">
        <v>3855</v>
      </c>
      <c r="J1587" s="6" t="s">
        <v>250</v>
      </c>
      <c r="K1587" s="6" t="s">
        <v>2519</v>
      </c>
      <c r="L1587" s="6" t="s">
        <v>233</v>
      </c>
      <c r="M1587" s="6" t="s">
        <v>629</v>
      </c>
      <c r="N1587" s="6" t="s">
        <v>290</v>
      </c>
      <c r="O1587" s="6" t="s">
        <v>2527</v>
      </c>
      <c r="P1587" s="19" t="str">
        <f aca="false">IF(J1587="S0","—",IF(K1587="","",IF(L1587="E0","QM",INDEX(10_ASIL_Matrix!$D$4:$F$15,MATCH(J1587&amp;"-"&amp;L1587,10_ASIL_Matrix!$C$4:$C$15,0),MATCH(N1587,10_ASIL_Matrix!$D$3:$F$3,0)))))</f>
        <v>A</v>
      </c>
      <c r="Q1587" s="6" t="s">
        <v>448</v>
      </c>
    </row>
    <row r="1588" customFormat="false" ht="35.05" hidden="false" customHeight="false" outlineLevel="0" collapsed="false">
      <c r="A1588" s="5" t="s">
        <v>3856</v>
      </c>
      <c r="B1588" s="5" t="s">
        <v>105</v>
      </c>
      <c r="C1588" s="5" t="s">
        <v>106</v>
      </c>
      <c r="D1588" s="5" t="s">
        <v>167</v>
      </c>
      <c r="E1588" s="5" t="s">
        <v>168</v>
      </c>
      <c r="F1588" s="5" t="s">
        <v>207</v>
      </c>
      <c r="G1588" s="5" t="s">
        <v>609</v>
      </c>
      <c r="H1588" s="5" t="s">
        <v>222</v>
      </c>
      <c r="I1588" s="5" t="s">
        <v>3857</v>
      </c>
      <c r="J1588" s="5" t="s">
        <v>238</v>
      </c>
      <c r="K1588" s="5" t="s">
        <v>2410</v>
      </c>
      <c r="L1588" s="5" t="s">
        <v>190</v>
      </c>
      <c r="M1588" s="5" t="s">
        <v>633</v>
      </c>
      <c r="N1588" s="5" t="s">
        <v>278</v>
      </c>
      <c r="O1588" s="5" t="s">
        <v>634</v>
      </c>
      <c r="P1588" s="5" t="str">
        <f aca="false">IF(J1588="S0","—",IF(K1588="","",IF(L1588="E0","QM",INDEX(10_ASIL_Matrix!$D$4:$F$15,MATCH(J1588&amp;"-"&amp;L1588,10_ASIL_Matrix!$C$4:$C$15,0),MATCH(N1588,10_ASIL_Matrix!$D$3:$F$3,0)))))</f>
        <v>—</v>
      </c>
      <c r="Q1588" s="5" t="s">
        <v>448</v>
      </c>
    </row>
    <row r="1589" customFormat="false" ht="35.05" hidden="false" customHeight="false" outlineLevel="0" collapsed="false">
      <c r="A1589" s="6" t="s">
        <v>3858</v>
      </c>
      <c r="B1589" s="6" t="s">
        <v>105</v>
      </c>
      <c r="C1589" s="6" t="s">
        <v>106</v>
      </c>
      <c r="D1589" s="6" t="s">
        <v>167</v>
      </c>
      <c r="E1589" s="6" t="s">
        <v>168</v>
      </c>
      <c r="F1589" s="6" t="s">
        <v>207</v>
      </c>
      <c r="G1589" s="6" t="s">
        <v>609</v>
      </c>
      <c r="H1589" s="6" t="s">
        <v>224</v>
      </c>
      <c r="I1589" s="6" t="s">
        <v>3859</v>
      </c>
      <c r="J1589" s="6" t="s">
        <v>238</v>
      </c>
      <c r="K1589" s="6" t="s">
        <v>2410</v>
      </c>
      <c r="L1589" s="6" t="s">
        <v>190</v>
      </c>
      <c r="M1589" s="6" t="s">
        <v>637</v>
      </c>
      <c r="N1589" s="6" t="s">
        <v>278</v>
      </c>
      <c r="O1589" s="6" t="s">
        <v>634</v>
      </c>
      <c r="P1589" s="6" t="str">
        <f aca="false">IF(J1589="S0","—",IF(K1589="","",IF(L1589="E0","QM",INDEX(10_ASIL_Matrix!$D$4:$F$15,MATCH(J1589&amp;"-"&amp;L1589,10_ASIL_Matrix!$C$4:$C$15,0),MATCH(N1589,10_ASIL_Matrix!$D$3:$F$3,0)))))</f>
        <v>—</v>
      </c>
      <c r="Q1589" s="6" t="s">
        <v>448</v>
      </c>
    </row>
    <row r="1590" customFormat="false" ht="35.05" hidden="false" customHeight="false" outlineLevel="0" collapsed="false">
      <c r="A1590" s="5" t="s">
        <v>3860</v>
      </c>
      <c r="B1590" s="5" t="s">
        <v>105</v>
      </c>
      <c r="C1590" s="5" t="s">
        <v>106</v>
      </c>
      <c r="D1590" s="5" t="s">
        <v>167</v>
      </c>
      <c r="E1590" s="5" t="s">
        <v>168</v>
      </c>
      <c r="F1590" s="5" t="s">
        <v>207</v>
      </c>
      <c r="G1590" s="5" t="s">
        <v>609</v>
      </c>
      <c r="H1590" s="5" t="s">
        <v>226</v>
      </c>
      <c r="I1590" s="5" t="s">
        <v>3861</v>
      </c>
      <c r="J1590" s="5" t="s">
        <v>238</v>
      </c>
      <c r="K1590" s="5" t="s">
        <v>2410</v>
      </c>
      <c r="L1590" s="5" t="s">
        <v>190</v>
      </c>
      <c r="M1590" s="5" t="s">
        <v>640</v>
      </c>
      <c r="N1590" s="5" t="s">
        <v>278</v>
      </c>
      <c r="O1590" s="5" t="s">
        <v>634</v>
      </c>
      <c r="P1590" s="5" t="str">
        <f aca="false">IF(J1590="S0","—",IF(K1590="","",IF(L1590="E0","QM",INDEX(10_ASIL_Matrix!$D$4:$F$15,MATCH(J1590&amp;"-"&amp;L1590,10_ASIL_Matrix!$C$4:$C$15,0),MATCH(N1590,10_ASIL_Matrix!$D$3:$F$3,0)))))</f>
        <v>—</v>
      </c>
      <c r="Q1590" s="5" t="s">
        <v>448</v>
      </c>
    </row>
    <row r="1591" customFormat="false" ht="46.25" hidden="false" customHeight="false" outlineLevel="0" collapsed="false">
      <c r="A1591" s="6" t="s">
        <v>3862</v>
      </c>
      <c r="B1591" s="6" t="s">
        <v>105</v>
      </c>
      <c r="C1591" s="6" t="s">
        <v>106</v>
      </c>
      <c r="D1591" s="6" t="s">
        <v>167</v>
      </c>
      <c r="E1591" s="6" t="s">
        <v>168</v>
      </c>
      <c r="F1591" s="6" t="s">
        <v>207</v>
      </c>
      <c r="G1591" s="6" t="s">
        <v>609</v>
      </c>
      <c r="H1591" s="6" t="s">
        <v>228</v>
      </c>
      <c r="I1591" s="6" t="s">
        <v>3863</v>
      </c>
      <c r="J1591" s="6" t="s">
        <v>238</v>
      </c>
      <c r="K1591" s="6" t="s">
        <v>2410</v>
      </c>
      <c r="L1591" s="6" t="s">
        <v>205</v>
      </c>
      <c r="M1591" s="6" t="s">
        <v>643</v>
      </c>
      <c r="N1591" s="6" t="s">
        <v>278</v>
      </c>
      <c r="O1591" s="6" t="s">
        <v>634</v>
      </c>
      <c r="P1591" s="6" t="str">
        <f aca="false">IF(J1591="S0","—",IF(K1591="","",IF(L1591="E0","QM",INDEX(10_ASIL_Matrix!$D$4:$F$15,MATCH(J1591&amp;"-"&amp;L1591,10_ASIL_Matrix!$C$4:$C$15,0),MATCH(N1591,10_ASIL_Matrix!$D$3:$F$3,0)))))</f>
        <v>—</v>
      </c>
      <c r="Q1591" s="6" t="s">
        <v>448</v>
      </c>
    </row>
    <row r="1592" customFormat="false" ht="35.05" hidden="false" customHeight="false" outlineLevel="0" collapsed="false">
      <c r="A1592" s="5" t="s">
        <v>3864</v>
      </c>
      <c r="B1592" s="5" t="s">
        <v>105</v>
      </c>
      <c r="C1592" s="5" t="s">
        <v>106</v>
      </c>
      <c r="D1592" s="5" t="s">
        <v>167</v>
      </c>
      <c r="E1592" s="5" t="s">
        <v>168</v>
      </c>
      <c r="F1592" s="5" t="s">
        <v>207</v>
      </c>
      <c r="G1592" s="5" t="s">
        <v>609</v>
      </c>
      <c r="H1592" s="5" t="s">
        <v>230</v>
      </c>
      <c r="I1592" s="5" t="s">
        <v>3865</v>
      </c>
      <c r="J1592" s="5" t="s">
        <v>238</v>
      </c>
      <c r="K1592" s="5" t="s">
        <v>2410</v>
      </c>
      <c r="L1592" s="5" t="s">
        <v>205</v>
      </c>
      <c r="M1592" s="5" t="s">
        <v>646</v>
      </c>
      <c r="N1592" s="5" t="s">
        <v>278</v>
      </c>
      <c r="O1592" s="5" t="s">
        <v>634</v>
      </c>
      <c r="P1592" s="5" t="str">
        <f aca="false">IF(J1592="S0","—",IF(K1592="","",IF(L1592="E0","QM",INDEX(10_ASIL_Matrix!$D$4:$F$15,MATCH(J1592&amp;"-"&amp;L1592,10_ASIL_Matrix!$C$4:$C$15,0),MATCH(N1592,10_ASIL_Matrix!$D$3:$F$3,0)))))</f>
        <v>—</v>
      </c>
      <c r="Q1592" s="5" t="s">
        <v>448</v>
      </c>
    </row>
    <row r="1593" customFormat="false" ht="46.25" hidden="false" customHeight="false" outlineLevel="0" collapsed="false">
      <c r="A1593" s="6" t="s">
        <v>3866</v>
      </c>
      <c r="B1593" s="6" t="s">
        <v>105</v>
      </c>
      <c r="C1593" s="6" t="s">
        <v>106</v>
      </c>
      <c r="D1593" s="6" t="s">
        <v>167</v>
      </c>
      <c r="E1593" s="6" t="s">
        <v>168</v>
      </c>
      <c r="F1593" s="6" t="s">
        <v>207</v>
      </c>
      <c r="G1593" s="6" t="s">
        <v>609</v>
      </c>
      <c r="H1593" s="6" t="s">
        <v>232</v>
      </c>
      <c r="I1593" s="6" t="s">
        <v>3867</v>
      </c>
      <c r="J1593" s="6" t="s">
        <v>238</v>
      </c>
      <c r="K1593" s="6" t="s">
        <v>2410</v>
      </c>
      <c r="L1593" s="6" t="s">
        <v>233</v>
      </c>
      <c r="M1593" s="6" t="s">
        <v>649</v>
      </c>
      <c r="N1593" s="6" t="s">
        <v>278</v>
      </c>
      <c r="O1593" s="6" t="s">
        <v>634</v>
      </c>
      <c r="P1593" s="6" t="str">
        <f aca="false">IF(J1593="S0","—",IF(K1593="","",IF(L1593="E0","QM",INDEX(10_ASIL_Matrix!$D$4:$F$15,MATCH(J1593&amp;"-"&amp;L1593,10_ASIL_Matrix!$C$4:$C$15,0),MATCH(N1593,10_ASIL_Matrix!$D$3:$F$3,0)))))</f>
        <v>—</v>
      </c>
      <c r="Q1593" s="6" t="s">
        <v>448</v>
      </c>
    </row>
    <row r="1594" customFormat="false" ht="35.05" hidden="false" customHeight="false" outlineLevel="0" collapsed="false">
      <c r="A1594" s="5" t="s">
        <v>3868</v>
      </c>
      <c r="B1594" s="5" t="s">
        <v>105</v>
      </c>
      <c r="C1594" s="5" t="s">
        <v>106</v>
      </c>
      <c r="D1594" s="5" t="s">
        <v>167</v>
      </c>
      <c r="E1594" s="5" t="s">
        <v>168</v>
      </c>
      <c r="F1594" s="5" t="s">
        <v>209</v>
      </c>
      <c r="G1594" s="5" t="s">
        <v>570</v>
      </c>
      <c r="H1594" s="5" t="s">
        <v>222</v>
      </c>
      <c r="I1594" s="5" t="s">
        <v>3869</v>
      </c>
      <c r="J1594" s="5" t="s">
        <v>238</v>
      </c>
      <c r="K1594" s="5" t="s">
        <v>2410</v>
      </c>
      <c r="L1594" s="5" t="s">
        <v>190</v>
      </c>
      <c r="M1594" s="5" t="s">
        <v>653</v>
      </c>
      <c r="N1594" s="5" t="s">
        <v>278</v>
      </c>
      <c r="O1594" s="5" t="s">
        <v>634</v>
      </c>
      <c r="P1594" s="5" t="str">
        <f aca="false">IF(J1594="S0","—",IF(K1594="","",IF(L1594="E0","QM",INDEX(10_ASIL_Matrix!$D$4:$F$15,MATCH(J1594&amp;"-"&amp;L1594,10_ASIL_Matrix!$C$4:$C$15,0),MATCH(N1594,10_ASIL_Matrix!$D$3:$F$3,0)))))</f>
        <v>—</v>
      </c>
      <c r="Q1594" s="5" t="s">
        <v>448</v>
      </c>
    </row>
    <row r="1595" customFormat="false" ht="35.05" hidden="false" customHeight="false" outlineLevel="0" collapsed="false">
      <c r="A1595" s="6" t="s">
        <v>3870</v>
      </c>
      <c r="B1595" s="6" t="s">
        <v>105</v>
      </c>
      <c r="C1595" s="6" t="s">
        <v>106</v>
      </c>
      <c r="D1595" s="6" t="s">
        <v>167</v>
      </c>
      <c r="E1595" s="6" t="s">
        <v>168</v>
      </c>
      <c r="F1595" s="6" t="s">
        <v>209</v>
      </c>
      <c r="G1595" s="6" t="s">
        <v>570</v>
      </c>
      <c r="H1595" s="6" t="s">
        <v>224</v>
      </c>
      <c r="I1595" s="6" t="s">
        <v>3871</v>
      </c>
      <c r="J1595" s="6" t="s">
        <v>238</v>
      </c>
      <c r="K1595" s="6" t="s">
        <v>2410</v>
      </c>
      <c r="L1595" s="6" t="s">
        <v>190</v>
      </c>
      <c r="M1595" s="6" t="s">
        <v>656</v>
      </c>
      <c r="N1595" s="6" t="s">
        <v>278</v>
      </c>
      <c r="O1595" s="6" t="s">
        <v>634</v>
      </c>
      <c r="P1595" s="6" t="str">
        <f aca="false">IF(J1595="S0","—",IF(K1595="","",IF(L1595="E0","QM",INDEX(10_ASIL_Matrix!$D$4:$F$15,MATCH(J1595&amp;"-"&amp;L1595,10_ASIL_Matrix!$C$4:$C$15,0),MATCH(N1595,10_ASIL_Matrix!$D$3:$F$3,0)))))</f>
        <v>—</v>
      </c>
      <c r="Q1595" s="6" t="s">
        <v>448</v>
      </c>
    </row>
    <row r="1596" customFormat="false" ht="35.05" hidden="false" customHeight="false" outlineLevel="0" collapsed="false">
      <c r="A1596" s="5" t="s">
        <v>3872</v>
      </c>
      <c r="B1596" s="5" t="s">
        <v>105</v>
      </c>
      <c r="C1596" s="5" t="s">
        <v>106</v>
      </c>
      <c r="D1596" s="5" t="s">
        <v>167</v>
      </c>
      <c r="E1596" s="5" t="s">
        <v>168</v>
      </c>
      <c r="F1596" s="5" t="s">
        <v>209</v>
      </c>
      <c r="G1596" s="5" t="s">
        <v>570</v>
      </c>
      <c r="H1596" s="5" t="s">
        <v>226</v>
      </c>
      <c r="I1596" s="5" t="s">
        <v>3873</v>
      </c>
      <c r="J1596" s="5" t="s">
        <v>238</v>
      </c>
      <c r="K1596" s="5" t="s">
        <v>2410</v>
      </c>
      <c r="L1596" s="5" t="s">
        <v>190</v>
      </c>
      <c r="M1596" s="5" t="s">
        <v>659</v>
      </c>
      <c r="N1596" s="5" t="s">
        <v>278</v>
      </c>
      <c r="O1596" s="5" t="s">
        <v>634</v>
      </c>
      <c r="P1596" s="5" t="str">
        <f aca="false">IF(J1596="S0","—",IF(K1596="","",IF(L1596="E0","QM",INDEX(10_ASIL_Matrix!$D$4:$F$15,MATCH(J1596&amp;"-"&amp;L1596,10_ASIL_Matrix!$C$4:$C$15,0),MATCH(N1596,10_ASIL_Matrix!$D$3:$F$3,0)))))</f>
        <v>—</v>
      </c>
      <c r="Q1596" s="5" t="s">
        <v>448</v>
      </c>
    </row>
    <row r="1597" customFormat="false" ht="35.05" hidden="false" customHeight="false" outlineLevel="0" collapsed="false">
      <c r="A1597" s="6" t="s">
        <v>3874</v>
      </c>
      <c r="B1597" s="6" t="s">
        <v>105</v>
      </c>
      <c r="C1597" s="6" t="s">
        <v>106</v>
      </c>
      <c r="D1597" s="6" t="s">
        <v>167</v>
      </c>
      <c r="E1597" s="6" t="s">
        <v>168</v>
      </c>
      <c r="F1597" s="6" t="s">
        <v>209</v>
      </c>
      <c r="G1597" s="6" t="s">
        <v>570</v>
      </c>
      <c r="H1597" s="6" t="s">
        <v>228</v>
      </c>
      <c r="I1597" s="6" t="s">
        <v>3875</v>
      </c>
      <c r="J1597" s="6" t="s">
        <v>238</v>
      </c>
      <c r="K1597" s="6" t="s">
        <v>2410</v>
      </c>
      <c r="L1597" s="6" t="s">
        <v>205</v>
      </c>
      <c r="M1597" s="6" t="s">
        <v>662</v>
      </c>
      <c r="N1597" s="6" t="s">
        <v>278</v>
      </c>
      <c r="O1597" s="6" t="s">
        <v>634</v>
      </c>
      <c r="P1597" s="6" t="str">
        <f aca="false">IF(J1597="S0","—",IF(K1597="","",IF(L1597="E0","QM",INDEX(10_ASIL_Matrix!$D$4:$F$15,MATCH(J1597&amp;"-"&amp;L1597,10_ASIL_Matrix!$C$4:$C$15,0),MATCH(N1597,10_ASIL_Matrix!$D$3:$F$3,0)))))</f>
        <v>—</v>
      </c>
      <c r="Q1597" s="6" t="s">
        <v>448</v>
      </c>
    </row>
    <row r="1598" customFormat="false" ht="35.05" hidden="false" customHeight="false" outlineLevel="0" collapsed="false">
      <c r="A1598" s="5" t="s">
        <v>3876</v>
      </c>
      <c r="B1598" s="5" t="s">
        <v>105</v>
      </c>
      <c r="C1598" s="5" t="s">
        <v>106</v>
      </c>
      <c r="D1598" s="5" t="s">
        <v>167</v>
      </c>
      <c r="E1598" s="5" t="s">
        <v>168</v>
      </c>
      <c r="F1598" s="5" t="s">
        <v>209</v>
      </c>
      <c r="G1598" s="5" t="s">
        <v>570</v>
      </c>
      <c r="H1598" s="5" t="s">
        <v>230</v>
      </c>
      <c r="I1598" s="5" t="s">
        <v>3877</v>
      </c>
      <c r="J1598" s="5" t="s">
        <v>238</v>
      </c>
      <c r="K1598" s="5" t="s">
        <v>2410</v>
      </c>
      <c r="L1598" s="5" t="s">
        <v>205</v>
      </c>
      <c r="M1598" s="5" t="s">
        <v>665</v>
      </c>
      <c r="N1598" s="5" t="s">
        <v>278</v>
      </c>
      <c r="O1598" s="5" t="s">
        <v>634</v>
      </c>
      <c r="P1598" s="5" t="str">
        <f aca="false">IF(J1598="S0","—",IF(K1598="","",IF(L1598="E0","QM",INDEX(10_ASIL_Matrix!$D$4:$F$15,MATCH(J1598&amp;"-"&amp;L1598,10_ASIL_Matrix!$C$4:$C$15,0),MATCH(N1598,10_ASIL_Matrix!$D$3:$F$3,0)))))</f>
        <v>—</v>
      </c>
      <c r="Q1598" s="5" t="s">
        <v>448</v>
      </c>
    </row>
    <row r="1599" customFormat="false" ht="46.25" hidden="false" customHeight="false" outlineLevel="0" collapsed="false">
      <c r="A1599" s="6" t="s">
        <v>3878</v>
      </c>
      <c r="B1599" s="6" t="s">
        <v>105</v>
      </c>
      <c r="C1599" s="6" t="s">
        <v>106</v>
      </c>
      <c r="D1599" s="6" t="s">
        <v>167</v>
      </c>
      <c r="E1599" s="6" t="s">
        <v>168</v>
      </c>
      <c r="F1599" s="6" t="s">
        <v>209</v>
      </c>
      <c r="G1599" s="6" t="s">
        <v>570</v>
      </c>
      <c r="H1599" s="6" t="s">
        <v>232</v>
      </c>
      <c r="I1599" s="6" t="s">
        <v>3879</v>
      </c>
      <c r="J1599" s="6" t="s">
        <v>238</v>
      </c>
      <c r="K1599" s="6" t="s">
        <v>2410</v>
      </c>
      <c r="L1599" s="6" t="s">
        <v>233</v>
      </c>
      <c r="M1599" s="6" t="s">
        <v>668</v>
      </c>
      <c r="N1599" s="6" t="s">
        <v>278</v>
      </c>
      <c r="O1599" s="6" t="s">
        <v>634</v>
      </c>
      <c r="P1599" s="6" t="str">
        <f aca="false">IF(J1599="S0","—",IF(K1599="","",IF(L1599="E0","QM",INDEX(10_ASIL_Matrix!$D$4:$F$15,MATCH(J1599&amp;"-"&amp;L1599,10_ASIL_Matrix!$C$4:$C$15,0),MATCH(N1599,10_ASIL_Matrix!$D$3:$F$3,0)))))</f>
        <v>—</v>
      </c>
      <c r="Q1599" s="6" t="s">
        <v>448</v>
      </c>
    </row>
    <row r="1600" customFormat="false" ht="35.05" hidden="false" customHeight="false" outlineLevel="0" collapsed="false">
      <c r="A1600" s="5" t="s">
        <v>3880</v>
      </c>
      <c r="B1600" s="5" t="s">
        <v>105</v>
      </c>
      <c r="C1600" s="5" t="s">
        <v>106</v>
      </c>
      <c r="D1600" s="5" t="s">
        <v>167</v>
      </c>
      <c r="E1600" s="5" t="s">
        <v>168</v>
      </c>
      <c r="F1600" s="5" t="s">
        <v>211</v>
      </c>
      <c r="G1600" s="5" t="s">
        <v>609</v>
      </c>
      <c r="H1600" s="5" t="s">
        <v>222</v>
      </c>
      <c r="I1600" s="5" t="s">
        <v>3881</v>
      </c>
      <c r="J1600" s="5" t="s">
        <v>238</v>
      </c>
      <c r="K1600" s="5" t="s">
        <v>1999</v>
      </c>
      <c r="L1600" s="5" t="s">
        <v>187</v>
      </c>
      <c r="M1600" s="5" t="s">
        <v>672</v>
      </c>
      <c r="N1600" s="5" t="s">
        <v>278</v>
      </c>
      <c r="O1600" s="5" t="s">
        <v>634</v>
      </c>
      <c r="P1600" s="5" t="str">
        <f aca="false">IF(J1600="S0","—",IF(K1600="","",IF(L1600="E0","QM",INDEX(10_ASIL_Matrix!$D$4:$F$15,MATCH(J1600&amp;"-"&amp;L1600,10_ASIL_Matrix!$C$4:$C$15,0),MATCH(N1600,10_ASIL_Matrix!$D$3:$F$3,0)))))</f>
        <v>—</v>
      </c>
      <c r="Q1600" s="5" t="s">
        <v>448</v>
      </c>
    </row>
    <row r="1601" customFormat="false" ht="35.05" hidden="false" customHeight="false" outlineLevel="0" collapsed="false">
      <c r="A1601" s="6" t="s">
        <v>3882</v>
      </c>
      <c r="B1601" s="6" t="s">
        <v>105</v>
      </c>
      <c r="C1601" s="6" t="s">
        <v>106</v>
      </c>
      <c r="D1601" s="6" t="s">
        <v>167</v>
      </c>
      <c r="E1601" s="6" t="s">
        <v>168</v>
      </c>
      <c r="F1601" s="6" t="s">
        <v>211</v>
      </c>
      <c r="G1601" s="6" t="s">
        <v>609</v>
      </c>
      <c r="H1601" s="6" t="s">
        <v>224</v>
      </c>
      <c r="I1601" s="6" t="s">
        <v>3883</v>
      </c>
      <c r="J1601" s="6" t="s">
        <v>238</v>
      </c>
      <c r="K1601" s="6" t="s">
        <v>1999</v>
      </c>
      <c r="L1601" s="6" t="s">
        <v>190</v>
      </c>
      <c r="M1601" s="6" t="s">
        <v>675</v>
      </c>
      <c r="N1601" s="6" t="s">
        <v>278</v>
      </c>
      <c r="O1601" s="6" t="s">
        <v>634</v>
      </c>
      <c r="P1601" s="6" t="str">
        <f aca="false">IF(J1601="S0","—",IF(K1601="","",IF(L1601="E0","QM",INDEX(10_ASIL_Matrix!$D$4:$F$15,MATCH(J1601&amp;"-"&amp;L1601,10_ASIL_Matrix!$C$4:$C$15,0),MATCH(N1601,10_ASIL_Matrix!$D$3:$F$3,0)))))</f>
        <v>—</v>
      </c>
      <c r="Q1601" s="6" t="s">
        <v>448</v>
      </c>
    </row>
    <row r="1602" customFormat="false" ht="35.05" hidden="false" customHeight="false" outlineLevel="0" collapsed="false">
      <c r="A1602" s="5" t="s">
        <v>3884</v>
      </c>
      <c r="B1602" s="5" t="s">
        <v>105</v>
      </c>
      <c r="C1602" s="5" t="s">
        <v>106</v>
      </c>
      <c r="D1602" s="5" t="s">
        <v>167</v>
      </c>
      <c r="E1602" s="5" t="s">
        <v>168</v>
      </c>
      <c r="F1602" s="5" t="s">
        <v>211</v>
      </c>
      <c r="G1602" s="5" t="s">
        <v>609</v>
      </c>
      <c r="H1602" s="5" t="s">
        <v>226</v>
      </c>
      <c r="I1602" s="5" t="s">
        <v>3885</v>
      </c>
      <c r="J1602" s="5" t="s">
        <v>238</v>
      </c>
      <c r="K1602" s="5" t="s">
        <v>1999</v>
      </c>
      <c r="L1602" s="5" t="s">
        <v>190</v>
      </c>
      <c r="M1602" s="5" t="s">
        <v>678</v>
      </c>
      <c r="N1602" s="5" t="s">
        <v>278</v>
      </c>
      <c r="O1602" s="5" t="s">
        <v>634</v>
      </c>
      <c r="P1602" s="5" t="str">
        <f aca="false">IF(J1602="S0","—",IF(K1602="","",IF(L1602="E0","QM",INDEX(10_ASIL_Matrix!$D$4:$F$15,MATCH(J1602&amp;"-"&amp;L1602,10_ASIL_Matrix!$C$4:$C$15,0),MATCH(N1602,10_ASIL_Matrix!$D$3:$F$3,0)))))</f>
        <v>—</v>
      </c>
      <c r="Q1602" s="5" t="s">
        <v>448</v>
      </c>
    </row>
    <row r="1603" customFormat="false" ht="35.05" hidden="false" customHeight="false" outlineLevel="0" collapsed="false">
      <c r="A1603" s="6" t="s">
        <v>3886</v>
      </c>
      <c r="B1603" s="6" t="s">
        <v>105</v>
      </c>
      <c r="C1603" s="6" t="s">
        <v>106</v>
      </c>
      <c r="D1603" s="6" t="s">
        <v>167</v>
      </c>
      <c r="E1603" s="6" t="s">
        <v>168</v>
      </c>
      <c r="F1603" s="6" t="s">
        <v>211</v>
      </c>
      <c r="G1603" s="6" t="s">
        <v>609</v>
      </c>
      <c r="H1603" s="6" t="s">
        <v>228</v>
      </c>
      <c r="I1603" s="6" t="s">
        <v>3887</v>
      </c>
      <c r="J1603" s="6" t="s">
        <v>238</v>
      </c>
      <c r="K1603" s="6" t="s">
        <v>1999</v>
      </c>
      <c r="L1603" s="6" t="s">
        <v>205</v>
      </c>
      <c r="M1603" s="6" t="s">
        <v>681</v>
      </c>
      <c r="N1603" s="6" t="s">
        <v>278</v>
      </c>
      <c r="O1603" s="6" t="s">
        <v>634</v>
      </c>
      <c r="P1603" s="6" t="str">
        <f aca="false">IF(J1603="S0","—",IF(K1603="","",IF(L1603="E0","QM",INDEX(10_ASIL_Matrix!$D$4:$F$15,MATCH(J1603&amp;"-"&amp;L1603,10_ASIL_Matrix!$C$4:$C$15,0),MATCH(N1603,10_ASIL_Matrix!$D$3:$F$3,0)))))</f>
        <v>—</v>
      </c>
      <c r="Q1603" s="6" t="s">
        <v>448</v>
      </c>
    </row>
    <row r="1604" customFormat="false" ht="35.05" hidden="false" customHeight="false" outlineLevel="0" collapsed="false">
      <c r="A1604" s="5" t="s">
        <v>3888</v>
      </c>
      <c r="B1604" s="5" t="s">
        <v>105</v>
      </c>
      <c r="C1604" s="5" t="s">
        <v>106</v>
      </c>
      <c r="D1604" s="5" t="s">
        <v>167</v>
      </c>
      <c r="E1604" s="5" t="s">
        <v>168</v>
      </c>
      <c r="F1604" s="5" t="s">
        <v>211</v>
      </c>
      <c r="G1604" s="5" t="s">
        <v>609</v>
      </c>
      <c r="H1604" s="5" t="s">
        <v>230</v>
      </c>
      <c r="I1604" s="5" t="s">
        <v>3889</v>
      </c>
      <c r="J1604" s="5" t="s">
        <v>238</v>
      </c>
      <c r="K1604" s="5" t="s">
        <v>1999</v>
      </c>
      <c r="L1604" s="5" t="s">
        <v>205</v>
      </c>
      <c r="M1604" s="5" t="s">
        <v>684</v>
      </c>
      <c r="N1604" s="5" t="s">
        <v>278</v>
      </c>
      <c r="O1604" s="5" t="s">
        <v>634</v>
      </c>
      <c r="P1604" s="5" t="str">
        <f aca="false">IF(J1604="S0","—",IF(K1604="","",IF(L1604="E0","QM",INDEX(10_ASIL_Matrix!$D$4:$F$15,MATCH(J1604&amp;"-"&amp;L1604,10_ASIL_Matrix!$C$4:$C$15,0),MATCH(N1604,10_ASIL_Matrix!$D$3:$F$3,0)))))</f>
        <v>—</v>
      </c>
      <c r="Q1604" s="5" t="s">
        <v>448</v>
      </c>
    </row>
    <row r="1605" customFormat="false" ht="46.25" hidden="false" customHeight="false" outlineLevel="0" collapsed="false">
      <c r="A1605" s="6" t="s">
        <v>3890</v>
      </c>
      <c r="B1605" s="6" t="s">
        <v>105</v>
      </c>
      <c r="C1605" s="6" t="s">
        <v>106</v>
      </c>
      <c r="D1605" s="6" t="s">
        <v>167</v>
      </c>
      <c r="E1605" s="6" t="s">
        <v>168</v>
      </c>
      <c r="F1605" s="6" t="s">
        <v>211</v>
      </c>
      <c r="G1605" s="6" t="s">
        <v>609</v>
      </c>
      <c r="H1605" s="6" t="s">
        <v>232</v>
      </c>
      <c r="I1605" s="6" t="s">
        <v>3891</v>
      </c>
      <c r="J1605" s="6" t="s">
        <v>238</v>
      </c>
      <c r="K1605" s="6" t="s">
        <v>1999</v>
      </c>
      <c r="L1605" s="6" t="s">
        <v>233</v>
      </c>
      <c r="M1605" s="6" t="s">
        <v>687</v>
      </c>
      <c r="N1605" s="6" t="s">
        <v>278</v>
      </c>
      <c r="O1605" s="6" t="s">
        <v>634</v>
      </c>
      <c r="P1605" s="6" t="str">
        <f aca="false">IF(J1605="S0","—",IF(K1605="","",IF(L1605="E0","QM",INDEX(10_ASIL_Matrix!$D$4:$F$15,MATCH(J1605&amp;"-"&amp;L1605,10_ASIL_Matrix!$C$4:$C$15,0),MATCH(N1605,10_ASIL_Matrix!$D$3:$F$3,0)))))</f>
        <v>—</v>
      </c>
      <c r="Q1605" s="6" t="s">
        <v>448</v>
      </c>
    </row>
    <row r="1606" customFormat="false" ht="46.25" hidden="false" customHeight="false" outlineLevel="0" collapsed="false">
      <c r="A1606" s="5" t="s">
        <v>3892</v>
      </c>
      <c r="B1606" s="5" t="s">
        <v>105</v>
      </c>
      <c r="C1606" s="5" t="s">
        <v>106</v>
      </c>
      <c r="D1606" s="5" t="s">
        <v>167</v>
      </c>
      <c r="E1606" s="5" t="s">
        <v>168</v>
      </c>
      <c r="F1606" s="5" t="s">
        <v>213</v>
      </c>
      <c r="G1606" s="5" t="s">
        <v>689</v>
      </c>
      <c r="H1606" s="5" t="s">
        <v>222</v>
      </c>
      <c r="I1606" s="5" t="s">
        <v>3893</v>
      </c>
      <c r="J1606" s="5" t="s">
        <v>246</v>
      </c>
      <c r="K1606" s="5" t="s">
        <v>2571</v>
      </c>
      <c r="L1606" s="5" t="s">
        <v>205</v>
      </c>
      <c r="M1606" s="5" t="s">
        <v>692</v>
      </c>
      <c r="N1606" s="5" t="s">
        <v>286</v>
      </c>
      <c r="O1606" s="5" t="s">
        <v>2476</v>
      </c>
      <c r="P1606" s="5" t="str">
        <f aca="false">IF(J1606="S0","—",IF(K1606="","",IF(L1606="E0","QM",INDEX(10_ASIL_Matrix!$D$4:$F$15,MATCH(J1606&amp;"-"&amp;L1606,10_ASIL_Matrix!$C$4:$C$15,0),MATCH(N1606,10_ASIL_Matrix!$D$3:$F$3,0)))))</f>
        <v>QM</v>
      </c>
      <c r="Q1606" s="5" t="s">
        <v>448</v>
      </c>
    </row>
    <row r="1607" customFormat="false" ht="46.25" hidden="false" customHeight="false" outlineLevel="0" collapsed="false">
      <c r="A1607" s="6" t="s">
        <v>3894</v>
      </c>
      <c r="B1607" s="6" t="s">
        <v>105</v>
      </c>
      <c r="C1607" s="6" t="s">
        <v>106</v>
      </c>
      <c r="D1607" s="6" t="s">
        <v>167</v>
      </c>
      <c r="E1607" s="6" t="s">
        <v>168</v>
      </c>
      <c r="F1607" s="6" t="s">
        <v>213</v>
      </c>
      <c r="G1607" s="6" t="s">
        <v>689</v>
      </c>
      <c r="H1607" s="6" t="s">
        <v>224</v>
      </c>
      <c r="I1607" s="6" t="s">
        <v>3895</v>
      </c>
      <c r="J1607" s="6" t="s">
        <v>246</v>
      </c>
      <c r="K1607" s="6" t="s">
        <v>2571</v>
      </c>
      <c r="L1607" s="6" t="s">
        <v>205</v>
      </c>
      <c r="M1607" s="6" t="s">
        <v>696</v>
      </c>
      <c r="N1607" s="6" t="s">
        <v>286</v>
      </c>
      <c r="O1607" s="6" t="s">
        <v>2476</v>
      </c>
      <c r="P1607" s="6" t="str">
        <f aca="false">IF(J1607="S0","—",IF(K1607="","",IF(L1607="E0","QM",INDEX(10_ASIL_Matrix!$D$4:$F$15,MATCH(J1607&amp;"-"&amp;L1607,10_ASIL_Matrix!$C$4:$C$15,0),MATCH(N1607,10_ASIL_Matrix!$D$3:$F$3,0)))))</f>
        <v>QM</v>
      </c>
      <c r="Q1607" s="6" t="s">
        <v>448</v>
      </c>
    </row>
    <row r="1608" customFormat="false" ht="46.25" hidden="false" customHeight="false" outlineLevel="0" collapsed="false">
      <c r="A1608" s="5" t="s">
        <v>3896</v>
      </c>
      <c r="B1608" s="5" t="s">
        <v>105</v>
      </c>
      <c r="C1608" s="5" t="s">
        <v>106</v>
      </c>
      <c r="D1608" s="5" t="s">
        <v>167</v>
      </c>
      <c r="E1608" s="5" t="s">
        <v>168</v>
      </c>
      <c r="F1608" s="5" t="s">
        <v>213</v>
      </c>
      <c r="G1608" s="5" t="s">
        <v>689</v>
      </c>
      <c r="H1608" s="5" t="s">
        <v>226</v>
      </c>
      <c r="I1608" s="5" t="s">
        <v>3897</v>
      </c>
      <c r="J1608" s="5" t="s">
        <v>246</v>
      </c>
      <c r="K1608" s="5" t="s">
        <v>2571</v>
      </c>
      <c r="L1608" s="5" t="s">
        <v>205</v>
      </c>
      <c r="M1608" s="5" t="s">
        <v>699</v>
      </c>
      <c r="N1608" s="5" t="s">
        <v>286</v>
      </c>
      <c r="O1608" s="5" t="s">
        <v>2476</v>
      </c>
      <c r="P1608" s="5" t="str">
        <f aca="false">IF(J1608="S0","—",IF(K1608="","",IF(L1608="E0","QM",INDEX(10_ASIL_Matrix!$D$4:$F$15,MATCH(J1608&amp;"-"&amp;L1608,10_ASIL_Matrix!$C$4:$C$15,0),MATCH(N1608,10_ASIL_Matrix!$D$3:$F$3,0)))))</f>
        <v>QM</v>
      </c>
      <c r="Q1608" s="5" t="s">
        <v>448</v>
      </c>
    </row>
    <row r="1609" customFormat="false" ht="46.25" hidden="false" customHeight="false" outlineLevel="0" collapsed="false">
      <c r="A1609" s="6" t="s">
        <v>3898</v>
      </c>
      <c r="B1609" s="6" t="s">
        <v>105</v>
      </c>
      <c r="C1609" s="6" t="s">
        <v>106</v>
      </c>
      <c r="D1609" s="6" t="s">
        <v>167</v>
      </c>
      <c r="E1609" s="6" t="s">
        <v>168</v>
      </c>
      <c r="F1609" s="6" t="s">
        <v>213</v>
      </c>
      <c r="G1609" s="6" t="s">
        <v>689</v>
      </c>
      <c r="H1609" s="6" t="s">
        <v>228</v>
      </c>
      <c r="I1609" s="6" t="s">
        <v>3899</v>
      </c>
      <c r="J1609" s="6" t="s">
        <v>246</v>
      </c>
      <c r="K1609" s="6" t="s">
        <v>2571</v>
      </c>
      <c r="L1609" s="6" t="s">
        <v>205</v>
      </c>
      <c r="M1609" s="6" t="s">
        <v>702</v>
      </c>
      <c r="N1609" s="6" t="s">
        <v>290</v>
      </c>
      <c r="O1609" s="6" t="s">
        <v>2483</v>
      </c>
      <c r="P1609" s="19" t="str">
        <f aca="false">IF(J1609="S0","—",IF(K1609="","",IF(L1609="E0","QM",INDEX(10_ASIL_Matrix!$D$4:$F$15,MATCH(J1609&amp;"-"&amp;L1609,10_ASIL_Matrix!$C$4:$C$15,0),MATCH(N1609,10_ASIL_Matrix!$D$3:$F$3,0)))))</f>
        <v>A</v>
      </c>
      <c r="Q1609" s="6" t="s">
        <v>448</v>
      </c>
    </row>
    <row r="1610" customFormat="false" ht="46.25" hidden="false" customHeight="false" outlineLevel="0" collapsed="false">
      <c r="A1610" s="5" t="s">
        <v>3900</v>
      </c>
      <c r="B1610" s="5" t="s">
        <v>105</v>
      </c>
      <c r="C1610" s="5" t="s">
        <v>106</v>
      </c>
      <c r="D1610" s="5" t="s">
        <v>167</v>
      </c>
      <c r="E1610" s="5" t="s">
        <v>168</v>
      </c>
      <c r="F1610" s="5" t="s">
        <v>213</v>
      </c>
      <c r="G1610" s="5" t="s">
        <v>689</v>
      </c>
      <c r="H1610" s="5" t="s">
        <v>230</v>
      </c>
      <c r="I1610" s="5" t="s">
        <v>3901</v>
      </c>
      <c r="J1610" s="5" t="s">
        <v>246</v>
      </c>
      <c r="K1610" s="5" t="s">
        <v>2571</v>
      </c>
      <c r="L1610" s="5" t="s">
        <v>205</v>
      </c>
      <c r="M1610" s="5" t="s">
        <v>705</v>
      </c>
      <c r="N1610" s="5" t="s">
        <v>290</v>
      </c>
      <c r="O1610" s="5" t="s">
        <v>2486</v>
      </c>
      <c r="P1610" s="19" t="str">
        <f aca="false">IF(J1610="S0","—",IF(K1610="","",IF(L1610="E0","QM",INDEX(10_ASIL_Matrix!$D$4:$F$15,MATCH(J1610&amp;"-"&amp;L1610,10_ASIL_Matrix!$C$4:$C$15,0),MATCH(N1610,10_ASIL_Matrix!$D$3:$F$3,0)))))</f>
        <v>A</v>
      </c>
      <c r="Q1610" s="5" t="s">
        <v>448</v>
      </c>
    </row>
    <row r="1611" customFormat="false" ht="46.25" hidden="false" customHeight="false" outlineLevel="0" collapsed="false">
      <c r="A1611" s="6" t="s">
        <v>3902</v>
      </c>
      <c r="B1611" s="6" t="s">
        <v>105</v>
      </c>
      <c r="C1611" s="6" t="s">
        <v>106</v>
      </c>
      <c r="D1611" s="6" t="s">
        <v>167</v>
      </c>
      <c r="E1611" s="6" t="s">
        <v>168</v>
      </c>
      <c r="F1611" s="6" t="s">
        <v>213</v>
      </c>
      <c r="G1611" s="6" t="s">
        <v>689</v>
      </c>
      <c r="H1611" s="6" t="s">
        <v>232</v>
      </c>
      <c r="I1611" s="6" t="s">
        <v>3903</v>
      </c>
      <c r="J1611" s="6" t="s">
        <v>246</v>
      </c>
      <c r="K1611" s="6" t="s">
        <v>2571</v>
      </c>
      <c r="L1611" s="6" t="s">
        <v>233</v>
      </c>
      <c r="M1611" s="6" t="s">
        <v>709</v>
      </c>
      <c r="N1611" s="6" t="s">
        <v>290</v>
      </c>
      <c r="O1611" s="6" t="s">
        <v>2483</v>
      </c>
      <c r="P1611" s="6" t="str">
        <f aca="false">IF(J1611="S0","—",IF(K1611="","",IF(L1611="E0","QM",INDEX(10_ASIL_Matrix!$D$4:$F$15,MATCH(J1611&amp;"-"&amp;L1611,10_ASIL_Matrix!$C$4:$C$15,0),MATCH(N1611,10_ASIL_Matrix!$D$3:$F$3,0)))))</f>
        <v>QM</v>
      </c>
      <c r="Q1611" s="6" t="s">
        <v>448</v>
      </c>
    </row>
    <row r="1612" customFormat="false" ht="35.05" hidden="false" customHeight="false" outlineLevel="0" collapsed="false">
      <c r="A1612" s="5" t="s">
        <v>3904</v>
      </c>
      <c r="B1612" s="5" t="s">
        <v>105</v>
      </c>
      <c r="C1612" s="5" t="s">
        <v>106</v>
      </c>
      <c r="D1612" s="5" t="s">
        <v>167</v>
      </c>
      <c r="E1612" s="5" t="s">
        <v>168</v>
      </c>
      <c r="F1612" s="5" t="s">
        <v>215</v>
      </c>
      <c r="G1612" s="5" t="s">
        <v>711</v>
      </c>
      <c r="H1612" s="5" t="s">
        <v>222</v>
      </c>
      <c r="I1612" s="5" t="s">
        <v>3905</v>
      </c>
      <c r="J1612" s="5" t="s">
        <v>246</v>
      </c>
      <c r="K1612" s="5" t="s">
        <v>2584</v>
      </c>
      <c r="L1612" s="5" t="s">
        <v>190</v>
      </c>
      <c r="M1612" s="5" t="s">
        <v>714</v>
      </c>
      <c r="N1612" s="5" t="s">
        <v>286</v>
      </c>
      <c r="O1612" s="5" t="s">
        <v>2476</v>
      </c>
      <c r="P1612" s="19" t="str">
        <f aca="false">IF(J1612="S0","—",IF(K1612="","",IF(L1612="E0","QM",INDEX(10_ASIL_Matrix!$D$4:$F$15,MATCH(J1612&amp;"-"&amp;L1612,10_ASIL_Matrix!$C$4:$C$15,0),MATCH(N1612,10_ASIL_Matrix!$D$3:$F$3,0)))))</f>
        <v>A</v>
      </c>
      <c r="Q1612" s="5" t="s">
        <v>448</v>
      </c>
    </row>
    <row r="1613" customFormat="false" ht="35.05" hidden="false" customHeight="false" outlineLevel="0" collapsed="false">
      <c r="A1613" s="6" t="s">
        <v>3906</v>
      </c>
      <c r="B1613" s="6" t="s">
        <v>105</v>
      </c>
      <c r="C1613" s="6" t="s">
        <v>106</v>
      </c>
      <c r="D1613" s="6" t="s">
        <v>167</v>
      </c>
      <c r="E1613" s="6" t="s">
        <v>168</v>
      </c>
      <c r="F1613" s="6" t="s">
        <v>215</v>
      </c>
      <c r="G1613" s="6" t="s">
        <v>711</v>
      </c>
      <c r="H1613" s="6" t="s">
        <v>224</v>
      </c>
      <c r="I1613" s="6" t="s">
        <v>3907</v>
      </c>
      <c r="J1613" s="6" t="s">
        <v>246</v>
      </c>
      <c r="K1613" s="6" t="s">
        <v>2584</v>
      </c>
      <c r="L1613" s="6" t="s">
        <v>190</v>
      </c>
      <c r="M1613" s="6" t="s">
        <v>717</v>
      </c>
      <c r="N1613" s="6" t="s">
        <v>286</v>
      </c>
      <c r="O1613" s="6" t="s">
        <v>2476</v>
      </c>
      <c r="P1613" s="19" t="str">
        <f aca="false">IF(J1613="S0","—",IF(K1613="","",IF(L1613="E0","QM",INDEX(10_ASIL_Matrix!$D$4:$F$15,MATCH(J1613&amp;"-"&amp;L1613,10_ASIL_Matrix!$C$4:$C$15,0),MATCH(N1613,10_ASIL_Matrix!$D$3:$F$3,0)))))</f>
        <v>A</v>
      </c>
      <c r="Q1613" s="6" t="s">
        <v>448</v>
      </c>
    </row>
    <row r="1614" customFormat="false" ht="35.05" hidden="false" customHeight="false" outlineLevel="0" collapsed="false">
      <c r="A1614" s="5" t="s">
        <v>3908</v>
      </c>
      <c r="B1614" s="5" t="s">
        <v>105</v>
      </c>
      <c r="C1614" s="5" t="s">
        <v>106</v>
      </c>
      <c r="D1614" s="5" t="s">
        <v>167</v>
      </c>
      <c r="E1614" s="5" t="s">
        <v>168</v>
      </c>
      <c r="F1614" s="5" t="s">
        <v>215</v>
      </c>
      <c r="G1614" s="5" t="s">
        <v>711</v>
      </c>
      <c r="H1614" s="5" t="s">
        <v>226</v>
      </c>
      <c r="I1614" s="5" t="s">
        <v>3909</v>
      </c>
      <c r="J1614" s="5" t="s">
        <v>246</v>
      </c>
      <c r="K1614" s="5" t="s">
        <v>2584</v>
      </c>
      <c r="L1614" s="5" t="s">
        <v>190</v>
      </c>
      <c r="M1614" s="5" t="s">
        <v>720</v>
      </c>
      <c r="N1614" s="5" t="s">
        <v>286</v>
      </c>
      <c r="O1614" s="5" t="s">
        <v>2476</v>
      </c>
      <c r="P1614" s="19" t="str">
        <f aca="false">IF(J1614="S0","—",IF(K1614="","",IF(L1614="E0","QM",INDEX(10_ASIL_Matrix!$D$4:$F$15,MATCH(J1614&amp;"-"&amp;L1614,10_ASIL_Matrix!$C$4:$C$15,0),MATCH(N1614,10_ASIL_Matrix!$D$3:$F$3,0)))))</f>
        <v>A</v>
      </c>
      <c r="Q1614" s="5" t="s">
        <v>448</v>
      </c>
    </row>
    <row r="1615" customFormat="false" ht="46.25" hidden="false" customHeight="false" outlineLevel="0" collapsed="false">
      <c r="A1615" s="6" t="s">
        <v>3910</v>
      </c>
      <c r="B1615" s="6" t="s">
        <v>105</v>
      </c>
      <c r="C1615" s="6" t="s">
        <v>106</v>
      </c>
      <c r="D1615" s="6" t="s">
        <v>167</v>
      </c>
      <c r="E1615" s="6" t="s">
        <v>168</v>
      </c>
      <c r="F1615" s="6" t="s">
        <v>215</v>
      </c>
      <c r="G1615" s="6" t="s">
        <v>711</v>
      </c>
      <c r="H1615" s="6" t="s">
        <v>228</v>
      </c>
      <c r="I1615" s="6" t="s">
        <v>3911</v>
      </c>
      <c r="J1615" s="6" t="s">
        <v>246</v>
      </c>
      <c r="K1615" s="6" t="s">
        <v>2584</v>
      </c>
      <c r="L1615" s="6" t="s">
        <v>205</v>
      </c>
      <c r="M1615" s="6" t="s">
        <v>723</v>
      </c>
      <c r="N1615" s="6" t="s">
        <v>290</v>
      </c>
      <c r="O1615" s="6" t="s">
        <v>2483</v>
      </c>
      <c r="P1615" s="19" t="str">
        <f aca="false">IF(J1615="S0","—",IF(K1615="","",IF(L1615="E0","QM",INDEX(10_ASIL_Matrix!$D$4:$F$15,MATCH(J1615&amp;"-"&amp;L1615,10_ASIL_Matrix!$C$4:$C$15,0),MATCH(N1615,10_ASIL_Matrix!$D$3:$F$3,0)))))</f>
        <v>A</v>
      </c>
      <c r="Q1615" s="6" t="s">
        <v>448</v>
      </c>
    </row>
    <row r="1616" customFormat="false" ht="35.05" hidden="false" customHeight="false" outlineLevel="0" collapsed="false">
      <c r="A1616" s="5" t="s">
        <v>3912</v>
      </c>
      <c r="B1616" s="5" t="s">
        <v>105</v>
      </c>
      <c r="C1616" s="5" t="s">
        <v>106</v>
      </c>
      <c r="D1616" s="5" t="s">
        <v>167</v>
      </c>
      <c r="E1616" s="5" t="s">
        <v>168</v>
      </c>
      <c r="F1616" s="5" t="s">
        <v>215</v>
      </c>
      <c r="G1616" s="5" t="s">
        <v>711</v>
      </c>
      <c r="H1616" s="5" t="s">
        <v>230</v>
      </c>
      <c r="I1616" s="5" t="s">
        <v>3913</v>
      </c>
      <c r="J1616" s="5" t="s">
        <v>246</v>
      </c>
      <c r="K1616" s="5" t="s">
        <v>2584</v>
      </c>
      <c r="L1616" s="5" t="s">
        <v>205</v>
      </c>
      <c r="M1616" s="5" t="s">
        <v>726</v>
      </c>
      <c r="N1616" s="5" t="s">
        <v>290</v>
      </c>
      <c r="O1616" s="5" t="s">
        <v>2486</v>
      </c>
      <c r="P1616" s="19" t="str">
        <f aca="false">IF(J1616="S0","—",IF(K1616="","",IF(L1616="E0","QM",INDEX(10_ASIL_Matrix!$D$4:$F$15,MATCH(J1616&amp;"-"&amp;L1616,10_ASIL_Matrix!$C$4:$C$15,0),MATCH(N1616,10_ASIL_Matrix!$D$3:$F$3,0)))))</f>
        <v>A</v>
      </c>
      <c r="Q1616" s="5" t="s">
        <v>448</v>
      </c>
    </row>
    <row r="1617" customFormat="false" ht="46.25" hidden="false" customHeight="false" outlineLevel="0" collapsed="false">
      <c r="A1617" s="6" t="s">
        <v>3914</v>
      </c>
      <c r="B1617" s="6" t="s">
        <v>105</v>
      </c>
      <c r="C1617" s="6" t="s">
        <v>106</v>
      </c>
      <c r="D1617" s="6" t="s">
        <v>167</v>
      </c>
      <c r="E1617" s="6" t="s">
        <v>168</v>
      </c>
      <c r="F1617" s="6" t="s">
        <v>215</v>
      </c>
      <c r="G1617" s="6" t="s">
        <v>711</v>
      </c>
      <c r="H1617" s="6" t="s">
        <v>232</v>
      </c>
      <c r="I1617" s="6" t="s">
        <v>3915</v>
      </c>
      <c r="J1617" s="6" t="s">
        <v>246</v>
      </c>
      <c r="K1617" s="6" t="s">
        <v>2584</v>
      </c>
      <c r="L1617" s="6" t="s">
        <v>233</v>
      </c>
      <c r="M1617" s="6" t="s">
        <v>729</v>
      </c>
      <c r="N1617" s="6" t="s">
        <v>290</v>
      </c>
      <c r="O1617" s="6" t="s">
        <v>2483</v>
      </c>
      <c r="P1617" s="6" t="str">
        <f aca="false">IF(J1617="S0","—",IF(K1617="","",IF(L1617="E0","QM",INDEX(10_ASIL_Matrix!$D$4:$F$15,MATCH(J1617&amp;"-"&amp;L1617,10_ASIL_Matrix!$C$4:$C$15,0),MATCH(N1617,10_ASIL_Matrix!$D$3:$F$3,0)))))</f>
        <v>QM</v>
      </c>
      <c r="Q1617" s="6" t="s">
        <v>448</v>
      </c>
    </row>
    <row r="1618" customFormat="false" ht="35.05" hidden="false" customHeight="false" outlineLevel="0" collapsed="false">
      <c r="A1618" s="5" t="s">
        <v>3916</v>
      </c>
      <c r="B1618" s="5" t="s">
        <v>105</v>
      </c>
      <c r="C1618" s="5" t="s">
        <v>106</v>
      </c>
      <c r="D1618" s="5" t="s">
        <v>167</v>
      </c>
      <c r="E1618" s="5" t="s">
        <v>168</v>
      </c>
      <c r="F1618" s="5" t="s">
        <v>217</v>
      </c>
      <c r="G1618" s="5" t="s">
        <v>488</v>
      </c>
      <c r="H1618" s="5" t="s">
        <v>222</v>
      </c>
      <c r="I1618" s="5" t="s">
        <v>3917</v>
      </c>
      <c r="J1618" s="5" t="s">
        <v>238</v>
      </c>
      <c r="K1618" s="5" t="s">
        <v>2410</v>
      </c>
      <c r="L1618" s="5" t="s">
        <v>190</v>
      </c>
      <c r="M1618" s="5" t="s">
        <v>733</v>
      </c>
      <c r="N1618" s="5" t="s">
        <v>278</v>
      </c>
      <c r="O1618" s="5" t="s">
        <v>634</v>
      </c>
      <c r="P1618" s="5" t="str">
        <f aca="false">IF(J1618="S0","—",IF(K1618="","",IF(L1618="E0","QM",INDEX(10_ASIL_Matrix!$D$4:$F$15,MATCH(J1618&amp;"-"&amp;L1618,10_ASIL_Matrix!$C$4:$C$15,0),MATCH(N1618,10_ASIL_Matrix!$D$3:$F$3,0)))))</f>
        <v>—</v>
      </c>
      <c r="Q1618" s="5" t="s">
        <v>448</v>
      </c>
    </row>
    <row r="1619" customFormat="false" ht="35.05" hidden="false" customHeight="false" outlineLevel="0" collapsed="false">
      <c r="A1619" s="6" t="s">
        <v>3918</v>
      </c>
      <c r="B1619" s="6" t="s">
        <v>105</v>
      </c>
      <c r="C1619" s="6" t="s">
        <v>106</v>
      </c>
      <c r="D1619" s="6" t="s">
        <v>167</v>
      </c>
      <c r="E1619" s="6" t="s">
        <v>168</v>
      </c>
      <c r="F1619" s="6" t="s">
        <v>217</v>
      </c>
      <c r="G1619" s="6" t="s">
        <v>488</v>
      </c>
      <c r="H1619" s="6" t="s">
        <v>224</v>
      </c>
      <c r="I1619" s="6" t="s">
        <v>3919</v>
      </c>
      <c r="J1619" s="6" t="s">
        <v>238</v>
      </c>
      <c r="K1619" s="6" t="s">
        <v>2410</v>
      </c>
      <c r="L1619" s="6" t="s">
        <v>190</v>
      </c>
      <c r="M1619" s="6" t="s">
        <v>736</v>
      </c>
      <c r="N1619" s="6" t="s">
        <v>278</v>
      </c>
      <c r="O1619" s="6" t="s">
        <v>634</v>
      </c>
      <c r="P1619" s="6" t="str">
        <f aca="false">IF(J1619="S0","—",IF(K1619="","",IF(L1619="E0","QM",INDEX(10_ASIL_Matrix!$D$4:$F$15,MATCH(J1619&amp;"-"&amp;L1619,10_ASIL_Matrix!$C$4:$C$15,0),MATCH(N1619,10_ASIL_Matrix!$D$3:$F$3,0)))))</f>
        <v>—</v>
      </c>
      <c r="Q1619" s="6" t="s">
        <v>448</v>
      </c>
    </row>
    <row r="1620" customFormat="false" ht="35.05" hidden="false" customHeight="false" outlineLevel="0" collapsed="false">
      <c r="A1620" s="5" t="s">
        <v>3920</v>
      </c>
      <c r="B1620" s="5" t="s">
        <v>105</v>
      </c>
      <c r="C1620" s="5" t="s">
        <v>106</v>
      </c>
      <c r="D1620" s="5" t="s">
        <v>167</v>
      </c>
      <c r="E1620" s="5" t="s">
        <v>168</v>
      </c>
      <c r="F1620" s="5" t="s">
        <v>217</v>
      </c>
      <c r="G1620" s="5" t="s">
        <v>488</v>
      </c>
      <c r="H1620" s="5" t="s">
        <v>226</v>
      </c>
      <c r="I1620" s="5" t="s">
        <v>3921</v>
      </c>
      <c r="J1620" s="5" t="s">
        <v>238</v>
      </c>
      <c r="K1620" s="5" t="s">
        <v>2410</v>
      </c>
      <c r="L1620" s="5" t="s">
        <v>190</v>
      </c>
      <c r="M1620" s="5" t="s">
        <v>739</v>
      </c>
      <c r="N1620" s="5" t="s">
        <v>278</v>
      </c>
      <c r="O1620" s="5" t="s">
        <v>634</v>
      </c>
      <c r="P1620" s="5" t="str">
        <f aca="false">IF(J1620="S0","—",IF(K1620="","",IF(L1620="E0","QM",INDEX(10_ASIL_Matrix!$D$4:$F$15,MATCH(J1620&amp;"-"&amp;L1620,10_ASIL_Matrix!$C$4:$C$15,0),MATCH(N1620,10_ASIL_Matrix!$D$3:$F$3,0)))))</f>
        <v>—</v>
      </c>
      <c r="Q1620" s="5" t="s">
        <v>448</v>
      </c>
    </row>
    <row r="1621" customFormat="false" ht="35.05" hidden="false" customHeight="false" outlineLevel="0" collapsed="false">
      <c r="A1621" s="6" t="s">
        <v>3922</v>
      </c>
      <c r="B1621" s="6" t="s">
        <v>105</v>
      </c>
      <c r="C1621" s="6" t="s">
        <v>106</v>
      </c>
      <c r="D1621" s="6" t="s">
        <v>167</v>
      </c>
      <c r="E1621" s="6" t="s">
        <v>168</v>
      </c>
      <c r="F1621" s="6" t="s">
        <v>217</v>
      </c>
      <c r="G1621" s="6" t="s">
        <v>488</v>
      </c>
      <c r="H1621" s="6" t="s">
        <v>228</v>
      </c>
      <c r="I1621" s="6" t="s">
        <v>3923</v>
      </c>
      <c r="J1621" s="6" t="s">
        <v>238</v>
      </c>
      <c r="K1621" s="6" t="s">
        <v>2410</v>
      </c>
      <c r="L1621" s="6" t="s">
        <v>205</v>
      </c>
      <c r="M1621" s="6" t="s">
        <v>742</v>
      </c>
      <c r="N1621" s="6" t="s">
        <v>278</v>
      </c>
      <c r="O1621" s="6" t="s">
        <v>634</v>
      </c>
      <c r="P1621" s="6" t="str">
        <f aca="false">IF(J1621="S0","—",IF(K1621="","",IF(L1621="E0","QM",INDEX(10_ASIL_Matrix!$D$4:$F$15,MATCH(J1621&amp;"-"&amp;L1621,10_ASIL_Matrix!$C$4:$C$15,0),MATCH(N1621,10_ASIL_Matrix!$D$3:$F$3,0)))))</f>
        <v>—</v>
      </c>
      <c r="Q1621" s="6" t="s">
        <v>448</v>
      </c>
    </row>
    <row r="1622" customFormat="false" ht="35.05" hidden="false" customHeight="false" outlineLevel="0" collapsed="false">
      <c r="A1622" s="5" t="s">
        <v>3924</v>
      </c>
      <c r="B1622" s="5" t="s">
        <v>105</v>
      </c>
      <c r="C1622" s="5" t="s">
        <v>106</v>
      </c>
      <c r="D1622" s="5" t="s">
        <v>167</v>
      </c>
      <c r="E1622" s="5" t="s">
        <v>168</v>
      </c>
      <c r="F1622" s="5" t="s">
        <v>217</v>
      </c>
      <c r="G1622" s="5" t="s">
        <v>488</v>
      </c>
      <c r="H1622" s="5" t="s">
        <v>230</v>
      </c>
      <c r="I1622" s="5" t="s">
        <v>3925</v>
      </c>
      <c r="J1622" s="5" t="s">
        <v>238</v>
      </c>
      <c r="K1622" s="5" t="s">
        <v>2410</v>
      </c>
      <c r="L1622" s="5" t="s">
        <v>205</v>
      </c>
      <c r="M1622" s="5" t="s">
        <v>745</v>
      </c>
      <c r="N1622" s="5" t="s">
        <v>278</v>
      </c>
      <c r="O1622" s="5" t="s">
        <v>634</v>
      </c>
      <c r="P1622" s="5" t="str">
        <f aca="false">IF(J1622="S0","—",IF(K1622="","",IF(L1622="E0","QM",INDEX(10_ASIL_Matrix!$D$4:$F$15,MATCH(J1622&amp;"-"&amp;L1622,10_ASIL_Matrix!$C$4:$C$15,0),MATCH(N1622,10_ASIL_Matrix!$D$3:$F$3,0)))))</f>
        <v>—</v>
      </c>
      <c r="Q1622" s="5" t="s">
        <v>448</v>
      </c>
    </row>
    <row r="1623" customFormat="false" ht="46.25" hidden="false" customHeight="false" outlineLevel="0" collapsed="false">
      <c r="A1623" s="6" t="s">
        <v>3926</v>
      </c>
      <c r="B1623" s="6" t="s">
        <v>105</v>
      </c>
      <c r="C1623" s="6" t="s">
        <v>106</v>
      </c>
      <c r="D1623" s="6" t="s">
        <v>167</v>
      </c>
      <c r="E1623" s="6" t="s">
        <v>168</v>
      </c>
      <c r="F1623" s="6" t="s">
        <v>217</v>
      </c>
      <c r="G1623" s="6" t="s">
        <v>488</v>
      </c>
      <c r="H1623" s="6" t="s">
        <v>232</v>
      </c>
      <c r="I1623" s="6" t="s">
        <v>3927</v>
      </c>
      <c r="J1623" s="6" t="s">
        <v>238</v>
      </c>
      <c r="K1623" s="6" t="s">
        <v>2410</v>
      </c>
      <c r="L1623" s="6" t="s">
        <v>233</v>
      </c>
      <c r="M1623" s="6" t="s">
        <v>748</v>
      </c>
      <c r="N1623" s="6" t="s">
        <v>278</v>
      </c>
      <c r="O1623" s="6" t="s">
        <v>634</v>
      </c>
      <c r="P1623" s="6" t="str">
        <f aca="false">IF(J1623="S0","—",IF(K1623="","",IF(L1623="E0","QM",INDEX(10_ASIL_Matrix!$D$4:$F$15,MATCH(J1623&amp;"-"&amp;L1623,10_ASIL_Matrix!$C$4:$C$15,0),MATCH(N1623,10_ASIL_Matrix!$D$3:$F$3,0)))))</f>
        <v>—</v>
      </c>
      <c r="Q1623" s="6" t="s">
        <v>448</v>
      </c>
    </row>
    <row r="1624" customFormat="false" ht="35.05" hidden="false" customHeight="false" outlineLevel="0" collapsed="false">
      <c r="A1624" s="5" t="s">
        <v>3928</v>
      </c>
      <c r="B1624" s="5" t="s">
        <v>105</v>
      </c>
      <c r="C1624" s="5" t="s">
        <v>106</v>
      </c>
      <c r="D1624" s="5" t="s">
        <v>170</v>
      </c>
      <c r="E1624" s="5" t="s">
        <v>171</v>
      </c>
      <c r="F1624" s="5" t="s">
        <v>186</v>
      </c>
      <c r="G1624" s="5" t="s">
        <v>443</v>
      </c>
      <c r="H1624" s="5" t="s">
        <v>222</v>
      </c>
      <c r="I1624" s="5" t="s">
        <v>3929</v>
      </c>
      <c r="J1624" s="5" t="s">
        <v>246</v>
      </c>
      <c r="K1624" s="5" t="s">
        <v>3006</v>
      </c>
      <c r="L1624" s="5" t="s">
        <v>187</v>
      </c>
      <c r="M1624" s="5" t="s">
        <v>446</v>
      </c>
      <c r="N1624" s="5" t="s">
        <v>282</v>
      </c>
      <c r="O1624" s="5" t="s">
        <v>3007</v>
      </c>
      <c r="P1624" s="19" t="str">
        <f aca="false">IF(J1624="S0","—",IF(K1624="","",IF(L1624="E0","QM",INDEX(10_ASIL_Matrix!$D$4:$F$15,MATCH(J1624&amp;"-"&amp;L1624,10_ASIL_Matrix!$C$4:$C$15,0),MATCH(N1624,10_ASIL_Matrix!$D$3:$F$3,0)))))</f>
        <v>A</v>
      </c>
      <c r="Q1624" s="5" t="s">
        <v>448</v>
      </c>
    </row>
    <row r="1625" customFormat="false" ht="35.05" hidden="false" customHeight="false" outlineLevel="0" collapsed="false">
      <c r="A1625" s="6" t="s">
        <v>3930</v>
      </c>
      <c r="B1625" s="6" t="s">
        <v>105</v>
      </c>
      <c r="C1625" s="6" t="s">
        <v>106</v>
      </c>
      <c r="D1625" s="6" t="s">
        <v>170</v>
      </c>
      <c r="E1625" s="6" t="s">
        <v>171</v>
      </c>
      <c r="F1625" s="6" t="s">
        <v>186</v>
      </c>
      <c r="G1625" s="6" t="s">
        <v>443</v>
      </c>
      <c r="H1625" s="6" t="s">
        <v>224</v>
      </c>
      <c r="I1625" s="6" t="s">
        <v>3931</v>
      </c>
      <c r="J1625" s="6" t="s">
        <v>246</v>
      </c>
      <c r="K1625" s="6" t="s">
        <v>3006</v>
      </c>
      <c r="L1625" s="6" t="s">
        <v>190</v>
      </c>
      <c r="M1625" s="6" t="s">
        <v>451</v>
      </c>
      <c r="N1625" s="6" t="s">
        <v>282</v>
      </c>
      <c r="O1625" s="6" t="s">
        <v>3007</v>
      </c>
      <c r="P1625" s="6" t="str">
        <f aca="false">IF(J1625="S0","—",IF(K1625="","",IF(L1625="E0","QM",INDEX(10_ASIL_Matrix!$D$4:$F$15,MATCH(J1625&amp;"-"&amp;L1625,10_ASIL_Matrix!$C$4:$C$15,0),MATCH(N1625,10_ASIL_Matrix!$D$3:$F$3,0)))))</f>
        <v>QM</v>
      </c>
      <c r="Q1625" s="6" t="s">
        <v>448</v>
      </c>
    </row>
    <row r="1626" customFormat="false" ht="35.05" hidden="false" customHeight="false" outlineLevel="0" collapsed="false">
      <c r="A1626" s="5" t="s">
        <v>3932</v>
      </c>
      <c r="B1626" s="5" t="s">
        <v>105</v>
      </c>
      <c r="C1626" s="5" t="s">
        <v>106</v>
      </c>
      <c r="D1626" s="5" t="s">
        <v>170</v>
      </c>
      <c r="E1626" s="5" t="s">
        <v>171</v>
      </c>
      <c r="F1626" s="5" t="s">
        <v>186</v>
      </c>
      <c r="G1626" s="5" t="s">
        <v>443</v>
      </c>
      <c r="H1626" s="5" t="s">
        <v>226</v>
      </c>
      <c r="I1626" s="5" t="s">
        <v>3933</v>
      </c>
      <c r="J1626" s="5" t="s">
        <v>246</v>
      </c>
      <c r="K1626" s="5" t="s">
        <v>3006</v>
      </c>
      <c r="L1626" s="5" t="s">
        <v>190</v>
      </c>
      <c r="M1626" s="5" t="s">
        <v>454</v>
      </c>
      <c r="N1626" s="5" t="s">
        <v>282</v>
      </c>
      <c r="O1626" s="5" t="s">
        <v>3007</v>
      </c>
      <c r="P1626" s="5" t="str">
        <f aca="false">IF(J1626="S0","—",IF(K1626="","",IF(L1626="E0","QM",INDEX(10_ASIL_Matrix!$D$4:$F$15,MATCH(J1626&amp;"-"&amp;L1626,10_ASIL_Matrix!$C$4:$C$15,0),MATCH(N1626,10_ASIL_Matrix!$D$3:$F$3,0)))))</f>
        <v>QM</v>
      </c>
      <c r="Q1626" s="5" t="s">
        <v>448</v>
      </c>
    </row>
    <row r="1627" customFormat="false" ht="35.05" hidden="false" customHeight="false" outlineLevel="0" collapsed="false">
      <c r="A1627" s="6" t="s">
        <v>3934</v>
      </c>
      <c r="B1627" s="6" t="s">
        <v>105</v>
      </c>
      <c r="C1627" s="6" t="s">
        <v>106</v>
      </c>
      <c r="D1627" s="6" t="s">
        <v>170</v>
      </c>
      <c r="E1627" s="6" t="s">
        <v>171</v>
      </c>
      <c r="F1627" s="6" t="s">
        <v>186</v>
      </c>
      <c r="G1627" s="6" t="s">
        <v>443</v>
      </c>
      <c r="H1627" s="6" t="s">
        <v>228</v>
      </c>
      <c r="I1627" s="6" t="s">
        <v>3935</v>
      </c>
      <c r="J1627" s="6" t="s">
        <v>246</v>
      </c>
      <c r="K1627" s="6" t="s">
        <v>3006</v>
      </c>
      <c r="L1627" s="6" t="s">
        <v>205</v>
      </c>
      <c r="M1627" s="6" t="s">
        <v>457</v>
      </c>
      <c r="N1627" s="6" t="s">
        <v>282</v>
      </c>
      <c r="O1627" s="6" t="s">
        <v>3007</v>
      </c>
      <c r="P1627" s="6" t="str">
        <f aca="false">IF(J1627="S0","—",IF(K1627="","",IF(L1627="E0","QM",INDEX(10_ASIL_Matrix!$D$4:$F$15,MATCH(J1627&amp;"-"&amp;L1627,10_ASIL_Matrix!$C$4:$C$15,0),MATCH(N1627,10_ASIL_Matrix!$D$3:$F$3,0)))))</f>
        <v>QM</v>
      </c>
      <c r="Q1627" s="6" t="s">
        <v>448</v>
      </c>
    </row>
    <row r="1628" customFormat="false" ht="35.05" hidden="false" customHeight="false" outlineLevel="0" collapsed="false">
      <c r="A1628" s="5" t="s">
        <v>3936</v>
      </c>
      <c r="B1628" s="5" t="s">
        <v>105</v>
      </c>
      <c r="C1628" s="5" t="s">
        <v>106</v>
      </c>
      <c r="D1628" s="5" t="s">
        <v>170</v>
      </c>
      <c r="E1628" s="5" t="s">
        <v>171</v>
      </c>
      <c r="F1628" s="5" t="s">
        <v>186</v>
      </c>
      <c r="G1628" s="5" t="s">
        <v>443</v>
      </c>
      <c r="H1628" s="5" t="s">
        <v>230</v>
      </c>
      <c r="I1628" s="5" t="s">
        <v>3937</v>
      </c>
      <c r="J1628" s="5" t="s">
        <v>246</v>
      </c>
      <c r="K1628" s="5" t="s">
        <v>3006</v>
      </c>
      <c r="L1628" s="5" t="s">
        <v>205</v>
      </c>
      <c r="M1628" s="5" t="s">
        <v>460</v>
      </c>
      <c r="N1628" s="5" t="s">
        <v>286</v>
      </c>
      <c r="O1628" s="5" t="s">
        <v>3016</v>
      </c>
      <c r="P1628" s="5" t="str">
        <f aca="false">IF(J1628="S0","—",IF(K1628="","",IF(L1628="E0","QM",INDEX(10_ASIL_Matrix!$D$4:$F$15,MATCH(J1628&amp;"-"&amp;L1628,10_ASIL_Matrix!$C$4:$C$15,0),MATCH(N1628,10_ASIL_Matrix!$D$3:$F$3,0)))))</f>
        <v>QM</v>
      </c>
      <c r="Q1628" s="5" t="s">
        <v>448</v>
      </c>
    </row>
    <row r="1629" customFormat="false" ht="46.25" hidden="false" customHeight="false" outlineLevel="0" collapsed="false">
      <c r="A1629" s="6" t="s">
        <v>3938</v>
      </c>
      <c r="B1629" s="6" t="s">
        <v>105</v>
      </c>
      <c r="C1629" s="6" t="s">
        <v>106</v>
      </c>
      <c r="D1629" s="6" t="s">
        <v>170</v>
      </c>
      <c r="E1629" s="6" t="s">
        <v>171</v>
      </c>
      <c r="F1629" s="6" t="s">
        <v>186</v>
      </c>
      <c r="G1629" s="6" t="s">
        <v>443</v>
      </c>
      <c r="H1629" s="6" t="s">
        <v>232</v>
      </c>
      <c r="I1629" s="6" t="s">
        <v>3939</v>
      </c>
      <c r="J1629" s="6" t="s">
        <v>246</v>
      </c>
      <c r="K1629" s="6" t="s">
        <v>3006</v>
      </c>
      <c r="L1629" s="6" t="s">
        <v>233</v>
      </c>
      <c r="M1629" s="6" t="s">
        <v>464</v>
      </c>
      <c r="N1629" s="6" t="s">
        <v>282</v>
      </c>
      <c r="O1629" s="6" t="s">
        <v>3007</v>
      </c>
      <c r="P1629" s="6" t="str">
        <f aca="false">IF(J1629="S0","—",IF(K1629="","",IF(L1629="E0","QM",INDEX(10_ASIL_Matrix!$D$4:$F$15,MATCH(J1629&amp;"-"&amp;L1629,10_ASIL_Matrix!$C$4:$C$15,0),MATCH(N1629,10_ASIL_Matrix!$D$3:$F$3,0)))))</f>
        <v>QM</v>
      </c>
      <c r="Q1629" s="6" t="s">
        <v>448</v>
      </c>
    </row>
    <row r="1630" customFormat="false" ht="35.05" hidden="false" customHeight="false" outlineLevel="0" collapsed="false">
      <c r="A1630" s="5" t="s">
        <v>3940</v>
      </c>
      <c r="B1630" s="5" t="s">
        <v>105</v>
      </c>
      <c r="C1630" s="5" t="s">
        <v>106</v>
      </c>
      <c r="D1630" s="5" t="s">
        <v>170</v>
      </c>
      <c r="E1630" s="5" t="s">
        <v>171</v>
      </c>
      <c r="F1630" s="5" t="s">
        <v>189</v>
      </c>
      <c r="G1630" s="5" t="s">
        <v>466</v>
      </c>
      <c r="H1630" s="5" t="s">
        <v>222</v>
      </c>
      <c r="I1630" s="5" t="s">
        <v>3941</v>
      </c>
      <c r="J1630" s="5" t="s">
        <v>250</v>
      </c>
      <c r="K1630" s="5" t="s">
        <v>3021</v>
      </c>
      <c r="L1630" s="5" t="s">
        <v>190</v>
      </c>
      <c r="M1630" s="5" t="s">
        <v>469</v>
      </c>
      <c r="N1630" s="5" t="s">
        <v>286</v>
      </c>
      <c r="O1630" s="5" t="s">
        <v>3022</v>
      </c>
      <c r="P1630" s="18" t="str">
        <f aca="false">IF(J1630="S0","—",IF(K1630="","",IF(L1630="E0","QM",INDEX(10_ASIL_Matrix!$D$4:$F$15,MATCH(J1630&amp;"-"&amp;L1630,10_ASIL_Matrix!$C$4:$C$15,0),MATCH(N1630,10_ASIL_Matrix!$D$3:$F$3,0)))))</f>
        <v>B</v>
      </c>
      <c r="Q1630" s="5" t="s">
        <v>448</v>
      </c>
    </row>
    <row r="1631" customFormat="false" ht="35.05" hidden="false" customHeight="false" outlineLevel="0" collapsed="false">
      <c r="A1631" s="6" t="s">
        <v>3942</v>
      </c>
      <c r="B1631" s="6" t="s">
        <v>105</v>
      </c>
      <c r="C1631" s="6" t="s">
        <v>106</v>
      </c>
      <c r="D1631" s="6" t="s">
        <v>170</v>
      </c>
      <c r="E1631" s="6" t="s">
        <v>171</v>
      </c>
      <c r="F1631" s="6" t="s">
        <v>189</v>
      </c>
      <c r="G1631" s="6" t="s">
        <v>466</v>
      </c>
      <c r="H1631" s="6" t="s">
        <v>224</v>
      </c>
      <c r="I1631" s="6" t="s">
        <v>3943</v>
      </c>
      <c r="J1631" s="6" t="s">
        <v>250</v>
      </c>
      <c r="K1631" s="6" t="s">
        <v>3021</v>
      </c>
      <c r="L1631" s="6" t="s">
        <v>190</v>
      </c>
      <c r="M1631" s="6" t="s">
        <v>473</v>
      </c>
      <c r="N1631" s="6" t="s">
        <v>286</v>
      </c>
      <c r="O1631" s="6" t="s">
        <v>3022</v>
      </c>
      <c r="P1631" s="18" t="str">
        <f aca="false">IF(J1631="S0","—",IF(K1631="","",IF(L1631="E0","QM",INDEX(10_ASIL_Matrix!$D$4:$F$15,MATCH(J1631&amp;"-"&amp;L1631,10_ASIL_Matrix!$C$4:$C$15,0),MATCH(N1631,10_ASIL_Matrix!$D$3:$F$3,0)))))</f>
        <v>B</v>
      </c>
      <c r="Q1631" s="6" t="s">
        <v>448</v>
      </c>
    </row>
    <row r="1632" customFormat="false" ht="35.05" hidden="false" customHeight="false" outlineLevel="0" collapsed="false">
      <c r="A1632" s="5" t="s">
        <v>3944</v>
      </c>
      <c r="B1632" s="5" t="s">
        <v>105</v>
      </c>
      <c r="C1632" s="5" t="s">
        <v>106</v>
      </c>
      <c r="D1632" s="5" t="s">
        <v>170</v>
      </c>
      <c r="E1632" s="5" t="s">
        <v>171</v>
      </c>
      <c r="F1632" s="5" t="s">
        <v>189</v>
      </c>
      <c r="G1632" s="5" t="s">
        <v>466</v>
      </c>
      <c r="H1632" s="5" t="s">
        <v>226</v>
      </c>
      <c r="I1632" s="5" t="s">
        <v>3945</v>
      </c>
      <c r="J1632" s="5" t="s">
        <v>250</v>
      </c>
      <c r="K1632" s="5" t="s">
        <v>3021</v>
      </c>
      <c r="L1632" s="5" t="s">
        <v>190</v>
      </c>
      <c r="M1632" s="5" t="s">
        <v>476</v>
      </c>
      <c r="N1632" s="5" t="s">
        <v>286</v>
      </c>
      <c r="O1632" s="5" t="s">
        <v>3022</v>
      </c>
      <c r="P1632" s="18" t="str">
        <f aca="false">IF(J1632="S0","—",IF(K1632="","",IF(L1632="E0","QM",INDEX(10_ASIL_Matrix!$D$4:$F$15,MATCH(J1632&amp;"-"&amp;L1632,10_ASIL_Matrix!$C$4:$C$15,0),MATCH(N1632,10_ASIL_Matrix!$D$3:$F$3,0)))))</f>
        <v>B</v>
      </c>
      <c r="Q1632" s="5" t="s">
        <v>448</v>
      </c>
    </row>
    <row r="1633" customFormat="false" ht="35.05" hidden="false" customHeight="false" outlineLevel="0" collapsed="false">
      <c r="A1633" s="6" t="s">
        <v>3946</v>
      </c>
      <c r="B1633" s="6" t="s">
        <v>105</v>
      </c>
      <c r="C1633" s="6" t="s">
        <v>106</v>
      </c>
      <c r="D1633" s="6" t="s">
        <v>170</v>
      </c>
      <c r="E1633" s="6" t="s">
        <v>171</v>
      </c>
      <c r="F1633" s="6" t="s">
        <v>189</v>
      </c>
      <c r="G1633" s="6" t="s">
        <v>466</v>
      </c>
      <c r="H1633" s="6" t="s">
        <v>228</v>
      </c>
      <c r="I1633" s="6" t="s">
        <v>3947</v>
      </c>
      <c r="J1633" s="6" t="s">
        <v>250</v>
      </c>
      <c r="K1633" s="6" t="s">
        <v>3021</v>
      </c>
      <c r="L1633" s="6" t="s">
        <v>205</v>
      </c>
      <c r="M1633" s="6" t="s">
        <v>479</v>
      </c>
      <c r="N1633" s="6" t="s">
        <v>286</v>
      </c>
      <c r="O1633" s="6" t="s">
        <v>3022</v>
      </c>
      <c r="P1633" s="19" t="str">
        <f aca="false">IF(J1633="S0","—",IF(K1633="","",IF(L1633="E0","QM",INDEX(10_ASIL_Matrix!$D$4:$F$15,MATCH(J1633&amp;"-"&amp;L1633,10_ASIL_Matrix!$C$4:$C$15,0),MATCH(N1633,10_ASIL_Matrix!$D$3:$F$3,0)))))</f>
        <v>A</v>
      </c>
      <c r="Q1633" s="6" t="s">
        <v>448</v>
      </c>
    </row>
    <row r="1634" customFormat="false" ht="35.05" hidden="false" customHeight="false" outlineLevel="0" collapsed="false">
      <c r="A1634" s="5" t="s">
        <v>3948</v>
      </c>
      <c r="B1634" s="5" t="s">
        <v>105</v>
      </c>
      <c r="C1634" s="5" t="s">
        <v>106</v>
      </c>
      <c r="D1634" s="5" t="s">
        <v>170</v>
      </c>
      <c r="E1634" s="5" t="s">
        <v>171</v>
      </c>
      <c r="F1634" s="5" t="s">
        <v>189</v>
      </c>
      <c r="G1634" s="5" t="s">
        <v>466</v>
      </c>
      <c r="H1634" s="5" t="s">
        <v>230</v>
      </c>
      <c r="I1634" s="5" t="s">
        <v>3949</v>
      </c>
      <c r="J1634" s="5" t="s">
        <v>250</v>
      </c>
      <c r="K1634" s="5" t="s">
        <v>3021</v>
      </c>
      <c r="L1634" s="5" t="s">
        <v>205</v>
      </c>
      <c r="M1634" s="5" t="s">
        <v>482</v>
      </c>
      <c r="N1634" s="5" t="s">
        <v>290</v>
      </c>
      <c r="O1634" s="5" t="s">
        <v>3031</v>
      </c>
      <c r="P1634" s="18" t="str">
        <f aca="false">IF(J1634="S0","—",IF(K1634="","",IF(L1634="E0","QM",INDEX(10_ASIL_Matrix!$D$4:$F$15,MATCH(J1634&amp;"-"&amp;L1634,10_ASIL_Matrix!$C$4:$C$15,0),MATCH(N1634,10_ASIL_Matrix!$D$3:$F$3,0)))))</f>
        <v>B</v>
      </c>
      <c r="Q1634" s="5" t="s">
        <v>448</v>
      </c>
    </row>
    <row r="1635" customFormat="false" ht="46.25" hidden="false" customHeight="false" outlineLevel="0" collapsed="false">
      <c r="A1635" s="6" t="s">
        <v>3950</v>
      </c>
      <c r="B1635" s="6" t="s">
        <v>105</v>
      </c>
      <c r="C1635" s="6" t="s">
        <v>106</v>
      </c>
      <c r="D1635" s="6" t="s">
        <v>170</v>
      </c>
      <c r="E1635" s="6" t="s">
        <v>171</v>
      </c>
      <c r="F1635" s="6" t="s">
        <v>189</v>
      </c>
      <c r="G1635" s="6" t="s">
        <v>466</v>
      </c>
      <c r="H1635" s="6" t="s">
        <v>232</v>
      </c>
      <c r="I1635" s="6" t="s">
        <v>3951</v>
      </c>
      <c r="J1635" s="6" t="s">
        <v>250</v>
      </c>
      <c r="K1635" s="6" t="s">
        <v>3021</v>
      </c>
      <c r="L1635" s="6" t="s">
        <v>233</v>
      </c>
      <c r="M1635" s="6" t="s">
        <v>486</v>
      </c>
      <c r="N1635" s="6" t="s">
        <v>286</v>
      </c>
      <c r="O1635" s="6" t="s">
        <v>3022</v>
      </c>
      <c r="P1635" s="6" t="str">
        <f aca="false">IF(J1635="S0","—",IF(K1635="","",IF(L1635="E0","QM",INDEX(10_ASIL_Matrix!$D$4:$F$15,MATCH(J1635&amp;"-"&amp;L1635,10_ASIL_Matrix!$C$4:$C$15,0),MATCH(N1635,10_ASIL_Matrix!$D$3:$F$3,0)))))</f>
        <v>QM</v>
      </c>
      <c r="Q1635" s="6" t="s">
        <v>448</v>
      </c>
    </row>
    <row r="1636" customFormat="false" ht="35.05" hidden="false" customHeight="false" outlineLevel="0" collapsed="false">
      <c r="A1636" s="5" t="s">
        <v>3952</v>
      </c>
      <c r="B1636" s="5" t="s">
        <v>105</v>
      </c>
      <c r="C1636" s="5" t="s">
        <v>106</v>
      </c>
      <c r="D1636" s="5" t="s">
        <v>170</v>
      </c>
      <c r="E1636" s="5" t="s">
        <v>171</v>
      </c>
      <c r="F1636" s="5" t="s">
        <v>192</v>
      </c>
      <c r="G1636" s="5" t="s">
        <v>488</v>
      </c>
      <c r="H1636" s="5" t="s">
        <v>222</v>
      </c>
      <c r="I1636" s="5" t="s">
        <v>3953</v>
      </c>
      <c r="J1636" s="5" t="s">
        <v>246</v>
      </c>
      <c r="K1636" s="5" t="s">
        <v>3036</v>
      </c>
      <c r="L1636" s="5" t="s">
        <v>187</v>
      </c>
      <c r="M1636" s="5" t="s">
        <v>491</v>
      </c>
      <c r="N1636" s="5" t="s">
        <v>282</v>
      </c>
      <c r="O1636" s="5" t="s">
        <v>3037</v>
      </c>
      <c r="P1636" s="19" t="str">
        <f aca="false">IF(J1636="S0","—",IF(K1636="","",IF(L1636="E0","QM",INDEX(10_ASIL_Matrix!$D$4:$F$15,MATCH(J1636&amp;"-"&amp;L1636,10_ASIL_Matrix!$C$4:$C$15,0),MATCH(N1636,10_ASIL_Matrix!$D$3:$F$3,0)))))</f>
        <v>A</v>
      </c>
      <c r="Q1636" s="5" t="s">
        <v>448</v>
      </c>
    </row>
    <row r="1637" customFormat="false" ht="35.05" hidden="false" customHeight="false" outlineLevel="0" collapsed="false">
      <c r="A1637" s="6" t="s">
        <v>3954</v>
      </c>
      <c r="B1637" s="6" t="s">
        <v>105</v>
      </c>
      <c r="C1637" s="6" t="s">
        <v>106</v>
      </c>
      <c r="D1637" s="6" t="s">
        <v>170</v>
      </c>
      <c r="E1637" s="6" t="s">
        <v>171</v>
      </c>
      <c r="F1637" s="6" t="s">
        <v>192</v>
      </c>
      <c r="G1637" s="6" t="s">
        <v>488</v>
      </c>
      <c r="H1637" s="6" t="s">
        <v>224</v>
      </c>
      <c r="I1637" s="6" t="s">
        <v>3955</v>
      </c>
      <c r="J1637" s="6" t="s">
        <v>246</v>
      </c>
      <c r="K1637" s="6" t="s">
        <v>3036</v>
      </c>
      <c r="L1637" s="6" t="s">
        <v>190</v>
      </c>
      <c r="M1637" s="6" t="s">
        <v>494</v>
      </c>
      <c r="N1637" s="6" t="s">
        <v>282</v>
      </c>
      <c r="O1637" s="6" t="s">
        <v>3037</v>
      </c>
      <c r="P1637" s="6" t="str">
        <f aca="false">IF(J1637="S0","—",IF(K1637="","",IF(L1637="E0","QM",INDEX(10_ASIL_Matrix!$D$4:$F$15,MATCH(J1637&amp;"-"&amp;L1637,10_ASIL_Matrix!$C$4:$C$15,0),MATCH(N1637,10_ASIL_Matrix!$D$3:$F$3,0)))))</f>
        <v>QM</v>
      </c>
      <c r="Q1637" s="6" t="s">
        <v>448</v>
      </c>
    </row>
    <row r="1638" customFormat="false" ht="35.05" hidden="false" customHeight="false" outlineLevel="0" collapsed="false">
      <c r="A1638" s="5" t="s">
        <v>3956</v>
      </c>
      <c r="B1638" s="5" t="s">
        <v>105</v>
      </c>
      <c r="C1638" s="5" t="s">
        <v>106</v>
      </c>
      <c r="D1638" s="5" t="s">
        <v>170</v>
      </c>
      <c r="E1638" s="5" t="s">
        <v>171</v>
      </c>
      <c r="F1638" s="5" t="s">
        <v>192</v>
      </c>
      <c r="G1638" s="5" t="s">
        <v>488</v>
      </c>
      <c r="H1638" s="5" t="s">
        <v>226</v>
      </c>
      <c r="I1638" s="5" t="s">
        <v>3957</v>
      </c>
      <c r="J1638" s="5" t="s">
        <v>246</v>
      </c>
      <c r="K1638" s="5" t="s">
        <v>3036</v>
      </c>
      <c r="L1638" s="5" t="s">
        <v>190</v>
      </c>
      <c r="M1638" s="5" t="s">
        <v>497</v>
      </c>
      <c r="N1638" s="5" t="s">
        <v>282</v>
      </c>
      <c r="O1638" s="5" t="s">
        <v>3037</v>
      </c>
      <c r="P1638" s="5" t="str">
        <f aca="false">IF(J1638="S0","—",IF(K1638="","",IF(L1638="E0","QM",INDEX(10_ASIL_Matrix!$D$4:$F$15,MATCH(J1638&amp;"-"&amp;L1638,10_ASIL_Matrix!$C$4:$C$15,0),MATCH(N1638,10_ASIL_Matrix!$D$3:$F$3,0)))))</f>
        <v>QM</v>
      </c>
      <c r="Q1638" s="5" t="s">
        <v>448</v>
      </c>
    </row>
    <row r="1639" customFormat="false" ht="35.05" hidden="false" customHeight="false" outlineLevel="0" collapsed="false">
      <c r="A1639" s="6" t="s">
        <v>3958</v>
      </c>
      <c r="B1639" s="6" t="s">
        <v>105</v>
      </c>
      <c r="C1639" s="6" t="s">
        <v>106</v>
      </c>
      <c r="D1639" s="6" t="s">
        <v>170</v>
      </c>
      <c r="E1639" s="6" t="s">
        <v>171</v>
      </c>
      <c r="F1639" s="6" t="s">
        <v>192</v>
      </c>
      <c r="G1639" s="6" t="s">
        <v>488</v>
      </c>
      <c r="H1639" s="6" t="s">
        <v>228</v>
      </c>
      <c r="I1639" s="6" t="s">
        <v>3959</v>
      </c>
      <c r="J1639" s="6" t="s">
        <v>246</v>
      </c>
      <c r="K1639" s="6" t="s">
        <v>3036</v>
      </c>
      <c r="L1639" s="6" t="s">
        <v>205</v>
      </c>
      <c r="M1639" s="6" t="s">
        <v>500</v>
      </c>
      <c r="N1639" s="6" t="s">
        <v>282</v>
      </c>
      <c r="O1639" s="6" t="s">
        <v>3037</v>
      </c>
      <c r="P1639" s="6" t="str">
        <f aca="false">IF(J1639="S0","—",IF(K1639="","",IF(L1639="E0","QM",INDEX(10_ASIL_Matrix!$D$4:$F$15,MATCH(J1639&amp;"-"&amp;L1639,10_ASIL_Matrix!$C$4:$C$15,0),MATCH(N1639,10_ASIL_Matrix!$D$3:$F$3,0)))))</f>
        <v>QM</v>
      </c>
      <c r="Q1639" s="6" t="s">
        <v>448</v>
      </c>
    </row>
    <row r="1640" customFormat="false" ht="35.05" hidden="false" customHeight="false" outlineLevel="0" collapsed="false">
      <c r="A1640" s="5" t="s">
        <v>3960</v>
      </c>
      <c r="B1640" s="5" t="s">
        <v>105</v>
      </c>
      <c r="C1640" s="5" t="s">
        <v>106</v>
      </c>
      <c r="D1640" s="5" t="s">
        <v>170</v>
      </c>
      <c r="E1640" s="5" t="s">
        <v>171</v>
      </c>
      <c r="F1640" s="5" t="s">
        <v>192</v>
      </c>
      <c r="G1640" s="5" t="s">
        <v>488</v>
      </c>
      <c r="H1640" s="5" t="s">
        <v>230</v>
      </c>
      <c r="I1640" s="5" t="s">
        <v>3961</v>
      </c>
      <c r="J1640" s="5" t="s">
        <v>246</v>
      </c>
      <c r="K1640" s="5" t="s">
        <v>3036</v>
      </c>
      <c r="L1640" s="5" t="s">
        <v>205</v>
      </c>
      <c r="M1640" s="5" t="s">
        <v>503</v>
      </c>
      <c r="N1640" s="5" t="s">
        <v>286</v>
      </c>
      <c r="O1640" s="5" t="s">
        <v>3046</v>
      </c>
      <c r="P1640" s="5" t="str">
        <f aca="false">IF(J1640="S0","—",IF(K1640="","",IF(L1640="E0","QM",INDEX(10_ASIL_Matrix!$D$4:$F$15,MATCH(J1640&amp;"-"&amp;L1640,10_ASIL_Matrix!$C$4:$C$15,0),MATCH(N1640,10_ASIL_Matrix!$D$3:$F$3,0)))))</f>
        <v>QM</v>
      </c>
      <c r="Q1640" s="5" t="s">
        <v>448</v>
      </c>
    </row>
    <row r="1641" customFormat="false" ht="46.25" hidden="false" customHeight="false" outlineLevel="0" collapsed="false">
      <c r="A1641" s="6" t="s">
        <v>3962</v>
      </c>
      <c r="B1641" s="6" t="s">
        <v>105</v>
      </c>
      <c r="C1641" s="6" t="s">
        <v>106</v>
      </c>
      <c r="D1641" s="6" t="s">
        <v>170</v>
      </c>
      <c r="E1641" s="6" t="s">
        <v>171</v>
      </c>
      <c r="F1641" s="6" t="s">
        <v>192</v>
      </c>
      <c r="G1641" s="6" t="s">
        <v>488</v>
      </c>
      <c r="H1641" s="6" t="s">
        <v>232</v>
      </c>
      <c r="I1641" s="6" t="s">
        <v>3963</v>
      </c>
      <c r="J1641" s="6" t="s">
        <v>246</v>
      </c>
      <c r="K1641" s="6" t="s">
        <v>3036</v>
      </c>
      <c r="L1641" s="6" t="s">
        <v>233</v>
      </c>
      <c r="M1641" s="6" t="s">
        <v>506</v>
      </c>
      <c r="N1641" s="6" t="s">
        <v>282</v>
      </c>
      <c r="O1641" s="6" t="s">
        <v>3037</v>
      </c>
      <c r="P1641" s="6" t="str">
        <f aca="false">IF(J1641="S0","—",IF(K1641="","",IF(L1641="E0","QM",INDEX(10_ASIL_Matrix!$D$4:$F$15,MATCH(J1641&amp;"-"&amp;L1641,10_ASIL_Matrix!$C$4:$C$15,0),MATCH(N1641,10_ASIL_Matrix!$D$3:$F$3,0)))))</f>
        <v>QM</v>
      </c>
      <c r="Q1641" s="6" t="s">
        <v>448</v>
      </c>
    </row>
    <row r="1642" customFormat="false" ht="35.05" hidden="false" customHeight="false" outlineLevel="0" collapsed="false">
      <c r="A1642" s="5" t="s">
        <v>3964</v>
      </c>
      <c r="B1642" s="5" t="s">
        <v>105</v>
      </c>
      <c r="C1642" s="5" t="s">
        <v>106</v>
      </c>
      <c r="D1642" s="5" t="s">
        <v>170</v>
      </c>
      <c r="E1642" s="5" t="s">
        <v>171</v>
      </c>
      <c r="F1642" s="5" t="s">
        <v>194</v>
      </c>
      <c r="G1642" s="5" t="s">
        <v>508</v>
      </c>
      <c r="H1642" s="5" t="s">
        <v>222</v>
      </c>
      <c r="I1642" s="5" t="s">
        <v>3965</v>
      </c>
      <c r="J1642" s="5" t="s">
        <v>250</v>
      </c>
      <c r="K1642" s="5" t="s">
        <v>3051</v>
      </c>
      <c r="L1642" s="5" t="s">
        <v>190</v>
      </c>
      <c r="M1642" s="5" t="s">
        <v>511</v>
      </c>
      <c r="N1642" s="5" t="s">
        <v>286</v>
      </c>
      <c r="O1642" s="5" t="s">
        <v>3022</v>
      </c>
      <c r="P1642" s="18" t="str">
        <f aca="false">IF(J1642="S0","—",IF(K1642="","",IF(L1642="E0","QM",INDEX(10_ASIL_Matrix!$D$4:$F$15,MATCH(J1642&amp;"-"&amp;L1642,10_ASIL_Matrix!$C$4:$C$15,0),MATCH(N1642,10_ASIL_Matrix!$D$3:$F$3,0)))))</f>
        <v>B</v>
      </c>
      <c r="Q1642" s="5" t="s">
        <v>448</v>
      </c>
    </row>
    <row r="1643" customFormat="false" ht="35.05" hidden="false" customHeight="false" outlineLevel="0" collapsed="false">
      <c r="A1643" s="6" t="s">
        <v>3966</v>
      </c>
      <c r="B1643" s="6" t="s">
        <v>105</v>
      </c>
      <c r="C1643" s="6" t="s">
        <v>106</v>
      </c>
      <c r="D1643" s="6" t="s">
        <v>170</v>
      </c>
      <c r="E1643" s="6" t="s">
        <v>171</v>
      </c>
      <c r="F1643" s="6" t="s">
        <v>194</v>
      </c>
      <c r="G1643" s="6" t="s">
        <v>508</v>
      </c>
      <c r="H1643" s="6" t="s">
        <v>224</v>
      </c>
      <c r="I1643" s="6" t="s">
        <v>3967</v>
      </c>
      <c r="J1643" s="6" t="s">
        <v>250</v>
      </c>
      <c r="K1643" s="6" t="s">
        <v>3051</v>
      </c>
      <c r="L1643" s="6" t="s">
        <v>190</v>
      </c>
      <c r="M1643" s="6" t="s">
        <v>514</v>
      </c>
      <c r="N1643" s="6" t="s">
        <v>286</v>
      </c>
      <c r="O1643" s="6" t="s">
        <v>3022</v>
      </c>
      <c r="P1643" s="18" t="str">
        <f aca="false">IF(J1643="S0","—",IF(K1643="","",IF(L1643="E0","QM",INDEX(10_ASIL_Matrix!$D$4:$F$15,MATCH(J1643&amp;"-"&amp;L1643,10_ASIL_Matrix!$C$4:$C$15,0),MATCH(N1643,10_ASIL_Matrix!$D$3:$F$3,0)))))</f>
        <v>B</v>
      </c>
      <c r="Q1643" s="6" t="s">
        <v>448</v>
      </c>
    </row>
    <row r="1644" customFormat="false" ht="35.05" hidden="false" customHeight="false" outlineLevel="0" collapsed="false">
      <c r="A1644" s="5" t="s">
        <v>3968</v>
      </c>
      <c r="B1644" s="5" t="s">
        <v>105</v>
      </c>
      <c r="C1644" s="5" t="s">
        <v>106</v>
      </c>
      <c r="D1644" s="5" t="s">
        <v>170</v>
      </c>
      <c r="E1644" s="5" t="s">
        <v>171</v>
      </c>
      <c r="F1644" s="5" t="s">
        <v>194</v>
      </c>
      <c r="G1644" s="5" t="s">
        <v>508</v>
      </c>
      <c r="H1644" s="5" t="s">
        <v>226</v>
      </c>
      <c r="I1644" s="5" t="s">
        <v>3969</v>
      </c>
      <c r="J1644" s="5" t="s">
        <v>250</v>
      </c>
      <c r="K1644" s="5" t="s">
        <v>3051</v>
      </c>
      <c r="L1644" s="5" t="s">
        <v>190</v>
      </c>
      <c r="M1644" s="5" t="s">
        <v>517</v>
      </c>
      <c r="N1644" s="5" t="s">
        <v>286</v>
      </c>
      <c r="O1644" s="5" t="s">
        <v>3022</v>
      </c>
      <c r="P1644" s="18" t="str">
        <f aca="false">IF(J1644="S0","—",IF(K1644="","",IF(L1644="E0","QM",INDEX(10_ASIL_Matrix!$D$4:$F$15,MATCH(J1644&amp;"-"&amp;L1644,10_ASIL_Matrix!$C$4:$C$15,0),MATCH(N1644,10_ASIL_Matrix!$D$3:$F$3,0)))))</f>
        <v>B</v>
      </c>
      <c r="Q1644" s="5" t="s">
        <v>448</v>
      </c>
    </row>
    <row r="1645" customFormat="false" ht="35.05" hidden="false" customHeight="false" outlineLevel="0" collapsed="false">
      <c r="A1645" s="6" t="s">
        <v>3970</v>
      </c>
      <c r="B1645" s="6" t="s">
        <v>105</v>
      </c>
      <c r="C1645" s="6" t="s">
        <v>106</v>
      </c>
      <c r="D1645" s="6" t="s">
        <v>170</v>
      </c>
      <c r="E1645" s="6" t="s">
        <v>171</v>
      </c>
      <c r="F1645" s="6" t="s">
        <v>194</v>
      </c>
      <c r="G1645" s="6" t="s">
        <v>508</v>
      </c>
      <c r="H1645" s="6" t="s">
        <v>228</v>
      </c>
      <c r="I1645" s="6" t="s">
        <v>3971</v>
      </c>
      <c r="J1645" s="6" t="s">
        <v>250</v>
      </c>
      <c r="K1645" s="6" t="s">
        <v>3051</v>
      </c>
      <c r="L1645" s="6" t="s">
        <v>205</v>
      </c>
      <c r="M1645" s="6" t="s">
        <v>520</v>
      </c>
      <c r="N1645" s="6" t="s">
        <v>286</v>
      </c>
      <c r="O1645" s="6" t="s">
        <v>3022</v>
      </c>
      <c r="P1645" s="19" t="str">
        <f aca="false">IF(J1645="S0","—",IF(K1645="","",IF(L1645="E0","QM",INDEX(10_ASIL_Matrix!$D$4:$F$15,MATCH(J1645&amp;"-"&amp;L1645,10_ASIL_Matrix!$C$4:$C$15,0),MATCH(N1645,10_ASIL_Matrix!$D$3:$F$3,0)))))</f>
        <v>A</v>
      </c>
      <c r="Q1645" s="6" t="s">
        <v>448</v>
      </c>
    </row>
    <row r="1646" customFormat="false" ht="35.05" hidden="false" customHeight="false" outlineLevel="0" collapsed="false">
      <c r="A1646" s="5" t="s">
        <v>3972</v>
      </c>
      <c r="B1646" s="5" t="s">
        <v>105</v>
      </c>
      <c r="C1646" s="5" t="s">
        <v>106</v>
      </c>
      <c r="D1646" s="5" t="s">
        <v>170</v>
      </c>
      <c r="E1646" s="5" t="s">
        <v>171</v>
      </c>
      <c r="F1646" s="5" t="s">
        <v>194</v>
      </c>
      <c r="G1646" s="5" t="s">
        <v>508</v>
      </c>
      <c r="H1646" s="5" t="s">
        <v>230</v>
      </c>
      <c r="I1646" s="5" t="s">
        <v>3973</v>
      </c>
      <c r="J1646" s="5" t="s">
        <v>250</v>
      </c>
      <c r="K1646" s="5" t="s">
        <v>3051</v>
      </c>
      <c r="L1646" s="5" t="s">
        <v>205</v>
      </c>
      <c r="M1646" s="5" t="s">
        <v>523</v>
      </c>
      <c r="N1646" s="5" t="s">
        <v>290</v>
      </c>
      <c r="O1646" s="5" t="s">
        <v>3031</v>
      </c>
      <c r="P1646" s="18" t="str">
        <f aca="false">IF(J1646="S0","—",IF(K1646="","",IF(L1646="E0","QM",INDEX(10_ASIL_Matrix!$D$4:$F$15,MATCH(J1646&amp;"-"&amp;L1646,10_ASIL_Matrix!$C$4:$C$15,0),MATCH(N1646,10_ASIL_Matrix!$D$3:$F$3,0)))))</f>
        <v>B</v>
      </c>
      <c r="Q1646" s="5" t="s">
        <v>448</v>
      </c>
    </row>
    <row r="1647" customFormat="false" ht="46.25" hidden="false" customHeight="false" outlineLevel="0" collapsed="false">
      <c r="A1647" s="6" t="s">
        <v>3974</v>
      </c>
      <c r="B1647" s="6" t="s">
        <v>105</v>
      </c>
      <c r="C1647" s="6" t="s">
        <v>106</v>
      </c>
      <c r="D1647" s="6" t="s">
        <v>170</v>
      </c>
      <c r="E1647" s="6" t="s">
        <v>171</v>
      </c>
      <c r="F1647" s="6" t="s">
        <v>194</v>
      </c>
      <c r="G1647" s="6" t="s">
        <v>508</v>
      </c>
      <c r="H1647" s="6" t="s">
        <v>232</v>
      </c>
      <c r="I1647" s="6" t="s">
        <v>3975</v>
      </c>
      <c r="J1647" s="6" t="s">
        <v>250</v>
      </c>
      <c r="K1647" s="6" t="s">
        <v>3051</v>
      </c>
      <c r="L1647" s="6" t="s">
        <v>233</v>
      </c>
      <c r="M1647" s="6" t="s">
        <v>526</v>
      </c>
      <c r="N1647" s="6" t="s">
        <v>286</v>
      </c>
      <c r="O1647" s="6" t="s">
        <v>3022</v>
      </c>
      <c r="P1647" s="6" t="str">
        <f aca="false">IF(J1647="S0","—",IF(K1647="","",IF(L1647="E0","QM",INDEX(10_ASIL_Matrix!$D$4:$F$15,MATCH(J1647&amp;"-"&amp;L1647,10_ASIL_Matrix!$C$4:$C$15,0),MATCH(N1647,10_ASIL_Matrix!$D$3:$F$3,0)))))</f>
        <v>QM</v>
      </c>
      <c r="Q1647" s="6" t="s">
        <v>448</v>
      </c>
    </row>
    <row r="1648" customFormat="false" ht="35.05" hidden="false" customHeight="false" outlineLevel="0" collapsed="false">
      <c r="A1648" s="5" t="s">
        <v>3976</v>
      </c>
      <c r="B1648" s="5" t="s">
        <v>105</v>
      </c>
      <c r="C1648" s="5" t="s">
        <v>106</v>
      </c>
      <c r="D1648" s="5" t="s">
        <v>170</v>
      </c>
      <c r="E1648" s="5" t="s">
        <v>171</v>
      </c>
      <c r="F1648" s="5" t="s">
        <v>196</v>
      </c>
      <c r="G1648" s="5" t="s">
        <v>528</v>
      </c>
      <c r="H1648" s="5" t="s">
        <v>222</v>
      </c>
      <c r="I1648" s="5" t="s">
        <v>3977</v>
      </c>
      <c r="J1648" s="5" t="s">
        <v>246</v>
      </c>
      <c r="K1648" s="5" t="s">
        <v>3064</v>
      </c>
      <c r="L1648" s="5" t="s">
        <v>187</v>
      </c>
      <c r="M1648" s="5" t="s">
        <v>531</v>
      </c>
      <c r="N1648" s="5" t="s">
        <v>286</v>
      </c>
      <c r="O1648" s="5" t="s">
        <v>3022</v>
      </c>
      <c r="P1648" s="18" t="str">
        <f aca="false">IF(J1648="S0","—",IF(K1648="","",IF(L1648="E0","QM",INDEX(10_ASIL_Matrix!$D$4:$F$15,MATCH(J1648&amp;"-"&amp;L1648,10_ASIL_Matrix!$C$4:$C$15,0),MATCH(N1648,10_ASIL_Matrix!$D$3:$F$3,0)))))</f>
        <v>B</v>
      </c>
      <c r="Q1648" s="5" t="s">
        <v>448</v>
      </c>
    </row>
    <row r="1649" customFormat="false" ht="35.05" hidden="false" customHeight="false" outlineLevel="0" collapsed="false">
      <c r="A1649" s="6" t="s">
        <v>3978</v>
      </c>
      <c r="B1649" s="6" t="s">
        <v>105</v>
      </c>
      <c r="C1649" s="6" t="s">
        <v>106</v>
      </c>
      <c r="D1649" s="6" t="s">
        <v>170</v>
      </c>
      <c r="E1649" s="6" t="s">
        <v>171</v>
      </c>
      <c r="F1649" s="6" t="s">
        <v>196</v>
      </c>
      <c r="G1649" s="6" t="s">
        <v>528</v>
      </c>
      <c r="H1649" s="6" t="s">
        <v>224</v>
      </c>
      <c r="I1649" s="6" t="s">
        <v>3979</v>
      </c>
      <c r="J1649" s="6" t="s">
        <v>246</v>
      </c>
      <c r="K1649" s="6" t="s">
        <v>3064</v>
      </c>
      <c r="L1649" s="6" t="s">
        <v>190</v>
      </c>
      <c r="M1649" s="6" t="s">
        <v>534</v>
      </c>
      <c r="N1649" s="6" t="s">
        <v>286</v>
      </c>
      <c r="O1649" s="6" t="s">
        <v>3022</v>
      </c>
      <c r="P1649" s="19" t="str">
        <f aca="false">IF(J1649="S0","—",IF(K1649="","",IF(L1649="E0","QM",INDEX(10_ASIL_Matrix!$D$4:$F$15,MATCH(J1649&amp;"-"&amp;L1649,10_ASIL_Matrix!$C$4:$C$15,0),MATCH(N1649,10_ASIL_Matrix!$D$3:$F$3,0)))))</f>
        <v>A</v>
      </c>
      <c r="Q1649" s="6" t="s">
        <v>448</v>
      </c>
    </row>
    <row r="1650" customFormat="false" ht="35.05" hidden="false" customHeight="false" outlineLevel="0" collapsed="false">
      <c r="A1650" s="5" t="s">
        <v>3980</v>
      </c>
      <c r="B1650" s="5" t="s">
        <v>105</v>
      </c>
      <c r="C1650" s="5" t="s">
        <v>106</v>
      </c>
      <c r="D1650" s="5" t="s">
        <v>170</v>
      </c>
      <c r="E1650" s="5" t="s">
        <v>171</v>
      </c>
      <c r="F1650" s="5" t="s">
        <v>196</v>
      </c>
      <c r="G1650" s="5" t="s">
        <v>528</v>
      </c>
      <c r="H1650" s="5" t="s">
        <v>226</v>
      </c>
      <c r="I1650" s="5" t="s">
        <v>3981</v>
      </c>
      <c r="J1650" s="5" t="s">
        <v>246</v>
      </c>
      <c r="K1650" s="5" t="s">
        <v>3064</v>
      </c>
      <c r="L1650" s="5" t="s">
        <v>190</v>
      </c>
      <c r="M1650" s="5" t="s">
        <v>537</v>
      </c>
      <c r="N1650" s="5" t="s">
        <v>286</v>
      </c>
      <c r="O1650" s="5" t="s">
        <v>3022</v>
      </c>
      <c r="P1650" s="19" t="str">
        <f aca="false">IF(J1650="S0","—",IF(K1650="","",IF(L1650="E0","QM",INDEX(10_ASIL_Matrix!$D$4:$F$15,MATCH(J1650&amp;"-"&amp;L1650,10_ASIL_Matrix!$C$4:$C$15,0),MATCH(N1650,10_ASIL_Matrix!$D$3:$F$3,0)))))</f>
        <v>A</v>
      </c>
      <c r="Q1650" s="5" t="s">
        <v>448</v>
      </c>
    </row>
    <row r="1651" customFormat="false" ht="35.05" hidden="false" customHeight="false" outlineLevel="0" collapsed="false">
      <c r="A1651" s="6" t="s">
        <v>3982</v>
      </c>
      <c r="B1651" s="6" t="s">
        <v>105</v>
      </c>
      <c r="C1651" s="6" t="s">
        <v>106</v>
      </c>
      <c r="D1651" s="6" t="s">
        <v>170</v>
      </c>
      <c r="E1651" s="6" t="s">
        <v>171</v>
      </c>
      <c r="F1651" s="6" t="s">
        <v>196</v>
      </c>
      <c r="G1651" s="6" t="s">
        <v>528</v>
      </c>
      <c r="H1651" s="6" t="s">
        <v>228</v>
      </c>
      <c r="I1651" s="6" t="s">
        <v>3983</v>
      </c>
      <c r="J1651" s="6" t="s">
        <v>246</v>
      </c>
      <c r="K1651" s="6" t="s">
        <v>3064</v>
      </c>
      <c r="L1651" s="6" t="s">
        <v>205</v>
      </c>
      <c r="M1651" s="6" t="s">
        <v>540</v>
      </c>
      <c r="N1651" s="6" t="s">
        <v>286</v>
      </c>
      <c r="O1651" s="6" t="s">
        <v>3022</v>
      </c>
      <c r="P1651" s="6" t="str">
        <f aca="false">IF(J1651="S0","—",IF(K1651="","",IF(L1651="E0","QM",INDEX(10_ASIL_Matrix!$D$4:$F$15,MATCH(J1651&amp;"-"&amp;L1651,10_ASIL_Matrix!$C$4:$C$15,0),MATCH(N1651,10_ASIL_Matrix!$D$3:$F$3,0)))))</f>
        <v>QM</v>
      </c>
      <c r="Q1651" s="6" t="s">
        <v>448</v>
      </c>
    </row>
    <row r="1652" customFormat="false" ht="35.05" hidden="false" customHeight="false" outlineLevel="0" collapsed="false">
      <c r="A1652" s="5" t="s">
        <v>3984</v>
      </c>
      <c r="B1652" s="5" t="s">
        <v>105</v>
      </c>
      <c r="C1652" s="5" t="s">
        <v>106</v>
      </c>
      <c r="D1652" s="5" t="s">
        <v>170</v>
      </c>
      <c r="E1652" s="5" t="s">
        <v>171</v>
      </c>
      <c r="F1652" s="5" t="s">
        <v>196</v>
      </c>
      <c r="G1652" s="5" t="s">
        <v>528</v>
      </c>
      <c r="H1652" s="5" t="s">
        <v>230</v>
      </c>
      <c r="I1652" s="5" t="s">
        <v>3985</v>
      </c>
      <c r="J1652" s="5" t="s">
        <v>246</v>
      </c>
      <c r="K1652" s="5" t="s">
        <v>3064</v>
      </c>
      <c r="L1652" s="5" t="s">
        <v>205</v>
      </c>
      <c r="M1652" s="5" t="s">
        <v>543</v>
      </c>
      <c r="N1652" s="5" t="s">
        <v>290</v>
      </c>
      <c r="O1652" s="5" t="s">
        <v>3031</v>
      </c>
      <c r="P1652" s="19" t="str">
        <f aca="false">IF(J1652="S0","—",IF(K1652="","",IF(L1652="E0","QM",INDEX(10_ASIL_Matrix!$D$4:$F$15,MATCH(J1652&amp;"-"&amp;L1652,10_ASIL_Matrix!$C$4:$C$15,0),MATCH(N1652,10_ASIL_Matrix!$D$3:$F$3,0)))))</f>
        <v>A</v>
      </c>
      <c r="Q1652" s="5" t="s">
        <v>448</v>
      </c>
    </row>
    <row r="1653" customFormat="false" ht="46.25" hidden="false" customHeight="false" outlineLevel="0" collapsed="false">
      <c r="A1653" s="6" t="s">
        <v>3986</v>
      </c>
      <c r="B1653" s="6" t="s">
        <v>105</v>
      </c>
      <c r="C1653" s="6" t="s">
        <v>106</v>
      </c>
      <c r="D1653" s="6" t="s">
        <v>170</v>
      </c>
      <c r="E1653" s="6" t="s">
        <v>171</v>
      </c>
      <c r="F1653" s="6" t="s">
        <v>196</v>
      </c>
      <c r="G1653" s="6" t="s">
        <v>528</v>
      </c>
      <c r="H1653" s="6" t="s">
        <v>232</v>
      </c>
      <c r="I1653" s="6" t="s">
        <v>3987</v>
      </c>
      <c r="J1653" s="6" t="s">
        <v>246</v>
      </c>
      <c r="K1653" s="6" t="s">
        <v>3064</v>
      </c>
      <c r="L1653" s="6" t="s">
        <v>233</v>
      </c>
      <c r="M1653" s="6" t="s">
        <v>546</v>
      </c>
      <c r="N1653" s="6" t="s">
        <v>286</v>
      </c>
      <c r="O1653" s="6" t="s">
        <v>3022</v>
      </c>
      <c r="P1653" s="6" t="str">
        <f aca="false">IF(J1653="S0","—",IF(K1653="","",IF(L1653="E0","QM",INDEX(10_ASIL_Matrix!$D$4:$F$15,MATCH(J1653&amp;"-"&amp;L1653,10_ASIL_Matrix!$C$4:$C$15,0),MATCH(N1653,10_ASIL_Matrix!$D$3:$F$3,0)))))</f>
        <v>QM</v>
      </c>
      <c r="Q1653" s="6" t="s">
        <v>448</v>
      </c>
    </row>
    <row r="1654" customFormat="false" ht="35.05" hidden="false" customHeight="false" outlineLevel="0" collapsed="false">
      <c r="A1654" s="5" t="s">
        <v>3988</v>
      </c>
      <c r="B1654" s="5" t="s">
        <v>105</v>
      </c>
      <c r="C1654" s="5" t="s">
        <v>106</v>
      </c>
      <c r="D1654" s="5" t="s">
        <v>170</v>
      </c>
      <c r="E1654" s="5" t="s">
        <v>171</v>
      </c>
      <c r="F1654" s="5" t="s">
        <v>198</v>
      </c>
      <c r="G1654" s="5" t="s">
        <v>548</v>
      </c>
      <c r="H1654" s="5" t="s">
        <v>222</v>
      </c>
      <c r="I1654" s="5" t="s">
        <v>3989</v>
      </c>
      <c r="J1654" s="5" t="s">
        <v>250</v>
      </c>
      <c r="K1654" s="5" t="s">
        <v>3077</v>
      </c>
      <c r="L1654" s="5" t="s">
        <v>190</v>
      </c>
      <c r="M1654" s="5" t="s">
        <v>551</v>
      </c>
      <c r="N1654" s="5" t="s">
        <v>286</v>
      </c>
      <c r="O1654" s="5" t="s">
        <v>3078</v>
      </c>
      <c r="P1654" s="18" t="str">
        <f aca="false">IF(J1654="S0","—",IF(K1654="","",IF(L1654="E0","QM",INDEX(10_ASIL_Matrix!$D$4:$F$15,MATCH(J1654&amp;"-"&amp;L1654,10_ASIL_Matrix!$C$4:$C$15,0),MATCH(N1654,10_ASIL_Matrix!$D$3:$F$3,0)))))</f>
        <v>B</v>
      </c>
      <c r="Q1654" s="5" t="s">
        <v>448</v>
      </c>
    </row>
    <row r="1655" customFormat="false" ht="35.05" hidden="false" customHeight="false" outlineLevel="0" collapsed="false">
      <c r="A1655" s="6" t="s">
        <v>3990</v>
      </c>
      <c r="B1655" s="6" t="s">
        <v>105</v>
      </c>
      <c r="C1655" s="6" t="s">
        <v>106</v>
      </c>
      <c r="D1655" s="6" t="s">
        <v>170</v>
      </c>
      <c r="E1655" s="6" t="s">
        <v>171</v>
      </c>
      <c r="F1655" s="6" t="s">
        <v>198</v>
      </c>
      <c r="G1655" s="6" t="s">
        <v>548</v>
      </c>
      <c r="H1655" s="6" t="s">
        <v>224</v>
      </c>
      <c r="I1655" s="6" t="s">
        <v>3991</v>
      </c>
      <c r="J1655" s="6" t="s">
        <v>250</v>
      </c>
      <c r="K1655" s="6" t="s">
        <v>3077</v>
      </c>
      <c r="L1655" s="6" t="s">
        <v>190</v>
      </c>
      <c r="M1655" s="6" t="s">
        <v>555</v>
      </c>
      <c r="N1655" s="6" t="s">
        <v>286</v>
      </c>
      <c r="O1655" s="6" t="s">
        <v>3078</v>
      </c>
      <c r="P1655" s="18" t="str">
        <f aca="false">IF(J1655="S0","—",IF(K1655="","",IF(L1655="E0","QM",INDEX(10_ASIL_Matrix!$D$4:$F$15,MATCH(J1655&amp;"-"&amp;L1655,10_ASIL_Matrix!$C$4:$C$15,0),MATCH(N1655,10_ASIL_Matrix!$D$3:$F$3,0)))))</f>
        <v>B</v>
      </c>
      <c r="Q1655" s="6" t="s">
        <v>448</v>
      </c>
    </row>
    <row r="1656" customFormat="false" ht="35.05" hidden="false" customHeight="false" outlineLevel="0" collapsed="false">
      <c r="A1656" s="5" t="s">
        <v>3992</v>
      </c>
      <c r="B1656" s="5" t="s">
        <v>105</v>
      </c>
      <c r="C1656" s="5" t="s">
        <v>106</v>
      </c>
      <c r="D1656" s="5" t="s">
        <v>170</v>
      </c>
      <c r="E1656" s="5" t="s">
        <v>171</v>
      </c>
      <c r="F1656" s="5" t="s">
        <v>198</v>
      </c>
      <c r="G1656" s="5" t="s">
        <v>548</v>
      </c>
      <c r="H1656" s="5" t="s">
        <v>226</v>
      </c>
      <c r="I1656" s="5" t="s">
        <v>3993</v>
      </c>
      <c r="J1656" s="5" t="s">
        <v>250</v>
      </c>
      <c r="K1656" s="5" t="s">
        <v>3077</v>
      </c>
      <c r="L1656" s="5" t="s">
        <v>190</v>
      </c>
      <c r="M1656" s="5" t="s">
        <v>558</v>
      </c>
      <c r="N1656" s="5" t="s">
        <v>286</v>
      </c>
      <c r="O1656" s="5" t="s">
        <v>3078</v>
      </c>
      <c r="P1656" s="18" t="str">
        <f aca="false">IF(J1656="S0","—",IF(K1656="","",IF(L1656="E0","QM",INDEX(10_ASIL_Matrix!$D$4:$F$15,MATCH(J1656&amp;"-"&amp;L1656,10_ASIL_Matrix!$C$4:$C$15,0),MATCH(N1656,10_ASIL_Matrix!$D$3:$F$3,0)))))</f>
        <v>B</v>
      </c>
      <c r="Q1656" s="5" t="s">
        <v>448</v>
      </c>
    </row>
    <row r="1657" customFormat="false" ht="46.25" hidden="false" customHeight="false" outlineLevel="0" collapsed="false">
      <c r="A1657" s="6" t="s">
        <v>3994</v>
      </c>
      <c r="B1657" s="6" t="s">
        <v>105</v>
      </c>
      <c r="C1657" s="6" t="s">
        <v>106</v>
      </c>
      <c r="D1657" s="6" t="s">
        <v>170</v>
      </c>
      <c r="E1657" s="6" t="s">
        <v>171</v>
      </c>
      <c r="F1657" s="6" t="s">
        <v>198</v>
      </c>
      <c r="G1657" s="6" t="s">
        <v>548</v>
      </c>
      <c r="H1657" s="6" t="s">
        <v>228</v>
      </c>
      <c r="I1657" s="6" t="s">
        <v>3995</v>
      </c>
      <c r="J1657" s="6" t="s">
        <v>250</v>
      </c>
      <c r="K1657" s="6" t="s">
        <v>3077</v>
      </c>
      <c r="L1657" s="6" t="s">
        <v>205</v>
      </c>
      <c r="M1657" s="6" t="s">
        <v>561</v>
      </c>
      <c r="N1657" s="6" t="s">
        <v>286</v>
      </c>
      <c r="O1657" s="6" t="s">
        <v>3078</v>
      </c>
      <c r="P1657" s="19" t="str">
        <f aca="false">IF(J1657="S0","—",IF(K1657="","",IF(L1657="E0","QM",INDEX(10_ASIL_Matrix!$D$4:$F$15,MATCH(J1657&amp;"-"&amp;L1657,10_ASIL_Matrix!$C$4:$C$15,0),MATCH(N1657,10_ASIL_Matrix!$D$3:$F$3,0)))))</f>
        <v>A</v>
      </c>
      <c r="Q1657" s="6" t="s">
        <v>448</v>
      </c>
    </row>
    <row r="1658" customFormat="false" ht="35.05" hidden="false" customHeight="false" outlineLevel="0" collapsed="false">
      <c r="A1658" s="5" t="s">
        <v>3996</v>
      </c>
      <c r="B1658" s="5" t="s">
        <v>105</v>
      </c>
      <c r="C1658" s="5" t="s">
        <v>106</v>
      </c>
      <c r="D1658" s="5" t="s">
        <v>170</v>
      </c>
      <c r="E1658" s="5" t="s">
        <v>171</v>
      </c>
      <c r="F1658" s="5" t="s">
        <v>198</v>
      </c>
      <c r="G1658" s="5" t="s">
        <v>548</v>
      </c>
      <c r="H1658" s="5" t="s">
        <v>230</v>
      </c>
      <c r="I1658" s="5" t="s">
        <v>3997</v>
      </c>
      <c r="J1658" s="5" t="s">
        <v>250</v>
      </c>
      <c r="K1658" s="5" t="s">
        <v>3077</v>
      </c>
      <c r="L1658" s="5" t="s">
        <v>205</v>
      </c>
      <c r="M1658" s="5" t="s">
        <v>564</v>
      </c>
      <c r="N1658" s="5" t="s">
        <v>290</v>
      </c>
      <c r="O1658" s="5" t="s">
        <v>3087</v>
      </c>
      <c r="P1658" s="18" t="str">
        <f aca="false">IF(J1658="S0","—",IF(K1658="","",IF(L1658="E0","QM",INDEX(10_ASIL_Matrix!$D$4:$F$15,MATCH(J1658&amp;"-"&amp;L1658,10_ASIL_Matrix!$C$4:$C$15,0),MATCH(N1658,10_ASIL_Matrix!$D$3:$F$3,0)))))</f>
        <v>B</v>
      </c>
      <c r="Q1658" s="5" t="s">
        <v>448</v>
      </c>
    </row>
    <row r="1659" customFormat="false" ht="46.25" hidden="false" customHeight="false" outlineLevel="0" collapsed="false">
      <c r="A1659" s="6" t="s">
        <v>3998</v>
      </c>
      <c r="B1659" s="6" t="s">
        <v>105</v>
      </c>
      <c r="C1659" s="6" t="s">
        <v>106</v>
      </c>
      <c r="D1659" s="6" t="s">
        <v>170</v>
      </c>
      <c r="E1659" s="6" t="s">
        <v>171</v>
      </c>
      <c r="F1659" s="6" t="s">
        <v>198</v>
      </c>
      <c r="G1659" s="6" t="s">
        <v>548</v>
      </c>
      <c r="H1659" s="6" t="s">
        <v>232</v>
      </c>
      <c r="I1659" s="6" t="s">
        <v>3999</v>
      </c>
      <c r="J1659" s="6" t="s">
        <v>250</v>
      </c>
      <c r="K1659" s="6" t="s">
        <v>3077</v>
      </c>
      <c r="L1659" s="6" t="s">
        <v>233</v>
      </c>
      <c r="M1659" s="6" t="s">
        <v>568</v>
      </c>
      <c r="N1659" s="6" t="s">
        <v>286</v>
      </c>
      <c r="O1659" s="6" t="s">
        <v>3078</v>
      </c>
      <c r="P1659" s="6" t="str">
        <f aca="false">IF(J1659="S0","—",IF(K1659="","",IF(L1659="E0","QM",INDEX(10_ASIL_Matrix!$D$4:$F$15,MATCH(J1659&amp;"-"&amp;L1659,10_ASIL_Matrix!$C$4:$C$15,0),MATCH(N1659,10_ASIL_Matrix!$D$3:$F$3,0)))))</f>
        <v>QM</v>
      </c>
      <c r="Q1659" s="6" t="s">
        <v>448</v>
      </c>
    </row>
    <row r="1660" customFormat="false" ht="35.05" hidden="false" customHeight="false" outlineLevel="0" collapsed="false">
      <c r="A1660" s="5" t="s">
        <v>4000</v>
      </c>
      <c r="B1660" s="5" t="s">
        <v>105</v>
      </c>
      <c r="C1660" s="5" t="s">
        <v>106</v>
      </c>
      <c r="D1660" s="5" t="s">
        <v>170</v>
      </c>
      <c r="E1660" s="5" t="s">
        <v>171</v>
      </c>
      <c r="F1660" s="5" t="s">
        <v>200</v>
      </c>
      <c r="G1660" s="5" t="s">
        <v>570</v>
      </c>
      <c r="H1660" s="5" t="s">
        <v>222</v>
      </c>
      <c r="I1660" s="5" t="s">
        <v>4001</v>
      </c>
      <c r="J1660" s="5" t="s">
        <v>250</v>
      </c>
      <c r="K1660" s="5" t="s">
        <v>3092</v>
      </c>
      <c r="L1660" s="5" t="s">
        <v>190</v>
      </c>
      <c r="M1660" s="5" t="s">
        <v>573</v>
      </c>
      <c r="N1660" s="5" t="s">
        <v>286</v>
      </c>
      <c r="O1660" s="5" t="s">
        <v>3022</v>
      </c>
      <c r="P1660" s="18" t="str">
        <f aca="false">IF(J1660="S0","—",IF(K1660="","",IF(L1660="E0","QM",INDEX(10_ASIL_Matrix!$D$4:$F$15,MATCH(J1660&amp;"-"&amp;L1660,10_ASIL_Matrix!$C$4:$C$15,0),MATCH(N1660,10_ASIL_Matrix!$D$3:$F$3,0)))))</f>
        <v>B</v>
      </c>
      <c r="Q1660" s="5" t="s">
        <v>448</v>
      </c>
    </row>
    <row r="1661" customFormat="false" ht="35.05" hidden="false" customHeight="false" outlineLevel="0" collapsed="false">
      <c r="A1661" s="6" t="s">
        <v>4002</v>
      </c>
      <c r="B1661" s="6" t="s">
        <v>105</v>
      </c>
      <c r="C1661" s="6" t="s">
        <v>106</v>
      </c>
      <c r="D1661" s="6" t="s">
        <v>170</v>
      </c>
      <c r="E1661" s="6" t="s">
        <v>171</v>
      </c>
      <c r="F1661" s="6" t="s">
        <v>200</v>
      </c>
      <c r="G1661" s="6" t="s">
        <v>570</v>
      </c>
      <c r="H1661" s="6" t="s">
        <v>224</v>
      </c>
      <c r="I1661" s="6" t="s">
        <v>4003</v>
      </c>
      <c r="J1661" s="6" t="s">
        <v>250</v>
      </c>
      <c r="K1661" s="6" t="s">
        <v>3092</v>
      </c>
      <c r="L1661" s="6" t="s">
        <v>190</v>
      </c>
      <c r="M1661" s="6" t="s">
        <v>576</v>
      </c>
      <c r="N1661" s="6" t="s">
        <v>286</v>
      </c>
      <c r="O1661" s="6" t="s">
        <v>3022</v>
      </c>
      <c r="P1661" s="18" t="str">
        <f aca="false">IF(J1661="S0","—",IF(K1661="","",IF(L1661="E0","QM",INDEX(10_ASIL_Matrix!$D$4:$F$15,MATCH(J1661&amp;"-"&amp;L1661,10_ASIL_Matrix!$C$4:$C$15,0),MATCH(N1661,10_ASIL_Matrix!$D$3:$F$3,0)))))</f>
        <v>B</v>
      </c>
      <c r="Q1661" s="6" t="s">
        <v>448</v>
      </c>
    </row>
    <row r="1662" customFormat="false" ht="35.05" hidden="false" customHeight="false" outlineLevel="0" collapsed="false">
      <c r="A1662" s="5" t="s">
        <v>4004</v>
      </c>
      <c r="B1662" s="5" t="s">
        <v>105</v>
      </c>
      <c r="C1662" s="5" t="s">
        <v>106</v>
      </c>
      <c r="D1662" s="5" t="s">
        <v>170</v>
      </c>
      <c r="E1662" s="5" t="s">
        <v>171</v>
      </c>
      <c r="F1662" s="5" t="s">
        <v>200</v>
      </c>
      <c r="G1662" s="5" t="s">
        <v>570</v>
      </c>
      <c r="H1662" s="5" t="s">
        <v>226</v>
      </c>
      <c r="I1662" s="5" t="s">
        <v>4005</v>
      </c>
      <c r="J1662" s="5" t="s">
        <v>250</v>
      </c>
      <c r="K1662" s="5" t="s">
        <v>3092</v>
      </c>
      <c r="L1662" s="5" t="s">
        <v>190</v>
      </c>
      <c r="M1662" s="5" t="s">
        <v>579</v>
      </c>
      <c r="N1662" s="5" t="s">
        <v>286</v>
      </c>
      <c r="O1662" s="5" t="s">
        <v>3022</v>
      </c>
      <c r="P1662" s="18" t="str">
        <f aca="false">IF(J1662="S0","—",IF(K1662="","",IF(L1662="E0","QM",INDEX(10_ASIL_Matrix!$D$4:$F$15,MATCH(J1662&amp;"-"&amp;L1662,10_ASIL_Matrix!$C$4:$C$15,0),MATCH(N1662,10_ASIL_Matrix!$D$3:$F$3,0)))))</f>
        <v>B</v>
      </c>
      <c r="Q1662" s="5" t="s">
        <v>448</v>
      </c>
    </row>
    <row r="1663" customFormat="false" ht="35.05" hidden="false" customHeight="false" outlineLevel="0" collapsed="false">
      <c r="A1663" s="6" t="s">
        <v>4006</v>
      </c>
      <c r="B1663" s="6" t="s">
        <v>105</v>
      </c>
      <c r="C1663" s="6" t="s">
        <v>106</v>
      </c>
      <c r="D1663" s="6" t="s">
        <v>170</v>
      </c>
      <c r="E1663" s="6" t="s">
        <v>171</v>
      </c>
      <c r="F1663" s="6" t="s">
        <v>200</v>
      </c>
      <c r="G1663" s="6" t="s">
        <v>570</v>
      </c>
      <c r="H1663" s="6" t="s">
        <v>228</v>
      </c>
      <c r="I1663" s="6" t="s">
        <v>4007</v>
      </c>
      <c r="J1663" s="6" t="s">
        <v>250</v>
      </c>
      <c r="K1663" s="6" t="s">
        <v>3092</v>
      </c>
      <c r="L1663" s="6" t="s">
        <v>205</v>
      </c>
      <c r="M1663" s="6" t="s">
        <v>582</v>
      </c>
      <c r="N1663" s="6" t="s">
        <v>286</v>
      </c>
      <c r="O1663" s="6" t="s">
        <v>3022</v>
      </c>
      <c r="P1663" s="19" t="str">
        <f aca="false">IF(J1663="S0","—",IF(K1663="","",IF(L1663="E0","QM",INDEX(10_ASIL_Matrix!$D$4:$F$15,MATCH(J1663&amp;"-"&amp;L1663,10_ASIL_Matrix!$C$4:$C$15,0),MATCH(N1663,10_ASIL_Matrix!$D$3:$F$3,0)))))</f>
        <v>A</v>
      </c>
      <c r="Q1663" s="6" t="s">
        <v>448</v>
      </c>
    </row>
    <row r="1664" customFormat="false" ht="35.05" hidden="false" customHeight="false" outlineLevel="0" collapsed="false">
      <c r="A1664" s="5" t="s">
        <v>4008</v>
      </c>
      <c r="B1664" s="5" t="s">
        <v>105</v>
      </c>
      <c r="C1664" s="5" t="s">
        <v>106</v>
      </c>
      <c r="D1664" s="5" t="s">
        <v>170</v>
      </c>
      <c r="E1664" s="5" t="s">
        <v>171</v>
      </c>
      <c r="F1664" s="5" t="s">
        <v>200</v>
      </c>
      <c r="G1664" s="5" t="s">
        <v>570</v>
      </c>
      <c r="H1664" s="5" t="s">
        <v>230</v>
      </c>
      <c r="I1664" s="5" t="s">
        <v>4009</v>
      </c>
      <c r="J1664" s="5" t="s">
        <v>250</v>
      </c>
      <c r="K1664" s="5" t="s">
        <v>3092</v>
      </c>
      <c r="L1664" s="5" t="s">
        <v>205</v>
      </c>
      <c r="M1664" s="5" t="s">
        <v>585</v>
      </c>
      <c r="N1664" s="5" t="s">
        <v>290</v>
      </c>
      <c r="O1664" s="5" t="s">
        <v>3031</v>
      </c>
      <c r="P1664" s="18" t="str">
        <f aca="false">IF(J1664="S0","—",IF(K1664="","",IF(L1664="E0","QM",INDEX(10_ASIL_Matrix!$D$4:$F$15,MATCH(J1664&amp;"-"&amp;L1664,10_ASIL_Matrix!$C$4:$C$15,0),MATCH(N1664,10_ASIL_Matrix!$D$3:$F$3,0)))))</f>
        <v>B</v>
      </c>
      <c r="Q1664" s="5" t="s">
        <v>448</v>
      </c>
    </row>
    <row r="1665" customFormat="false" ht="46.25" hidden="false" customHeight="false" outlineLevel="0" collapsed="false">
      <c r="A1665" s="6" t="s">
        <v>4010</v>
      </c>
      <c r="B1665" s="6" t="s">
        <v>105</v>
      </c>
      <c r="C1665" s="6" t="s">
        <v>106</v>
      </c>
      <c r="D1665" s="6" t="s">
        <v>170</v>
      </c>
      <c r="E1665" s="6" t="s">
        <v>171</v>
      </c>
      <c r="F1665" s="6" t="s">
        <v>200</v>
      </c>
      <c r="G1665" s="6" t="s">
        <v>570</v>
      </c>
      <c r="H1665" s="6" t="s">
        <v>232</v>
      </c>
      <c r="I1665" s="6" t="s">
        <v>4011</v>
      </c>
      <c r="J1665" s="6" t="s">
        <v>250</v>
      </c>
      <c r="K1665" s="6" t="s">
        <v>3092</v>
      </c>
      <c r="L1665" s="6" t="s">
        <v>233</v>
      </c>
      <c r="M1665" s="6" t="s">
        <v>588</v>
      </c>
      <c r="N1665" s="6" t="s">
        <v>286</v>
      </c>
      <c r="O1665" s="6" t="s">
        <v>3022</v>
      </c>
      <c r="P1665" s="6" t="str">
        <f aca="false">IF(J1665="S0","—",IF(K1665="","",IF(L1665="E0","QM",INDEX(10_ASIL_Matrix!$D$4:$F$15,MATCH(J1665&amp;"-"&amp;L1665,10_ASIL_Matrix!$C$4:$C$15,0),MATCH(N1665,10_ASIL_Matrix!$D$3:$F$3,0)))))</f>
        <v>QM</v>
      </c>
      <c r="Q1665" s="6" t="s">
        <v>448</v>
      </c>
    </row>
    <row r="1666" customFormat="false" ht="35.05" hidden="false" customHeight="false" outlineLevel="0" collapsed="false">
      <c r="A1666" s="5" t="s">
        <v>4012</v>
      </c>
      <c r="B1666" s="5" t="s">
        <v>105</v>
      </c>
      <c r="C1666" s="5" t="s">
        <v>106</v>
      </c>
      <c r="D1666" s="5" t="s">
        <v>170</v>
      </c>
      <c r="E1666" s="5" t="s">
        <v>171</v>
      </c>
      <c r="F1666" s="5" t="s">
        <v>202</v>
      </c>
      <c r="G1666" s="5" t="s">
        <v>590</v>
      </c>
      <c r="H1666" s="5" t="s">
        <v>222</v>
      </c>
      <c r="I1666" s="5" t="s">
        <v>4013</v>
      </c>
      <c r="J1666" s="5" t="s">
        <v>238</v>
      </c>
      <c r="K1666" s="5" t="s">
        <v>3105</v>
      </c>
      <c r="L1666" s="5" t="s">
        <v>187</v>
      </c>
      <c r="M1666" s="5" t="s">
        <v>592</v>
      </c>
      <c r="N1666" s="5" t="s">
        <v>278</v>
      </c>
      <c r="O1666" s="5" t="s">
        <v>634</v>
      </c>
      <c r="P1666" s="5" t="str">
        <f aca="false">IF(J1666="S0","—",IF(K1666="","",IF(L1666="E0","QM",INDEX(10_ASIL_Matrix!$D$4:$F$15,MATCH(J1666&amp;"-"&amp;L1666,10_ASIL_Matrix!$C$4:$C$15,0),MATCH(N1666,10_ASIL_Matrix!$D$3:$F$3,0)))))</f>
        <v>—</v>
      </c>
      <c r="Q1666" s="5" t="s">
        <v>448</v>
      </c>
    </row>
    <row r="1667" customFormat="false" ht="35.05" hidden="false" customHeight="false" outlineLevel="0" collapsed="false">
      <c r="A1667" s="6" t="s">
        <v>4014</v>
      </c>
      <c r="B1667" s="6" t="s">
        <v>105</v>
      </c>
      <c r="C1667" s="6" t="s">
        <v>106</v>
      </c>
      <c r="D1667" s="6" t="s">
        <v>170</v>
      </c>
      <c r="E1667" s="6" t="s">
        <v>171</v>
      </c>
      <c r="F1667" s="6" t="s">
        <v>202</v>
      </c>
      <c r="G1667" s="6" t="s">
        <v>590</v>
      </c>
      <c r="H1667" s="6" t="s">
        <v>224</v>
      </c>
      <c r="I1667" s="6" t="s">
        <v>4015</v>
      </c>
      <c r="J1667" s="6" t="s">
        <v>238</v>
      </c>
      <c r="K1667" s="6" t="s">
        <v>3105</v>
      </c>
      <c r="L1667" s="6" t="s">
        <v>190</v>
      </c>
      <c r="M1667" s="6" t="s">
        <v>595</v>
      </c>
      <c r="N1667" s="6" t="s">
        <v>278</v>
      </c>
      <c r="O1667" s="6" t="s">
        <v>634</v>
      </c>
      <c r="P1667" s="6" t="str">
        <f aca="false">IF(J1667="S0","—",IF(K1667="","",IF(L1667="E0","QM",INDEX(10_ASIL_Matrix!$D$4:$F$15,MATCH(J1667&amp;"-"&amp;L1667,10_ASIL_Matrix!$C$4:$C$15,0),MATCH(N1667,10_ASIL_Matrix!$D$3:$F$3,0)))))</f>
        <v>—</v>
      </c>
      <c r="Q1667" s="6" t="s">
        <v>448</v>
      </c>
    </row>
    <row r="1668" customFormat="false" ht="35.05" hidden="false" customHeight="false" outlineLevel="0" collapsed="false">
      <c r="A1668" s="5" t="s">
        <v>4016</v>
      </c>
      <c r="B1668" s="5" t="s">
        <v>105</v>
      </c>
      <c r="C1668" s="5" t="s">
        <v>106</v>
      </c>
      <c r="D1668" s="5" t="s">
        <v>170</v>
      </c>
      <c r="E1668" s="5" t="s">
        <v>171</v>
      </c>
      <c r="F1668" s="5" t="s">
        <v>202</v>
      </c>
      <c r="G1668" s="5" t="s">
        <v>590</v>
      </c>
      <c r="H1668" s="5" t="s">
        <v>226</v>
      </c>
      <c r="I1668" s="5" t="s">
        <v>4017</v>
      </c>
      <c r="J1668" s="5" t="s">
        <v>238</v>
      </c>
      <c r="K1668" s="5" t="s">
        <v>3105</v>
      </c>
      <c r="L1668" s="5" t="s">
        <v>190</v>
      </c>
      <c r="M1668" s="5" t="s">
        <v>598</v>
      </c>
      <c r="N1668" s="5" t="s">
        <v>278</v>
      </c>
      <c r="O1668" s="5" t="s">
        <v>634</v>
      </c>
      <c r="P1668" s="5" t="str">
        <f aca="false">IF(J1668="S0","—",IF(K1668="","",IF(L1668="E0","QM",INDEX(10_ASIL_Matrix!$D$4:$F$15,MATCH(J1668&amp;"-"&amp;L1668,10_ASIL_Matrix!$C$4:$C$15,0),MATCH(N1668,10_ASIL_Matrix!$D$3:$F$3,0)))))</f>
        <v>—</v>
      </c>
      <c r="Q1668" s="5" t="s">
        <v>448</v>
      </c>
    </row>
    <row r="1669" customFormat="false" ht="35.05" hidden="false" customHeight="false" outlineLevel="0" collapsed="false">
      <c r="A1669" s="6" t="s">
        <v>4018</v>
      </c>
      <c r="B1669" s="6" t="s">
        <v>105</v>
      </c>
      <c r="C1669" s="6" t="s">
        <v>106</v>
      </c>
      <c r="D1669" s="6" t="s">
        <v>170</v>
      </c>
      <c r="E1669" s="6" t="s">
        <v>171</v>
      </c>
      <c r="F1669" s="6" t="s">
        <v>202</v>
      </c>
      <c r="G1669" s="6" t="s">
        <v>590</v>
      </c>
      <c r="H1669" s="6" t="s">
        <v>228</v>
      </c>
      <c r="I1669" s="6" t="s">
        <v>4019</v>
      </c>
      <c r="J1669" s="6" t="s">
        <v>238</v>
      </c>
      <c r="K1669" s="6" t="s">
        <v>3105</v>
      </c>
      <c r="L1669" s="6" t="s">
        <v>205</v>
      </c>
      <c r="M1669" s="6" t="s">
        <v>601</v>
      </c>
      <c r="N1669" s="6" t="s">
        <v>278</v>
      </c>
      <c r="O1669" s="6" t="s">
        <v>634</v>
      </c>
      <c r="P1669" s="6" t="str">
        <f aca="false">IF(J1669="S0","—",IF(K1669="","",IF(L1669="E0","QM",INDEX(10_ASIL_Matrix!$D$4:$F$15,MATCH(J1669&amp;"-"&amp;L1669,10_ASIL_Matrix!$C$4:$C$15,0),MATCH(N1669,10_ASIL_Matrix!$D$3:$F$3,0)))))</f>
        <v>—</v>
      </c>
      <c r="Q1669" s="6" t="s">
        <v>448</v>
      </c>
    </row>
    <row r="1670" customFormat="false" ht="35.05" hidden="false" customHeight="false" outlineLevel="0" collapsed="false">
      <c r="A1670" s="5" t="s">
        <v>4020</v>
      </c>
      <c r="B1670" s="5" t="s">
        <v>105</v>
      </c>
      <c r="C1670" s="5" t="s">
        <v>106</v>
      </c>
      <c r="D1670" s="5" t="s">
        <v>170</v>
      </c>
      <c r="E1670" s="5" t="s">
        <v>171</v>
      </c>
      <c r="F1670" s="5" t="s">
        <v>202</v>
      </c>
      <c r="G1670" s="5" t="s">
        <v>590</v>
      </c>
      <c r="H1670" s="5" t="s">
        <v>230</v>
      </c>
      <c r="I1670" s="5" t="s">
        <v>4021</v>
      </c>
      <c r="J1670" s="5" t="s">
        <v>238</v>
      </c>
      <c r="K1670" s="5" t="s">
        <v>3105</v>
      </c>
      <c r="L1670" s="5" t="s">
        <v>205</v>
      </c>
      <c r="M1670" s="5" t="s">
        <v>604</v>
      </c>
      <c r="N1670" s="5" t="s">
        <v>278</v>
      </c>
      <c r="O1670" s="5" t="s">
        <v>634</v>
      </c>
      <c r="P1670" s="5" t="str">
        <f aca="false">IF(J1670="S0","—",IF(K1670="","",IF(L1670="E0","QM",INDEX(10_ASIL_Matrix!$D$4:$F$15,MATCH(J1670&amp;"-"&amp;L1670,10_ASIL_Matrix!$C$4:$C$15,0),MATCH(N1670,10_ASIL_Matrix!$D$3:$F$3,0)))))</f>
        <v>—</v>
      </c>
      <c r="Q1670" s="5" t="s">
        <v>448</v>
      </c>
    </row>
    <row r="1671" customFormat="false" ht="46.25" hidden="false" customHeight="false" outlineLevel="0" collapsed="false">
      <c r="A1671" s="6" t="s">
        <v>4022</v>
      </c>
      <c r="B1671" s="6" t="s">
        <v>105</v>
      </c>
      <c r="C1671" s="6" t="s">
        <v>106</v>
      </c>
      <c r="D1671" s="6" t="s">
        <v>170</v>
      </c>
      <c r="E1671" s="6" t="s">
        <v>171</v>
      </c>
      <c r="F1671" s="6" t="s">
        <v>202</v>
      </c>
      <c r="G1671" s="6" t="s">
        <v>590</v>
      </c>
      <c r="H1671" s="6" t="s">
        <v>232</v>
      </c>
      <c r="I1671" s="6" t="s">
        <v>4023</v>
      </c>
      <c r="J1671" s="6" t="s">
        <v>238</v>
      </c>
      <c r="K1671" s="6" t="s">
        <v>3105</v>
      </c>
      <c r="L1671" s="6" t="s">
        <v>233</v>
      </c>
      <c r="M1671" s="6" t="s">
        <v>607</v>
      </c>
      <c r="N1671" s="6" t="s">
        <v>278</v>
      </c>
      <c r="O1671" s="6" t="s">
        <v>634</v>
      </c>
      <c r="P1671" s="6" t="str">
        <f aca="false">IF(J1671="S0","—",IF(K1671="","",IF(L1671="E0","QM",INDEX(10_ASIL_Matrix!$D$4:$F$15,MATCH(J1671&amp;"-"&amp;L1671,10_ASIL_Matrix!$C$4:$C$15,0),MATCH(N1671,10_ASIL_Matrix!$D$3:$F$3,0)))))</f>
        <v>—</v>
      </c>
      <c r="Q1671" s="6" t="s">
        <v>448</v>
      </c>
    </row>
    <row r="1672" customFormat="false" ht="35.05" hidden="false" customHeight="false" outlineLevel="0" collapsed="false">
      <c r="A1672" s="5" t="s">
        <v>4024</v>
      </c>
      <c r="B1672" s="5" t="s">
        <v>105</v>
      </c>
      <c r="C1672" s="5" t="s">
        <v>106</v>
      </c>
      <c r="D1672" s="5" t="s">
        <v>170</v>
      </c>
      <c r="E1672" s="5" t="s">
        <v>171</v>
      </c>
      <c r="F1672" s="5" t="s">
        <v>204</v>
      </c>
      <c r="G1672" s="5" t="s">
        <v>609</v>
      </c>
      <c r="H1672" s="5" t="s">
        <v>222</v>
      </c>
      <c r="I1672" s="5" t="s">
        <v>4025</v>
      </c>
      <c r="J1672" s="5" t="s">
        <v>250</v>
      </c>
      <c r="K1672" s="5" t="s">
        <v>3118</v>
      </c>
      <c r="L1672" s="5" t="s">
        <v>205</v>
      </c>
      <c r="M1672" s="5" t="s">
        <v>612</v>
      </c>
      <c r="N1672" s="5" t="s">
        <v>290</v>
      </c>
      <c r="O1672" s="5" t="s">
        <v>2520</v>
      </c>
      <c r="P1672" s="18" t="str">
        <f aca="false">IF(J1672="S0","—",IF(K1672="","",IF(L1672="E0","QM",INDEX(10_ASIL_Matrix!$D$4:$F$15,MATCH(J1672&amp;"-"&amp;L1672,10_ASIL_Matrix!$C$4:$C$15,0),MATCH(N1672,10_ASIL_Matrix!$D$3:$F$3,0)))))</f>
        <v>B</v>
      </c>
      <c r="Q1672" s="5" t="s">
        <v>448</v>
      </c>
    </row>
    <row r="1673" customFormat="false" ht="35.05" hidden="false" customHeight="false" outlineLevel="0" collapsed="false">
      <c r="A1673" s="6" t="s">
        <v>4026</v>
      </c>
      <c r="B1673" s="6" t="s">
        <v>105</v>
      </c>
      <c r="C1673" s="6" t="s">
        <v>106</v>
      </c>
      <c r="D1673" s="6" t="s">
        <v>170</v>
      </c>
      <c r="E1673" s="6" t="s">
        <v>171</v>
      </c>
      <c r="F1673" s="6" t="s">
        <v>204</v>
      </c>
      <c r="G1673" s="6" t="s">
        <v>609</v>
      </c>
      <c r="H1673" s="6" t="s">
        <v>224</v>
      </c>
      <c r="I1673" s="6" t="s">
        <v>4027</v>
      </c>
      <c r="J1673" s="6" t="s">
        <v>250</v>
      </c>
      <c r="K1673" s="6" t="s">
        <v>3118</v>
      </c>
      <c r="L1673" s="6" t="s">
        <v>205</v>
      </c>
      <c r="M1673" s="6" t="s">
        <v>616</v>
      </c>
      <c r="N1673" s="6" t="s">
        <v>290</v>
      </c>
      <c r="O1673" s="6" t="s">
        <v>2520</v>
      </c>
      <c r="P1673" s="18" t="str">
        <f aca="false">IF(J1673="S0","—",IF(K1673="","",IF(L1673="E0","QM",INDEX(10_ASIL_Matrix!$D$4:$F$15,MATCH(J1673&amp;"-"&amp;L1673,10_ASIL_Matrix!$C$4:$C$15,0),MATCH(N1673,10_ASIL_Matrix!$D$3:$F$3,0)))))</f>
        <v>B</v>
      </c>
      <c r="Q1673" s="6" t="s">
        <v>448</v>
      </c>
    </row>
    <row r="1674" customFormat="false" ht="35.05" hidden="false" customHeight="false" outlineLevel="0" collapsed="false">
      <c r="A1674" s="5" t="s">
        <v>4028</v>
      </c>
      <c r="B1674" s="5" t="s">
        <v>105</v>
      </c>
      <c r="C1674" s="5" t="s">
        <v>106</v>
      </c>
      <c r="D1674" s="5" t="s">
        <v>170</v>
      </c>
      <c r="E1674" s="5" t="s">
        <v>171</v>
      </c>
      <c r="F1674" s="5" t="s">
        <v>204</v>
      </c>
      <c r="G1674" s="5" t="s">
        <v>609</v>
      </c>
      <c r="H1674" s="5" t="s">
        <v>226</v>
      </c>
      <c r="I1674" s="5" t="s">
        <v>4029</v>
      </c>
      <c r="J1674" s="5" t="s">
        <v>250</v>
      </c>
      <c r="K1674" s="5" t="s">
        <v>3118</v>
      </c>
      <c r="L1674" s="5" t="s">
        <v>205</v>
      </c>
      <c r="M1674" s="5" t="s">
        <v>619</v>
      </c>
      <c r="N1674" s="5" t="s">
        <v>290</v>
      </c>
      <c r="O1674" s="5" t="s">
        <v>2520</v>
      </c>
      <c r="P1674" s="18" t="str">
        <f aca="false">IF(J1674="S0","—",IF(K1674="","",IF(L1674="E0","QM",INDEX(10_ASIL_Matrix!$D$4:$F$15,MATCH(J1674&amp;"-"&amp;L1674,10_ASIL_Matrix!$C$4:$C$15,0),MATCH(N1674,10_ASIL_Matrix!$D$3:$F$3,0)))))</f>
        <v>B</v>
      </c>
      <c r="Q1674" s="5" t="s">
        <v>448</v>
      </c>
    </row>
    <row r="1675" customFormat="false" ht="35.05" hidden="false" customHeight="false" outlineLevel="0" collapsed="false">
      <c r="A1675" s="6" t="s">
        <v>4030</v>
      </c>
      <c r="B1675" s="6" t="s">
        <v>105</v>
      </c>
      <c r="C1675" s="6" t="s">
        <v>106</v>
      </c>
      <c r="D1675" s="6" t="s">
        <v>170</v>
      </c>
      <c r="E1675" s="6" t="s">
        <v>171</v>
      </c>
      <c r="F1675" s="6" t="s">
        <v>204</v>
      </c>
      <c r="G1675" s="6" t="s">
        <v>609</v>
      </c>
      <c r="H1675" s="6" t="s">
        <v>228</v>
      </c>
      <c r="I1675" s="6" t="s">
        <v>4031</v>
      </c>
      <c r="J1675" s="6" t="s">
        <v>250</v>
      </c>
      <c r="K1675" s="6" t="s">
        <v>3118</v>
      </c>
      <c r="L1675" s="6" t="s">
        <v>205</v>
      </c>
      <c r="M1675" s="6" t="s">
        <v>622</v>
      </c>
      <c r="N1675" s="6" t="s">
        <v>290</v>
      </c>
      <c r="O1675" s="6" t="s">
        <v>2520</v>
      </c>
      <c r="P1675" s="18" t="str">
        <f aca="false">IF(J1675="S0","—",IF(K1675="","",IF(L1675="E0","QM",INDEX(10_ASIL_Matrix!$D$4:$F$15,MATCH(J1675&amp;"-"&amp;L1675,10_ASIL_Matrix!$C$4:$C$15,0),MATCH(N1675,10_ASIL_Matrix!$D$3:$F$3,0)))))</f>
        <v>B</v>
      </c>
      <c r="Q1675" s="6" t="s">
        <v>448</v>
      </c>
    </row>
    <row r="1676" customFormat="false" ht="35.05" hidden="false" customHeight="false" outlineLevel="0" collapsed="false">
      <c r="A1676" s="5" t="s">
        <v>4032</v>
      </c>
      <c r="B1676" s="5" t="s">
        <v>105</v>
      </c>
      <c r="C1676" s="5" t="s">
        <v>106</v>
      </c>
      <c r="D1676" s="5" t="s">
        <v>170</v>
      </c>
      <c r="E1676" s="5" t="s">
        <v>171</v>
      </c>
      <c r="F1676" s="5" t="s">
        <v>204</v>
      </c>
      <c r="G1676" s="5" t="s">
        <v>609</v>
      </c>
      <c r="H1676" s="5" t="s">
        <v>230</v>
      </c>
      <c r="I1676" s="5" t="s">
        <v>4033</v>
      </c>
      <c r="J1676" s="5" t="s">
        <v>250</v>
      </c>
      <c r="K1676" s="5" t="s">
        <v>3118</v>
      </c>
      <c r="L1676" s="5" t="s">
        <v>205</v>
      </c>
      <c r="M1676" s="5" t="s">
        <v>625</v>
      </c>
      <c r="N1676" s="5" t="s">
        <v>290</v>
      </c>
      <c r="O1676" s="5" t="s">
        <v>2530</v>
      </c>
      <c r="P1676" s="18" t="str">
        <f aca="false">IF(J1676="S0","—",IF(K1676="","",IF(L1676="E0","QM",INDEX(10_ASIL_Matrix!$D$4:$F$15,MATCH(J1676&amp;"-"&amp;L1676,10_ASIL_Matrix!$C$4:$C$15,0),MATCH(N1676,10_ASIL_Matrix!$D$3:$F$3,0)))))</f>
        <v>B</v>
      </c>
      <c r="Q1676" s="5" t="s">
        <v>448</v>
      </c>
    </row>
    <row r="1677" customFormat="false" ht="46.25" hidden="false" customHeight="false" outlineLevel="0" collapsed="false">
      <c r="A1677" s="6" t="s">
        <v>4034</v>
      </c>
      <c r="B1677" s="6" t="s">
        <v>105</v>
      </c>
      <c r="C1677" s="6" t="s">
        <v>106</v>
      </c>
      <c r="D1677" s="6" t="s">
        <v>170</v>
      </c>
      <c r="E1677" s="6" t="s">
        <v>171</v>
      </c>
      <c r="F1677" s="6" t="s">
        <v>204</v>
      </c>
      <c r="G1677" s="6" t="s">
        <v>609</v>
      </c>
      <c r="H1677" s="6" t="s">
        <v>232</v>
      </c>
      <c r="I1677" s="6" t="s">
        <v>4035</v>
      </c>
      <c r="J1677" s="6" t="s">
        <v>250</v>
      </c>
      <c r="K1677" s="6" t="s">
        <v>3118</v>
      </c>
      <c r="L1677" s="6" t="s">
        <v>233</v>
      </c>
      <c r="M1677" s="6" t="s">
        <v>629</v>
      </c>
      <c r="N1677" s="6" t="s">
        <v>290</v>
      </c>
      <c r="O1677" s="6" t="s">
        <v>2520</v>
      </c>
      <c r="P1677" s="19" t="str">
        <f aca="false">IF(J1677="S0","—",IF(K1677="","",IF(L1677="E0","QM",INDEX(10_ASIL_Matrix!$D$4:$F$15,MATCH(J1677&amp;"-"&amp;L1677,10_ASIL_Matrix!$C$4:$C$15,0),MATCH(N1677,10_ASIL_Matrix!$D$3:$F$3,0)))))</f>
        <v>A</v>
      </c>
      <c r="Q1677" s="6" t="s">
        <v>448</v>
      </c>
    </row>
    <row r="1678" customFormat="false" ht="35.05" hidden="false" customHeight="false" outlineLevel="0" collapsed="false">
      <c r="A1678" s="5" t="s">
        <v>4036</v>
      </c>
      <c r="B1678" s="5" t="s">
        <v>105</v>
      </c>
      <c r="C1678" s="5" t="s">
        <v>106</v>
      </c>
      <c r="D1678" s="5" t="s">
        <v>170</v>
      </c>
      <c r="E1678" s="5" t="s">
        <v>171</v>
      </c>
      <c r="F1678" s="5" t="s">
        <v>207</v>
      </c>
      <c r="G1678" s="5" t="s">
        <v>609</v>
      </c>
      <c r="H1678" s="5" t="s">
        <v>222</v>
      </c>
      <c r="I1678" s="5" t="s">
        <v>4037</v>
      </c>
      <c r="J1678" s="5" t="s">
        <v>250</v>
      </c>
      <c r="K1678" s="5" t="s">
        <v>3131</v>
      </c>
      <c r="L1678" s="5" t="s">
        <v>190</v>
      </c>
      <c r="M1678" s="5" t="s">
        <v>633</v>
      </c>
      <c r="N1678" s="5" t="s">
        <v>286</v>
      </c>
      <c r="O1678" s="5" t="s">
        <v>3022</v>
      </c>
      <c r="P1678" s="18" t="str">
        <f aca="false">IF(J1678="S0","—",IF(K1678="","",IF(L1678="E0","QM",INDEX(10_ASIL_Matrix!$D$4:$F$15,MATCH(J1678&amp;"-"&amp;L1678,10_ASIL_Matrix!$C$4:$C$15,0),MATCH(N1678,10_ASIL_Matrix!$D$3:$F$3,0)))))</f>
        <v>B</v>
      </c>
      <c r="Q1678" s="5" t="s">
        <v>448</v>
      </c>
    </row>
    <row r="1679" customFormat="false" ht="35.05" hidden="false" customHeight="false" outlineLevel="0" collapsed="false">
      <c r="A1679" s="6" t="s">
        <v>4038</v>
      </c>
      <c r="B1679" s="6" t="s">
        <v>105</v>
      </c>
      <c r="C1679" s="6" t="s">
        <v>106</v>
      </c>
      <c r="D1679" s="6" t="s">
        <v>170</v>
      </c>
      <c r="E1679" s="6" t="s">
        <v>171</v>
      </c>
      <c r="F1679" s="6" t="s">
        <v>207</v>
      </c>
      <c r="G1679" s="6" t="s">
        <v>609</v>
      </c>
      <c r="H1679" s="6" t="s">
        <v>224</v>
      </c>
      <c r="I1679" s="6" t="s">
        <v>4039</v>
      </c>
      <c r="J1679" s="6" t="s">
        <v>250</v>
      </c>
      <c r="K1679" s="6" t="s">
        <v>3131</v>
      </c>
      <c r="L1679" s="6" t="s">
        <v>190</v>
      </c>
      <c r="M1679" s="6" t="s">
        <v>637</v>
      </c>
      <c r="N1679" s="6" t="s">
        <v>286</v>
      </c>
      <c r="O1679" s="6" t="s">
        <v>3022</v>
      </c>
      <c r="P1679" s="18" t="str">
        <f aca="false">IF(J1679="S0","—",IF(K1679="","",IF(L1679="E0","QM",INDEX(10_ASIL_Matrix!$D$4:$F$15,MATCH(J1679&amp;"-"&amp;L1679,10_ASIL_Matrix!$C$4:$C$15,0),MATCH(N1679,10_ASIL_Matrix!$D$3:$F$3,0)))))</f>
        <v>B</v>
      </c>
      <c r="Q1679" s="6" t="s">
        <v>448</v>
      </c>
    </row>
    <row r="1680" customFormat="false" ht="35.05" hidden="false" customHeight="false" outlineLevel="0" collapsed="false">
      <c r="A1680" s="5" t="s">
        <v>4040</v>
      </c>
      <c r="B1680" s="5" t="s">
        <v>105</v>
      </c>
      <c r="C1680" s="5" t="s">
        <v>106</v>
      </c>
      <c r="D1680" s="5" t="s">
        <v>170</v>
      </c>
      <c r="E1680" s="5" t="s">
        <v>171</v>
      </c>
      <c r="F1680" s="5" t="s">
        <v>207</v>
      </c>
      <c r="G1680" s="5" t="s">
        <v>609</v>
      </c>
      <c r="H1680" s="5" t="s">
        <v>226</v>
      </c>
      <c r="I1680" s="5" t="s">
        <v>4041</v>
      </c>
      <c r="J1680" s="5" t="s">
        <v>250</v>
      </c>
      <c r="K1680" s="5" t="s">
        <v>3131</v>
      </c>
      <c r="L1680" s="5" t="s">
        <v>190</v>
      </c>
      <c r="M1680" s="5" t="s">
        <v>640</v>
      </c>
      <c r="N1680" s="5" t="s">
        <v>286</v>
      </c>
      <c r="O1680" s="5" t="s">
        <v>3022</v>
      </c>
      <c r="P1680" s="18" t="str">
        <f aca="false">IF(J1680="S0","—",IF(K1680="","",IF(L1680="E0","QM",INDEX(10_ASIL_Matrix!$D$4:$F$15,MATCH(J1680&amp;"-"&amp;L1680,10_ASIL_Matrix!$C$4:$C$15,0),MATCH(N1680,10_ASIL_Matrix!$D$3:$F$3,0)))))</f>
        <v>B</v>
      </c>
      <c r="Q1680" s="5" t="s">
        <v>448</v>
      </c>
    </row>
    <row r="1681" customFormat="false" ht="35.05" hidden="false" customHeight="false" outlineLevel="0" collapsed="false">
      <c r="A1681" s="6" t="s">
        <v>4042</v>
      </c>
      <c r="B1681" s="6" t="s">
        <v>105</v>
      </c>
      <c r="C1681" s="6" t="s">
        <v>106</v>
      </c>
      <c r="D1681" s="6" t="s">
        <v>170</v>
      </c>
      <c r="E1681" s="6" t="s">
        <v>171</v>
      </c>
      <c r="F1681" s="6" t="s">
        <v>207</v>
      </c>
      <c r="G1681" s="6" t="s">
        <v>609</v>
      </c>
      <c r="H1681" s="6" t="s">
        <v>228</v>
      </c>
      <c r="I1681" s="6" t="s">
        <v>4043</v>
      </c>
      <c r="J1681" s="6" t="s">
        <v>250</v>
      </c>
      <c r="K1681" s="6" t="s">
        <v>3131</v>
      </c>
      <c r="L1681" s="6" t="s">
        <v>205</v>
      </c>
      <c r="M1681" s="6" t="s">
        <v>643</v>
      </c>
      <c r="N1681" s="6" t="s">
        <v>286</v>
      </c>
      <c r="O1681" s="6" t="s">
        <v>3022</v>
      </c>
      <c r="P1681" s="19" t="str">
        <f aca="false">IF(J1681="S0","—",IF(K1681="","",IF(L1681="E0","QM",INDEX(10_ASIL_Matrix!$D$4:$F$15,MATCH(J1681&amp;"-"&amp;L1681,10_ASIL_Matrix!$C$4:$C$15,0),MATCH(N1681,10_ASIL_Matrix!$D$3:$F$3,0)))))</f>
        <v>A</v>
      </c>
      <c r="Q1681" s="6" t="s">
        <v>448</v>
      </c>
    </row>
    <row r="1682" customFormat="false" ht="35.05" hidden="false" customHeight="false" outlineLevel="0" collapsed="false">
      <c r="A1682" s="5" t="s">
        <v>4044</v>
      </c>
      <c r="B1682" s="5" t="s">
        <v>105</v>
      </c>
      <c r="C1682" s="5" t="s">
        <v>106</v>
      </c>
      <c r="D1682" s="5" t="s">
        <v>170</v>
      </c>
      <c r="E1682" s="5" t="s">
        <v>171</v>
      </c>
      <c r="F1682" s="5" t="s">
        <v>207</v>
      </c>
      <c r="G1682" s="5" t="s">
        <v>609</v>
      </c>
      <c r="H1682" s="5" t="s">
        <v>230</v>
      </c>
      <c r="I1682" s="5" t="s">
        <v>4045</v>
      </c>
      <c r="J1682" s="5" t="s">
        <v>250</v>
      </c>
      <c r="K1682" s="5" t="s">
        <v>3131</v>
      </c>
      <c r="L1682" s="5" t="s">
        <v>205</v>
      </c>
      <c r="M1682" s="5" t="s">
        <v>646</v>
      </c>
      <c r="N1682" s="5" t="s">
        <v>290</v>
      </c>
      <c r="O1682" s="5" t="s">
        <v>3031</v>
      </c>
      <c r="P1682" s="18" t="str">
        <f aca="false">IF(J1682="S0","—",IF(K1682="","",IF(L1682="E0","QM",INDEX(10_ASIL_Matrix!$D$4:$F$15,MATCH(J1682&amp;"-"&amp;L1682,10_ASIL_Matrix!$C$4:$C$15,0),MATCH(N1682,10_ASIL_Matrix!$D$3:$F$3,0)))))</f>
        <v>B</v>
      </c>
      <c r="Q1682" s="5" t="s">
        <v>448</v>
      </c>
    </row>
    <row r="1683" customFormat="false" ht="46.25" hidden="false" customHeight="false" outlineLevel="0" collapsed="false">
      <c r="A1683" s="6" t="s">
        <v>4046</v>
      </c>
      <c r="B1683" s="6" t="s">
        <v>105</v>
      </c>
      <c r="C1683" s="6" t="s">
        <v>106</v>
      </c>
      <c r="D1683" s="6" t="s">
        <v>170</v>
      </c>
      <c r="E1683" s="6" t="s">
        <v>171</v>
      </c>
      <c r="F1683" s="6" t="s">
        <v>207</v>
      </c>
      <c r="G1683" s="6" t="s">
        <v>609</v>
      </c>
      <c r="H1683" s="6" t="s">
        <v>232</v>
      </c>
      <c r="I1683" s="6" t="s">
        <v>4047</v>
      </c>
      <c r="J1683" s="6" t="s">
        <v>250</v>
      </c>
      <c r="K1683" s="6" t="s">
        <v>3131</v>
      </c>
      <c r="L1683" s="6" t="s">
        <v>233</v>
      </c>
      <c r="M1683" s="6" t="s">
        <v>649</v>
      </c>
      <c r="N1683" s="6" t="s">
        <v>286</v>
      </c>
      <c r="O1683" s="6" t="s">
        <v>3022</v>
      </c>
      <c r="P1683" s="6" t="str">
        <f aca="false">IF(J1683="S0","—",IF(K1683="","",IF(L1683="E0","QM",INDEX(10_ASIL_Matrix!$D$4:$F$15,MATCH(J1683&amp;"-"&amp;L1683,10_ASIL_Matrix!$C$4:$C$15,0),MATCH(N1683,10_ASIL_Matrix!$D$3:$F$3,0)))))</f>
        <v>QM</v>
      </c>
      <c r="Q1683" s="6" t="s">
        <v>448</v>
      </c>
    </row>
    <row r="1684" customFormat="false" ht="35.05" hidden="false" customHeight="false" outlineLevel="0" collapsed="false">
      <c r="A1684" s="5" t="s">
        <v>4048</v>
      </c>
      <c r="B1684" s="5" t="s">
        <v>105</v>
      </c>
      <c r="C1684" s="5" t="s">
        <v>106</v>
      </c>
      <c r="D1684" s="5" t="s">
        <v>170</v>
      </c>
      <c r="E1684" s="5" t="s">
        <v>171</v>
      </c>
      <c r="F1684" s="5" t="s">
        <v>209</v>
      </c>
      <c r="G1684" s="5" t="s">
        <v>570</v>
      </c>
      <c r="H1684" s="5" t="s">
        <v>222</v>
      </c>
      <c r="I1684" s="5" t="s">
        <v>4049</v>
      </c>
      <c r="J1684" s="5" t="s">
        <v>246</v>
      </c>
      <c r="K1684" s="5" t="s">
        <v>3144</v>
      </c>
      <c r="L1684" s="5" t="s">
        <v>190</v>
      </c>
      <c r="M1684" s="5" t="s">
        <v>653</v>
      </c>
      <c r="N1684" s="5" t="s">
        <v>282</v>
      </c>
      <c r="O1684" s="5" t="s">
        <v>3145</v>
      </c>
      <c r="P1684" s="5" t="str">
        <f aca="false">IF(J1684="S0","—",IF(K1684="","",IF(L1684="E0","QM",INDEX(10_ASIL_Matrix!$D$4:$F$15,MATCH(J1684&amp;"-"&amp;L1684,10_ASIL_Matrix!$C$4:$C$15,0),MATCH(N1684,10_ASIL_Matrix!$D$3:$F$3,0)))))</f>
        <v>QM</v>
      </c>
      <c r="Q1684" s="5" t="s">
        <v>448</v>
      </c>
    </row>
    <row r="1685" customFormat="false" ht="35.05" hidden="false" customHeight="false" outlineLevel="0" collapsed="false">
      <c r="A1685" s="6" t="s">
        <v>4050</v>
      </c>
      <c r="B1685" s="6" t="s">
        <v>105</v>
      </c>
      <c r="C1685" s="6" t="s">
        <v>106</v>
      </c>
      <c r="D1685" s="6" t="s">
        <v>170</v>
      </c>
      <c r="E1685" s="6" t="s">
        <v>171</v>
      </c>
      <c r="F1685" s="6" t="s">
        <v>209</v>
      </c>
      <c r="G1685" s="6" t="s">
        <v>570</v>
      </c>
      <c r="H1685" s="6" t="s">
        <v>224</v>
      </c>
      <c r="I1685" s="6" t="s">
        <v>4051</v>
      </c>
      <c r="J1685" s="6" t="s">
        <v>246</v>
      </c>
      <c r="K1685" s="6" t="s">
        <v>3144</v>
      </c>
      <c r="L1685" s="6" t="s">
        <v>190</v>
      </c>
      <c r="M1685" s="6" t="s">
        <v>656</v>
      </c>
      <c r="N1685" s="6" t="s">
        <v>282</v>
      </c>
      <c r="O1685" s="6" t="s">
        <v>3145</v>
      </c>
      <c r="P1685" s="6" t="str">
        <f aca="false">IF(J1685="S0","—",IF(K1685="","",IF(L1685="E0","QM",INDEX(10_ASIL_Matrix!$D$4:$F$15,MATCH(J1685&amp;"-"&amp;L1685,10_ASIL_Matrix!$C$4:$C$15,0),MATCH(N1685,10_ASIL_Matrix!$D$3:$F$3,0)))))</f>
        <v>QM</v>
      </c>
      <c r="Q1685" s="6" t="s">
        <v>448</v>
      </c>
    </row>
    <row r="1686" customFormat="false" ht="35.05" hidden="false" customHeight="false" outlineLevel="0" collapsed="false">
      <c r="A1686" s="5" t="s">
        <v>4052</v>
      </c>
      <c r="B1686" s="5" t="s">
        <v>105</v>
      </c>
      <c r="C1686" s="5" t="s">
        <v>106</v>
      </c>
      <c r="D1686" s="5" t="s">
        <v>170</v>
      </c>
      <c r="E1686" s="5" t="s">
        <v>171</v>
      </c>
      <c r="F1686" s="5" t="s">
        <v>209</v>
      </c>
      <c r="G1686" s="5" t="s">
        <v>570</v>
      </c>
      <c r="H1686" s="5" t="s">
        <v>226</v>
      </c>
      <c r="I1686" s="5" t="s">
        <v>4053</v>
      </c>
      <c r="J1686" s="5" t="s">
        <v>246</v>
      </c>
      <c r="K1686" s="5" t="s">
        <v>3144</v>
      </c>
      <c r="L1686" s="5" t="s">
        <v>190</v>
      </c>
      <c r="M1686" s="5" t="s">
        <v>659</v>
      </c>
      <c r="N1686" s="5" t="s">
        <v>282</v>
      </c>
      <c r="O1686" s="5" t="s">
        <v>3145</v>
      </c>
      <c r="P1686" s="5" t="str">
        <f aca="false">IF(J1686="S0","—",IF(K1686="","",IF(L1686="E0","QM",INDEX(10_ASIL_Matrix!$D$4:$F$15,MATCH(J1686&amp;"-"&amp;L1686,10_ASIL_Matrix!$C$4:$C$15,0),MATCH(N1686,10_ASIL_Matrix!$D$3:$F$3,0)))))</f>
        <v>QM</v>
      </c>
      <c r="Q1686" s="5" t="s">
        <v>448</v>
      </c>
    </row>
    <row r="1687" customFormat="false" ht="35.05" hidden="false" customHeight="false" outlineLevel="0" collapsed="false">
      <c r="A1687" s="6" t="s">
        <v>4054</v>
      </c>
      <c r="B1687" s="6" t="s">
        <v>105</v>
      </c>
      <c r="C1687" s="6" t="s">
        <v>106</v>
      </c>
      <c r="D1687" s="6" t="s">
        <v>170</v>
      </c>
      <c r="E1687" s="6" t="s">
        <v>171</v>
      </c>
      <c r="F1687" s="6" t="s">
        <v>209</v>
      </c>
      <c r="G1687" s="6" t="s">
        <v>570</v>
      </c>
      <c r="H1687" s="6" t="s">
        <v>228</v>
      </c>
      <c r="I1687" s="6" t="s">
        <v>4055</v>
      </c>
      <c r="J1687" s="6" t="s">
        <v>246</v>
      </c>
      <c r="K1687" s="6" t="s">
        <v>3144</v>
      </c>
      <c r="L1687" s="6" t="s">
        <v>205</v>
      </c>
      <c r="M1687" s="6" t="s">
        <v>662</v>
      </c>
      <c r="N1687" s="6" t="s">
        <v>282</v>
      </c>
      <c r="O1687" s="6" t="s">
        <v>3145</v>
      </c>
      <c r="P1687" s="6" t="str">
        <f aca="false">IF(J1687="S0","—",IF(K1687="","",IF(L1687="E0","QM",INDEX(10_ASIL_Matrix!$D$4:$F$15,MATCH(J1687&amp;"-"&amp;L1687,10_ASIL_Matrix!$C$4:$C$15,0),MATCH(N1687,10_ASIL_Matrix!$D$3:$F$3,0)))))</f>
        <v>QM</v>
      </c>
      <c r="Q1687" s="6" t="s">
        <v>448</v>
      </c>
    </row>
    <row r="1688" customFormat="false" ht="35.05" hidden="false" customHeight="false" outlineLevel="0" collapsed="false">
      <c r="A1688" s="5" t="s">
        <v>4056</v>
      </c>
      <c r="B1688" s="5" t="s">
        <v>105</v>
      </c>
      <c r="C1688" s="5" t="s">
        <v>106</v>
      </c>
      <c r="D1688" s="5" t="s">
        <v>170</v>
      </c>
      <c r="E1688" s="5" t="s">
        <v>171</v>
      </c>
      <c r="F1688" s="5" t="s">
        <v>209</v>
      </c>
      <c r="G1688" s="5" t="s">
        <v>570</v>
      </c>
      <c r="H1688" s="5" t="s">
        <v>230</v>
      </c>
      <c r="I1688" s="5" t="s">
        <v>4057</v>
      </c>
      <c r="J1688" s="5" t="s">
        <v>246</v>
      </c>
      <c r="K1688" s="5" t="s">
        <v>3144</v>
      </c>
      <c r="L1688" s="5" t="s">
        <v>205</v>
      </c>
      <c r="M1688" s="5" t="s">
        <v>665</v>
      </c>
      <c r="N1688" s="5" t="s">
        <v>286</v>
      </c>
      <c r="O1688" s="5" t="s">
        <v>3154</v>
      </c>
      <c r="P1688" s="5" t="str">
        <f aca="false">IF(J1688="S0","—",IF(K1688="","",IF(L1688="E0","QM",INDEX(10_ASIL_Matrix!$D$4:$F$15,MATCH(J1688&amp;"-"&amp;L1688,10_ASIL_Matrix!$C$4:$C$15,0),MATCH(N1688,10_ASIL_Matrix!$D$3:$F$3,0)))))</f>
        <v>QM</v>
      </c>
      <c r="Q1688" s="5" t="s">
        <v>448</v>
      </c>
    </row>
    <row r="1689" customFormat="false" ht="46.25" hidden="false" customHeight="false" outlineLevel="0" collapsed="false">
      <c r="A1689" s="6" t="s">
        <v>4058</v>
      </c>
      <c r="B1689" s="6" t="s">
        <v>105</v>
      </c>
      <c r="C1689" s="6" t="s">
        <v>106</v>
      </c>
      <c r="D1689" s="6" t="s">
        <v>170</v>
      </c>
      <c r="E1689" s="6" t="s">
        <v>171</v>
      </c>
      <c r="F1689" s="6" t="s">
        <v>209</v>
      </c>
      <c r="G1689" s="6" t="s">
        <v>570</v>
      </c>
      <c r="H1689" s="6" t="s">
        <v>232</v>
      </c>
      <c r="I1689" s="6" t="s">
        <v>4059</v>
      </c>
      <c r="J1689" s="6" t="s">
        <v>246</v>
      </c>
      <c r="K1689" s="6" t="s">
        <v>3144</v>
      </c>
      <c r="L1689" s="6" t="s">
        <v>233</v>
      </c>
      <c r="M1689" s="6" t="s">
        <v>668</v>
      </c>
      <c r="N1689" s="6" t="s">
        <v>282</v>
      </c>
      <c r="O1689" s="6" t="s">
        <v>3145</v>
      </c>
      <c r="P1689" s="6" t="str">
        <f aca="false">IF(J1689="S0","—",IF(K1689="","",IF(L1689="E0","QM",INDEX(10_ASIL_Matrix!$D$4:$F$15,MATCH(J1689&amp;"-"&amp;L1689,10_ASIL_Matrix!$C$4:$C$15,0),MATCH(N1689,10_ASIL_Matrix!$D$3:$F$3,0)))))</f>
        <v>QM</v>
      </c>
      <c r="Q1689" s="6" t="s">
        <v>448</v>
      </c>
    </row>
    <row r="1690" customFormat="false" ht="35.05" hidden="false" customHeight="false" outlineLevel="0" collapsed="false">
      <c r="A1690" s="5" t="s">
        <v>4060</v>
      </c>
      <c r="B1690" s="5" t="s">
        <v>105</v>
      </c>
      <c r="C1690" s="5" t="s">
        <v>106</v>
      </c>
      <c r="D1690" s="5" t="s">
        <v>170</v>
      </c>
      <c r="E1690" s="5" t="s">
        <v>171</v>
      </c>
      <c r="F1690" s="5" t="s">
        <v>211</v>
      </c>
      <c r="G1690" s="5" t="s">
        <v>609</v>
      </c>
      <c r="H1690" s="5" t="s">
        <v>222</v>
      </c>
      <c r="I1690" s="5" t="s">
        <v>4061</v>
      </c>
      <c r="J1690" s="5" t="s">
        <v>238</v>
      </c>
      <c r="K1690" s="5" t="s">
        <v>2180</v>
      </c>
      <c r="L1690" s="5" t="s">
        <v>187</v>
      </c>
      <c r="M1690" s="5" t="s">
        <v>672</v>
      </c>
      <c r="N1690" s="5" t="s">
        <v>278</v>
      </c>
      <c r="O1690" s="5" t="s">
        <v>634</v>
      </c>
      <c r="P1690" s="5" t="str">
        <f aca="false">IF(J1690="S0","—",IF(K1690="","",IF(L1690="E0","QM",INDEX(10_ASIL_Matrix!$D$4:$F$15,MATCH(J1690&amp;"-"&amp;L1690,10_ASIL_Matrix!$C$4:$C$15,0),MATCH(N1690,10_ASIL_Matrix!$D$3:$F$3,0)))))</f>
        <v>—</v>
      </c>
      <c r="Q1690" s="5" t="s">
        <v>448</v>
      </c>
    </row>
    <row r="1691" customFormat="false" ht="35.05" hidden="false" customHeight="false" outlineLevel="0" collapsed="false">
      <c r="A1691" s="6" t="s">
        <v>4062</v>
      </c>
      <c r="B1691" s="6" t="s">
        <v>105</v>
      </c>
      <c r="C1691" s="6" t="s">
        <v>106</v>
      </c>
      <c r="D1691" s="6" t="s">
        <v>170</v>
      </c>
      <c r="E1691" s="6" t="s">
        <v>171</v>
      </c>
      <c r="F1691" s="6" t="s">
        <v>211</v>
      </c>
      <c r="G1691" s="6" t="s">
        <v>609</v>
      </c>
      <c r="H1691" s="6" t="s">
        <v>224</v>
      </c>
      <c r="I1691" s="6" t="s">
        <v>4063</v>
      </c>
      <c r="J1691" s="6" t="s">
        <v>238</v>
      </c>
      <c r="K1691" s="6" t="s">
        <v>2180</v>
      </c>
      <c r="L1691" s="6" t="s">
        <v>190</v>
      </c>
      <c r="M1691" s="6" t="s">
        <v>675</v>
      </c>
      <c r="N1691" s="6" t="s">
        <v>278</v>
      </c>
      <c r="O1691" s="6" t="s">
        <v>634</v>
      </c>
      <c r="P1691" s="6" t="str">
        <f aca="false">IF(J1691="S0","—",IF(K1691="","",IF(L1691="E0","QM",INDEX(10_ASIL_Matrix!$D$4:$F$15,MATCH(J1691&amp;"-"&amp;L1691,10_ASIL_Matrix!$C$4:$C$15,0),MATCH(N1691,10_ASIL_Matrix!$D$3:$F$3,0)))))</f>
        <v>—</v>
      </c>
      <c r="Q1691" s="6" t="s">
        <v>448</v>
      </c>
    </row>
    <row r="1692" customFormat="false" ht="35.05" hidden="false" customHeight="false" outlineLevel="0" collapsed="false">
      <c r="A1692" s="5" t="s">
        <v>4064</v>
      </c>
      <c r="B1692" s="5" t="s">
        <v>105</v>
      </c>
      <c r="C1692" s="5" t="s">
        <v>106</v>
      </c>
      <c r="D1692" s="5" t="s">
        <v>170</v>
      </c>
      <c r="E1692" s="5" t="s">
        <v>171</v>
      </c>
      <c r="F1692" s="5" t="s">
        <v>211</v>
      </c>
      <c r="G1692" s="5" t="s">
        <v>609</v>
      </c>
      <c r="H1692" s="5" t="s">
        <v>226</v>
      </c>
      <c r="I1692" s="5" t="s">
        <v>4065</v>
      </c>
      <c r="J1692" s="5" t="s">
        <v>238</v>
      </c>
      <c r="K1692" s="5" t="s">
        <v>2180</v>
      </c>
      <c r="L1692" s="5" t="s">
        <v>190</v>
      </c>
      <c r="M1692" s="5" t="s">
        <v>678</v>
      </c>
      <c r="N1692" s="5" t="s">
        <v>278</v>
      </c>
      <c r="O1692" s="5" t="s">
        <v>634</v>
      </c>
      <c r="P1692" s="5" t="str">
        <f aca="false">IF(J1692="S0","—",IF(K1692="","",IF(L1692="E0","QM",INDEX(10_ASIL_Matrix!$D$4:$F$15,MATCH(J1692&amp;"-"&amp;L1692,10_ASIL_Matrix!$C$4:$C$15,0),MATCH(N1692,10_ASIL_Matrix!$D$3:$F$3,0)))))</f>
        <v>—</v>
      </c>
      <c r="Q1692" s="5" t="s">
        <v>448</v>
      </c>
    </row>
    <row r="1693" customFormat="false" ht="35.05" hidden="false" customHeight="false" outlineLevel="0" collapsed="false">
      <c r="A1693" s="6" t="s">
        <v>4066</v>
      </c>
      <c r="B1693" s="6" t="s">
        <v>105</v>
      </c>
      <c r="C1693" s="6" t="s">
        <v>106</v>
      </c>
      <c r="D1693" s="6" t="s">
        <v>170</v>
      </c>
      <c r="E1693" s="6" t="s">
        <v>171</v>
      </c>
      <c r="F1693" s="6" t="s">
        <v>211</v>
      </c>
      <c r="G1693" s="6" t="s">
        <v>609</v>
      </c>
      <c r="H1693" s="6" t="s">
        <v>228</v>
      </c>
      <c r="I1693" s="6" t="s">
        <v>4067</v>
      </c>
      <c r="J1693" s="6" t="s">
        <v>238</v>
      </c>
      <c r="K1693" s="6" t="s">
        <v>2180</v>
      </c>
      <c r="L1693" s="6" t="s">
        <v>205</v>
      </c>
      <c r="M1693" s="6" t="s">
        <v>681</v>
      </c>
      <c r="N1693" s="6" t="s">
        <v>278</v>
      </c>
      <c r="O1693" s="6" t="s">
        <v>634</v>
      </c>
      <c r="P1693" s="6" t="str">
        <f aca="false">IF(J1693="S0","—",IF(K1693="","",IF(L1693="E0","QM",INDEX(10_ASIL_Matrix!$D$4:$F$15,MATCH(J1693&amp;"-"&amp;L1693,10_ASIL_Matrix!$C$4:$C$15,0),MATCH(N1693,10_ASIL_Matrix!$D$3:$F$3,0)))))</f>
        <v>—</v>
      </c>
      <c r="Q1693" s="6" t="s">
        <v>448</v>
      </c>
    </row>
    <row r="1694" customFormat="false" ht="35.05" hidden="false" customHeight="false" outlineLevel="0" collapsed="false">
      <c r="A1694" s="5" t="s">
        <v>4068</v>
      </c>
      <c r="B1694" s="5" t="s">
        <v>105</v>
      </c>
      <c r="C1694" s="5" t="s">
        <v>106</v>
      </c>
      <c r="D1694" s="5" t="s">
        <v>170</v>
      </c>
      <c r="E1694" s="5" t="s">
        <v>171</v>
      </c>
      <c r="F1694" s="5" t="s">
        <v>211</v>
      </c>
      <c r="G1694" s="5" t="s">
        <v>609</v>
      </c>
      <c r="H1694" s="5" t="s">
        <v>230</v>
      </c>
      <c r="I1694" s="5" t="s">
        <v>4069</v>
      </c>
      <c r="J1694" s="5" t="s">
        <v>238</v>
      </c>
      <c r="K1694" s="5" t="s">
        <v>2180</v>
      </c>
      <c r="L1694" s="5" t="s">
        <v>205</v>
      </c>
      <c r="M1694" s="5" t="s">
        <v>684</v>
      </c>
      <c r="N1694" s="5" t="s">
        <v>278</v>
      </c>
      <c r="O1694" s="5" t="s">
        <v>634</v>
      </c>
      <c r="P1694" s="5" t="str">
        <f aca="false">IF(J1694="S0","—",IF(K1694="","",IF(L1694="E0","QM",INDEX(10_ASIL_Matrix!$D$4:$F$15,MATCH(J1694&amp;"-"&amp;L1694,10_ASIL_Matrix!$C$4:$C$15,0),MATCH(N1694,10_ASIL_Matrix!$D$3:$F$3,0)))))</f>
        <v>—</v>
      </c>
      <c r="Q1694" s="5" t="s">
        <v>448</v>
      </c>
    </row>
    <row r="1695" customFormat="false" ht="46.25" hidden="false" customHeight="false" outlineLevel="0" collapsed="false">
      <c r="A1695" s="6" t="s">
        <v>4070</v>
      </c>
      <c r="B1695" s="6" t="s">
        <v>105</v>
      </c>
      <c r="C1695" s="6" t="s">
        <v>106</v>
      </c>
      <c r="D1695" s="6" t="s">
        <v>170</v>
      </c>
      <c r="E1695" s="6" t="s">
        <v>171</v>
      </c>
      <c r="F1695" s="6" t="s">
        <v>211</v>
      </c>
      <c r="G1695" s="6" t="s">
        <v>609</v>
      </c>
      <c r="H1695" s="6" t="s">
        <v>232</v>
      </c>
      <c r="I1695" s="6" t="s">
        <v>4071</v>
      </c>
      <c r="J1695" s="6" t="s">
        <v>238</v>
      </c>
      <c r="K1695" s="6" t="s">
        <v>2180</v>
      </c>
      <c r="L1695" s="6" t="s">
        <v>233</v>
      </c>
      <c r="M1695" s="6" t="s">
        <v>687</v>
      </c>
      <c r="N1695" s="6" t="s">
        <v>278</v>
      </c>
      <c r="O1695" s="6" t="s">
        <v>634</v>
      </c>
      <c r="P1695" s="6" t="str">
        <f aca="false">IF(J1695="S0","—",IF(K1695="","",IF(L1695="E0","QM",INDEX(10_ASIL_Matrix!$D$4:$F$15,MATCH(J1695&amp;"-"&amp;L1695,10_ASIL_Matrix!$C$4:$C$15,0),MATCH(N1695,10_ASIL_Matrix!$D$3:$F$3,0)))))</f>
        <v>—</v>
      </c>
      <c r="Q1695" s="6" t="s">
        <v>448</v>
      </c>
    </row>
    <row r="1696" customFormat="false" ht="46.25" hidden="false" customHeight="false" outlineLevel="0" collapsed="false">
      <c r="A1696" s="5" t="s">
        <v>4072</v>
      </c>
      <c r="B1696" s="5" t="s">
        <v>105</v>
      </c>
      <c r="C1696" s="5" t="s">
        <v>106</v>
      </c>
      <c r="D1696" s="5" t="s">
        <v>170</v>
      </c>
      <c r="E1696" s="5" t="s">
        <v>171</v>
      </c>
      <c r="F1696" s="5" t="s">
        <v>213</v>
      </c>
      <c r="G1696" s="5" t="s">
        <v>689</v>
      </c>
      <c r="H1696" s="5" t="s">
        <v>222</v>
      </c>
      <c r="I1696" s="5" t="s">
        <v>4073</v>
      </c>
      <c r="J1696" s="5" t="s">
        <v>250</v>
      </c>
      <c r="K1696" s="5" t="s">
        <v>3171</v>
      </c>
      <c r="L1696" s="5" t="s">
        <v>205</v>
      </c>
      <c r="M1696" s="5" t="s">
        <v>692</v>
      </c>
      <c r="N1696" s="5" t="s">
        <v>286</v>
      </c>
      <c r="O1696" s="5" t="s">
        <v>3022</v>
      </c>
      <c r="P1696" s="19" t="str">
        <f aca="false">IF(J1696="S0","—",IF(K1696="","",IF(L1696="E0","QM",INDEX(10_ASIL_Matrix!$D$4:$F$15,MATCH(J1696&amp;"-"&amp;L1696,10_ASIL_Matrix!$C$4:$C$15,0),MATCH(N1696,10_ASIL_Matrix!$D$3:$F$3,0)))))</f>
        <v>A</v>
      </c>
      <c r="Q1696" s="5" t="s">
        <v>448</v>
      </c>
    </row>
    <row r="1697" customFormat="false" ht="46.25" hidden="false" customHeight="false" outlineLevel="0" collapsed="false">
      <c r="A1697" s="6" t="s">
        <v>4074</v>
      </c>
      <c r="B1697" s="6" t="s">
        <v>105</v>
      </c>
      <c r="C1697" s="6" t="s">
        <v>106</v>
      </c>
      <c r="D1697" s="6" t="s">
        <v>170</v>
      </c>
      <c r="E1697" s="6" t="s">
        <v>171</v>
      </c>
      <c r="F1697" s="6" t="s">
        <v>213</v>
      </c>
      <c r="G1697" s="6" t="s">
        <v>689</v>
      </c>
      <c r="H1697" s="6" t="s">
        <v>224</v>
      </c>
      <c r="I1697" s="6" t="s">
        <v>4075</v>
      </c>
      <c r="J1697" s="6" t="s">
        <v>250</v>
      </c>
      <c r="K1697" s="6" t="s">
        <v>3171</v>
      </c>
      <c r="L1697" s="6" t="s">
        <v>205</v>
      </c>
      <c r="M1697" s="6" t="s">
        <v>696</v>
      </c>
      <c r="N1697" s="6" t="s">
        <v>286</v>
      </c>
      <c r="O1697" s="6" t="s">
        <v>3022</v>
      </c>
      <c r="P1697" s="19" t="str">
        <f aca="false">IF(J1697="S0","—",IF(K1697="","",IF(L1697="E0","QM",INDEX(10_ASIL_Matrix!$D$4:$F$15,MATCH(J1697&amp;"-"&amp;L1697,10_ASIL_Matrix!$C$4:$C$15,0),MATCH(N1697,10_ASIL_Matrix!$D$3:$F$3,0)))))</f>
        <v>A</v>
      </c>
      <c r="Q1697" s="6" t="s">
        <v>448</v>
      </c>
    </row>
    <row r="1698" customFormat="false" ht="46.25" hidden="false" customHeight="false" outlineLevel="0" collapsed="false">
      <c r="A1698" s="5" t="s">
        <v>4076</v>
      </c>
      <c r="B1698" s="5" t="s">
        <v>105</v>
      </c>
      <c r="C1698" s="5" t="s">
        <v>106</v>
      </c>
      <c r="D1698" s="5" t="s">
        <v>170</v>
      </c>
      <c r="E1698" s="5" t="s">
        <v>171</v>
      </c>
      <c r="F1698" s="5" t="s">
        <v>213</v>
      </c>
      <c r="G1698" s="5" t="s">
        <v>689</v>
      </c>
      <c r="H1698" s="5" t="s">
        <v>226</v>
      </c>
      <c r="I1698" s="5" t="s">
        <v>4077</v>
      </c>
      <c r="J1698" s="5" t="s">
        <v>250</v>
      </c>
      <c r="K1698" s="5" t="s">
        <v>3171</v>
      </c>
      <c r="L1698" s="5" t="s">
        <v>205</v>
      </c>
      <c r="M1698" s="5" t="s">
        <v>699</v>
      </c>
      <c r="N1698" s="5" t="s">
        <v>286</v>
      </c>
      <c r="O1698" s="5" t="s">
        <v>3022</v>
      </c>
      <c r="P1698" s="19" t="str">
        <f aca="false">IF(J1698="S0","—",IF(K1698="","",IF(L1698="E0","QM",INDEX(10_ASIL_Matrix!$D$4:$F$15,MATCH(J1698&amp;"-"&amp;L1698,10_ASIL_Matrix!$C$4:$C$15,0),MATCH(N1698,10_ASIL_Matrix!$D$3:$F$3,0)))))</f>
        <v>A</v>
      </c>
      <c r="Q1698" s="5" t="s">
        <v>448</v>
      </c>
    </row>
    <row r="1699" customFormat="false" ht="46.25" hidden="false" customHeight="false" outlineLevel="0" collapsed="false">
      <c r="A1699" s="6" t="s">
        <v>4078</v>
      </c>
      <c r="B1699" s="6" t="s">
        <v>105</v>
      </c>
      <c r="C1699" s="6" t="s">
        <v>106</v>
      </c>
      <c r="D1699" s="6" t="s">
        <v>170</v>
      </c>
      <c r="E1699" s="6" t="s">
        <v>171</v>
      </c>
      <c r="F1699" s="6" t="s">
        <v>213</v>
      </c>
      <c r="G1699" s="6" t="s">
        <v>689</v>
      </c>
      <c r="H1699" s="6" t="s">
        <v>228</v>
      </c>
      <c r="I1699" s="6" t="s">
        <v>4079</v>
      </c>
      <c r="J1699" s="6" t="s">
        <v>250</v>
      </c>
      <c r="K1699" s="6" t="s">
        <v>3171</v>
      </c>
      <c r="L1699" s="6" t="s">
        <v>205</v>
      </c>
      <c r="M1699" s="6" t="s">
        <v>702</v>
      </c>
      <c r="N1699" s="6" t="s">
        <v>286</v>
      </c>
      <c r="O1699" s="6" t="s">
        <v>3022</v>
      </c>
      <c r="P1699" s="19" t="str">
        <f aca="false">IF(J1699="S0","—",IF(K1699="","",IF(L1699="E0","QM",INDEX(10_ASIL_Matrix!$D$4:$F$15,MATCH(J1699&amp;"-"&amp;L1699,10_ASIL_Matrix!$C$4:$C$15,0),MATCH(N1699,10_ASIL_Matrix!$D$3:$F$3,0)))))</f>
        <v>A</v>
      </c>
      <c r="Q1699" s="6" t="s">
        <v>448</v>
      </c>
    </row>
    <row r="1700" customFormat="false" ht="46.25" hidden="false" customHeight="false" outlineLevel="0" collapsed="false">
      <c r="A1700" s="5" t="s">
        <v>4080</v>
      </c>
      <c r="B1700" s="5" t="s">
        <v>105</v>
      </c>
      <c r="C1700" s="5" t="s">
        <v>106</v>
      </c>
      <c r="D1700" s="5" t="s">
        <v>170</v>
      </c>
      <c r="E1700" s="5" t="s">
        <v>171</v>
      </c>
      <c r="F1700" s="5" t="s">
        <v>213</v>
      </c>
      <c r="G1700" s="5" t="s">
        <v>689</v>
      </c>
      <c r="H1700" s="5" t="s">
        <v>230</v>
      </c>
      <c r="I1700" s="5" t="s">
        <v>4081</v>
      </c>
      <c r="J1700" s="5" t="s">
        <v>250</v>
      </c>
      <c r="K1700" s="5" t="s">
        <v>3171</v>
      </c>
      <c r="L1700" s="5" t="s">
        <v>205</v>
      </c>
      <c r="M1700" s="5" t="s">
        <v>705</v>
      </c>
      <c r="N1700" s="5" t="s">
        <v>290</v>
      </c>
      <c r="O1700" s="5" t="s">
        <v>3031</v>
      </c>
      <c r="P1700" s="18" t="str">
        <f aca="false">IF(J1700="S0","—",IF(K1700="","",IF(L1700="E0","QM",INDEX(10_ASIL_Matrix!$D$4:$F$15,MATCH(J1700&amp;"-"&amp;L1700,10_ASIL_Matrix!$C$4:$C$15,0),MATCH(N1700,10_ASIL_Matrix!$D$3:$F$3,0)))))</f>
        <v>B</v>
      </c>
      <c r="Q1700" s="5" t="s">
        <v>448</v>
      </c>
    </row>
    <row r="1701" customFormat="false" ht="46.25" hidden="false" customHeight="false" outlineLevel="0" collapsed="false">
      <c r="A1701" s="6" t="s">
        <v>4082</v>
      </c>
      <c r="B1701" s="6" t="s">
        <v>105</v>
      </c>
      <c r="C1701" s="6" t="s">
        <v>106</v>
      </c>
      <c r="D1701" s="6" t="s">
        <v>170</v>
      </c>
      <c r="E1701" s="6" t="s">
        <v>171</v>
      </c>
      <c r="F1701" s="6" t="s">
        <v>213</v>
      </c>
      <c r="G1701" s="6" t="s">
        <v>689</v>
      </c>
      <c r="H1701" s="6" t="s">
        <v>232</v>
      </c>
      <c r="I1701" s="6" t="s">
        <v>4083</v>
      </c>
      <c r="J1701" s="6" t="s">
        <v>250</v>
      </c>
      <c r="K1701" s="6" t="s">
        <v>3171</v>
      </c>
      <c r="L1701" s="6" t="s">
        <v>233</v>
      </c>
      <c r="M1701" s="6" t="s">
        <v>709</v>
      </c>
      <c r="N1701" s="6" t="s">
        <v>286</v>
      </c>
      <c r="O1701" s="6" t="s">
        <v>3022</v>
      </c>
      <c r="P1701" s="6" t="str">
        <f aca="false">IF(J1701="S0","—",IF(K1701="","",IF(L1701="E0","QM",INDEX(10_ASIL_Matrix!$D$4:$F$15,MATCH(J1701&amp;"-"&amp;L1701,10_ASIL_Matrix!$C$4:$C$15,0),MATCH(N1701,10_ASIL_Matrix!$D$3:$F$3,0)))))</f>
        <v>QM</v>
      </c>
      <c r="Q1701" s="6" t="s">
        <v>448</v>
      </c>
    </row>
    <row r="1702" customFormat="false" ht="35.05" hidden="false" customHeight="false" outlineLevel="0" collapsed="false">
      <c r="A1702" s="5" t="s">
        <v>4084</v>
      </c>
      <c r="B1702" s="5" t="s">
        <v>105</v>
      </c>
      <c r="C1702" s="5" t="s">
        <v>106</v>
      </c>
      <c r="D1702" s="5" t="s">
        <v>170</v>
      </c>
      <c r="E1702" s="5" t="s">
        <v>171</v>
      </c>
      <c r="F1702" s="5" t="s">
        <v>215</v>
      </c>
      <c r="G1702" s="5" t="s">
        <v>711</v>
      </c>
      <c r="H1702" s="5" t="s">
        <v>222</v>
      </c>
      <c r="I1702" s="5" t="s">
        <v>4085</v>
      </c>
      <c r="J1702" s="5" t="s">
        <v>250</v>
      </c>
      <c r="K1702" s="5" t="s">
        <v>3184</v>
      </c>
      <c r="L1702" s="5" t="s">
        <v>190</v>
      </c>
      <c r="M1702" s="5" t="s">
        <v>714</v>
      </c>
      <c r="N1702" s="5" t="s">
        <v>286</v>
      </c>
      <c r="O1702" s="5" t="s">
        <v>3022</v>
      </c>
      <c r="P1702" s="18" t="str">
        <f aca="false">IF(J1702="S0","—",IF(K1702="","",IF(L1702="E0","QM",INDEX(10_ASIL_Matrix!$D$4:$F$15,MATCH(J1702&amp;"-"&amp;L1702,10_ASIL_Matrix!$C$4:$C$15,0),MATCH(N1702,10_ASIL_Matrix!$D$3:$F$3,0)))))</f>
        <v>B</v>
      </c>
      <c r="Q1702" s="5" t="s">
        <v>448</v>
      </c>
    </row>
    <row r="1703" customFormat="false" ht="35.05" hidden="false" customHeight="false" outlineLevel="0" collapsed="false">
      <c r="A1703" s="6" t="s">
        <v>4086</v>
      </c>
      <c r="B1703" s="6" t="s">
        <v>105</v>
      </c>
      <c r="C1703" s="6" t="s">
        <v>106</v>
      </c>
      <c r="D1703" s="6" t="s">
        <v>170</v>
      </c>
      <c r="E1703" s="6" t="s">
        <v>171</v>
      </c>
      <c r="F1703" s="6" t="s">
        <v>215</v>
      </c>
      <c r="G1703" s="6" t="s">
        <v>711</v>
      </c>
      <c r="H1703" s="6" t="s">
        <v>224</v>
      </c>
      <c r="I1703" s="6" t="s">
        <v>4087</v>
      </c>
      <c r="J1703" s="6" t="s">
        <v>250</v>
      </c>
      <c r="K1703" s="6" t="s">
        <v>3184</v>
      </c>
      <c r="L1703" s="6" t="s">
        <v>190</v>
      </c>
      <c r="M1703" s="6" t="s">
        <v>717</v>
      </c>
      <c r="N1703" s="6" t="s">
        <v>286</v>
      </c>
      <c r="O1703" s="6" t="s">
        <v>3022</v>
      </c>
      <c r="P1703" s="18" t="str">
        <f aca="false">IF(J1703="S0","—",IF(K1703="","",IF(L1703="E0","QM",INDEX(10_ASIL_Matrix!$D$4:$F$15,MATCH(J1703&amp;"-"&amp;L1703,10_ASIL_Matrix!$C$4:$C$15,0),MATCH(N1703,10_ASIL_Matrix!$D$3:$F$3,0)))))</f>
        <v>B</v>
      </c>
      <c r="Q1703" s="6" t="s">
        <v>448</v>
      </c>
    </row>
    <row r="1704" customFormat="false" ht="35.05" hidden="false" customHeight="false" outlineLevel="0" collapsed="false">
      <c r="A1704" s="5" t="s">
        <v>4088</v>
      </c>
      <c r="B1704" s="5" t="s">
        <v>105</v>
      </c>
      <c r="C1704" s="5" t="s">
        <v>106</v>
      </c>
      <c r="D1704" s="5" t="s">
        <v>170</v>
      </c>
      <c r="E1704" s="5" t="s">
        <v>171</v>
      </c>
      <c r="F1704" s="5" t="s">
        <v>215</v>
      </c>
      <c r="G1704" s="5" t="s">
        <v>711</v>
      </c>
      <c r="H1704" s="5" t="s">
        <v>226</v>
      </c>
      <c r="I1704" s="5" t="s">
        <v>4089</v>
      </c>
      <c r="J1704" s="5" t="s">
        <v>250</v>
      </c>
      <c r="K1704" s="5" t="s">
        <v>3184</v>
      </c>
      <c r="L1704" s="5" t="s">
        <v>190</v>
      </c>
      <c r="M1704" s="5" t="s">
        <v>720</v>
      </c>
      <c r="N1704" s="5" t="s">
        <v>286</v>
      </c>
      <c r="O1704" s="5" t="s">
        <v>3022</v>
      </c>
      <c r="P1704" s="18" t="str">
        <f aca="false">IF(J1704="S0","—",IF(K1704="","",IF(L1704="E0","QM",INDEX(10_ASIL_Matrix!$D$4:$F$15,MATCH(J1704&amp;"-"&amp;L1704,10_ASIL_Matrix!$C$4:$C$15,0),MATCH(N1704,10_ASIL_Matrix!$D$3:$F$3,0)))))</f>
        <v>B</v>
      </c>
      <c r="Q1704" s="5" t="s">
        <v>448</v>
      </c>
    </row>
    <row r="1705" customFormat="false" ht="35.05" hidden="false" customHeight="false" outlineLevel="0" collapsed="false">
      <c r="A1705" s="6" t="s">
        <v>4090</v>
      </c>
      <c r="B1705" s="6" t="s">
        <v>105</v>
      </c>
      <c r="C1705" s="6" t="s">
        <v>106</v>
      </c>
      <c r="D1705" s="6" t="s">
        <v>170</v>
      </c>
      <c r="E1705" s="6" t="s">
        <v>171</v>
      </c>
      <c r="F1705" s="6" t="s">
        <v>215</v>
      </c>
      <c r="G1705" s="6" t="s">
        <v>711</v>
      </c>
      <c r="H1705" s="6" t="s">
        <v>228</v>
      </c>
      <c r="I1705" s="6" t="s">
        <v>4091</v>
      </c>
      <c r="J1705" s="6" t="s">
        <v>250</v>
      </c>
      <c r="K1705" s="6" t="s">
        <v>3184</v>
      </c>
      <c r="L1705" s="6" t="s">
        <v>205</v>
      </c>
      <c r="M1705" s="6" t="s">
        <v>723</v>
      </c>
      <c r="N1705" s="6" t="s">
        <v>286</v>
      </c>
      <c r="O1705" s="6" t="s">
        <v>3022</v>
      </c>
      <c r="P1705" s="19" t="str">
        <f aca="false">IF(J1705="S0","—",IF(K1705="","",IF(L1705="E0","QM",INDEX(10_ASIL_Matrix!$D$4:$F$15,MATCH(J1705&amp;"-"&amp;L1705,10_ASIL_Matrix!$C$4:$C$15,0),MATCH(N1705,10_ASIL_Matrix!$D$3:$F$3,0)))))</f>
        <v>A</v>
      </c>
      <c r="Q1705" s="6" t="s">
        <v>448</v>
      </c>
    </row>
    <row r="1706" customFormat="false" ht="35.05" hidden="false" customHeight="false" outlineLevel="0" collapsed="false">
      <c r="A1706" s="5" t="s">
        <v>4092</v>
      </c>
      <c r="B1706" s="5" t="s">
        <v>105</v>
      </c>
      <c r="C1706" s="5" t="s">
        <v>106</v>
      </c>
      <c r="D1706" s="5" t="s">
        <v>170</v>
      </c>
      <c r="E1706" s="5" t="s">
        <v>171</v>
      </c>
      <c r="F1706" s="5" t="s">
        <v>215</v>
      </c>
      <c r="G1706" s="5" t="s">
        <v>711</v>
      </c>
      <c r="H1706" s="5" t="s">
        <v>230</v>
      </c>
      <c r="I1706" s="5" t="s">
        <v>4093</v>
      </c>
      <c r="J1706" s="5" t="s">
        <v>250</v>
      </c>
      <c r="K1706" s="5" t="s">
        <v>3184</v>
      </c>
      <c r="L1706" s="5" t="s">
        <v>205</v>
      </c>
      <c r="M1706" s="5" t="s">
        <v>726</v>
      </c>
      <c r="N1706" s="5" t="s">
        <v>290</v>
      </c>
      <c r="O1706" s="5" t="s">
        <v>3031</v>
      </c>
      <c r="P1706" s="18" t="str">
        <f aca="false">IF(J1706="S0","—",IF(K1706="","",IF(L1706="E0","QM",INDEX(10_ASIL_Matrix!$D$4:$F$15,MATCH(J1706&amp;"-"&amp;L1706,10_ASIL_Matrix!$C$4:$C$15,0),MATCH(N1706,10_ASIL_Matrix!$D$3:$F$3,0)))))</f>
        <v>B</v>
      </c>
      <c r="Q1706" s="5" t="s">
        <v>448</v>
      </c>
    </row>
    <row r="1707" customFormat="false" ht="46.25" hidden="false" customHeight="false" outlineLevel="0" collapsed="false">
      <c r="A1707" s="6" t="s">
        <v>4094</v>
      </c>
      <c r="B1707" s="6" t="s">
        <v>105</v>
      </c>
      <c r="C1707" s="6" t="s">
        <v>106</v>
      </c>
      <c r="D1707" s="6" t="s">
        <v>170</v>
      </c>
      <c r="E1707" s="6" t="s">
        <v>171</v>
      </c>
      <c r="F1707" s="6" t="s">
        <v>215</v>
      </c>
      <c r="G1707" s="6" t="s">
        <v>711</v>
      </c>
      <c r="H1707" s="6" t="s">
        <v>232</v>
      </c>
      <c r="I1707" s="6" t="s">
        <v>4095</v>
      </c>
      <c r="J1707" s="6" t="s">
        <v>250</v>
      </c>
      <c r="K1707" s="6" t="s">
        <v>3184</v>
      </c>
      <c r="L1707" s="6" t="s">
        <v>233</v>
      </c>
      <c r="M1707" s="6" t="s">
        <v>729</v>
      </c>
      <c r="N1707" s="6" t="s">
        <v>286</v>
      </c>
      <c r="O1707" s="6" t="s">
        <v>3022</v>
      </c>
      <c r="P1707" s="6" t="str">
        <f aca="false">IF(J1707="S0","—",IF(K1707="","",IF(L1707="E0","QM",INDEX(10_ASIL_Matrix!$D$4:$F$15,MATCH(J1707&amp;"-"&amp;L1707,10_ASIL_Matrix!$C$4:$C$15,0),MATCH(N1707,10_ASIL_Matrix!$D$3:$F$3,0)))))</f>
        <v>QM</v>
      </c>
      <c r="Q1707" s="6" t="s">
        <v>448</v>
      </c>
    </row>
    <row r="1708" customFormat="false" ht="35.05" hidden="false" customHeight="false" outlineLevel="0" collapsed="false">
      <c r="A1708" s="5" t="s">
        <v>4096</v>
      </c>
      <c r="B1708" s="5" t="s">
        <v>105</v>
      </c>
      <c r="C1708" s="5" t="s">
        <v>106</v>
      </c>
      <c r="D1708" s="5" t="s">
        <v>170</v>
      </c>
      <c r="E1708" s="5" t="s">
        <v>171</v>
      </c>
      <c r="F1708" s="5" t="s">
        <v>217</v>
      </c>
      <c r="G1708" s="5" t="s">
        <v>488</v>
      </c>
      <c r="H1708" s="5" t="s">
        <v>222</v>
      </c>
      <c r="I1708" s="5" t="s">
        <v>4097</v>
      </c>
      <c r="J1708" s="5" t="s">
        <v>250</v>
      </c>
      <c r="K1708" s="5" t="s">
        <v>3197</v>
      </c>
      <c r="L1708" s="5" t="s">
        <v>190</v>
      </c>
      <c r="M1708" s="5" t="s">
        <v>733</v>
      </c>
      <c r="N1708" s="5" t="s">
        <v>286</v>
      </c>
      <c r="O1708" s="5" t="s">
        <v>3022</v>
      </c>
      <c r="P1708" s="18" t="str">
        <f aca="false">IF(J1708="S0","—",IF(K1708="","",IF(L1708="E0","QM",INDEX(10_ASIL_Matrix!$D$4:$F$15,MATCH(J1708&amp;"-"&amp;L1708,10_ASIL_Matrix!$C$4:$C$15,0),MATCH(N1708,10_ASIL_Matrix!$D$3:$F$3,0)))))</f>
        <v>B</v>
      </c>
      <c r="Q1708" s="5" t="s">
        <v>448</v>
      </c>
    </row>
    <row r="1709" customFormat="false" ht="35.05" hidden="false" customHeight="false" outlineLevel="0" collapsed="false">
      <c r="A1709" s="6" t="s">
        <v>4098</v>
      </c>
      <c r="B1709" s="6" t="s">
        <v>105</v>
      </c>
      <c r="C1709" s="6" t="s">
        <v>106</v>
      </c>
      <c r="D1709" s="6" t="s">
        <v>170</v>
      </c>
      <c r="E1709" s="6" t="s">
        <v>171</v>
      </c>
      <c r="F1709" s="6" t="s">
        <v>217</v>
      </c>
      <c r="G1709" s="6" t="s">
        <v>488</v>
      </c>
      <c r="H1709" s="6" t="s">
        <v>224</v>
      </c>
      <c r="I1709" s="6" t="s">
        <v>4099</v>
      </c>
      <c r="J1709" s="6" t="s">
        <v>250</v>
      </c>
      <c r="K1709" s="6" t="s">
        <v>3197</v>
      </c>
      <c r="L1709" s="6" t="s">
        <v>190</v>
      </c>
      <c r="M1709" s="6" t="s">
        <v>736</v>
      </c>
      <c r="N1709" s="6" t="s">
        <v>286</v>
      </c>
      <c r="O1709" s="6" t="s">
        <v>3022</v>
      </c>
      <c r="P1709" s="18" t="str">
        <f aca="false">IF(J1709="S0","—",IF(K1709="","",IF(L1709="E0","QM",INDEX(10_ASIL_Matrix!$D$4:$F$15,MATCH(J1709&amp;"-"&amp;L1709,10_ASIL_Matrix!$C$4:$C$15,0),MATCH(N1709,10_ASIL_Matrix!$D$3:$F$3,0)))))</f>
        <v>B</v>
      </c>
      <c r="Q1709" s="6" t="s">
        <v>448</v>
      </c>
    </row>
    <row r="1710" customFormat="false" ht="35.05" hidden="false" customHeight="false" outlineLevel="0" collapsed="false">
      <c r="A1710" s="5" t="s">
        <v>4100</v>
      </c>
      <c r="B1710" s="5" t="s">
        <v>105</v>
      </c>
      <c r="C1710" s="5" t="s">
        <v>106</v>
      </c>
      <c r="D1710" s="5" t="s">
        <v>170</v>
      </c>
      <c r="E1710" s="5" t="s">
        <v>171</v>
      </c>
      <c r="F1710" s="5" t="s">
        <v>217</v>
      </c>
      <c r="G1710" s="5" t="s">
        <v>488</v>
      </c>
      <c r="H1710" s="5" t="s">
        <v>226</v>
      </c>
      <c r="I1710" s="5" t="s">
        <v>4101</v>
      </c>
      <c r="J1710" s="5" t="s">
        <v>250</v>
      </c>
      <c r="K1710" s="5" t="s">
        <v>3197</v>
      </c>
      <c r="L1710" s="5" t="s">
        <v>190</v>
      </c>
      <c r="M1710" s="5" t="s">
        <v>739</v>
      </c>
      <c r="N1710" s="5" t="s">
        <v>286</v>
      </c>
      <c r="O1710" s="5" t="s">
        <v>3022</v>
      </c>
      <c r="P1710" s="18" t="str">
        <f aca="false">IF(J1710="S0","—",IF(K1710="","",IF(L1710="E0","QM",INDEX(10_ASIL_Matrix!$D$4:$F$15,MATCH(J1710&amp;"-"&amp;L1710,10_ASIL_Matrix!$C$4:$C$15,0),MATCH(N1710,10_ASIL_Matrix!$D$3:$F$3,0)))))</f>
        <v>B</v>
      </c>
      <c r="Q1710" s="5" t="s">
        <v>448</v>
      </c>
    </row>
    <row r="1711" customFormat="false" ht="35.05" hidden="false" customHeight="false" outlineLevel="0" collapsed="false">
      <c r="A1711" s="6" t="s">
        <v>4102</v>
      </c>
      <c r="B1711" s="6" t="s">
        <v>105</v>
      </c>
      <c r="C1711" s="6" t="s">
        <v>106</v>
      </c>
      <c r="D1711" s="6" t="s">
        <v>170</v>
      </c>
      <c r="E1711" s="6" t="s">
        <v>171</v>
      </c>
      <c r="F1711" s="6" t="s">
        <v>217</v>
      </c>
      <c r="G1711" s="6" t="s">
        <v>488</v>
      </c>
      <c r="H1711" s="6" t="s">
        <v>228</v>
      </c>
      <c r="I1711" s="6" t="s">
        <v>4103</v>
      </c>
      <c r="J1711" s="6" t="s">
        <v>250</v>
      </c>
      <c r="K1711" s="6" t="s">
        <v>3197</v>
      </c>
      <c r="L1711" s="6" t="s">
        <v>205</v>
      </c>
      <c r="M1711" s="6" t="s">
        <v>742</v>
      </c>
      <c r="N1711" s="6" t="s">
        <v>286</v>
      </c>
      <c r="O1711" s="6" t="s">
        <v>3022</v>
      </c>
      <c r="P1711" s="19" t="str">
        <f aca="false">IF(J1711="S0","—",IF(K1711="","",IF(L1711="E0","QM",INDEX(10_ASIL_Matrix!$D$4:$F$15,MATCH(J1711&amp;"-"&amp;L1711,10_ASIL_Matrix!$C$4:$C$15,0),MATCH(N1711,10_ASIL_Matrix!$D$3:$F$3,0)))))</f>
        <v>A</v>
      </c>
      <c r="Q1711" s="6" t="s">
        <v>448</v>
      </c>
    </row>
    <row r="1712" customFormat="false" ht="35.05" hidden="false" customHeight="false" outlineLevel="0" collapsed="false">
      <c r="A1712" s="5" t="s">
        <v>4104</v>
      </c>
      <c r="B1712" s="5" t="s">
        <v>105</v>
      </c>
      <c r="C1712" s="5" t="s">
        <v>106</v>
      </c>
      <c r="D1712" s="5" t="s">
        <v>170</v>
      </c>
      <c r="E1712" s="5" t="s">
        <v>171</v>
      </c>
      <c r="F1712" s="5" t="s">
        <v>217</v>
      </c>
      <c r="G1712" s="5" t="s">
        <v>488</v>
      </c>
      <c r="H1712" s="5" t="s">
        <v>230</v>
      </c>
      <c r="I1712" s="5" t="s">
        <v>4105</v>
      </c>
      <c r="J1712" s="5" t="s">
        <v>250</v>
      </c>
      <c r="K1712" s="5" t="s">
        <v>3197</v>
      </c>
      <c r="L1712" s="5" t="s">
        <v>205</v>
      </c>
      <c r="M1712" s="5" t="s">
        <v>745</v>
      </c>
      <c r="N1712" s="5" t="s">
        <v>290</v>
      </c>
      <c r="O1712" s="5" t="s">
        <v>3031</v>
      </c>
      <c r="P1712" s="18" t="str">
        <f aca="false">IF(J1712="S0","—",IF(K1712="","",IF(L1712="E0","QM",INDEX(10_ASIL_Matrix!$D$4:$F$15,MATCH(J1712&amp;"-"&amp;L1712,10_ASIL_Matrix!$C$4:$C$15,0),MATCH(N1712,10_ASIL_Matrix!$D$3:$F$3,0)))))</f>
        <v>B</v>
      </c>
      <c r="Q1712" s="5" t="s">
        <v>448</v>
      </c>
    </row>
    <row r="1713" customFormat="false" ht="46.25" hidden="false" customHeight="false" outlineLevel="0" collapsed="false">
      <c r="A1713" s="6" t="s">
        <v>4106</v>
      </c>
      <c r="B1713" s="6" t="s">
        <v>105</v>
      </c>
      <c r="C1713" s="6" t="s">
        <v>106</v>
      </c>
      <c r="D1713" s="6" t="s">
        <v>170</v>
      </c>
      <c r="E1713" s="6" t="s">
        <v>171</v>
      </c>
      <c r="F1713" s="6" t="s">
        <v>217</v>
      </c>
      <c r="G1713" s="6" t="s">
        <v>488</v>
      </c>
      <c r="H1713" s="6" t="s">
        <v>232</v>
      </c>
      <c r="I1713" s="6" t="s">
        <v>4107</v>
      </c>
      <c r="J1713" s="6" t="s">
        <v>250</v>
      </c>
      <c r="K1713" s="6" t="s">
        <v>3197</v>
      </c>
      <c r="L1713" s="6" t="s">
        <v>233</v>
      </c>
      <c r="M1713" s="6" t="s">
        <v>748</v>
      </c>
      <c r="N1713" s="6" t="s">
        <v>286</v>
      </c>
      <c r="O1713" s="6" t="s">
        <v>3022</v>
      </c>
      <c r="P1713" s="6" t="str">
        <f aca="false">IF(J1713="S0","—",IF(K1713="","",IF(L1713="E0","QM",INDEX(10_ASIL_Matrix!$D$4:$F$15,MATCH(J1713&amp;"-"&amp;L1713,10_ASIL_Matrix!$C$4:$C$15,0),MATCH(N1713,10_ASIL_Matrix!$D$3:$F$3,0)))))</f>
        <v>QM</v>
      </c>
      <c r="Q1713" s="6" t="s">
        <v>448</v>
      </c>
    </row>
    <row r="1714" customFormat="false" ht="35.05" hidden="false" customHeight="false" outlineLevel="0" collapsed="false">
      <c r="A1714" s="5" t="s">
        <v>4108</v>
      </c>
      <c r="B1714" s="5" t="s">
        <v>105</v>
      </c>
      <c r="C1714" s="5" t="s">
        <v>106</v>
      </c>
      <c r="D1714" s="5" t="s">
        <v>173</v>
      </c>
      <c r="E1714" s="5" t="s">
        <v>174</v>
      </c>
      <c r="F1714" s="5" t="s">
        <v>186</v>
      </c>
      <c r="G1714" s="5" t="s">
        <v>443</v>
      </c>
      <c r="H1714" s="5" t="s">
        <v>222</v>
      </c>
      <c r="I1714" s="5" t="s">
        <v>4109</v>
      </c>
      <c r="J1714" s="5" t="s">
        <v>246</v>
      </c>
      <c r="K1714" s="5" t="s">
        <v>2789</v>
      </c>
      <c r="L1714" s="5" t="s">
        <v>187</v>
      </c>
      <c r="M1714" s="5" t="s">
        <v>446</v>
      </c>
      <c r="N1714" s="5" t="s">
        <v>282</v>
      </c>
      <c r="O1714" s="5" t="s">
        <v>2790</v>
      </c>
      <c r="P1714" s="19" t="str">
        <f aca="false">IF(J1714="S0","—",IF(K1714="","",IF(L1714="E0","QM",INDEX(10_ASIL_Matrix!$D$4:$F$15,MATCH(J1714&amp;"-"&amp;L1714,10_ASIL_Matrix!$C$4:$C$15,0),MATCH(N1714,10_ASIL_Matrix!$D$3:$F$3,0)))))</f>
        <v>A</v>
      </c>
      <c r="Q1714" s="5" t="s">
        <v>448</v>
      </c>
    </row>
    <row r="1715" customFormat="false" ht="35.05" hidden="false" customHeight="false" outlineLevel="0" collapsed="false">
      <c r="A1715" s="6" t="s">
        <v>4110</v>
      </c>
      <c r="B1715" s="6" t="s">
        <v>105</v>
      </c>
      <c r="C1715" s="6" t="s">
        <v>106</v>
      </c>
      <c r="D1715" s="6" t="s">
        <v>173</v>
      </c>
      <c r="E1715" s="6" t="s">
        <v>174</v>
      </c>
      <c r="F1715" s="6" t="s">
        <v>186</v>
      </c>
      <c r="G1715" s="6" t="s">
        <v>443</v>
      </c>
      <c r="H1715" s="6" t="s">
        <v>224</v>
      </c>
      <c r="I1715" s="6" t="s">
        <v>4111</v>
      </c>
      <c r="J1715" s="6" t="s">
        <v>246</v>
      </c>
      <c r="K1715" s="6" t="s">
        <v>2789</v>
      </c>
      <c r="L1715" s="6" t="s">
        <v>190</v>
      </c>
      <c r="M1715" s="6" t="s">
        <v>451</v>
      </c>
      <c r="N1715" s="6" t="s">
        <v>282</v>
      </c>
      <c r="O1715" s="6" t="s">
        <v>2790</v>
      </c>
      <c r="P1715" s="6" t="str">
        <f aca="false">IF(J1715="S0","—",IF(K1715="","",IF(L1715="E0","QM",INDEX(10_ASIL_Matrix!$D$4:$F$15,MATCH(J1715&amp;"-"&amp;L1715,10_ASIL_Matrix!$C$4:$C$15,0),MATCH(N1715,10_ASIL_Matrix!$D$3:$F$3,0)))))</f>
        <v>QM</v>
      </c>
      <c r="Q1715" s="6" t="s">
        <v>448</v>
      </c>
    </row>
    <row r="1716" customFormat="false" ht="35.05" hidden="false" customHeight="false" outlineLevel="0" collapsed="false">
      <c r="A1716" s="5" t="s">
        <v>4112</v>
      </c>
      <c r="B1716" s="5" t="s">
        <v>105</v>
      </c>
      <c r="C1716" s="5" t="s">
        <v>106</v>
      </c>
      <c r="D1716" s="5" t="s">
        <v>173</v>
      </c>
      <c r="E1716" s="5" t="s">
        <v>174</v>
      </c>
      <c r="F1716" s="5" t="s">
        <v>186</v>
      </c>
      <c r="G1716" s="5" t="s">
        <v>443</v>
      </c>
      <c r="H1716" s="5" t="s">
        <v>226</v>
      </c>
      <c r="I1716" s="5" t="s">
        <v>4113</v>
      </c>
      <c r="J1716" s="5" t="s">
        <v>246</v>
      </c>
      <c r="K1716" s="5" t="s">
        <v>2789</v>
      </c>
      <c r="L1716" s="5" t="s">
        <v>190</v>
      </c>
      <c r="M1716" s="5" t="s">
        <v>454</v>
      </c>
      <c r="N1716" s="5" t="s">
        <v>282</v>
      </c>
      <c r="O1716" s="5" t="s">
        <v>2790</v>
      </c>
      <c r="P1716" s="5" t="str">
        <f aca="false">IF(J1716="S0","—",IF(K1716="","",IF(L1716="E0","QM",INDEX(10_ASIL_Matrix!$D$4:$F$15,MATCH(J1716&amp;"-"&amp;L1716,10_ASIL_Matrix!$C$4:$C$15,0),MATCH(N1716,10_ASIL_Matrix!$D$3:$F$3,0)))))</f>
        <v>QM</v>
      </c>
      <c r="Q1716" s="5" t="s">
        <v>448</v>
      </c>
    </row>
    <row r="1717" customFormat="false" ht="35.05" hidden="false" customHeight="false" outlineLevel="0" collapsed="false">
      <c r="A1717" s="6" t="s">
        <v>4114</v>
      </c>
      <c r="B1717" s="6" t="s">
        <v>105</v>
      </c>
      <c r="C1717" s="6" t="s">
        <v>106</v>
      </c>
      <c r="D1717" s="6" t="s">
        <v>173</v>
      </c>
      <c r="E1717" s="6" t="s">
        <v>174</v>
      </c>
      <c r="F1717" s="6" t="s">
        <v>186</v>
      </c>
      <c r="G1717" s="6" t="s">
        <v>443</v>
      </c>
      <c r="H1717" s="6" t="s">
        <v>228</v>
      </c>
      <c r="I1717" s="6" t="s">
        <v>4115</v>
      </c>
      <c r="J1717" s="6" t="s">
        <v>246</v>
      </c>
      <c r="K1717" s="6" t="s">
        <v>2789</v>
      </c>
      <c r="L1717" s="6" t="s">
        <v>205</v>
      </c>
      <c r="M1717" s="6" t="s">
        <v>457</v>
      </c>
      <c r="N1717" s="6" t="s">
        <v>282</v>
      </c>
      <c r="O1717" s="6" t="s">
        <v>2790</v>
      </c>
      <c r="P1717" s="6" t="str">
        <f aca="false">IF(J1717="S0","—",IF(K1717="","",IF(L1717="E0","QM",INDEX(10_ASIL_Matrix!$D$4:$F$15,MATCH(J1717&amp;"-"&amp;L1717,10_ASIL_Matrix!$C$4:$C$15,0),MATCH(N1717,10_ASIL_Matrix!$D$3:$F$3,0)))))</f>
        <v>QM</v>
      </c>
      <c r="Q1717" s="6" t="s">
        <v>448</v>
      </c>
    </row>
    <row r="1718" customFormat="false" ht="35.05" hidden="false" customHeight="false" outlineLevel="0" collapsed="false">
      <c r="A1718" s="5" t="s">
        <v>4116</v>
      </c>
      <c r="B1718" s="5" t="s">
        <v>105</v>
      </c>
      <c r="C1718" s="5" t="s">
        <v>106</v>
      </c>
      <c r="D1718" s="5" t="s">
        <v>173</v>
      </c>
      <c r="E1718" s="5" t="s">
        <v>174</v>
      </c>
      <c r="F1718" s="5" t="s">
        <v>186</v>
      </c>
      <c r="G1718" s="5" t="s">
        <v>443</v>
      </c>
      <c r="H1718" s="5" t="s">
        <v>230</v>
      </c>
      <c r="I1718" s="5" t="s">
        <v>4117</v>
      </c>
      <c r="J1718" s="5" t="s">
        <v>250</v>
      </c>
      <c r="K1718" s="5" t="s">
        <v>2799</v>
      </c>
      <c r="L1718" s="5" t="s">
        <v>205</v>
      </c>
      <c r="M1718" s="5" t="s">
        <v>460</v>
      </c>
      <c r="N1718" s="5" t="s">
        <v>286</v>
      </c>
      <c r="O1718" s="5" t="s">
        <v>2800</v>
      </c>
      <c r="P1718" s="19" t="str">
        <f aca="false">IF(J1718="S0","—",IF(K1718="","",IF(L1718="E0","QM",INDEX(10_ASIL_Matrix!$D$4:$F$15,MATCH(J1718&amp;"-"&amp;L1718,10_ASIL_Matrix!$C$4:$C$15,0),MATCH(N1718,10_ASIL_Matrix!$D$3:$F$3,0)))))</f>
        <v>A</v>
      </c>
      <c r="Q1718" s="5" t="s">
        <v>448</v>
      </c>
    </row>
    <row r="1719" customFormat="false" ht="46.25" hidden="false" customHeight="false" outlineLevel="0" collapsed="false">
      <c r="A1719" s="6" t="s">
        <v>4118</v>
      </c>
      <c r="B1719" s="6" t="s">
        <v>105</v>
      </c>
      <c r="C1719" s="6" t="s">
        <v>106</v>
      </c>
      <c r="D1719" s="6" t="s">
        <v>173</v>
      </c>
      <c r="E1719" s="6" t="s">
        <v>174</v>
      </c>
      <c r="F1719" s="6" t="s">
        <v>186</v>
      </c>
      <c r="G1719" s="6" t="s">
        <v>443</v>
      </c>
      <c r="H1719" s="6" t="s">
        <v>232</v>
      </c>
      <c r="I1719" s="6" t="s">
        <v>4119</v>
      </c>
      <c r="J1719" s="6" t="s">
        <v>246</v>
      </c>
      <c r="K1719" s="6" t="s">
        <v>2789</v>
      </c>
      <c r="L1719" s="6" t="s">
        <v>233</v>
      </c>
      <c r="M1719" s="6" t="s">
        <v>464</v>
      </c>
      <c r="N1719" s="6" t="s">
        <v>282</v>
      </c>
      <c r="O1719" s="6" t="s">
        <v>2790</v>
      </c>
      <c r="P1719" s="6" t="str">
        <f aca="false">IF(J1719="S0","—",IF(K1719="","",IF(L1719="E0","QM",INDEX(10_ASIL_Matrix!$D$4:$F$15,MATCH(J1719&amp;"-"&amp;L1719,10_ASIL_Matrix!$C$4:$C$15,0),MATCH(N1719,10_ASIL_Matrix!$D$3:$F$3,0)))))</f>
        <v>QM</v>
      </c>
      <c r="Q1719" s="6" t="s">
        <v>448</v>
      </c>
    </row>
    <row r="1720" customFormat="false" ht="35.05" hidden="false" customHeight="false" outlineLevel="0" collapsed="false">
      <c r="A1720" s="5" t="s">
        <v>4120</v>
      </c>
      <c r="B1720" s="5" t="s">
        <v>105</v>
      </c>
      <c r="C1720" s="5" t="s">
        <v>106</v>
      </c>
      <c r="D1720" s="5" t="s">
        <v>173</v>
      </c>
      <c r="E1720" s="5" t="s">
        <v>174</v>
      </c>
      <c r="F1720" s="5" t="s">
        <v>189</v>
      </c>
      <c r="G1720" s="5" t="s">
        <v>466</v>
      </c>
      <c r="H1720" s="5" t="s">
        <v>222</v>
      </c>
      <c r="I1720" s="5" t="s">
        <v>4121</v>
      </c>
      <c r="J1720" s="5" t="s">
        <v>246</v>
      </c>
      <c r="K1720" s="5" t="s">
        <v>2805</v>
      </c>
      <c r="L1720" s="5" t="s">
        <v>190</v>
      </c>
      <c r="M1720" s="5" t="s">
        <v>469</v>
      </c>
      <c r="N1720" s="5" t="s">
        <v>282</v>
      </c>
      <c r="O1720" s="5" t="s">
        <v>2790</v>
      </c>
      <c r="P1720" s="5" t="str">
        <f aca="false">IF(J1720="S0","—",IF(K1720="","",IF(L1720="E0","QM",INDEX(10_ASIL_Matrix!$D$4:$F$15,MATCH(J1720&amp;"-"&amp;L1720,10_ASIL_Matrix!$C$4:$C$15,0),MATCH(N1720,10_ASIL_Matrix!$D$3:$F$3,0)))))</f>
        <v>QM</v>
      </c>
      <c r="Q1720" s="5" t="s">
        <v>448</v>
      </c>
    </row>
    <row r="1721" customFormat="false" ht="35.05" hidden="false" customHeight="false" outlineLevel="0" collapsed="false">
      <c r="A1721" s="6" t="s">
        <v>4122</v>
      </c>
      <c r="B1721" s="6" t="s">
        <v>105</v>
      </c>
      <c r="C1721" s="6" t="s">
        <v>106</v>
      </c>
      <c r="D1721" s="6" t="s">
        <v>173</v>
      </c>
      <c r="E1721" s="6" t="s">
        <v>174</v>
      </c>
      <c r="F1721" s="6" t="s">
        <v>189</v>
      </c>
      <c r="G1721" s="6" t="s">
        <v>466</v>
      </c>
      <c r="H1721" s="6" t="s">
        <v>224</v>
      </c>
      <c r="I1721" s="6" t="s">
        <v>4123</v>
      </c>
      <c r="J1721" s="6" t="s">
        <v>250</v>
      </c>
      <c r="K1721" s="6" t="s">
        <v>2808</v>
      </c>
      <c r="L1721" s="6" t="s">
        <v>190</v>
      </c>
      <c r="M1721" s="6" t="s">
        <v>473</v>
      </c>
      <c r="N1721" s="6" t="s">
        <v>282</v>
      </c>
      <c r="O1721" s="6" t="s">
        <v>2809</v>
      </c>
      <c r="P1721" s="19" t="str">
        <f aca="false">IF(J1721="S0","—",IF(K1721="","",IF(L1721="E0","QM",INDEX(10_ASIL_Matrix!$D$4:$F$15,MATCH(J1721&amp;"-"&amp;L1721,10_ASIL_Matrix!$C$4:$C$15,0),MATCH(N1721,10_ASIL_Matrix!$D$3:$F$3,0)))))</f>
        <v>A</v>
      </c>
      <c r="Q1721" s="6" t="s">
        <v>448</v>
      </c>
    </row>
    <row r="1722" customFormat="false" ht="35.05" hidden="false" customHeight="false" outlineLevel="0" collapsed="false">
      <c r="A1722" s="5" t="s">
        <v>4124</v>
      </c>
      <c r="B1722" s="5" t="s">
        <v>105</v>
      </c>
      <c r="C1722" s="5" t="s">
        <v>106</v>
      </c>
      <c r="D1722" s="5" t="s">
        <v>173</v>
      </c>
      <c r="E1722" s="5" t="s">
        <v>174</v>
      </c>
      <c r="F1722" s="5" t="s">
        <v>189</v>
      </c>
      <c r="G1722" s="5" t="s">
        <v>466</v>
      </c>
      <c r="H1722" s="5" t="s">
        <v>226</v>
      </c>
      <c r="I1722" s="5" t="s">
        <v>4125</v>
      </c>
      <c r="J1722" s="5" t="s">
        <v>246</v>
      </c>
      <c r="K1722" s="5" t="s">
        <v>2805</v>
      </c>
      <c r="L1722" s="5" t="s">
        <v>190</v>
      </c>
      <c r="M1722" s="5" t="s">
        <v>476</v>
      </c>
      <c r="N1722" s="5" t="s">
        <v>282</v>
      </c>
      <c r="O1722" s="5" t="s">
        <v>2790</v>
      </c>
      <c r="P1722" s="5" t="str">
        <f aca="false">IF(J1722="S0","—",IF(K1722="","",IF(L1722="E0","QM",INDEX(10_ASIL_Matrix!$D$4:$F$15,MATCH(J1722&amp;"-"&amp;L1722,10_ASIL_Matrix!$C$4:$C$15,0),MATCH(N1722,10_ASIL_Matrix!$D$3:$F$3,0)))))</f>
        <v>QM</v>
      </c>
      <c r="Q1722" s="5" t="s">
        <v>448</v>
      </c>
    </row>
    <row r="1723" customFormat="false" ht="35.05" hidden="false" customHeight="false" outlineLevel="0" collapsed="false">
      <c r="A1723" s="6" t="s">
        <v>4126</v>
      </c>
      <c r="B1723" s="6" t="s">
        <v>105</v>
      </c>
      <c r="C1723" s="6" t="s">
        <v>106</v>
      </c>
      <c r="D1723" s="6" t="s">
        <v>173</v>
      </c>
      <c r="E1723" s="6" t="s">
        <v>174</v>
      </c>
      <c r="F1723" s="6" t="s">
        <v>189</v>
      </c>
      <c r="G1723" s="6" t="s">
        <v>466</v>
      </c>
      <c r="H1723" s="6" t="s">
        <v>228</v>
      </c>
      <c r="I1723" s="6" t="s">
        <v>4127</v>
      </c>
      <c r="J1723" s="6" t="s">
        <v>250</v>
      </c>
      <c r="K1723" s="6" t="s">
        <v>2808</v>
      </c>
      <c r="L1723" s="6" t="s">
        <v>205</v>
      </c>
      <c r="M1723" s="6" t="s">
        <v>479</v>
      </c>
      <c r="N1723" s="6" t="s">
        <v>282</v>
      </c>
      <c r="O1723" s="6" t="s">
        <v>2809</v>
      </c>
      <c r="P1723" s="6" t="str">
        <f aca="false">IF(J1723="S0","—",IF(K1723="","",IF(L1723="E0","QM",INDEX(10_ASIL_Matrix!$D$4:$F$15,MATCH(J1723&amp;"-"&amp;L1723,10_ASIL_Matrix!$C$4:$C$15,0),MATCH(N1723,10_ASIL_Matrix!$D$3:$F$3,0)))))</f>
        <v>QM</v>
      </c>
      <c r="Q1723" s="6" t="s">
        <v>448</v>
      </c>
    </row>
    <row r="1724" customFormat="false" ht="35.05" hidden="false" customHeight="false" outlineLevel="0" collapsed="false">
      <c r="A1724" s="5" t="s">
        <v>4128</v>
      </c>
      <c r="B1724" s="5" t="s">
        <v>105</v>
      </c>
      <c r="C1724" s="5" t="s">
        <v>106</v>
      </c>
      <c r="D1724" s="5" t="s">
        <v>173</v>
      </c>
      <c r="E1724" s="5" t="s">
        <v>174</v>
      </c>
      <c r="F1724" s="5" t="s">
        <v>189</v>
      </c>
      <c r="G1724" s="5" t="s">
        <v>466</v>
      </c>
      <c r="H1724" s="5" t="s">
        <v>230</v>
      </c>
      <c r="I1724" s="5" t="s">
        <v>4129</v>
      </c>
      <c r="J1724" s="5" t="s">
        <v>250</v>
      </c>
      <c r="K1724" s="5" t="s">
        <v>2816</v>
      </c>
      <c r="L1724" s="5" t="s">
        <v>205</v>
      </c>
      <c r="M1724" s="5" t="s">
        <v>482</v>
      </c>
      <c r="N1724" s="5" t="s">
        <v>286</v>
      </c>
      <c r="O1724" s="5" t="s">
        <v>2800</v>
      </c>
      <c r="P1724" s="19" t="str">
        <f aca="false">IF(J1724="S0","—",IF(K1724="","",IF(L1724="E0","QM",INDEX(10_ASIL_Matrix!$D$4:$F$15,MATCH(J1724&amp;"-"&amp;L1724,10_ASIL_Matrix!$C$4:$C$15,0),MATCH(N1724,10_ASIL_Matrix!$D$3:$F$3,0)))))</f>
        <v>A</v>
      </c>
      <c r="Q1724" s="5" t="s">
        <v>448</v>
      </c>
    </row>
    <row r="1725" customFormat="false" ht="46.25" hidden="false" customHeight="false" outlineLevel="0" collapsed="false">
      <c r="A1725" s="6" t="s">
        <v>4130</v>
      </c>
      <c r="B1725" s="6" t="s">
        <v>105</v>
      </c>
      <c r="C1725" s="6" t="s">
        <v>106</v>
      </c>
      <c r="D1725" s="6" t="s">
        <v>173</v>
      </c>
      <c r="E1725" s="6" t="s">
        <v>174</v>
      </c>
      <c r="F1725" s="6" t="s">
        <v>189</v>
      </c>
      <c r="G1725" s="6" t="s">
        <v>466</v>
      </c>
      <c r="H1725" s="6" t="s">
        <v>232</v>
      </c>
      <c r="I1725" s="6" t="s">
        <v>4131</v>
      </c>
      <c r="J1725" s="6" t="s">
        <v>246</v>
      </c>
      <c r="K1725" s="6" t="s">
        <v>2805</v>
      </c>
      <c r="L1725" s="6" t="s">
        <v>233</v>
      </c>
      <c r="M1725" s="6" t="s">
        <v>486</v>
      </c>
      <c r="N1725" s="6" t="s">
        <v>282</v>
      </c>
      <c r="O1725" s="6" t="s">
        <v>2790</v>
      </c>
      <c r="P1725" s="6" t="str">
        <f aca="false">IF(J1725="S0","—",IF(K1725="","",IF(L1725="E0","QM",INDEX(10_ASIL_Matrix!$D$4:$F$15,MATCH(J1725&amp;"-"&amp;L1725,10_ASIL_Matrix!$C$4:$C$15,0),MATCH(N1725,10_ASIL_Matrix!$D$3:$F$3,0)))))</f>
        <v>QM</v>
      </c>
      <c r="Q1725" s="6" t="s">
        <v>448</v>
      </c>
    </row>
    <row r="1726" customFormat="false" ht="35.05" hidden="false" customHeight="false" outlineLevel="0" collapsed="false">
      <c r="A1726" s="5" t="s">
        <v>4132</v>
      </c>
      <c r="B1726" s="5" t="s">
        <v>105</v>
      </c>
      <c r="C1726" s="5" t="s">
        <v>106</v>
      </c>
      <c r="D1726" s="5" t="s">
        <v>173</v>
      </c>
      <c r="E1726" s="5" t="s">
        <v>174</v>
      </c>
      <c r="F1726" s="5" t="s">
        <v>192</v>
      </c>
      <c r="G1726" s="5" t="s">
        <v>488</v>
      </c>
      <c r="H1726" s="5" t="s">
        <v>222</v>
      </c>
      <c r="I1726" s="5" t="s">
        <v>4133</v>
      </c>
      <c r="J1726" s="5" t="s">
        <v>246</v>
      </c>
      <c r="K1726" s="5" t="s">
        <v>2821</v>
      </c>
      <c r="L1726" s="5" t="s">
        <v>187</v>
      </c>
      <c r="M1726" s="5" t="s">
        <v>491</v>
      </c>
      <c r="N1726" s="5" t="s">
        <v>282</v>
      </c>
      <c r="O1726" s="5" t="s">
        <v>2790</v>
      </c>
      <c r="P1726" s="19" t="str">
        <f aca="false">IF(J1726="S0","—",IF(K1726="","",IF(L1726="E0","QM",INDEX(10_ASIL_Matrix!$D$4:$F$15,MATCH(J1726&amp;"-"&amp;L1726,10_ASIL_Matrix!$C$4:$C$15,0),MATCH(N1726,10_ASIL_Matrix!$D$3:$F$3,0)))))</f>
        <v>A</v>
      </c>
      <c r="Q1726" s="5" t="s">
        <v>448</v>
      </c>
    </row>
    <row r="1727" customFormat="false" ht="35.05" hidden="false" customHeight="false" outlineLevel="0" collapsed="false">
      <c r="A1727" s="6" t="s">
        <v>4134</v>
      </c>
      <c r="B1727" s="6" t="s">
        <v>105</v>
      </c>
      <c r="C1727" s="6" t="s">
        <v>106</v>
      </c>
      <c r="D1727" s="6" t="s">
        <v>173</v>
      </c>
      <c r="E1727" s="6" t="s">
        <v>174</v>
      </c>
      <c r="F1727" s="6" t="s">
        <v>192</v>
      </c>
      <c r="G1727" s="6" t="s">
        <v>488</v>
      </c>
      <c r="H1727" s="6" t="s">
        <v>224</v>
      </c>
      <c r="I1727" s="6" t="s">
        <v>4135</v>
      </c>
      <c r="J1727" s="6" t="s">
        <v>246</v>
      </c>
      <c r="K1727" s="6" t="s">
        <v>2821</v>
      </c>
      <c r="L1727" s="6" t="s">
        <v>190</v>
      </c>
      <c r="M1727" s="6" t="s">
        <v>494</v>
      </c>
      <c r="N1727" s="6" t="s">
        <v>282</v>
      </c>
      <c r="O1727" s="6" t="s">
        <v>2790</v>
      </c>
      <c r="P1727" s="6" t="str">
        <f aca="false">IF(J1727="S0","—",IF(K1727="","",IF(L1727="E0","QM",INDEX(10_ASIL_Matrix!$D$4:$F$15,MATCH(J1727&amp;"-"&amp;L1727,10_ASIL_Matrix!$C$4:$C$15,0),MATCH(N1727,10_ASIL_Matrix!$D$3:$F$3,0)))))</f>
        <v>QM</v>
      </c>
      <c r="Q1727" s="6" t="s">
        <v>448</v>
      </c>
    </row>
    <row r="1728" customFormat="false" ht="35.05" hidden="false" customHeight="false" outlineLevel="0" collapsed="false">
      <c r="A1728" s="5" t="s">
        <v>4136</v>
      </c>
      <c r="B1728" s="5" t="s">
        <v>105</v>
      </c>
      <c r="C1728" s="5" t="s">
        <v>106</v>
      </c>
      <c r="D1728" s="5" t="s">
        <v>173</v>
      </c>
      <c r="E1728" s="5" t="s">
        <v>174</v>
      </c>
      <c r="F1728" s="5" t="s">
        <v>192</v>
      </c>
      <c r="G1728" s="5" t="s">
        <v>488</v>
      </c>
      <c r="H1728" s="5" t="s">
        <v>226</v>
      </c>
      <c r="I1728" s="5" t="s">
        <v>4137</v>
      </c>
      <c r="J1728" s="5" t="s">
        <v>246</v>
      </c>
      <c r="K1728" s="5" t="s">
        <v>2821</v>
      </c>
      <c r="L1728" s="5" t="s">
        <v>190</v>
      </c>
      <c r="M1728" s="5" t="s">
        <v>497</v>
      </c>
      <c r="N1728" s="5" t="s">
        <v>282</v>
      </c>
      <c r="O1728" s="5" t="s">
        <v>2790</v>
      </c>
      <c r="P1728" s="5" t="str">
        <f aca="false">IF(J1728="S0","—",IF(K1728="","",IF(L1728="E0","QM",INDEX(10_ASIL_Matrix!$D$4:$F$15,MATCH(J1728&amp;"-"&amp;L1728,10_ASIL_Matrix!$C$4:$C$15,0),MATCH(N1728,10_ASIL_Matrix!$D$3:$F$3,0)))))</f>
        <v>QM</v>
      </c>
      <c r="Q1728" s="5" t="s">
        <v>448</v>
      </c>
    </row>
    <row r="1729" customFormat="false" ht="35.05" hidden="false" customHeight="false" outlineLevel="0" collapsed="false">
      <c r="A1729" s="6" t="s">
        <v>4138</v>
      </c>
      <c r="B1729" s="6" t="s">
        <v>105</v>
      </c>
      <c r="C1729" s="6" t="s">
        <v>106</v>
      </c>
      <c r="D1729" s="6" t="s">
        <v>173</v>
      </c>
      <c r="E1729" s="6" t="s">
        <v>174</v>
      </c>
      <c r="F1729" s="6" t="s">
        <v>192</v>
      </c>
      <c r="G1729" s="6" t="s">
        <v>488</v>
      </c>
      <c r="H1729" s="6" t="s">
        <v>228</v>
      </c>
      <c r="I1729" s="6" t="s">
        <v>4139</v>
      </c>
      <c r="J1729" s="6" t="s">
        <v>246</v>
      </c>
      <c r="K1729" s="6" t="s">
        <v>2821</v>
      </c>
      <c r="L1729" s="6" t="s">
        <v>205</v>
      </c>
      <c r="M1729" s="6" t="s">
        <v>500</v>
      </c>
      <c r="N1729" s="6" t="s">
        <v>282</v>
      </c>
      <c r="O1729" s="6" t="s">
        <v>2790</v>
      </c>
      <c r="P1729" s="6" t="str">
        <f aca="false">IF(J1729="S0","—",IF(K1729="","",IF(L1729="E0","QM",INDEX(10_ASIL_Matrix!$D$4:$F$15,MATCH(J1729&amp;"-"&amp;L1729,10_ASIL_Matrix!$C$4:$C$15,0),MATCH(N1729,10_ASIL_Matrix!$D$3:$F$3,0)))))</f>
        <v>QM</v>
      </c>
      <c r="Q1729" s="6" t="s">
        <v>448</v>
      </c>
    </row>
    <row r="1730" customFormat="false" ht="35.05" hidden="false" customHeight="false" outlineLevel="0" collapsed="false">
      <c r="A1730" s="5" t="s">
        <v>4140</v>
      </c>
      <c r="B1730" s="5" t="s">
        <v>105</v>
      </c>
      <c r="C1730" s="5" t="s">
        <v>106</v>
      </c>
      <c r="D1730" s="5" t="s">
        <v>173</v>
      </c>
      <c r="E1730" s="5" t="s">
        <v>174</v>
      </c>
      <c r="F1730" s="5" t="s">
        <v>192</v>
      </c>
      <c r="G1730" s="5" t="s">
        <v>488</v>
      </c>
      <c r="H1730" s="5" t="s">
        <v>230</v>
      </c>
      <c r="I1730" s="5" t="s">
        <v>4141</v>
      </c>
      <c r="J1730" s="5" t="s">
        <v>250</v>
      </c>
      <c r="K1730" s="5" t="s">
        <v>2830</v>
      </c>
      <c r="L1730" s="5" t="s">
        <v>205</v>
      </c>
      <c r="M1730" s="5" t="s">
        <v>503</v>
      </c>
      <c r="N1730" s="5" t="s">
        <v>286</v>
      </c>
      <c r="O1730" s="5" t="s">
        <v>2800</v>
      </c>
      <c r="P1730" s="19" t="str">
        <f aca="false">IF(J1730="S0","—",IF(K1730="","",IF(L1730="E0","QM",INDEX(10_ASIL_Matrix!$D$4:$F$15,MATCH(J1730&amp;"-"&amp;L1730,10_ASIL_Matrix!$C$4:$C$15,0),MATCH(N1730,10_ASIL_Matrix!$D$3:$F$3,0)))))</f>
        <v>A</v>
      </c>
      <c r="Q1730" s="5" t="s">
        <v>448</v>
      </c>
    </row>
    <row r="1731" customFormat="false" ht="46.25" hidden="false" customHeight="false" outlineLevel="0" collapsed="false">
      <c r="A1731" s="6" t="s">
        <v>4142</v>
      </c>
      <c r="B1731" s="6" t="s">
        <v>105</v>
      </c>
      <c r="C1731" s="6" t="s">
        <v>106</v>
      </c>
      <c r="D1731" s="6" t="s">
        <v>173</v>
      </c>
      <c r="E1731" s="6" t="s">
        <v>174</v>
      </c>
      <c r="F1731" s="6" t="s">
        <v>192</v>
      </c>
      <c r="G1731" s="6" t="s">
        <v>488</v>
      </c>
      <c r="H1731" s="6" t="s">
        <v>232</v>
      </c>
      <c r="I1731" s="6" t="s">
        <v>4143</v>
      </c>
      <c r="J1731" s="6" t="s">
        <v>246</v>
      </c>
      <c r="K1731" s="6" t="s">
        <v>2821</v>
      </c>
      <c r="L1731" s="6" t="s">
        <v>233</v>
      </c>
      <c r="M1731" s="6" t="s">
        <v>506</v>
      </c>
      <c r="N1731" s="6" t="s">
        <v>282</v>
      </c>
      <c r="O1731" s="6" t="s">
        <v>2790</v>
      </c>
      <c r="P1731" s="6" t="str">
        <f aca="false">IF(J1731="S0","—",IF(K1731="","",IF(L1731="E0","QM",INDEX(10_ASIL_Matrix!$D$4:$F$15,MATCH(J1731&amp;"-"&amp;L1731,10_ASIL_Matrix!$C$4:$C$15,0),MATCH(N1731,10_ASIL_Matrix!$D$3:$F$3,0)))))</f>
        <v>QM</v>
      </c>
      <c r="Q1731" s="6" t="s">
        <v>448</v>
      </c>
    </row>
    <row r="1732" customFormat="false" ht="35.05" hidden="false" customHeight="false" outlineLevel="0" collapsed="false">
      <c r="A1732" s="5" t="s">
        <v>4144</v>
      </c>
      <c r="B1732" s="5" t="s">
        <v>105</v>
      </c>
      <c r="C1732" s="5" t="s">
        <v>106</v>
      </c>
      <c r="D1732" s="5" t="s">
        <v>173</v>
      </c>
      <c r="E1732" s="5" t="s">
        <v>174</v>
      </c>
      <c r="F1732" s="5" t="s">
        <v>194</v>
      </c>
      <c r="G1732" s="5" t="s">
        <v>508</v>
      </c>
      <c r="H1732" s="5" t="s">
        <v>222</v>
      </c>
      <c r="I1732" s="5" t="s">
        <v>4145</v>
      </c>
      <c r="J1732" s="5" t="s">
        <v>242</v>
      </c>
      <c r="K1732" s="5" t="s">
        <v>2835</v>
      </c>
      <c r="L1732" s="5" t="s">
        <v>190</v>
      </c>
      <c r="M1732" s="5" t="s">
        <v>511</v>
      </c>
      <c r="N1732" s="5" t="s">
        <v>282</v>
      </c>
      <c r="O1732" s="5" t="s">
        <v>2790</v>
      </c>
      <c r="P1732" s="5" t="str">
        <f aca="false">IF(J1732="S0","—",IF(K1732="","",IF(L1732="E0","QM",INDEX(10_ASIL_Matrix!$D$4:$F$15,MATCH(J1732&amp;"-"&amp;L1732,10_ASIL_Matrix!$C$4:$C$15,0),MATCH(N1732,10_ASIL_Matrix!$D$3:$F$3,0)))))</f>
        <v>QM</v>
      </c>
      <c r="Q1732" s="5" t="s">
        <v>448</v>
      </c>
    </row>
    <row r="1733" customFormat="false" ht="35.05" hidden="false" customHeight="false" outlineLevel="0" collapsed="false">
      <c r="A1733" s="6" t="s">
        <v>4146</v>
      </c>
      <c r="B1733" s="6" t="s">
        <v>105</v>
      </c>
      <c r="C1733" s="6" t="s">
        <v>106</v>
      </c>
      <c r="D1733" s="6" t="s">
        <v>173</v>
      </c>
      <c r="E1733" s="6" t="s">
        <v>174</v>
      </c>
      <c r="F1733" s="6" t="s">
        <v>194</v>
      </c>
      <c r="G1733" s="6" t="s">
        <v>508</v>
      </c>
      <c r="H1733" s="6" t="s">
        <v>224</v>
      </c>
      <c r="I1733" s="6" t="s">
        <v>4147</v>
      </c>
      <c r="J1733" s="6" t="s">
        <v>242</v>
      </c>
      <c r="K1733" s="6" t="s">
        <v>2835</v>
      </c>
      <c r="L1733" s="6" t="s">
        <v>190</v>
      </c>
      <c r="M1733" s="6" t="s">
        <v>514</v>
      </c>
      <c r="N1733" s="6" t="s">
        <v>282</v>
      </c>
      <c r="O1733" s="6" t="s">
        <v>2790</v>
      </c>
      <c r="P1733" s="6" t="str">
        <f aca="false">IF(J1733="S0","—",IF(K1733="","",IF(L1733="E0","QM",INDEX(10_ASIL_Matrix!$D$4:$F$15,MATCH(J1733&amp;"-"&amp;L1733,10_ASIL_Matrix!$C$4:$C$15,0),MATCH(N1733,10_ASIL_Matrix!$D$3:$F$3,0)))))</f>
        <v>QM</v>
      </c>
      <c r="Q1733" s="6" t="s">
        <v>448</v>
      </c>
    </row>
    <row r="1734" customFormat="false" ht="35.05" hidden="false" customHeight="false" outlineLevel="0" collapsed="false">
      <c r="A1734" s="5" t="s">
        <v>4148</v>
      </c>
      <c r="B1734" s="5" t="s">
        <v>105</v>
      </c>
      <c r="C1734" s="5" t="s">
        <v>106</v>
      </c>
      <c r="D1734" s="5" t="s">
        <v>173</v>
      </c>
      <c r="E1734" s="5" t="s">
        <v>174</v>
      </c>
      <c r="F1734" s="5" t="s">
        <v>194</v>
      </c>
      <c r="G1734" s="5" t="s">
        <v>508</v>
      </c>
      <c r="H1734" s="5" t="s">
        <v>226</v>
      </c>
      <c r="I1734" s="5" t="s">
        <v>4149</v>
      </c>
      <c r="J1734" s="5" t="s">
        <v>242</v>
      </c>
      <c r="K1734" s="5" t="s">
        <v>2835</v>
      </c>
      <c r="L1734" s="5" t="s">
        <v>190</v>
      </c>
      <c r="M1734" s="5" t="s">
        <v>517</v>
      </c>
      <c r="N1734" s="5" t="s">
        <v>282</v>
      </c>
      <c r="O1734" s="5" t="s">
        <v>2790</v>
      </c>
      <c r="P1734" s="5" t="str">
        <f aca="false">IF(J1734="S0","—",IF(K1734="","",IF(L1734="E0","QM",INDEX(10_ASIL_Matrix!$D$4:$F$15,MATCH(J1734&amp;"-"&amp;L1734,10_ASIL_Matrix!$C$4:$C$15,0),MATCH(N1734,10_ASIL_Matrix!$D$3:$F$3,0)))))</f>
        <v>QM</v>
      </c>
      <c r="Q1734" s="5" t="s">
        <v>448</v>
      </c>
    </row>
    <row r="1735" customFormat="false" ht="35.05" hidden="false" customHeight="false" outlineLevel="0" collapsed="false">
      <c r="A1735" s="6" t="s">
        <v>4150</v>
      </c>
      <c r="B1735" s="6" t="s">
        <v>105</v>
      </c>
      <c r="C1735" s="6" t="s">
        <v>106</v>
      </c>
      <c r="D1735" s="6" t="s">
        <v>173</v>
      </c>
      <c r="E1735" s="6" t="s">
        <v>174</v>
      </c>
      <c r="F1735" s="6" t="s">
        <v>194</v>
      </c>
      <c r="G1735" s="6" t="s">
        <v>508</v>
      </c>
      <c r="H1735" s="6" t="s">
        <v>228</v>
      </c>
      <c r="I1735" s="6" t="s">
        <v>4151</v>
      </c>
      <c r="J1735" s="6" t="s">
        <v>242</v>
      </c>
      <c r="K1735" s="6" t="s">
        <v>2835</v>
      </c>
      <c r="L1735" s="6" t="s">
        <v>205</v>
      </c>
      <c r="M1735" s="6" t="s">
        <v>520</v>
      </c>
      <c r="N1735" s="6" t="s">
        <v>282</v>
      </c>
      <c r="O1735" s="6" t="s">
        <v>2790</v>
      </c>
      <c r="P1735" s="6" t="str">
        <f aca="false">IF(J1735="S0","—",IF(K1735="","",IF(L1735="E0","QM",INDEX(10_ASIL_Matrix!$D$4:$F$15,MATCH(J1735&amp;"-"&amp;L1735,10_ASIL_Matrix!$C$4:$C$15,0),MATCH(N1735,10_ASIL_Matrix!$D$3:$F$3,0)))))</f>
        <v>QM</v>
      </c>
      <c r="Q1735" s="6" t="s">
        <v>448</v>
      </c>
    </row>
    <row r="1736" customFormat="false" ht="35.05" hidden="false" customHeight="false" outlineLevel="0" collapsed="false">
      <c r="A1736" s="5" t="s">
        <v>4152</v>
      </c>
      <c r="B1736" s="5" t="s">
        <v>105</v>
      </c>
      <c r="C1736" s="5" t="s">
        <v>106</v>
      </c>
      <c r="D1736" s="5" t="s">
        <v>173</v>
      </c>
      <c r="E1736" s="5" t="s">
        <v>174</v>
      </c>
      <c r="F1736" s="5" t="s">
        <v>194</v>
      </c>
      <c r="G1736" s="5" t="s">
        <v>508</v>
      </c>
      <c r="H1736" s="5" t="s">
        <v>230</v>
      </c>
      <c r="I1736" s="5" t="s">
        <v>4153</v>
      </c>
      <c r="J1736" s="5" t="s">
        <v>246</v>
      </c>
      <c r="K1736" s="5" t="s">
        <v>2844</v>
      </c>
      <c r="L1736" s="5" t="s">
        <v>205</v>
      </c>
      <c r="M1736" s="5" t="s">
        <v>523</v>
      </c>
      <c r="N1736" s="5" t="s">
        <v>286</v>
      </c>
      <c r="O1736" s="5" t="s">
        <v>2800</v>
      </c>
      <c r="P1736" s="5" t="str">
        <f aca="false">IF(J1736="S0","—",IF(K1736="","",IF(L1736="E0","QM",INDEX(10_ASIL_Matrix!$D$4:$F$15,MATCH(J1736&amp;"-"&amp;L1736,10_ASIL_Matrix!$C$4:$C$15,0),MATCH(N1736,10_ASIL_Matrix!$D$3:$F$3,0)))))</f>
        <v>QM</v>
      </c>
      <c r="Q1736" s="5" t="s">
        <v>448</v>
      </c>
    </row>
    <row r="1737" customFormat="false" ht="46.25" hidden="false" customHeight="false" outlineLevel="0" collapsed="false">
      <c r="A1737" s="6" t="s">
        <v>4154</v>
      </c>
      <c r="B1737" s="6" t="s">
        <v>105</v>
      </c>
      <c r="C1737" s="6" t="s">
        <v>106</v>
      </c>
      <c r="D1737" s="6" t="s">
        <v>173</v>
      </c>
      <c r="E1737" s="6" t="s">
        <v>174</v>
      </c>
      <c r="F1737" s="6" t="s">
        <v>194</v>
      </c>
      <c r="G1737" s="6" t="s">
        <v>508</v>
      </c>
      <c r="H1737" s="6" t="s">
        <v>232</v>
      </c>
      <c r="I1737" s="6" t="s">
        <v>4155</v>
      </c>
      <c r="J1737" s="6" t="s">
        <v>242</v>
      </c>
      <c r="K1737" s="6" t="s">
        <v>2835</v>
      </c>
      <c r="L1737" s="6" t="s">
        <v>233</v>
      </c>
      <c r="M1737" s="6" t="s">
        <v>526</v>
      </c>
      <c r="N1737" s="6" t="s">
        <v>282</v>
      </c>
      <c r="O1737" s="6" t="s">
        <v>2790</v>
      </c>
      <c r="P1737" s="6" t="str">
        <f aca="false">IF(J1737="S0","—",IF(K1737="","",IF(L1737="E0","QM",INDEX(10_ASIL_Matrix!$D$4:$F$15,MATCH(J1737&amp;"-"&amp;L1737,10_ASIL_Matrix!$C$4:$C$15,0),MATCH(N1737,10_ASIL_Matrix!$D$3:$F$3,0)))))</f>
        <v>QM</v>
      </c>
      <c r="Q1737" s="6" t="s">
        <v>448</v>
      </c>
    </row>
    <row r="1738" customFormat="false" ht="35.05" hidden="false" customHeight="false" outlineLevel="0" collapsed="false">
      <c r="A1738" s="5" t="s">
        <v>4156</v>
      </c>
      <c r="B1738" s="5" t="s">
        <v>105</v>
      </c>
      <c r="C1738" s="5" t="s">
        <v>106</v>
      </c>
      <c r="D1738" s="5" t="s">
        <v>173</v>
      </c>
      <c r="E1738" s="5" t="s">
        <v>174</v>
      </c>
      <c r="F1738" s="5" t="s">
        <v>196</v>
      </c>
      <c r="G1738" s="5" t="s">
        <v>528</v>
      </c>
      <c r="H1738" s="5" t="s">
        <v>222</v>
      </c>
      <c r="I1738" s="5" t="s">
        <v>4157</v>
      </c>
      <c r="J1738" s="5" t="s">
        <v>246</v>
      </c>
      <c r="K1738" s="5" t="s">
        <v>2849</v>
      </c>
      <c r="L1738" s="5" t="s">
        <v>187</v>
      </c>
      <c r="M1738" s="5" t="s">
        <v>531</v>
      </c>
      <c r="N1738" s="5" t="s">
        <v>286</v>
      </c>
      <c r="O1738" s="5" t="s">
        <v>2850</v>
      </c>
      <c r="P1738" s="18" t="str">
        <f aca="false">IF(J1738="S0","—",IF(K1738="","",IF(L1738="E0","QM",INDEX(10_ASIL_Matrix!$D$4:$F$15,MATCH(J1738&amp;"-"&amp;L1738,10_ASIL_Matrix!$C$4:$C$15,0),MATCH(N1738,10_ASIL_Matrix!$D$3:$F$3,0)))))</f>
        <v>B</v>
      </c>
      <c r="Q1738" s="5" t="s">
        <v>448</v>
      </c>
    </row>
    <row r="1739" customFormat="false" ht="35.05" hidden="false" customHeight="false" outlineLevel="0" collapsed="false">
      <c r="A1739" s="6" t="s">
        <v>4158</v>
      </c>
      <c r="B1739" s="6" t="s">
        <v>105</v>
      </c>
      <c r="C1739" s="6" t="s">
        <v>106</v>
      </c>
      <c r="D1739" s="6" t="s">
        <v>173</v>
      </c>
      <c r="E1739" s="6" t="s">
        <v>174</v>
      </c>
      <c r="F1739" s="6" t="s">
        <v>196</v>
      </c>
      <c r="G1739" s="6" t="s">
        <v>528</v>
      </c>
      <c r="H1739" s="6" t="s">
        <v>224</v>
      </c>
      <c r="I1739" s="6" t="s">
        <v>4159</v>
      </c>
      <c r="J1739" s="6" t="s">
        <v>246</v>
      </c>
      <c r="K1739" s="6" t="s">
        <v>2849</v>
      </c>
      <c r="L1739" s="6" t="s">
        <v>190</v>
      </c>
      <c r="M1739" s="6" t="s">
        <v>534</v>
      </c>
      <c r="N1739" s="6" t="s">
        <v>286</v>
      </c>
      <c r="O1739" s="6" t="s">
        <v>2850</v>
      </c>
      <c r="P1739" s="19" t="str">
        <f aca="false">IF(J1739="S0","—",IF(K1739="","",IF(L1739="E0","QM",INDEX(10_ASIL_Matrix!$D$4:$F$15,MATCH(J1739&amp;"-"&amp;L1739,10_ASIL_Matrix!$C$4:$C$15,0),MATCH(N1739,10_ASIL_Matrix!$D$3:$F$3,0)))))</f>
        <v>A</v>
      </c>
      <c r="Q1739" s="6" t="s">
        <v>448</v>
      </c>
    </row>
    <row r="1740" customFormat="false" ht="35.05" hidden="false" customHeight="false" outlineLevel="0" collapsed="false">
      <c r="A1740" s="5" t="s">
        <v>4160</v>
      </c>
      <c r="B1740" s="5" t="s">
        <v>105</v>
      </c>
      <c r="C1740" s="5" t="s">
        <v>106</v>
      </c>
      <c r="D1740" s="5" t="s">
        <v>173</v>
      </c>
      <c r="E1740" s="5" t="s">
        <v>174</v>
      </c>
      <c r="F1740" s="5" t="s">
        <v>196</v>
      </c>
      <c r="G1740" s="5" t="s">
        <v>528</v>
      </c>
      <c r="H1740" s="5" t="s">
        <v>226</v>
      </c>
      <c r="I1740" s="5" t="s">
        <v>4161</v>
      </c>
      <c r="J1740" s="5" t="s">
        <v>246</v>
      </c>
      <c r="K1740" s="5" t="s">
        <v>2849</v>
      </c>
      <c r="L1740" s="5" t="s">
        <v>190</v>
      </c>
      <c r="M1740" s="5" t="s">
        <v>537</v>
      </c>
      <c r="N1740" s="5" t="s">
        <v>286</v>
      </c>
      <c r="O1740" s="5" t="s">
        <v>2850</v>
      </c>
      <c r="P1740" s="19" t="str">
        <f aca="false">IF(J1740="S0","—",IF(K1740="","",IF(L1740="E0","QM",INDEX(10_ASIL_Matrix!$D$4:$F$15,MATCH(J1740&amp;"-"&amp;L1740,10_ASIL_Matrix!$C$4:$C$15,0),MATCH(N1740,10_ASIL_Matrix!$D$3:$F$3,0)))))</f>
        <v>A</v>
      </c>
      <c r="Q1740" s="5" t="s">
        <v>448</v>
      </c>
    </row>
    <row r="1741" customFormat="false" ht="35.05" hidden="false" customHeight="false" outlineLevel="0" collapsed="false">
      <c r="A1741" s="6" t="s">
        <v>4162</v>
      </c>
      <c r="B1741" s="6" t="s">
        <v>105</v>
      </c>
      <c r="C1741" s="6" t="s">
        <v>106</v>
      </c>
      <c r="D1741" s="6" t="s">
        <v>173</v>
      </c>
      <c r="E1741" s="6" t="s">
        <v>174</v>
      </c>
      <c r="F1741" s="6" t="s">
        <v>196</v>
      </c>
      <c r="G1741" s="6" t="s">
        <v>528</v>
      </c>
      <c r="H1741" s="6" t="s">
        <v>228</v>
      </c>
      <c r="I1741" s="6" t="s">
        <v>4163</v>
      </c>
      <c r="J1741" s="6" t="s">
        <v>246</v>
      </c>
      <c r="K1741" s="6" t="s">
        <v>2849</v>
      </c>
      <c r="L1741" s="6" t="s">
        <v>205</v>
      </c>
      <c r="M1741" s="6" t="s">
        <v>540</v>
      </c>
      <c r="N1741" s="6" t="s">
        <v>286</v>
      </c>
      <c r="O1741" s="6" t="s">
        <v>2850</v>
      </c>
      <c r="P1741" s="6" t="str">
        <f aca="false">IF(J1741="S0","—",IF(K1741="","",IF(L1741="E0","QM",INDEX(10_ASIL_Matrix!$D$4:$F$15,MATCH(J1741&amp;"-"&amp;L1741,10_ASIL_Matrix!$C$4:$C$15,0),MATCH(N1741,10_ASIL_Matrix!$D$3:$F$3,0)))))</f>
        <v>QM</v>
      </c>
      <c r="Q1741" s="6" t="s">
        <v>448</v>
      </c>
    </row>
    <row r="1742" customFormat="false" ht="35.05" hidden="false" customHeight="false" outlineLevel="0" collapsed="false">
      <c r="A1742" s="5" t="s">
        <v>4164</v>
      </c>
      <c r="B1742" s="5" t="s">
        <v>105</v>
      </c>
      <c r="C1742" s="5" t="s">
        <v>106</v>
      </c>
      <c r="D1742" s="5" t="s">
        <v>173</v>
      </c>
      <c r="E1742" s="5" t="s">
        <v>174</v>
      </c>
      <c r="F1742" s="5" t="s">
        <v>196</v>
      </c>
      <c r="G1742" s="5" t="s">
        <v>528</v>
      </c>
      <c r="H1742" s="5" t="s">
        <v>230</v>
      </c>
      <c r="I1742" s="5" t="s">
        <v>4165</v>
      </c>
      <c r="J1742" s="5" t="s">
        <v>250</v>
      </c>
      <c r="K1742" s="5" t="s">
        <v>2859</v>
      </c>
      <c r="L1742" s="5" t="s">
        <v>205</v>
      </c>
      <c r="M1742" s="5" t="s">
        <v>543</v>
      </c>
      <c r="N1742" s="5" t="s">
        <v>290</v>
      </c>
      <c r="O1742" s="5" t="s">
        <v>2860</v>
      </c>
      <c r="P1742" s="18" t="str">
        <f aca="false">IF(J1742="S0","—",IF(K1742="","",IF(L1742="E0","QM",INDEX(10_ASIL_Matrix!$D$4:$F$15,MATCH(J1742&amp;"-"&amp;L1742,10_ASIL_Matrix!$C$4:$C$15,0),MATCH(N1742,10_ASIL_Matrix!$D$3:$F$3,0)))))</f>
        <v>B</v>
      </c>
      <c r="Q1742" s="5" t="s">
        <v>448</v>
      </c>
    </row>
    <row r="1743" customFormat="false" ht="46.25" hidden="false" customHeight="false" outlineLevel="0" collapsed="false">
      <c r="A1743" s="6" t="s">
        <v>4166</v>
      </c>
      <c r="B1743" s="6" t="s">
        <v>105</v>
      </c>
      <c r="C1743" s="6" t="s">
        <v>106</v>
      </c>
      <c r="D1743" s="6" t="s">
        <v>173</v>
      </c>
      <c r="E1743" s="6" t="s">
        <v>174</v>
      </c>
      <c r="F1743" s="6" t="s">
        <v>196</v>
      </c>
      <c r="G1743" s="6" t="s">
        <v>528</v>
      </c>
      <c r="H1743" s="6" t="s">
        <v>232</v>
      </c>
      <c r="I1743" s="6" t="s">
        <v>4167</v>
      </c>
      <c r="J1743" s="6" t="s">
        <v>246</v>
      </c>
      <c r="K1743" s="6" t="s">
        <v>2849</v>
      </c>
      <c r="L1743" s="6" t="s">
        <v>233</v>
      </c>
      <c r="M1743" s="6" t="s">
        <v>546</v>
      </c>
      <c r="N1743" s="6" t="s">
        <v>286</v>
      </c>
      <c r="O1743" s="6" t="s">
        <v>2850</v>
      </c>
      <c r="P1743" s="6" t="str">
        <f aca="false">IF(J1743="S0","—",IF(K1743="","",IF(L1743="E0","QM",INDEX(10_ASIL_Matrix!$D$4:$F$15,MATCH(J1743&amp;"-"&amp;L1743,10_ASIL_Matrix!$C$4:$C$15,0),MATCH(N1743,10_ASIL_Matrix!$D$3:$F$3,0)))))</f>
        <v>QM</v>
      </c>
      <c r="Q1743" s="6" t="s">
        <v>448</v>
      </c>
    </row>
    <row r="1744" customFormat="false" ht="35.05" hidden="false" customHeight="false" outlineLevel="0" collapsed="false">
      <c r="A1744" s="5" t="s">
        <v>4168</v>
      </c>
      <c r="B1744" s="5" t="s">
        <v>105</v>
      </c>
      <c r="C1744" s="5" t="s">
        <v>106</v>
      </c>
      <c r="D1744" s="5" t="s">
        <v>173</v>
      </c>
      <c r="E1744" s="5" t="s">
        <v>174</v>
      </c>
      <c r="F1744" s="5" t="s">
        <v>198</v>
      </c>
      <c r="G1744" s="5" t="s">
        <v>548</v>
      </c>
      <c r="H1744" s="5" t="s">
        <v>222</v>
      </c>
      <c r="I1744" s="5" t="s">
        <v>4169</v>
      </c>
      <c r="J1744" s="5" t="s">
        <v>242</v>
      </c>
      <c r="K1744" s="5" t="s">
        <v>2865</v>
      </c>
      <c r="L1744" s="5" t="s">
        <v>190</v>
      </c>
      <c r="M1744" s="5" t="s">
        <v>551</v>
      </c>
      <c r="N1744" s="5" t="s">
        <v>282</v>
      </c>
      <c r="O1744" s="5" t="s">
        <v>2790</v>
      </c>
      <c r="P1744" s="5" t="str">
        <f aca="false">IF(J1744="S0","—",IF(K1744="","",IF(L1744="E0","QM",INDEX(10_ASIL_Matrix!$D$4:$F$15,MATCH(J1744&amp;"-"&amp;L1744,10_ASIL_Matrix!$C$4:$C$15,0),MATCH(N1744,10_ASIL_Matrix!$D$3:$F$3,0)))))</f>
        <v>QM</v>
      </c>
      <c r="Q1744" s="5" t="s">
        <v>448</v>
      </c>
    </row>
    <row r="1745" customFormat="false" ht="35.05" hidden="false" customHeight="false" outlineLevel="0" collapsed="false">
      <c r="A1745" s="6" t="s">
        <v>4170</v>
      </c>
      <c r="B1745" s="6" t="s">
        <v>105</v>
      </c>
      <c r="C1745" s="6" t="s">
        <v>106</v>
      </c>
      <c r="D1745" s="6" t="s">
        <v>173</v>
      </c>
      <c r="E1745" s="6" t="s">
        <v>174</v>
      </c>
      <c r="F1745" s="6" t="s">
        <v>198</v>
      </c>
      <c r="G1745" s="6" t="s">
        <v>548</v>
      </c>
      <c r="H1745" s="6" t="s">
        <v>224</v>
      </c>
      <c r="I1745" s="6" t="s">
        <v>4171</v>
      </c>
      <c r="J1745" s="6" t="s">
        <v>242</v>
      </c>
      <c r="K1745" s="6" t="s">
        <v>2865</v>
      </c>
      <c r="L1745" s="6" t="s">
        <v>190</v>
      </c>
      <c r="M1745" s="6" t="s">
        <v>555</v>
      </c>
      <c r="N1745" s="6" t="s">
        <v>282</v>
      </c>
      <c r="O1745" s="6" t="s">
        <v>2790</v>
      </c>
      <c r="P1745" s="6" t="str">
        <f aca="false">IF(J1745="S0","—",IF(K1745="","",IF(L1745="E0","QM",INDEX(10_ASIL_Matrix!$D$4:$F$15,MATCH(J1745&amp;"-"&amp;L1745,10_ASIL_Matrix!$C$4:$C$15,0),MATCH(N1745,10_ASIL_Matrix!$D$3:$F$3,0)))))</f>
        <v>QM</v>
      </c>
      <c r="Q1745" s="6" t="s">
        <v>448</v>
      </c>
    </row>
    <row r="1746" customFormat="false" ht="35.05" hidden="false" customHeight="false" outlineLevel="0" collapsed="false">
      <c r="A1746" s="5" t="s">
        <v>4172</v>
      </c>
      <c r="B1746" s="5" t="s">
        <v>105</v>
      </c>
      <c r="C1746" s="5" t="s">
        <v>106</v>
      </c>
      <c r="D1746" s="5" t="s">
        <v>173</v>
      </c>
      <c r="E1746" s="5" t="s">
        <v>174</v>
      </c>
      <c r="F1746" s="5" t="s">
        <v>198</v>
      </c>
      <c r="G1746" s="5" t="s">
        <v>548</v>
      </c>
      <c r="H1746" s="5" t="s">
        <v>226</v>
      </c>
      <c r="I1746" s="5" t="s">
        <v>4173</v>
      </c>
      <c r="J1746" s="5" t="s">
        <v>242</v>
      </c>
      <c r="K1746" s="5" t="s">
        <v>2865</v>
      </c>
      <c r="L1746" s="5" t="s">
        <v>190</v>
      </c>
      <c r="M1746" s="5" t="s">
        <v>558</v>
      </c>
      <c r="N1746" s="5" t="s">
        <v>282</v>
      </c>
      <c r="O1746" s="5" t="s">
        <v>2790</v>
      </c>
      <c r="P1746" s="5" t="str">
        <f aca="false">IF(J1746="S0","—",IF(K1746="","",IF(L1746="E0","QM",INDEX(10_ASIL_Matrix!$D$4:$F$15,MATCH(J1746&amp;"-"&amp;L1746,10_ASIL_Matrix!$C$4:$C$15,0),MATCH(N1746,10_ASIL_Matrix!$D$3:$F$3,0)))))</f>
        <v>QM</v>
      </c>
      <c r="Q1746" s="5" t="s">
        <v>448</v>
      </c>
    </row>
    <row r="1747" customFormat="false" ht="46.25" hidden="false" customHeight="false" outlineLevel="0" collapsed="false">
      <c r="A1747" s="6" t="s">
        <v>4174</v>
      </c>
      <c r="B1747" s="6" t="s">
        <v>105</v>
      </c>
      <c r="C1747" s="6" t="s">
        <v>106</v>
      </c>
      <c r="D1747" s="6" t="s">
        <v>173</v>
      </c>
      <c r="E1747" s="6" t="s">
        <v>174</v>
      </c>
      <c r="F1747" s="6" t="s">
        <v>198</v>
      </c>
      <c r="G1747" s="6" t="s">
        <v>548</v>
      </c>
      <c r="H1747" s="6" t="s">
        <v>228</v>
      </c>
      <c r="I1747" s="6" t="s">
        <v>4175</v>
      </c>
      <c r="J1747" s="6" t="s">
        <v>242</v>
      </c>
      <c r="K1747" s="6" t="s">
        <v>2865</v>
      </c>
      <c r="L1747" s="6" t="s">
        <v>205</v>
      </c>
      <c r="M1747" s="6" t="s">
        <v>561</v>
      </c>
      <c r="N1747" s="6" t="s">
        <v>282</v>
      </c>
      <c r="O1747" s="6" t="s">
        <v>2790</v>
      </c>
      <c r="P1747" s="6" t="str">
        <f aca="false">IF(J1747="S0","—",IF(K1747="","",IF(L1747="E0","QM",INDEX(10_ASIL_Matrix!$D$4:$F$15,MATCH(J1747&amp;"-"&amp;L1747,10_ASIL_Matrix!$C$4:$C$15,0),MATCH(N1747,10_ASIL_Matrix!$D$3:$F$3,0)))))</f>
        <v>QM</v>
      </c>
      <c r="Q1747" s="6" t="s">
        <v>448</v>
      </c>
    </row>
    <row r="1748" customFormat="false" ht="35.05" hidden="false" customHeight="false" outlineLevel="0" collapsed="false">
      <c r="A1748" s="5" t="s">
        <v>4176</v>
      </c>
      <c r="B1748" s="5" t="s">
        <v>105</v>
      </c>
      <c r="C1748" s="5" t="s">
        <v>106</v>
      </c>
      <c r="D1748" s="5" t="s">
        <v>173</v>
      </c>
      <c r="E1748" s="5" t="s">
        <v>174</v>
      </c>
      <c r="F1748" s="5" t="s">
        <v>198</v>
      </c>
      <c r="G1748" s="5" t="s">
        <v>548</v>
      </c>
      <c r="H1748" s="5" t="s">
        <v>230</v>
      </c>
      <c r="I1748" s="5" t="s">
        <v>4177</v>
      </c>
      <c r="J1748" s="5" t="s">
        <v>246</v>
      </c>
      <c r="K1748" s="5" t="s">
        <v>2874</v>
      </c>
      <c r="L1748" s="5" t="s">
        <v>205</v>
      </c>
      <c r="M1748" s="5" t="s">
        <v>564</v>
      </c>
      <c r="N1748" s="5" t="s">
        <v>286</v>
      </c>
      <c r="O1748" s="5" t="s">
        <v>2800</v>
      </c>
      <c r="P1748" s="5" t="str">
        <f aca="false">IF(J1748="S0","—",IF(K1748="","",IF(L1748="E0","QM",INDEX(10_ASIL_Matrix!$D$4:$F$15,MATCH(J1748&amp;"-"&amp;L1748,10_ASIL_Matrix!$C$4:$C$15,0),MATCH(N1748,10_ASIL_Matrix!$D$3:$F$3,0)))))</f>
        <v>QM</v>
      </c>
      <c r="Q1748" s="5" t="s">
        <v>448</v>
      </c>
    </row>
    <row r="1749" customFormat="false" ht="46.25" hidden="false" customHeight="false" outlineLevel="0" collapsed="false">
      <c r="A1749" s="6" t="s">
        <v>4178</v>
      </c>
      <c r="B1749" s="6" t="s">
        <v>105</v>
      </c>
      <c r="C1749" s="6" t="s">
        <v>106</v>
      </c>
      <c r="D1749" s="6" t="s">
        <v>173</v>
      </c>
      <c r="E1749" s="6" t="s">
        <v>174</v>
      </c>
      <c r="F1749" s="6" t="s">
        <v>198</v>
      </c>
      <c r="G1749" s="6" t="s">
        <v>548</v>
      </c>
      <c r="H1749" s="6" t="s">
        <v>232</v>
      </c>
      <c r="I1749" s="6" t="s">
        <v>4179</v>
      </c>
      <c r="J1749" s="6" t="s">
        <v>242</v>
      </c>
      <c r="K1749" s="6" t="s">
        <v>2865</v>
      </c>
      <c r="L1749" s="6" t="s">
        <v>233</v>
      </c>
      <c r="M1749" s="6" t="s">
        <v>568</v>
      </c>
      <c r="N1749" s="6" t="s">
        <v>282</v>
      </c>
      <c r="O1749" s="6" t="s">
        <v>2790</v>
      </c>
      <c r="P1749" s="6" t="str">
        <f aca="false">IF(J1749="S0","—",IF(K1749="","",IF(L1749="E0","QM",INDEX(10_ASIL_Matrix!$D$4:$F$15,MATCH(J1749&amp;"-"&amp;L1749,10_ASIL_Matrix!$C$4:$C$15,0),MATCH(N1749,10_ASIL_Matrix!$D$3:$F$3,0)))))</f>
        <v>QM</v>
      </c>
      <c r="Q1749" s="6" t="s">
        <v>448</v>
      </c>
    </row>
    <row r="1750" customFormat="false" ht="35.05" hidden="false" customHeight="false" outlineLevel="0" collapsed="false">
      <c r="A1750" s="5" t="s">
        <v>4180</v>
      </c>
      <c r="B1750" s="5" t="s">
        <v>105</v>
      </c>
      <c r="C1750" s="5" t="s">
        <v>106</v>
      </c>
      <c r="D1750" s="5" t="s">
        <v>173</v>
      </c>
      <c r="E1750" s="5" t="s">
        <v>174</v>
      </c>
      <c r="F1750" s="5" t="s">
        <v>200</v>
      </c>
      <c r="G1750" s="5" t="s">
        <v>570</v>
      </c>
      <c r="H1750" s="5" t="s">
        <v>222</v>
      </c>
      <c r="I1750" s="5" t="s">
        <v>4181</v>
      </c>
      <c r="J1750" s="5" t="s">
        <v>242</v>
      </c>
      <c r="K1750" s="5" t="s">
        <v>2879</v>
      </c>
      <c r="L1750" s="5" t="s">
        <v>190</v>
      </c>
      <c r="M1750" s="5" t="s">
        <v>573</v>
      </c>
      <c r="N1750" s="5" t="s">
        <v>282</v>
      </c>
      <c r="O1750" s="5" t="s">
        <v>2790</v>
      </c>
      <c r="P1750" s="5" t="str">
        <f aca="false">IF(J1750="S0","—",IF(K1750="","",IF(L1750="E0","QM",INDEX(10_ASIL_Matrix!$D$4:$F$15,MATCH(J1750&amp;"-"&amp;L1750,10_ASIL_Matrix!$C$4:$C$15,0),MATCH(N1750,10_ASIL_Matrix!$D$3:$F$3,0)))))</f>
        <v>QM</v>
      </c>
      <c r="Q1750" s="5" t="s">
        <v>448</v>
      </c>
    </row>
    <row r="1751" customFormat="false" ht="35.05" hidden="false" customHeight="false" outlineLevel="0" collapsed="false">
      <c r="A1751" s="6" t="s">
        <v>4182</v>
      </c>
      <c r="B1751" s="6" t="s">
        <v>105</v>
      </c>
      <c r="C1751" s="6" t="s">
        <v>106</v>
      </c>
      <c r="D1751" s="6" t="s">
        <v>173</v>
      </c>
      <c r="E1751" s="6" t="s">
        <v>174</v>
      </c>
      <c r="F1751" s="6" t="s">
        <v>200</v>
      </c>
      <c r="G1751" s="6" t="s">
        <v>570</v>
      </c>
      <c r="H1751" s="6" t="s">
        <v>224</v>
      </c>
      <c r="I1751" s="6" t="s">
        <v>4183</v>
      </c>
      <c r="J1751" s="6" t="s">
        <v>242</v>
      </c>
      <c r="K1751" s="6" t="s">
        <v>2879</v>
      </c>
      <c r="L1751" s="6" t="s">
        <v>190</v>
      </c>
      <c r="M1751" s="6" t="s">
        <v>576</v>
      </c>
      <c r="N1751" s="6" t="s">
        <v>282</v>
      </c>
      <c r="O1751" s="6" t="s">
        <v>2790</v>
      </c>
      <c r="P1751" s="6" t="str">
        <f aca="false">IF(J1751="S0","—",IF(K1751="","",IF(L1751="E0","QM",INDEX(10_ASIL_Matrix!$D$4:$F$15,MATCH(J1751&amp;"-"&amp;L1751,10_ASIL_Matrix!$C$4:$C$15,0),MATCH(N1751,10_ASIL_Matrix!$D$3:$F$3,0)))))</f>
        <v>QM</v>
      </c>
      <c r="Q1751" s="6" t="s">
        <v>448</v>
      </c>
    </row>
    <row r="1752" customFormat="false" ht="35.05" hidden="false" customHeight="false" outlineLevel="0" collapsed="false">
      <c r="A1752" s="5" t="s">
        <v>4184</v>
      </c>
      <c r="B1752" s="5" t="s">
        <v>105</v>
      </c>
      <c r="C1752" s="5" t="s">
        <v>106</v>
      </c>
      <c r="D1752" s="5" t="s">
        <v>173</v>
      </c>
      <c r="E1752" s="5" t="s">
        <v>174</v>
      </c>
      <c r="F1752" s="5" t="s">
        <v>200</v>
      </c>
      <c r="G1752" s="5" t="s">
        <v>570</v>
      </c>
      <c r="H1752" s="5" t="s">
        <v>226</v>
      </c>
      <c r="I1752" s="5" t="s">
        <v>4185</v>
      </c>
      <c r="J1752" s="5" t="s">
        <v>242</v>
      </c>
      <c r="K1752" s="5" t="s">
        <v>2879</v>
      </c>
      <c r="L1752" s="5" t="s">
        <v>190</v>
      </c>
      <c r="M1752" s="5" t="s">
        <v>579</v>
      </c>
      <c r="N1752" s="5" t="s">
        <v>282</v>
      </c>
      <c r="O1752" s="5" t="s">
        <v>2790</v>
      </c>
      <c r="P1752" s="5" t="str">
        <f aca="false">IF(J1752="S0","—",IF(K1752="","",IF(L1752="E0","QM",INDEX(10_ASIL_Matrix!$D$4:$F$15,MATCH(J1752&amp;"-"&amp;L1752,10_ASIL_Matrix!$C$4:$C$15,0),MATCH(N1752,10_ASIL_Matrix!$D$3:$F$3,0)))))</f>
        <v>QM</v>
      </c>
      <c r="Q1752" s="5" t="s">
        <v>448</v>
      </c>
    </row>
    <row r="1753" customFormat="false" ht="46.25" hidden="false" customHeight="false" outlineLevel="0" collapsed="false">
      <c r="A1753" s="6" t="s">
        <v>4186</v>
      </c>
      <c r="B1753" s="6" t="s">
        <v>105</v>
      </c>
      <c r="C1753" s="6" t="s">
        <v>106</v>
      </c>
      <c r="D1753" s="6" t="s">
        <v>173</v>
      </c>
      <c r="E1753" s="6" t="s">
        <v>174</v>
      </c>
      <c r="F1753" s="6" t="s">
        <v>200</v>
      </c>
      <c r="G1753" s="6" t="s">
        <v>570</v>
      </c>
      <c r="H1753" s="6" t="s">
        <v>228</v>
      </c>
      <c r="I1753" s="6" t="s">
        <v>4187</v>
      </c>
      <c r="J1753" s="6" t="s">
        <v>242</v>
      </c>
      <c r="K1753" s="6" t="s">
        <v>2879</v>
      </c>
      <c r="L1753" s="6" t="s">
        <v>205</v>
      </c>
      <c r="M1753" s="6" t="s">
        <v>582</v>
      </c>
      <c r="N1753" s="6" t="s">
        <v>282</v>
      </c>
      <c r="O1753" s="6" t="s">
        <v>2790</v>
      </c>
      <c r="P1753" s="6" t="str">
        <f aca="false">IF(J1753="S0","—",IF(K1753="","",IF(L1753="E0","QM",INDEX(10_ASIL_Matrix!$D$4:$F$15,MATCH(J1753&amp;"-"&amp;L1753,10_ASIL_Matrix!$C$4:$C$15,0),MATCH(N1753,10_ASIL_Matrix!$D$3:$F$3,0)))))</f>
        <v>QM</v>
      </c>
      <c r="Q1753" s="6" t="s">
        <v>448</v>
      </c>
    </row>
    <row r="1754" customFormat="false" ht="35.05" hidden="false" customHeight="false" outlineLevel="0" collapsed="false">
      <c r="A1754" s="5" t="s">
        <v>4188</v>
      </c>
      <c r="B1754" s="5" t="s">
        <v>105</v>
      </c>
      <c r="C1754" s="5" t="s">
        <v>106</v>
      </c>
      <c r="D1754" s="5" t="s">
        <v>173</v>
      </c>
      <c r="E1754" s="5" t="s">
        <v>174</v>
      </c>
      <c r="F1754" s="5" t="s">
        <v>200</v>
      </c>
      <c r="G1754" s="5" t="s">
        <v>570</v>
      </c>
      <c r="H1754" s="5" t="s">
        <v>230</v>
      </c>
      <c r="I1754" s="5" t="s">
        <v>4189</v>
      </c>
      <c r="J1754" s="5" t="s">
        <v>246</v>
      </c>
      <c r="K1754" s="5" t="s">
        <v>2888</v>
      </c>
      <c r="L1754" s="5" t="s">
        <v>205</v>
      </c>
      <c r="M1754" s="5" t="s">
        <v>585</v>
      </c>
      <c r="N1754" s="5" t="s">
        <v>286</v>
      </c>
      <c r="O1754" s="5" t="s">
        <v>2800</v>
      </c>
      <c r="P1754" s="5" t="str">
        <f aca="false">IF(J1754="S0","—",IF(K1754="","",IF(L1754="E0","QM",INDEX(10_ASIL_Matrix!$D$4:$F$15,MATCH(J1754&amp;"-"&amp;L1754,10_ASIL_Matrix!$C$4:$C$15,0),MATCH(N1754,10_ASIL_Matrix!$D$3:$F$3,0)))))</f>
        <v>QM</v>
      </c>
      <c r="Q1754" s="5" t="s">
        <v>448</v>
      </c>
    </row>
    <row r="1755" customFormat="false" ht="46.25" hidden="false" customHeight="false" outlineLevel="0" collapsed="false">
      <c r="A1755" s="6" t="s">
        <v>4190</v>
      </c>
      <c r="B1755" s="6" t="s">
        <v>105</v>
      </c>
      <c r="C1755" s="6" t="s">
        <v>106</v>
      </c>
      <c r="D1755" s="6" t="s">
        <v>173</v>
      </c>
      <c r="E1755" s="6" t="s">
        <v>174</v>
      </c>
      <c r="F1755" s="6" t="s">
        <v>200</v>
      </c>
      <c r="G1755" s="6" t="s">
        <v>570</v>
      </c>
      <c r="H1755" s="6" t="s">
        <v>232</v>
      </c>
      <c r="I1755" s="6" t="s">
        <v>4191</v>
      </c>
      <c r="J1755" s="6" t="s">
        <v>242</v>
      </c>
      <c r="K1755" s="6" t="s">
        <v>2879</v>
      </c>
      <c r="L1755" s="6" t="s">
        <v>233</v>
      </c>
      <c r="M1755" s="6" t="s">
        <v>588</v>
      </c>
      <c r="N1755" s="6" t="s">
        <v>282</v>
      </c>
      <c r="O1755" s="6" t="s">
        <v>2790</v>
      </c>
      <c r="P1755" s="6" t="str">
        <f aca="false">IF(J1755="S0","—",IF(K1755="","",IF(L1755="E0","QM",INDEX(10_ASIL_Matrix!$D$4:$F$15,MATCH(J1755&amp;"-"&amp;L1755,10_ASIL_Matrix!$C$4:$C$15,0),MATCH(N1755,10_ASIL_Matrix!$D$3:$F$3,0)))))</f>
        <v>QM</v>
      </c>
      <c r="Q1755" s="6" t="s">
        <v>448</v>
      </c>
    </row>
    <row r="1756" customFormat="false" ht="35.05" hidden="false" customHeight="false" outlineLevel="0" collapsed="false">
      <c r="A1756" s="5" t="s">
        <v>4192</v>
      </c>
      <c r="B1756" s="5" t="s">
        <v>105</v>
      </c>
      <c r="C1756" s="5" t="s">
        <v>106</v>
      </c>
      <c r="D1756" s="5" t="s">
        <v>173</v>
      </c>
      <c r="E1756" s="5" t="s">
        <v>174</v>
      </c>
      <c r="F1756" s="5" t="s">
        <v>202</v>
      </c>
      <c r="G1756" s="5" t="s">
        <v>590</v>
      </c>
      <c r="H1756" s="5" t="s">
        <v>222</v>
      </c>
      <c r="I1756" s="5" t="s">
        <v>4193</v>
      </c>
      <c r="J1756" s="5" t="s">
        <v>246</v>
      </c>
      <c r="K1756" s="5" t="s">
        <v>2893</v>
      </c>
      <c r="L1756" s="5" t="s">
        <v>187</v>
      </c>
      <c r="M1756" s="5" t="s">
        <v>592</v>
      </c>
      <c r="N1756" s="5" t="s">
        <v>286</v>
      </c>
      <c r="O1756" s="5" t="s">
        <v>2850</v>
      </c>
      <c r="P1756" s="18" t="str">
        <f aca="false">IF(J1756="S0","—",IF(K1756="","",IF(L1756="E0","QM",INDEX(10_ASIL_Matrix!$D$4:$F$15,MATCH(J1756&amp;"-"&amp;L1756,10_ASIL_Matrix!$C$4:$C$15,0),MATCH(N1756,10_ASIL_Matrix!$D$3:$F$3,0)))))</f>
        <v>B</v>
      </c>
      <c r="Q1756" s="5" t="s">
        <v>448</v>
      </c>
    </row>
    <row r="1757" customFormat="false" ht="35.05" hidden="false" customHeight="false" outlineLevel="0" collapsed="false">
      <c r="A1757" s="6" t="s">
        <v>4194</v>
      </c>
      <c r="B1757" s="6" t="s">
        <v>105</v>
      </c>
      <c r="C1757" s="6" t="s">
        <v>106</v>
      </c>
      <c r="D1757" s="6" t="s">
        <v>173</v>
      </c>
      <c r="E1757" s="6" t="s">
        <v>174</v>
      </c>
      <c r="F1757" s="6" t="s">
        <v>202</v>
      </c>
      <c r="G1757" s="6" t="s">
        <v>590</v>
      </c>
      <c r="H1757" s="6" t="s">
        <v>224</v>
      </c>
      <c r="I1757" s="6" t="s">
        <v>4195</v>
      </c>
      <c r="J1757" s="6" t="s">
        <v>246</v>
      </c>
      <c r="K1757" s="6" t="s">
        <v>2893</v>
      </c>
      <c r="L1757" s="6" t="s">
        <v>190</v>
      </c>
      <c r="M1757" s="6" t="s">
        <v>595</v>
      </c>
      <c r="N1757" s="6" t="s">
        <v>286</v>
      </c>
      <c r="O1757" s="6" t="s">
        <v>2850</v>
      </c>
      <c r="P1757" s="19" t="str">
        <f aca="false">IF(J1757="S0","—",IF(K1757="","",IF(L1757="E0","QM",INDEX(10_ASIL_Matrix!$D$4:$F$15,MATCH(J1757&amp;"-"&amp;L1757,10_ASIL_Matrix!$C$4:$C$15,0),MATCH(N1757,10_ASIL_Matrix!$D$3:$F$3,0)))))</f>
        <v>A</v>
      </c>
      <c r="Q1757" s="6" t="s">
        <v>448</v>
      </c>
    </row>
    <row r="1758" customFormat="false" ht="35.05" hidden="false" customHeight="false" outlineLevel="0" collapsed="false">
      <c r="A1758" s="5" t="s">
        <v>4196</v>
      </c>
      <c r="B1758" s="5" t="s">
        <v>105</v>
      </c>
      <c r="C1758" s="5" t="s">
        <v>106</v>
      </c>
      <c r="D1758" s="5" t="s">
        <v>173</v>
      </c>
      <c r="E1758" s="5" t="s">
        <v>174</v>
      </c>
      <c r="F1758" s="5" t="s">
        <v>202</v>
      </c>
      <c r="G1758" s="5" t="s">
        <v>590</v>
      </c>
      <c r="H1758" s="5" t="s">
        <v>226</v>
      </c>
      <c r="I1758" s="5" t="s">
        <v>4197</v>
      </c>
      <c r="J1758" s="5" t="s">
        <v>246</v>
      </c>
      <c r="K1758" s="5" t="s">
        <v>2893</v>
      </c>
      <c r="L1758" s="5" t="s">
        <v>190</v>
      </c>
      <c r="M1758" s="5" t="s">
        <v>598</v>
      </c>
      <c r="N1758" s="5" t="s">
        <v>286</v>
      </c>
      <c r="O1758" s="5" t="s">
        <v>2850</v>
      </c>
      <c r="P1758" s="19" t="str">
        <f aca="false">IF(J1758="S0","—",IF(K1758="","",IF(L1758="E0","QM",INDEX(10_ASIL_Matrix!$D$4:$F$15,MATCH(J1758&amp;"-"&amp;L1758,10_ASIL_Matrix!$C$4:$C$15,0),MATCH(N1758,10_ASIL_Matrix!$D$3:$F$3,0)))))</f>
        <v>A</v>
      </c>
      <c r="Q1758" s="5" t="s">
        <v>448</v>
      </c>
    </row>
    <row r="1759" customFormat="false" ht="35.05" hidden="false" customHeight="false" outlineLevel="0" collapsed="false">
      <c r="A1759" s="6" t="s">
        <v>4198</v>
      </c>
      <c r="B1759" s="6" t="s">
        <v>105</v>
      </c>
      <c r="C1759" s="6" t="s">
        <v>106</v>
      </c>
      <c r="D1759" s="6" t="s">
        <v>173</v>
      </c>
      <c r="E1759" s="6" t="s">
        <v>174</v>
      </c>
      <c r="F1759" s="6" t="s">
        <v>202</v>
      </c>
      <c r="G1759" s="6" t="s">
        <v>590</v>
      </c>
      <c r="H1759" s="6" t="s">
        <v>228</v>
      </c>
      <c r="I1759" s="6" t="s">
        <v>4199</v>
      </c>
      <c r="J1759" s="6" t="s">
        <v>246</v>
      </c>
      <c r="K1759" s="6" t="s">
        <v>2893</v>
      </c>
      <c r="L1759" s="6" t="s">
        <v>205</v>
      </c>
      <c r="M1759" s="6" t="s">
        <v>601</v>
      </c>
      <c r="N1759" s="6" t="s">
        <v>286</v>
      </c>
      <c r="O1759" s="6" t="s">
        <v>2850</v>
      </c>
      <c r="P1759" s="6" t="str">
        <f aca="false">IF(J1759="S0","—",IF(K1759="","",IF(L1759="E0","QM",INDEX(10_ASIL_Matrix!$D$4:$F$15,MATCH(J1759&amp;"-"&amp;L1759,10_ASIL_Matrix!$C$4:$C$15,0),MATCH(N1759,10_ASIL_Matrix!$D$3:$F$3,0)))))</f>
        <v>QM</v>
      </c>
      <c r="Q1759" s="6" t="s">
        <v>448</v>
      </c>
    </row>
    <row r="1760" customFormat="false" ht="35.05" hidden="false" customHeight="false" outlineLevel="0" collapsed="false">
      <c r="A1760" s="5" t="s">
        <v>4200</v>
      </c>
      <c r="B1760" s="5" t="s">
        <v>105</v>
      </c>
      <c r="C1760" s="5" t="s">
        <v>106</v>
      </c>
      <c r="D1760" s="5" t="s">
        <v>173</v>
      </c>
      <c r="E1760" s="5" t="s">
        <v>174</v>
      </c>
      <c r="F1760" s="5" t="s">
        <v>202</v>
      </c>
      <c r="G1760" s="5" t="s">
        <v>590</v>
      </c>
      <c r="H1760" s="5" t="s">
        <v>230</v>
      </c>
      <c r="I1760" s="5" t="s">
        <v>4201</v>
      </c>
      <c r="J1760" s="5" t="s">
        <v>250</v>
      </c>
      <c r="K1760" s="5" t="s">
        <v>2902</v>
      </c>
      <c r="L1760" s="5" t="s">
        <v>205</v>
      </c>
      <c r="M1760" s="5" t="s">
        <v>604</v>
      </c>
      <c r="N1760" s="5" t="s">
        <v>290</v>
      </c>
      <c r="O1760" s="5" t="s">
        <v>2860</v>
      </c>
      <c r="P1760" s="18" t="str">
        <f aca="false">IF(J1760="S0","—",IF(K1760="","",IF(L1760="E0","QM",INDEX(10_ASIL_Matrix!$D$4:$F$15,MATCH(J1760&amp;"-"&amp;L1760,10_ASIL_Matrix!$C$4:$C$15,0),MATCH(N1760,10_ASIL_Matrix!$D$3:$F$3,0)))))</f>
        <v>B</v>
      </c>
      <c r="Q1760" s="5" t="s">
        <v>448</v>
      </c>
    </row>
    <row r="1761" customFormat="false" ht="46.25" hidden="false" customHeight="false" outlineLevel="0" collapsed="false">
      <c r="A1761" s="6" t="s">
        <v>4202</v>
      </c>
      <c r="B1761" s="6" t="s">
        <v>105</v>
      </c>
      <c r="C1761" s="6" t="s">
        <v>106</v>
      </c>
      <c r="D1761" s="6" t="s">
        <v>173</v>
      </c>
      <c r="E1761" s="6" t="s">
        <v>174</v>
      </c>
      <c r="F1761" s="6" t="s">
        <v>202</v>
      </c>
      <c r="G1761" s="6" t="s">
        <v>590</v>
      </c>
      <c r="H1761" s="6" t="s">
        <v>232</v>
      </c>
      <c r="I1761" s="6" t="s">
        <v>4203</v>
      </c>
      <c r="J1761" s="6" t="s">
        <v>246</v>
      </c>
      <c r="K1761" s="6" t="s">
        <v>2893</v>
      </c>
      <c r="L1761" s="6" t="s">
        <v>233</v>
      </c>
      <c r="M1761" s="6" t="s">
        <v>607</v>
      </c>
      <c r="N1761" s="6" t="s">
        <v>286</v>
      </c>
      <c r="O1761" s="6" t="s">
        <v>2850</v>
      </c>
      <c r="P1761" s="6" t="str">
        <f aca="false">IF(J1761="S0","—",IF(K1761="","",IF(L1761="E0","QM",INDEX(10_ASIL_Matrix!$D$4:$F$15,MATCH(J1761&amp;"-"&amp;L1761,10_ASIL_Matrix!$C$4:$C$15,0),MATCH(N1761,10_ASIL_Matrix!$D$3:$F$3,0)))))</f>
        <v>QM</v>
      </c>
      <c r="Q1761" s="6" t="s">
        <v>448</v>
      </c>
    </row>
    <row r="1762" customFormat="false" ht="35.05" hidden="false" customHeight="false" outlineLevel="0" collapsed="false">
      <c r="A1762" s="5" t="s">
        <v>4204</v>
      </c>
      <c r="B1762" s="5" t="s">
        <v>105</v>
      </c>
      <c r="C1762" s="5" t="s">
        <v>106</v>
      </c>
      <c r="D1762" s="5" t="s">
        <v>173</v>
      </c>
      <c r="E1762" s="5" t="s">
        <v>174</v>
      </c>
      <c r="F1762" s="5" t="s">
        <v>204</v>
      </c>
      <c r="G1762" s="5" t="s">
        <v>609</v>
      </c>
      <c r="H1762" s="5" t="s">
        <v>222</v>
      </c>
      <c r="I1762" s="5" t="s">
        <v>4205</v>
      </c>
      <c r="J1762" s="5" t="s">
        <v>238</v>
      </c>
      <c r="K1762" s="5" t="s">
        <v>2907</v>
      </c>
      <c r="L1762" s="5" t="s">
        <v>205</v>
      </c>
      <c r="M1762" s="5" t="s">
        <v>612</v>
      </c>
      <c r="N1762" s="5" t="s">
        <v>278</v>
      </c>
      <c r="O1762" s="5" t="s">
        <v>634</v>
      </c>
      <c r="P1762" s="5" t="str">
        <f aca="false">IF(J1762="S0","—",IF(K1762="","",IF(L1762="E0","QM",INDEX(10_ASIL_Matrix!$D$4:$F$15,MATCH(J1762&amp;"-"&amp;L1762,10_ASIL_Matrix!$C$4:$C$15,0),MATCH(N1762,10_ASIL_Matrix!$D$3:$F$3,0)))))</f>
        <v>—</v>
      </c>
      <c r="Q1762" s="5" t="s">
        <v>448</v>
      </c>
    </row>
    <row r="1763" customFormat="false" ht="35.05" hidden="false" customHeight="false" outlineLevel="0" collapsed="false">
      <c r="A1763" s="6" t="s">
        <v>4206</v>
      </c>
      <c r="B1763" s="6" t="s">
        <v>105</v>
      </c>
      <c r="C1763" s="6" t="s">
        <v>106</v>
      </c>
      <c r="D1763" s="6" t="s">
        <v>173</v>
      </c>
      <c r="E1763" s="6" t="s">
        <v>174</v>
      </c>
      <c r="F1763" s="6" t="s">
        <v>204</v>
      </c>
      <c r="G1763" s="6" t="s">
        <v>609</v>
      </c>
      <c r="H1763" s="6" t="s">
        <v>224</v>
      </c>
      <c r="I1763" s="6" t="s">
        <v>4207</v>
      </c>
      <c r="J1763" s="6" t="s">
        <v>238</v>
      </c>
      <c r="K1763" s="6" t="s">
        <v>2907</v>
      </c>
      <c r="L1763" s="6" t="s">
        <v>205</v>
      </c>
      <c r="M1763" s="6" t="s">
        <v>616</v>
      </c>
      <c r="N1763" s="6" t="s">
        <v>278</v>
      </c>
      <c r="O1763" s="6" t="s">
        <v>634</v>
      </c>
      <c r="P1763" s="6" t="str">
        <f aca="false">IF(J1763="S0","—",IF(K1763="","",IF(L1763="E0","QM",INDEX(10_ASIL_Matrix!$D$4:$F$15,MATCH(J1763&amp;"-"&amp;L1763,10_ASIL_Matrix!$C$4:$C$15,0),MATCH(N1763,10_ASIL_Matrix!$D$3:$F$3,0)))))</f>
        <v>—</v>
      </c>
      <c r="Q1763" s="6" t="s">
        <v>448</v>
      </c>
    </row>
    <row r="1764" customFormat="false" ht="35.05" hidden="false" customHeight="false" outlineLevel="0" collapsed="false">
      <c r="A1764" s="5" t="s">
        <v>4208</v>
      </c>
      <c r="B1764" s="5" t="s">
        <v>105</v>
      </c>
      <c r="C1764" s="5" t="s">
        <v>106</v>
      </c>
      <c r="D1764" s="5" t="s">
        <v>173</v>
      </c>
      <c r="E1764" s="5" t="s">
        <v>174</v>
      </c>
      <c r="F1764" s="5" t="s">
        <v>204</v>
      </c>
      <c r="G1764" s="5" t="s">
        <v>609</v>
      </c>
      <c r="H1764" s="5" t="s">
        <v>226</v>
      </c>
      <c r="I1764" s="5" t="s">
        <v>4209</v>
      </c>
      <c r="J1764" s="5" t="s">
        <v>238</v>
      </c>
      <c r="K1764" s="5" t="s">
        <v>2907</v>
      </c>
      <c r="L1764" s="5" t="s">
        <v>205</v>
      </c>
      <c r="M1764" s="5" t="s">
        <v>619</v>
      </c>
      <c r="N1764" s="5" t="s">
        <v>278</v>
      </c>
      <c r="O1764" s="5" t="s">
        <v>634</v>
      </c>
      <c r="P1764" s="5" t="str">
        <f aca="false">IF(J1764="S0","—",IF(K1764="","",IF(L1764="E0","QM",INDEX(10_ASIL_Matrix!$D$4:$F$15,MATCH(J1764&amp;"-"&amp;L1764,10_ASIL_Matrix!$C$4:$C$15,0),MATCH(N1764,10_ASIL_Matrix!$D$3:$F$3,0)))))</f>
        <v>—</v>
      </c>
      <c r="Q1764" s="5" t="s">
        <v>448</v>
      </c>
    </row>
    <row r="1765" customFormat="false" ht="46.25" hidden="false" customHeight="false" outlineLevel="0" collapsed="false">
      <c r="A1765" s="6" t="s">
        <v>4210</v>
      </c>
      <c r="B1765" s="6" t="s">
        <v>105</v>
      </c>
      <c r="C1765" s="6" t="s">
        <v>106</v>
      </c>
      <c r="D1765" s="6" t="s">
        <v>173</v>
      </c>
      <c r="E1765" s="6" t="s">
        <v>174</v>
      </c>
      <c r="F1765" s="6" t="s">
        <v>204</v>
      </c>
      <c r="G1765" s="6" t="s">
        <v>609</v>
      </c>
      <c r="H1765" s="6" t="s">
        <v>228</v>
      </c>
      <c r="I1765" s="6" t="s">
        <v>4211</v>
      </c>
      <c r="J1765" s="6" t="s">
        <v>238</v>
      </c>
      <c r="K1765" s="6" t="s">
        <v>2907</v>
      </c>
      <c r="L1765" s="6" t="s">
        <v>205</v>
      </c>
      <c r="M1765" s="6" t="s">
        <v>622</v>
      </c>
      <c r="N1765" s="6" t="s">
        <v>278</v>
      </c>
      <c r="O1765" s="6" t="s">
        <v>634</v>
      </c>
      <c r="P1765" s="6" t="str">
        <f aca="false">IF(J1765="S0","—",IF(K1765="","",IF(L1765="E0","QM",INDEX(10_ASIL_Matrix!$D$4:$F$15,MATCH(J1765&amp;"-"&amp;L1765,10_ASIL_Matrix!$C$4:$C$15,0),MATCH(N1765,10_ASIL_Matrix!$D$3:$F$3,0)))))</f>
        <v>—</v>
      </c>
      <c r="Q1765" s="6" t="s">
        <v>448</v>
      </c>
    </row>
    <row r="1766" customFormat="false" ht="35.05" hidden="false" customHeight="false" outlineLevel="0" collapsed="false">
      <c r="A1766" s="5" t="s">
        <v>4212</v>
      </c>
      <c r="B1766" s="5" t="s">
        <v>105</v>
      </c>
      <c r="C1766" s="5" t="s">
        <v>106</v>
      </c>
      <c r="D1766" s="5" t="s">
        <v>173</v>
      </c>
      <c r="E1766" s="5" t="s">
        <v>174</v>
      </c>
      <c r="F1766" s="5" t="s">
        <v>204</v>
      </c>
      <c r="G1766" s="5" t="s">
        <v>609</v>
      </c>
      <c r="H1766" s="5" t="s">
        <v>230</v>
      </c>
      <c r="I1766" s="5" t="s">
        <v>4213</v>
      </c>
      <c r="J1766" s="5" t="s">
        <v>238</v>
      </c>
      <c r="K1766" s="5" t="s">
        <v>2907</v>
      </c>
      <c r="L1766" s="5" t="s">
        <v>205</v>
      </c>
      <c r="M1766" s="5" t="s">
        <v>625</v>
      </c>
      <c r="N1766" s="5" t="s">
        <v>278</v>
      </c>
      <c r="O1766" s="5" t="s">
        <v>634</v>
      </c>
      <c r="P1766" s="5" t="str">
        <f aca="false">IF(J1766="S0","—",IF(K1766="","",IF(L1766="E0","QM",INDEX(10_ASIL_Matrix!$D$4:$F$15,MATCH(J1766&amp;"-"&amp;L1766,10_ASIL_Matrix!$C$4:$C$15,0),MATCH(N1766,10_ASIL_Matrix!$D$3:$F$3,0)))))</f>
        <v>—</v>
      </c>
      <c r="Q1766" s="5" t="s">
        <v>448</v>
      </c>
    </row>
    <row r="1767" customFormat="false" ht="46.25" hidden="false" customHeight="false" outlineLevel="0" collapsed="false">
      <c r="A1767" s="6" t="s">
        <v>4214</v>
      </c>
      <c r="B1767" s="6" t="s">
        <v>105</v>
      </c>
      <c r="C1767" s="6" t="s">
        <v>106</v>
      </c>
      <c r="D1767" s="6" t="s">
        <v>173</v>
      </c>
      <c r="E1767" s="6" t="s">
        <v>174</v>
      </c>
      <c r="F1767" s="6" t="s">
        <v>204</v>
      </c>
      <c r="G1767" s="6" t="s">
        <v>609</v>
      </c>
      <c r="H1767" s="6" t="s">
        <v>232</v>
      </c>
      <c r="I1767" s="6" t="s">
        <v>4215</v>
      </c>
      <c r="J1767" s="6" t="s">
        <v>238</v>
      </c>
      <c r="K1767" s="6" t="s">
        <v>2907</v>
      </c>
      <c r="L1767" s="6" t="s">
        <v>233</v>
      </c>
      <c r="M1767" s="6" t="s">
        <v>629</v>
      </c>
      <c r="N1767" s="6" t="s">
        <v>278</v>
      </c>
      <c r="O1767" s="6" t="s">
        <v>634</v>
      </c>
      <c r="P1767" s="6" t="str">
        <f aca="false">IF(J1767="S0","—",IF(K1767="","",IF(L1767="E0","QM",INDEX(10_ASIL_Matrix!$D$4:$F$15,MATCH(J1767&amp;"-"&amp;L1767,10_ASIL_Matrix!$C$4:$C$15,0),MATCH(N1767,10_ASIL_Matrix!$D$3:$F$3,0)))))</f>
        <v>—</v>
      </c>
      <c r="Q1767" s="6" t="s">
        <v>448</v>
      </c>
    </row>
    <row r="1768" customFormat="false" ht="35.05" hidden="false" customHeight="false" outlineLevel="0" collapsed="false">
      <c r="A1768" s="5" t="s">
        <v>4216</v>
      </c>
      <c r="B1768" s="5" t="s">
        <v>105</v>
      </c>
      <c r="C1768" s="5" t="s">
        <v>106</v>
      </c>
      <c r="D1768" s="5" t="s">
        <v>173</v>
      </c>
      <c r="E1768" s="5" t="s">
        <v>174</v>
      </c>
      <c r="F1768" s="5" t="s">
        <v>207</v>
      </c>
      <c r="G1768" s="5" t="s">
        <v>609</v>
      </c>
      <c r="H1768" s="5" t="s">
        <v>222</v>
      </c>
      <c r="I1768" s="5" t="s">
        <v>4217</v>
      </c>
      <c r="J1768" s="5" t="s">
        <v>246</v>
      </c>
      <c r="K1768" s="5" t="s">
        <v>2920</v>
      </c>
      <c r="L1768" s="5" t="s">
        <v>190</v>
      </c>
      <c r="M1768" s="5" t="s">
        <v>633</v>
      </c>
      <c r="N1768" s="5" t="s">
        <v>282</v>
      </c>
      <c r="O1768" s="5" t="s">
        <v>2790</v>
      </c>
      <c r="P1768" s="5" t="str">
        <f aca="false">IF(J1768="S0","—",IF(K1768="","",IF(L1768="E0","QM",INDEX(10_ASIL_Matrix!$D$4:$F$15,MATCH(J1768&amp;"-"&amp;L1768,10_ASIL_Matrix!$C$4:$C$15,0),MATCH(N1768,10_ASIL_Matrix!$D$3:$F$3,0)))))</f>
        <v>QM</v>
      </c>
      <c r="Q1768" s="5" t="s">
        <v>448</v>
      </c>
    </row>
    <row r="1769" customFormat="false" ht="35.05" hidden="false" customHeight="false" outlineLevel="0" collapsed="false">
      <c r="A1769" s="6" t="s">
        <v>4218</v>
      </c>
      <c r="B1769" s="6" t="s">
        <v>105</v>
      </c>
      <c r="C1769" s="6" t="s">
        <v>106</v>
      </c>
      <c r="D1769" s="6" t="s">
        <v>173</v>
      </c>
      <c r="E1769" s="6" t="s">
        <v>174</v>
      </c>
      <c r="F1769" s="6" t="s">
        <v>207</v>
      </c>
      <c r="G1769" s="6" t="s">
        <v>609</v>
      </c>
      <c r="H1769" s="6" t="s">
        <v>224</v>
      </c>
      <c r="I1769" s="6" t="s">
        <v>4219</v>
      </c>
      <c r="J1769" s="6" t="s">
        <v>246</v>
      </c>
      <c r="K1769" s="6" t="s">
        <v>2920</v>
      </c>
      <c r="L1769" s="6" t="s">
        <v>190</v>
      </c>
      <c r="M1769" s="6" t="s">
        <v>637</v>
      </c>
      <c r="N1769" s="6" t="s">
        <v>282</v>
      </c>
      <c r="O1769" s="6" t="s">
        <v>2790</v>
      </c>
      <c r="P1769" s="6" t="str">
        <f aca="false">IF(J1769="S0","—",IF(K1769="","",IF(L1769="E0","QM",INDEX(10_ASIL_Matrix!$D$4:$F$15,MATCH(J1769&amp;"-"&amp;L1769,10_ASIL_Matrix!$C$4:$C$15,0),MATCH(N1769,10_ASIL_Matrix!$D$3:$F$3,0)))))</f>
        <v>QM</v>
      </c>
      <c r="Q1769" s="6" t="s">
        <v>448</v>
      </c>
    </row>
    <row r="1770" customFormat="false" ht="35.05" hidden="false" customHeight="false" outlineLevel="0" collapsed="false">
      <c r="A1770" s="5" t="s">
        <v>4220</v>
      </c>
      <c r="B1770" s="5" t="s">
        <v>105</v>
      </c>
      <c r="C1770" s="5" t="s">
        <v>106</v>
      </c>
      <c r="D1770" s="5" t="s">
        <v>173</v>
      </c>
      <c r="E1770" s="5" t="s">
        <v>174</v>
      </c>
      <c r="F1770" s="5" t="s">
        <v>207</v>
      </c>
      <c r="G1770" s="5" t="s">
        <v>609</v>
      </c>
      <c r="H1770" s="5" t="s">
        <v>226</v>
      </c>
      <c r="I1770" s="5" t="s">
        <v>4221</v>
      </c>
      <c r="J1770" s="5" t="s">
        <v>246</v>
      </c>
      <c r="K1770" s="5" t="s">
        <v>2920</v>
      </c>
      <c r="L1770" s="5" t="s">
        <v>190</v>
      </c>
      <c r="M1770" s="5" t="s">
        <v>640</v>
      </c>
      <c r="N1770" s="5" t="s">
        <v>282</v>
      </c>
      <c r="O1770" s="5" t="s">
        <v>2790</v>
      </c>
      <c r="P1770" s="5" t="str">
        <f aca="false">IF(J1770="S0","—",IF(K1770="","",IF(L1770="E0","QM",INDEX(10_ASIL_Matrix!$D$4:$F$15,MATCH(J1770&amp;"-"&amp;L1770,10_ASIL_Matrix!$C$4:$C$15,0),MATCH(N1770,10_ASIL_Matrix!$D$3:$F$3,0)))))</f>
        <v>QM</v>
      </c>
      <c r="Q1770" s="5" t="s">
        <v>448</v>
      </c>
    </row>
    <row r="1771" customFormat="false" ht="46.25" hidden="false" customHeight="false" outlineLevel="0" collapsed="false">
      <c r="A1771" s="6" t="s">
        <v>4222</v>
      </c>
      <c r="B1771" s="6" t="s">
        <v>105</v>
      </c>
      <c r="C1771" s="6" t="s">
        <v>106</v>
      </c>
      <c r="D1771" s="6" t="s">
        <v>173</v>
      </c>
      <c r="E1771" s="6" t="s">
        <v>174</v>
      </c>
      <c r="F1771" s="6" t="s">
        <v>207</v>
      </c>
      <c r="G1771" s="6" t="s">
        <v>609</v>
      </c>
      <c r="H1771" s="6" t="s">
        <v>228</v>
      </c>
      <c r="I1771" s="6" t="s">
        <v>4223</v>
      </c>
      <c r="J1771" s="6" t="s">
        <v>246</v>
      </c>
      <c r="K1771" s="6" t="s">
        <v>2920</v>
      </c>
      <c r="L1771" s="6" t="s">
        <v>205</v>
      </c>
      <c r="M1771" s="6" t="s">
        <v>643</v>
      </c>
      <c r="N1771" s="6" t="s">
        <v>282</v>
      </c>
      <c r="O1771" s="6" t="s">
        <v>2790</v>
      </c>
      <c r="P1771" s="6" t="str">
        <f aca="false">IF(J1771="S0","—",IF(K1771="","",IF(L1771="E0","QM",INDEX(10_ASIL_Matrix!$D$4:$F$15,MATCH(J1771&amp;"-"&amp;L1771,10_ASIL_Matrix!$C$4:$C$15,0),MATCH(N1771,10_ASIL_Matrix!$D$3:$F$3,0)))))</f>
        <v>QM</v>
      </c>
      <c r="Q1771" s="6" t="s">
        <v>448</v>
      </c>
    </row>
    <row r="1772" customFormat="false" ht="35.05" hidden="false" customHeight="false" outlineLevel="0" collapsed="false">
      <c r="A1772" s="5" t="s">
        <v>4224</v>
      </c>
      <c r="B1772" s="5" t="s">
        <v>105</v>
      </c>
      <c r="C1772" s="5" t="s">
        <v>106</v>
      </c>
      <c r="D1772" s="5" t="s">
        <v>173</v>
      </c>
      <c r="E1772" s="5" t="s">
        <v>174</v>
      </c>
      <c r="F1772" s="5" t="s">
        <v>207</v>
      </c>
      <c r="G1772" s="5" t="s">
        <v>609</v>
      </c>
      <c r="H1772" s="5" t="s">
        <v>230</v>
      </c>
      <c r="I1772" s="5" t="s">
        <v>4225</v>
      </c>
      <c r="J1772" s="5" t="s">
        <v>250</v>
      </c>
      <c r="K1772" s="5" t="s">
        <v>2929</v>
      </c>
      <c r="L1772" s="5" t="s">
        <v>205</v>
      </c>
      <c r="M1772" s="5" t="s">
        <v>646</v>
      </c>
      <c r="N1772" s="5" t="s">
        <v>286</v>
      </c>
      <c r="O1772" s="5" t="s">
        <v>2800</v>
      </c>
      <c r="P1772" s="19" t="str">
        <f aca="false">IF(J1772="S0","—",IF(K1772="","",IF(L1772="E0","QM",INDEX(10_ASIL_Matrix!$D$4:$F$15,MATCH(J1772&amp;"-"&amp;L1772,10_ASIL_Matrix!$C$4:$C$15,0),MATCH(N1772,10_ASIL_Matrix!$D$3:$F$3,0)))))</f>
        <v>A</v>
      </c>
      <c r="Q1772" s="5" t="s">
        <v>448</v>
      </c>
    </row>
    <row r="1773" customFormat="false" ht="46.25" hidden="false" customHeight="false" outlineLevel="0" collapsed="false">
      <c r="A1773" s="6" t="s">
        <v>4226</v>
      </c>
      <c r="B1773" s="6" t="s">
        <v>105</v>
      </c>
      <c r="C1773" s="6" t="s">
        <v>106</v>
      </c>
      <c r="D1773" s="6" t="s">
        <v>173</v>
      </c>
      <c r="E1773" s="6" t="s">
        <v>174</v>
      </c>
      <c r="F1773" s="6" t="s">
        <v>207</v>
      </c>
      <c r="G1773" s="6" t="s">
        <v>609</v>
      </c>
      <c r="H1773" s="6" t="s">
        <v>232</v>
      </c>
      <c r="I1773" s="6" t="s">
        <v>4227</v>
      </c>
      <c r="J1773" s="6" t="s">
        <v>246</v>
      </c>
      <c r="K1773" s="6" t="s">
        <v>2920</v>
      </c>
      <c r="L1773" s="6" t="s">
        <v>233</v>
      </c>
      <c r="M1773" s="6" t="s">
        <v>649</v>
      </c>
      <c r="N1773" s="6" t="s">
        <v>282</v>
      </c>
      <c r="O1773" s="6" t="s">
        <v>2790</v>
      </c>
      <c r="P1773" s="6" t="str">
        <f aca="false">IF(J1773="S0","—",IF(K1773="","",IF(L1773="E0","QM",INDEX(10_ASIL_Matrix!$D$4:$F$15,MATCH(J1773&amp;"-"&amp;L1773,10_ASIL_Matrix!$C$4:$C$15,0),MATCH(N1773,10_ASIL_Matrix!$D$3:$F$3,0)))))</f>
        <v>QM</v>
      </c>
      <c r="Q1773" s="6" t="s">
        <v>448</v>
      </c>
    </row>
    <row r="1774" customFormat="false" ht="35.05" hidden="false" customHeight="false" outlineLevel="0" collapsed="false">
      <c r="A1774" s="5" t="s">
        <v>4228</v>
      </c>
      <c r="B1774" s="5" t="s">
        <v>105</v>
      </c>
      <c r="C1774" s="5" t="s">
        <v>106</v>
      </c>
      <c r="D1774" s="5" t="s">
        <v>173</v>
      </c>
      <c r="E1774" s="5" t="s">
        <v>174</v>
      </c>
      <c r="F1774" s="5" t="s">
        <v>209</v>
      </c>
      <c r="G1774" s="5" t="s">
        <v>570</v>
      </c>
      <c r="H1774" s="5" t="s">
        <v>222</v>
      </c>
      <c r="I1774" s="5" t="s">
        <v>4229</v>
      </c>
      <c r="J1774" s="5" t="s">
        <v>246</v>
      </c>
      <c r="K1774" s="5" t="s">
        <v>2934</v>
      </c>
      <c r="L1774" s="5" t="s">
        <v>190</v>
      </c>
      <c r="M1774" s="5" t="s">
        <v>653</v>
      </c>
      <c r="N1774" s="5" t="s">
        <v>286</v>
      </c>
      <c r="O1774" s="5" t="s">
        <v>2850</v>
      </c>
      <c r="P1774" s="19" t="str">
        <f aca="false">IF(J1774="S0","—",IF(K1774="","",IF(L1774="E0","QM",INDEX(10_ASIL_Matrix!$D$4:$F$15,MATCH(J1774&amp;"-"&amp;L1774,10_ASIL_Matrix!$C$4:$C$15,0),MATCH(N1774,10_ASIL_Matrix!$D$3:$F$3,0)))))</f>
        <v>A</v>
      </c>
      <c r="Q1774" s="5" t="s">
        <v>448</v>
      </c>
    </row>
    <row r="1775" customFormat="false" ht="35.05" hidden="false" customHeight="false" outlineLevel="0" collapsed="false">
      <c r="A1775" s="6" t="s">
        <v>4230</v>
      </c>
      <c r="B1775" s="6" t="s">
        <v>105</v>
      </c>
      <c r="C1775" s="6" t="s">
        <v>106</v>
      </c>
      <c r="D1775" s="6" t="s">
        <v>173</v>
      </c>
      <c r="E1775" s="6" t="s">
        <v>174</v>
      </c>
      <c r="F1775" s="6" t="s">
        <v>209</v>
      </c>
      <c r="G1775" s="6" t="s">
        <v>570</v>
      </c>
      <c r="H1775" s="6" t="s">
        <v>224</v>
      </c>
      <c r="I1775" s="6" t="s">
        <v>4231</v>
      </c>
      <c r="J1775" s="6" t="s">
        <v>246</v>
      </c>
      <c r="K1775" s="6" t="s">
        <v>2934</v>
      </c>
      <c r="L1775" s="6" t="s">
        <v>190</v>
      </c>
      <c r="M1775" s="6" t="s">
        <v>656</v>
      </c>
      <c r="N1775" s="6" t="s">
        <v>286</v>
      </c>
      <c r="O1775" s="6" t="s">
        <v>2850</v>
      </c>
      <c r="P1775" s="19" t="str">
        <f aca="false">IF(J1775="S0","—",IF(K1775="","",IF(L1775="E0","QM",INDEX(10_ASIL_Matrix!$D$4:$F$15,MATCH(J1775&amp;"-"&amp;L1775,10_ASIL_Matrix!$C$4:$C$15,0),MATCH(N1775,10_ASIL_Matrix!$D$3:$F$3,0)))))</f>
        <v>A</v>
      </c>
      <c r="Q1775" s="6" t="s">
        <v>448</v>
      </c>
    </row>
    <row r="1776" customFormat="false" ht="35.05" hidden="false" customHeight="false" outlineLevel="0" collapsed="false">
      <c r="A1776" s="5" t="s">
        <v>4232</v>
      </c>
      <c r="B1776" s="5" t="s">
        <v>105</v>
      </c>
      <c r="C1776" s="5" t="s">
        <v>106</v>
      </c>
      <c r="D1776" s="5" t="s">
        <v>173</v>
      </c>
      <c r="E1776" s="5" t="s">
        <v>174</v>
      </c>
      <c r="F1776" s="5" t="s">
        <v>209</v>
      </c>
      <c r="G1776" s="5" t="s">
        <v>570</v>
      </c>
      <c r="H1776" s="5" t="s">
        <v>226</v>
      </c>
      <c r="I1776" s="5" t="s">
        <v>4233</v>
      </c>
      <c r="J1776" s="5" t="s">
        <v>246</v>
      </c>
      <c r="K1776" s="5" t="s">
        <v>2934</v>
      </c>
      <c r="L1776" s="5" t="s">
        <v>190</v>
      </c>
      <c r="M1776" s="5" t="s">
        <v>659</v>
      </c>
      <c r="N1776" s="5" t="s">
        <v>286</v>
      </c>
      <c r="O1776" s="5" t="s">
        <v>2850</v>
      </c>
      <c r="P1776" s="19" t="str">
        <f aca="false">IF(J1776="S0","—",IF(K1776="","",IF(L1776="E0","QM",INDEX(10_ASIL_Matrix!$D$4:$F$15,MATCH(J1776&amp;"-"&amp;L1776,10_ASIL_Matrix!$C$4:$C$15,0),MATCH(N1776,10_ASIL_Matrix!$D$3:$F$3,0)))))</f>
        <v>A</v>
      </c>
      <c r="Q1776" s="5" t="s">
        <v>448</v>
      </c>
    </row>
    <row r="1777" customFormat="false" ht="35.05" hidden="false" customHeight="false" outlineLevel="0" collapsed="false">
      <c r="A1777" s="6" t="s">
        <v>4234</v>
      </c>
      <c r="B1777" s="6" t="s">
        <v>105</v>
      </c>
      <c r="C1777" s="6" t="s">
        <v>106</v>
      </c>
      <c r="D1777" s="6" t="s">
        <v>173</v>
      </c>
      <c r="E1777" s="6" t="s">
        <v>174</v>
      </c>
      <c r="F1777" s="6" t="s">
        <v>209</v>
      </c>
      <c r="G1777" s="6" t="s">
        <v>570</v>
      </c>
      <c r="H1777" s="6" t="s">
        <v>228</v>
      </c>
      <c r="I1777" s="6" t="s">
        <v>4235</v>
      </c>
      <c r="J1777" s="6" t="s">
        <v>246</v>
      </c>
      <c r="K1777" s="6" t="s">
        <v>2934</v>
      </c>
      <c r="L1777" s="6" t="s">
        <v>205</v>
      </c>
      <c r="M1777" s="6" t="s">
        <v>662</v>
      </c>
      <c r="N1777" s="6" t="s">
        <v>286</v>
      </c>
      <c r="O1777" s="6" t="s">
        <v>2850</v>
      </c>
      <c r="P1777" s="6" t="str">
        <f aca="false">IF(J1777="S0","—",IF(K1777="","",IF(L1777="E0","QM",INDEX(10_ASIL_Matrix!$D$4:$F$15,MATCH(J1777&amp;"-"&amp;L1777,10_ASIL_Matrix!$C$4:$C$15,0),MATCH(N1777,10_ASIL_Matrix!$D$3:$F$3,0)))))</f>
        <v>QM</v>
      </c>
      <c r="Q1777" s="6" t="s">
        <v>448</v>
      </c>
    </row>
    <row r="1778" customFormat="false" ht="35.05" hidden="false" customHeight="false" outlineLevel="0" collapsed="false">
      <c r="A1778" s="5" t="s">
        <v>4236</v>
      </c>
      <c r="B1778" s="5" t="s">
        <v>105</v>
      </c>
      <c r="C1778" s="5" t="s">
        <v>106</v>
      </c>
      <c r="D1778" s="5" t="s">
        <v>173</v>
      </c>
      <c r="E1778" s="5" t="s">
        <v>174</v>
      </c>
      <c r="F1778" s="5" t="s">
        <v>209</v>
      </c>
      <c r="G1778" s="5" t="s">
        <v>570</v>
      </c>
      <c r="H1778" s="5" t="s">
        <v>230</v>
      </c>
      <c r="I1778" s="5" t="s">
        <v>4237</v>
      </c>
      <c r="J1778" s="5" t="s">
        <v>250</v>
      </c>
      <c r="K1778" s="5" t="s">
        <v>2943</v>
      </c>
      <c r="L1778" s="5" t="s">
        <v>205</v>
      </c>
      <c r="M1778" s="5" t="s">
        <v>665</v>
      </c>
      <c r="N1778" s="5" t="s">
        <v>290</v>
      </c>
      <c r="O1778" s="5" t="s">
        <v>2860</v>
      </c>
      <c r="P1778" s="18" t="str">
        <f aca="false">IF(J1778="S0","—",IF(K1778="","",IF(L1778="E0","QM",INDEX(10_ASIL_Matrix!$D$4:$F$15,MATCH(J1778&amp;"-"&amp;L1778,10_ASIL_Matrix!$C$4:$C$15,0),MATCH(N1778,10_ASIL_Matrix!$D$3:$F$3,0)))))</f>
        <v>B</v>
      </c>
      <c r="Q1778" s="5" t="s">
        <v>448</v>
      </c>
    </row>
    <row r="1779" customFormat="false" ht="46.25" hidden="false" customHeight="false" outlineLevel="0" collapsed="false">
      <c r="A1779" s="6" t="s">
        <v>4238</v>
      </c>
      <c r="B1779" s="6" t="s">
        <v>105</v>
      </c>
      <c r="C1779" s="6" t="s">
        <v>106</v>
      </c>
      <c r="D1779" s="6" t="s">
        <v>173</v>
      </c>
      <c r="E1779" s="6" t="s">
        <v>174</v>
      </c>
      <c r="F1779" s="6" t="s">
        <v>209</v>
      </c>
      <c r="G1779" s="6" t="s">
        <v>570</v>
      </c>
      <c r="H1779" s="6" t="s">
        <v>232</v>
      </c>
      <c r="I1779" s="6" t="s">
        <v>4239</v>
      </c>
      <c r="J1779" s="6" t="s">
        <v>246</v>
      </c>
      <c r="K1779" s="6" t="s">
        <v>2934</v>
      </c>
      <c r="L1779" s="6" t="s">
        <v>233</v>
      </c>
      <c r="M1779" s="6" t="s">
        <v>668</v>
      </c>
      <c r="N1779" s="6" t="s">
        <v>286</v>
      </c>
      <c r="O1779" s="6" t="s">
        <v>2850</v>
      </c>
      <c r="P1779" s="6" t="str">
        <f aca="false">IF(J1779="S0","—",IF(K1779="","",IF(L1779="E0","QM",INDEX(10_ASIL_Matrix!$D$4:$F$15,MATCH(J1779&amp;"-"&amp;L1779,10_ASIL_Matrix!$C$4:$C$15,0),MATCH(N1779,10_ASIL_Matrix!$D$3:$F$3,0)))))</f>
        <v>QM</v>
      </c>
      <c r="Q1779" s="6" t="s">
        <v>448</v>
      </c>
    </row>
    <row r="1780" customFormat="false" ht="35.05" hidden="false" customHeight="false" outlineLevel="0" collapsed="false">
      <c r="A1780" s="5" t="s">
        <v>4240</v>
      </c>
      <c r="B1780" s="5" t="s">
        <v>105</v>
      </c>
      <c r="C1780" s="5" t="s">
        <v>106</v>
      </c>
      <c r="D1780" s="5" t="s">
        <v>173</v>
      </c>
      <c r="E1780" s="5" t="s">
        <v>174</v>
      </c>
      <c r="F1780" s="5" t="s">
        <v>211</v>
      </c>
      <c r="G1780" s="5" t="s">
        <v>609</v>
      </c>
      <c r="H1780" s="5" t="s">
        <v>222</v>
      </c>
      <c r="I1780" s="5" t="s">
        <v>4241</v>
      </c>
      <c r="J1780" s="5" t="s">
        <v>238</v>
      </c>
      <c r="K1780" s="5" t="s">
        <v>2361</v>
      </c>
      <c r="L1780" s="5" t="s">
        <v>187</v>
      </c>
      <c r="M1780" s="5" t="s">
        <v>672</v>
      </c>
      <c r="N1780" s="5" t="s">
        <v>278</v>
      </c>
      <c r="O1780" s="5" t="s">
        <v>634</v>
      </c>
      <c r="P1780" s="5" t="str">
        <f aca="false">IF(J1780="S0","—",IF(K1780="","",IF(L1780="E0","QM",INDEX(10_ASIL_Matrix!$D$4:$F$15,MATCH(J1780&amp;"-"&amp;L1780,10_ASIL_Matrix!$C$4:$C$15,0),MATCH(N1780,10_ASIL_Matrix!$D$3:$F$3,0)))))</f>
        <v>—</v>
      </c>
      <c r="Q1780" s="5" t="s">
        <v>448</v>
      </c>
    </row>
    <row r="1781" customFormat="false" ht="35.05" hidden="false" customHeight="false" outlineLevel="0" collapsed="false">
      <c r="A1781" s="6" t="s">
        <v>4242</v>
      </c>
      <c r="B1781" s="6" t="s">
        <v>105</v>
      </c>
      <c r="C1781" s="6" t="s">
        <v>106</v>
      </c>
      <c r="D1781" s="6" t="s">
        <v>173</v>
      </c>
      <c r="E1781" s="6" t="s">
        <v>174</v>
      </c>
      <c r="F1781" s="6" t="s">
        <v>211</v>
      </c>
      <c r="G1781" s="6" t="s">
        <v>609</v>
      </c>
      <c r="H1781" s="6" t="s">
        <v>224</v>
      </c>
      <c r="I1781" s="6" t="s">
        <v>4243</v>
      </c>
      <c r="J1781" s="6" t="s">
        <v>238</v>
      </c>
      <c r="K1781" s="6" t="s">
        <v>2361</v>
      </c>
      <c r="L1781" s="6" t="s">
        <v>190</v>
      </c>
      <c r="M1781" s="6" t="s">
        <v>675</v>
      </c>
      <c r="N1781" s="6" t="s">
        <v>278</v>
      </c>
      <c r="O1781" s="6" t="s">
        <v>634</v>
      </c>
      <c r="P1781" s="6" t="str">
        <f aca="false">IF(J1781="S0","—",IF(K1781="","",IF(L1781="E0","QM",INDEX(10_ASIL_Matrix!$D$4:$F$15,MATCH(J1781&amp;"-"&amp;L1781,10_ASIL_Matrix!$C$4:$C$15,0),MATCH(N1781,10_ASIL_Matrix!$D$3:$F$3,0)))))</f>
        <v>—</v>
      </c>
      <c r="Q1781" s="6" t="s">
        <v>448</v>
      </c>
    </row>
    <row r="1782" customFormat="false" ht="35.05" hidden="false" customHeight="false" outlineLevel="0" collapsed="false">
      <c r="A1782" s="5" t="s">
        <v>4244</v>
      </c>
      <c r="B1782" s="5" t="s">
        <v>105</v>
      </c>
      <c r="C1782" s="5" t="s">
        <v>106</v>
      </c>
      <c r="D1782" s="5" t="s">
        <v>173</v>
      </c>
      <c r="E1782" s="5" t="s">
        <v>174</v>
      </c>
      <c r="F1782" s="5" t="s">
        <v>211</v>
      </c>
      <c r="G1782" s="5" t="s">
        <v>609</v>
      </c>
      <c r="H1782" s="5" t="s">
        <v>226</v>
      </c>
      <c r="I1782" s="5" t="s">
        <v>4245</v>
      </c>
      <c r="J1782" s="5" t="s">
        <v>238</v>
      </c>
      <c r="K1782" s="5" t="s">
        <v>2361</v>
      </c>
      <c r="L1782" s="5" t="s">
        <v>190</v>
      </c>
      <c r="M1782" s="5" t="s">
        <v>678</v>
      </c>
      <c r="N1782" s="5" t="s">
        <v>278</v>
      </c>
      <c r="O1782" s="5" t="s">
        <v>634</v>
      </c>
      <c r="P1782" s="5" t="str">
        <f aca="false">IF(J1782="S0","—",IF(K1782="","",IF(L1782="E0","QM",INDEX(10_ASIL_Matrix!$D$4:$F$15,MATCH(J1782&amp;"-"&amp;L1782,10_ASIL_Matrix!$C$4:$C$15,0),MATCH(N1782,10_ASIL_Matrix!$D$3:$F$3,0)))))</f>
        <v>—</v>
      </c>
      <c r="Q1782" s="5" t="s">
        <v>448</v>
      </c>
    </row>
    <row r="1783" customFormat="false" ht="35.05" hidden="false" customHeight="false" outlineLevel="0" collapsed="false">
      <c r="A1783" s="6" t="s">
        <v>4246</v>
      </c>
      <c r="B1783" s="6" t="s">
        <v>105</v>
      </c>
      <c r="C1783" s="6" t="s">
        <v>106</v>
      </c>
      <c r="D1783" s="6" t="s">
        <v>173</v>
      </c>
      <c r="E1783" s="6" t="s">
        <v>174</v>
      </c>
      <c r="F1783" s="6" t="s">
        <v>211</v>
      </c>
      <c r="G1783" s="6" t="s">
        <v>609</v>
      </c>
      <c r="H1783" s="6" t="s">
        <v>228</v>
      </c>
      <c r="I1783" s="6" t="s">
        <v>4247</v>
      </c>
      <c r="J1783" s="6" t="s">
        <v>238</v>
      </c>
      <c r="K1783" s="6" t="s">
        <v>2361</v>
      </c>
      <c r="L1783" s="6" t="s">
        <v>205</v>
      </c>
      <c r="M1783" s="6" t="s">
        <v>681</v>
      </c>
      <c r="N1783" s="6" t="s">
        <v>278</v>
      </c>
      <c r="O1783" s="6" t="s">
        <v>634</v>
      </c>
      <c r="P1783" s="6" t="str">
        <f aca="false">IF(J1783="S0","—",IF(K1783="","",IF(L1783="E0","QM",INDEX(10_ASIL_Matrix!$D$4:$F$15,MATCH(J1783&amp;"-"&amp;L1783,10_ASIL_Matrix!$C$4:$C$15,0),MATCH(N1783,10_ASIL_Matrix!$D$3:$F$3,0)))))</f>
        <v>—</v>
      </c>
      <c r="Q1783" s="6" t="s">
        <v>448</v>
      </c>
    </row>
    <row r="1784" customFormat="false" ht="35.05" hidden="false" customHeight="false" outlineLevel="0" collapsed="false">
      <c r="A1784" s="5" t="s">
        <v>4248</v>
      </c>
      <c r="B1784" s="5" t="s">
        <v>105</v>
      </c>
      <c r="C1784" s="5" t="s">
        <v>106</v>
      </c>
      <c r="D1784" s="5" t="s">
        <v>173</v>
      </c>
      <c r="E1784" s="5" t="s">
        <v>174</v>
      </c>
      <c r="F1784" s="5" t="s">
        <v>211</v>
      </c>
      <c r="G1784" s="5" t="s">
        <v>609</v>
      </c>
      <c r="H1784" s="5" t="s">
        <v>230</v>
      </c>
      <c r="I1784" s="5" t="s">
        <v>4249</v>
      </c>
      <c r="J1784" s="5" t="s">
        <v>238</v>
      </c>
      <c r="K1784" s="5" t="s">
        <v>2361</v>
      </c>
      <c r="L1784" s="5" t="s">
        <v>205</v>
      </c>
      <c r="M1784" s="5" t="s">
        <v>684</v>
      </c>
      <c r="N1784" s="5" t="s">
        <v>278</v>
      </c>
      <c r="O1784" s="5" t="s">
        <v>634</v>
      </c>
      <c r="P1784" s="5" t="str">
        <f aca="false">IF(J1784="S0","—",IF(K1784="","",IF(L1784="E0","QM",INDEX(10_ASIL_Matrix!$D$4:$F$15,MATCH(J1784&amp;"-"&amp;L1784,10_ASIL_Matrix!$C$4:$C$15,0),MATCH(N1784,10_ASIL_Matrix!$D$3:$F$3,0)))))</f>
        <v>—</v>
      </c>
      <c r="Q1784" s="5" t="s">
        <v>448</v>
      </c>
    </row>
    <row r="1785" customFormat="false" ht="46.25" hidden="false" customHeight="false" outlineLevel="0" collapsed="false">
      <c r="A1785" s="6" t="s">
        <v>4250</v>
      </c>
      <c r="B1785" s="6" t="s">
        <v>105</v>
      </c>
      <c r="C1785" s="6" t="s">
        <v>106</v>
      </c>
      <c r="D1785" s="6" t="s">
        <v>173</v>
      </c>
      <c r="E1785" s="6" t="s">
        <v>174</v>
      </c>
      <c r="F1785" s="6" t="s">
        <v>211</v>
      </c>
      <c r="G1785" s="6" t="s">
        <v>609</v>
      </c>
      <c r="H1785" s="6" t="s">
        <v>232</v>
      </c>
      <c r="I1785" s="6" t="s">
        <v>4251</v>
      </c>
      <c r="J1785" s="6" t="s">
        <v>238</v>
      </c>
      <c r="K1785" s="6" t="s">
        <v>2361</v>
      </c>
      <c r="L1785" s="6" t="s">
        <v>233</v>
      </c>
      <c r="M1785" s="6" t="s">
        <v>687</v>
      </c>
      <c r="N1785" s="6" t="s">
        <v>278</v>
      </c>
      <c r="O1785" s="6" t="s">
        <v>634</v>
      </c>
      <c r="P1785" s="6" t="str">
        <f aca="false">IF(J1785="S0","—",IF(K1785="","",IF(L1785="E0","QM",INDEX(10_ASIL_Matrix!$D$4:$F$15,MATCH(J1785&amp;"-"&amp;L1785,10_ASIL_Matrix!$C$4:$C$15,0),MATCH(N1785,10_ASIL_Matrix!$D$3:$F$3,0)))))</f>
        <v>—</v>
      </c>
      <c r="Q1785" s="6" t="s">
        <v>448</v>
      </c>
    </row>
    <row r="1786" customFormat="false" ht="46.25" hidden="false" customHeight="false" outlineLevel="0" collapsed="false">
      <c r="A1786" s="5" t="s">
        <v>4252</v>
      </c>
      <c r="B1786" s="5" t="s">
        <v>105</v>
      </c>
      <c r="C1786" s="5" t="s">
        <v>106</v>
      </c>
      <c r="D1786" s="5" t="s">
        <v>173</v>
      </c>
      <c r="E1786" s="5" t="s">
        <v>174</v>
      </c>
      <c r="F1786" s="5" t="s">
        <v>213</v>
      </c>
      <c r="G1786" s="5" t="s">
        <v>689</v>
      </c>
      <c r="H1786" s="5" t="s">
        <v>222</v>
      </c>
      <c r="I1786" s="5" t="s">
        <v>4253</v>
      </c>
      <c r="J1786" s="5" t="s">
        <v>242</v>
      </c>
      <c r="K1786" s="5" t="s">
        <v>2962</v>
      </c>
      <c r="L1786" s="5" t="s">
        <v>205</v>
      </c>
      <c r="M1786" s="5" t="s">
        <v>692</v>
      </c>
      <c r="N1786" s="5" t="s">
        <v>282</v>
      </c>
      <c r="O1786" s="5" t="s">
        <v>2790</v>
      </c>
      <c r="P1786" s="5" t="str">
        <f aca="false">IF(J1786="S0","—",IF(K1786="","",IF(L1786="E0","QM",INDEX(10_ASIL_Matrix!$D$4:$F$15,MATCH(J1786&amp;"-"&amp;L1786,10_ASIL_Matrix!$C$4:$C$15,0),MATCH(N1786,10_ASIL_Matrix!$D$3:$F$3,0)))))</f>
        <v>QM</v>
      </c>
      <c r="Q1786" s="5" t="s">
        <v>448</v>
      </c>
    </row>
    <row r="1787" customFormat="false" ht="46.25" hidden="false" customHeight="false" outlineLevel="0" collapsed="false">
      <c r="A1787" s="6" t="s">
        <v>4254</v>
      </c>
      <c r="B1787" s="6" t="s">
        <v>105</v>
      </c>
      <c r="C1787" s="6" t="s">
        <v>106</v>
      </c>
      <c r="D1787" s="6" t="s">
        <v>173</v>
      </c>
      <c r="E1787" s="6" t="s">
        <v>174</v>
      </c>
      <c r="F1787" s="6" t="s">
        <v>213</v>
      </c>
      <c r="G1787" s="6" t="s">
        <v>689</v>
      </c>
      <c r="H1787" s="6" t="s">
        <v>224</v>
      </c>
      <c r="I1787" s="6" t="s">
        <v>4255</v>
      </c>
      <c r="J1787" s="6" t="s">
        <v>250</v>
      </c>
      <c r="K1787" s="6" t="s">
        <v>2965</v>
      </c>
      <c r="L1787" s="6" t="s">
        <v>205</v>
      </c>
      <c r="M1787" s="6" t="s">
        <v>696</v>
      </c>
      <c r="N1787" s="6" t="s">
        <v>282</v>
      </c>
      <c r="O1787" s="6" t="s">
        <v>2809</v>
      </c>
      <c r="P1787" s="6" t="str">
        <f aca="false">IF(J1787="S0","—",IF(K1787="","",IF(L1787="E0","QM",INDEX(10_ASIL_Matrix!$D$4:$F$15,MATCH(J1787&amp;"-"&amp;L1787,10_ASIL_Matrix!$C$4:$C$15,0),MATCH(N1787,10_ASIL_Matrix!$D$3:$F$3,0)))))</f>
        <v>QM</v>
      </c>
      <c r="Q1787" s="6" t="s">
        <v>448</v>
      </c>
    </row>
    <row r="1788" customFormat="false" ht="46.25" hidden="false" customHeight="false" outlineLevel="0" collapsed="false">
      <c r="A1788" s="5" t="s">
        <v>4256</v>
      </c>
      <c r="B1788" s="5" t="s">
        <v>105</v>
      </c>
      <c r="C1788" s="5" t="s">
        <v>106</v>
      </c>
      <c r="D1788" s="5" t="s">
        <v>173</v>
      </c>
      <c r="E1788" s="5" t="s">
        <v>174</v>
      </c>
      <c r="F1788" s="5" t="s">
        <v>213</v>
      </c>
      <c r="G1788" s="5" t="s">
        <v>689</v>
      </c>
      <c r="H1788" s="5" t="s">
        <v>226</v>
      </c>
      <c r="I1788" s="5" t="s">
        <v>4257</v>
      </c>
      <c r="J1788" s="5" t="s">
        <v>242</v>
      </c>
      <c r="K1788" s="5" t="s">
        <v>2962</v>
      </c>
      <c r="L1788" s="5" t="s">
        <v>205</v>
      </c>
      <c r="M1788" s="5" t="s">
        <v>699</v>
      </c>
      <c r="N1788" s="5" t="s">
        <v>282</v>
      </c>
      <c r="O1788" s="5" t="s">
        <v>2790</v>
      </c>
      <c r="P1788" s="5" t="str">
        <f aca="false">IF(J1788="S0","—",IF(K1788="","",IF(L1788="E0","QM",INDEX(10_ASIL_Matrix!$D$4:$F$15,MATCH(J1788&amp;"-"&amp;L1788,10_ASIL_Matrix!$C$4:$C$15,0),MATCH(N1788,10_ASIL_Matrix!$D$3:$F$3,0)))))</f>
        <v>QM</v>
      </c>
      <c r="Q1788" s="5" t="s">
        <v>448</v>
      </c>
    </row>
    <row r="1789" customFormat="false" ht="46.25" hidden="false" customHeight="false" outlineLevel="0" collapsed="false">
      <c r="A1789" s="6" t="s">
        <v>4258</v>
      </c>
      <c r="B1789" s="6" t="s">
        <v>105</v>
      </c>
      <c r="C1789" s="6" t="s">
        <v>106</v>
      </c>
      <c r="D1789" s="6" t="s">
        <v>173</v>
      </c>
      <c r="E1789" s="6" t="s">
        <v>174</v>
      </c>
      <c r="F1789" s="6" t="s">
        <v>213</v>
      </c>
      <c r="G1789" s="6" t="s">
        <v>689</v>
      </c>
      <c r="H1789" s="6" t="s">
        <v>228</v>
      </c>
      <c r="I1789" s="6" t="s">
        <v>4259</v>
      </c>
      <c r="J1789" s="6" t="s">
        <v>250</v>
      </c>
      <c r="K1789" s="6" t="s">
        <v>2965</v>
      </c>
      <c r="L1789" s="6" t="s">
        <v>205</v>
      </c>
      <c r="M1789" s="6" t="s">
        <v>702</v>
      </c>
      <c r="N1789" s="6" t="s">
        <v>282</v>
      </c>
      <c r="O1789" s="6" t="s">
        <v>2809</v>
      </c>
      <c r="P1789" s="6" t="str">
        <f aca="false">IF(J1789="S0","—",IF(K1789="","",IF(L1789="E0","QM",INDEX(10_ASIL_Matrix!$D$4:$F$15,MATCH(J1789&amp;"-"&amp;L1789,10_ASIL_Matrix!$C$4:$C$15,0),MATCH(N1789,10_ASIL_Matrix!$D$3:$F$3,0)))))</f>
        <v>QM</v>
      </c>
      <c r="Q1789" s="6" t="s">
        <v>448</v>
      </c>
    </row>
    <row r="1790" customFormat="false" ht="46.25" hidden="false" customHeight="false" outlineLevel="0" collapsed="false">
      <c r="A1790" s="5" t="s">
        <v>4260</v>
      </c>
      <c r="B1790" s="5" t="s">
        <v>105</v>
      </c>
      <c r="C1790" s="5" t="s">
        <v>106</v>
      </c>
      <c r="D1790" s="5" t="s">
        <v>173</v>
      </c>
      <c r="E1790" s="5" t="s">
        <v>174</v>
      </c>
      <c r="F1790" s="5" t="s">
        <v>213</v>
      </c>
      <c r="G1790" s="5" t="s">
        <v>689</v>
      </c>
      <c r="H1790" s="5" t="s">
        <v>230</v>
      </c>
      <c r="I1790" s="5" t="s">
        <v>4261</v>
      </c>
      <c r="J1790" s="5" t="s">
        <v>246</v>
      </c>
      <c r="K1790" s="5" t="s">
        <v>2972</v>
      </c>
      <c r="L1790" s="5" t="s">
        <v>205</v>
      </c>
      <c r="M1790" s="5" t="s">
        <v>705</v>
      </c>
      <c r="N1790" s="5" t="s">
        <v>286</v>
      </c>
      <c r="O1790" s="5" t="s">
        <v>2800</v>
      </c>
      <c r="P1790" s="5" t="str">
        <f aca="false">IF(J1790="S0","—",IF(K1790="","",IF(L1790="E0","QM",INDEX(10_ASIL_Matrix!$D$4:$F$15,MATCH(J1790&amp;"-"&amp;L1790,10_ASIL_Matrix!$C$4:$C$15,0),MATCH(N1790,10_ASIL_Matrix!$D$3:$F$3,0)))))</f>
        <v>QM</v>
      </c>
      <c r="Q1790" s="5" t="s">
        <v>448</v>
      </c>
    </row>
    <row r="1791" customFormat="false" ht="46.25" hidden="false" customHeight="false" outlineLevel="0" collapsed="false">
      <c r="A1791" s="6" t="s">
        <v>4262</v>
      </c>
      <c r="B1791" s="6" t="s">
        <v>105</v>
      </c>
      <c r="C1791" s="6" t="s">
        <v>106</v>
      </c>
      <c r="D1791" s="6" t="s">
        <v>173</v>
      </c>
      <c r="E1791" s="6" t="s">
        <v>174</v>
      </c>
      <c r="F1791" s="6" t="s">
        <v>213</v>
      </c>
      <c r="G1791" s="6" t="s">
        <v>689</v>
      </c>
      <c r="H1791" s="6" t="s">
        <v>232</v>
      </c>
      <c r="I1791" s="6" t="s">
        <v>4263</v>
      </c>
      <c r="J1791" s="6" t="s">
        <v>242</v>
      </c>
      <c r="K1791" s="6" t="s">
        <v>2962</v>
      </c>
      <c r="L1791" s="6" t="s">
        <v>233</v>
      </c>
      <c r="M1791" s="6" t="s">
        <v>709</v>
      </c>
      <c r="N1791" s="6" t="s">
        <v>282</v>
      </c>
      <c r="O1791" s="6" t="s">
        <v>2790</v>
      </c>
      <c r="P1791" s="6" t="str">
        <f aca="false">IF(J1791="S0","—",IF(K1791="","",IF(L1791="E0","QM",INDEX(10_ASIL_Matrix!$D$4:$F$15,MATCH(J1791&amp;"-"&amp;L1791,10_ASIL_Matrix!$C$4:$C$15,0),MATCH(N1791,10_ASIL_Matrix!$D$3:$F$3,0)))))</f>
        <v>QM</v>
      </c>
      <c r="Q1791" s="6" t="s">
        <v>448</v>
      </c>
    </row>
    <row r="1792" customFormat="false" ht="35.05" hidden="false" customHeight="false" outlineLevel="0" collapsed="false">
      <c r="A1792" s="5" t="s">
        <v>4264</v>
      </c>
      <c r="B1792" s="5" t="s">
        <v>105</v>
      </c>
      <c r="C1792" s="5" t="s">
        <v>106</v>
      </c>
      <c r="D1792" s="5" t="s">
        <v>173</v>
      </c>
      <c r="E1792" s="5" t="s">
        <v>174</v>
      </c>
      <c r="F1792" s="5" t="s">
        <v>215</v>
      </c>
      <c r="G1792" s="5" t="s">
        <v>711</v>
      </c>
      <c r="H1792" s="5" t="s">
        <v>222</v>
      </c>
      <c r="I1792" s="5" t="s">
        <v>4265</v>
      </c>
      <c r="J1792" s="5" t="s">
        <v>246</v>
      </c>
      <c r="K1792" s="5" t="s">
        <v>2977</v>
      </c>
      <c r="L1792" s="5" t="s">
        <v>190</v>
      </c>
      <c r="M1792" s="5" t="s">
        <v>714</v>
      </c>
      <c r="N1792" s="5" t="s">
        <v>282</v>
      </c>
      <c r="O1792" s="5" t="s">
        <v>2790</v>
      </c>
      <c r="P1792" s="5" t="str">
        <f aca="false">IF(J1792="S0","—",IF(K1792="","",IF(L1792="E0","QM",INDEX(10_ASIL_Matrix!$D$4:$F$15,MATCH(J1792&amp;"-"&amp;L1792,10_ASIL_Matrix!$C$4:$C$15,0),MATCH(N1792,10_ASIL_Matrix!$D$3:$F$3,0)))))</f>
        <v>QM</v>
      </c>
      <c r="Q1792" s="5" t="s">
        <v>448</v>
      </c>
    </row>
    <row r="1793" customFormat="false" ht="35.05" hidden="false" customHeight="false" outlineLevel="0" collapsed="false">
      <c r="A1793" s="6" t="s">
        <v>4266</v>
      </c>
      <c r="B1793" s="6" t="s">
        <v>105</v>
      </c>
      <c r="C1793" s="6" t="s">
        <v>106</v>
      </c>
      <c r="D1793" s="6" t="s">
        <v>173</v>
      </c>
      <c r="E1793" s="6" t="s">
        <v>174</v>
      </c>
      <c r="F1793" s="6" t="s">
        <v>215</v>
      </c>
      <c r="G1793" s="6" t="s">
        <v>711</v>
      </c>
      <c r="H1793" s="6" t="s">
        <v>224</v>
      </c>
      <c r="I1793" s="6" t="s">
        <v>4267</v>
      </c>
      <c r="J1793" s="6" t="s">
        <v>246</v>
      </c>
      <c r="K1793" s="6" t="s">
        <v>2977</v>
      </c>
      <c r="L1793" s="6" t="s">
        <v>190</v>
      </c>
      <c r="M1793" s="6" t="s">
        <v>717</v>
      </c>
      <c r="N1793" s="6" t="s">
        <v>282</v>
      </c>
      <c r="O1793" s="6" t="s">
        <v>2790</v>
      </c>
      <c r="P1793" s="6" t="str">
        <f aca="false">IF(J1793="S0","—",IF(K1793="","",IF(L1793="E0","QM",INDEX(10_ASIL_Matrix!$D$4:$F$15,MATCH(J1793&amp;"-"&amp;L1793,10_ASIL_Matrix!$C$4:$C$15,0),MATCH(N1793,10_ASIL_Matrix!$D$3:$F$3,0)))))</f>
        <v>QM</v>
      </c>
      <c r="Q1793" s="6" t="s">
        <v>448</v>
      </c>
    </row>
    <row r="1794" customFormat="false" ht="35.05" hidden="false" customHeight="false" outlineLevel="0" collapsed="false">
      <c r="A1794" s="5" t="s">
        <v>4268</v>
      </c>
      <c r="B1794" s="5" t="s">
        <v>105</v>
      </c>
      <c r="C1794" s="5" t="s">
        <v>106</v>
      </c>
      <c r="D1794" s="5" t="s">
        <v>173</v>
      </c>
      <c r="E1794" s="5" t="s">
        <v>174</v>
      </c>
      <c r="F1794" s="5" t="s">
        <v>215</v>
      </c>
      <c r="G1794" s="5" t="s">
        <v>711</v>
      </c>
      <c r="H1794" s="5" t="s">
        <v>226</v>
      </c>
      <c r="I1794" s="5" t="s">
        <v>4269</v>
      </c>
      <c r="J1794" s="5" t="s">
        <v>246</v>
      </c>
      <c r="K1794" s="5" t="s">
        <v>2977</v>
      </c>
      <c r="L1794" s="5" t="s">
        <v>190</v>
      </c>
      <c r="M1794" s="5" t="s">
        <v>720</v>
      </c>
      <c r="N1794" s="5" t="s">
        <v>282</v>
      </c>
      <c r="O1794" s="5" t="s">
        <v>2790</v>
      </c>
      <c r="P1794" s="5" t="str">
        <f aca="false">IF(J1794="S0","—",IF(K1794="","",IF(L1794="E0","QM",INDEX(10_ASIL_Matrix!$D$4:$F$15,MATCH(J1794&amp;"-"&amp;L1794,10_ASIL_Matrix!$C$4:$C$15,0),MATCH(N1794,10_ASIL_Matrix!$D$3:$F$3,0)))))</f>
        <v>QM</v>
      </c>
      <c r="Q1794" s="5" t="s">
        <v>448</v>
      </c>
    </row>
    <row r="1795" customFormat="false" ht="46.25" hidden="false" customHeight="false" outlineLevel="0" collapsed="false">
      <c r="A1795" s="6" t="s">
        <v>4270</v>
      </c>
      <c r="B1795" s="6" t="s">
        <v>105</v>
      </c>
      <c r="C1795" s="6" t="s">
        <v>106</v>
      </c>
      <c r="D1795" s="6" t="s">
        <v>173</v>
      </c>
      <c r="E1795" s="6" t="s">
        <v>174</v>
      </c>
      <c r="F1795" s="6" t="s">
        <v>215</v>
      </c>
      <c r="G1795" s="6" t="s">
        <v>711</v>
      </c>
      <c r="H1795" s="6" t="s">
        <v>228</v>
      </c>
      <c r="I1795" s="6" t="s">
        <v>4271</v>
      </c>
      <c r="J1795" s="6" t="s">
        <v>246</v>
      </c>
      <c r="K1795" s="6" t="s">
        <v>2977</v>
      </c>
      <c r="L1795" s="6" t="s">
        <v>205</v>
      </c>
      <c r="M1795" s="6" t="s">
        <v>723</v>
      </c>
      <c r="N1795" s="6" t="s">
        <v>282</v>
      </c>
      <c r="O1795" s="6" t="s">
        <v>2790</v>
      </c>
      <c r="P1795" s="6" t="str">
        <f aca="false">IF(J1795="S0","—",IF(K1795="","",IF(L1795="E0","QM",INDEX(10_ASIL_Matrix!$D$4:$F$15,MATCH(J1795&amp;"-"&amp;L1795,10_ASIL_Matrix!$C$4:$C$15,0),MATCH(N1795,10_ASIL_Matrix!$D$3:$F$3,0)))))</f>
        <v>QM</v>
      </c>
      <c r="Q1795" s="6" t="s">
        <v>448</v>
      </c>
    </row>
    <row r="1796" customFormat="false" ht="35.05" hidden="false" customHeight="false" outlineLevel="0" collapsed="false">
      <c r="A1796" s="5" t="s">
        <v>4272</v>
      </c>
      <c r="B1796" s="5" t="s">
        <v>105</v>
      </c>
      <c r="C1796" s="5" t="s">
        <v>106</v>
      </c>
      <c r="D1796" s="5" t="s">
        <v>173</v>
      </c>
      <c r="E1796" s="5" t="s">
        <v>174</v>
      </c>
      <c r="F1796" s="5" t="s">
        <v>215</v>
      </c>
      <c r="G1796" s="5" t="s">
        <v>711</v>
      </c>
      <c r="H1796" s="5" t="s">
        <v>230</v>
      </c>
      <c r="I1796" s="5" t="s">
        <v>4273</v>
      </c>
      <c r="J1796" s="5" t="s">
        <v>250</v>
      </c>
      <c r="K1796" s="5" t="s">
        <v>2986</v>
      </c>
      <c r="L1796" s="5" t="s">
        <v>205</v>
      </c>
      <c r="M1796" s="5" t="s">
        <v>726</v>
      </c>
      <c r="N1796" s="5" t="s">
        <v>286</v>
      </c>
      <c r="O1796" s="5" t="s">
        <v>2800</v>
      </c>
      <c r="P1796" s="19" t="str">
        <f aca="false">IF(J1796="S0","—",IF(K1796="","",IF(L1796="E0","QM",INDEX(10_ASIL_Matrix!$D$4:$F$15,MATCH(J1796&amp;"-"&amp;L1796,10_ASIL_Matrix!$C$4:$C$15,0),MATCH(N1796,10_ASIL_Matrix!$D$3:$F$3,0)))))</f>
        <v>A</v>
      </c>
      <c r="Q1796" s="5" t="s">
        <v>448</v>
      </c>
    </row>
    <row r="1797" customFormat="false" ht="46.25" hidden="false" customHeight="false" outlineLevel="0" collapsed="false">
      <c r="A1797" s="6" t="s">
        <v>4274</v>
      </c>
      <c r="B1797" s="6" t="s">
        <v>105</v>
      </c>
      <c r="C1797" s="6" t="s">
        <v>106</v>
      </c>
      <c r="D1797" s="6" t="s">
        <v>173</v>
      </c>
      <c r="E1797" s="6" t="s">
        <v>174</v>
      </c>
      <c r="F1797" s="6" t="s">
        <v>215</v>
      </c>
      <c r="G1797" s="6" t="s">
        <v>711</v>
      </c>
      <c r="H1797" s="6" t="s">
        <v>232</v>
      </c>
      <c r="I1797" s="6" t="s">
        <v>4275</v>
      </c>
      <c r="J1797" s="6" t="s">
        <v>246</v>
      </c>
      <c r="K1797" s="6" t="s">
        <v>2977</v>
      </c>
      <c r="L1797" s="6" t="s">
        <v>233</v>
      </c>
      <c r="M1797" s="6" t="s">
        <v>729</v>
      </c>
      <c r="N1797" s="6" t="s">
        <v>282</v>
      </c>
      <c r="O1797" s="6" t="s">
        <v>2790</v>
      </c>
      <c r="P1797" s="6" t="str">
        <f aca="false">IF(J1797="S0","—",IF(K1797="","",IF(L1797="E0","QM",INDEX(10_ASIL_Matrix!$D$4:$F$15,MATCH(J1797&amp;"-"&amp;L1797,10_ASIL_Matrix!$C$4:$C$15,0),MATCH(N1797,10_ASIL_Matrix!$D$3:$F$3,0)))))</f>
        <v>QM</v>
      </c>
      <c r="Q1797" s="6" t="s">
        <v>448</v>
      </c>
    </row>
    <row r="1798" customFormat="false" ht="35.05" hidden="false" customHeight="false" outlineLevel="0" collapsed="false">
      <c r="A1798" s="5" t="s">
        <v>4276</v>
      </c>
      <c r="B1798" s="5" t="s">
        <v>105</v>
      </c>
      <c r="C1798" s="5" t="s">
        <v>106</v>
      </c>
      <c r="D1798" s="5" t="s">
        <v>173</v>
      </c>
      <c r="E1798" s="5" t="s">
        <v>174</v>
      </c>
      <c r="F1798" s="5" t="s">
        <v>217</v>
      </c>
      <c r="G1798" s="5" t="s">
        <v>488</v>
      </c>
      <c r="H1798" s="5" t="s">
        <v>222</v>
      </c>
      <c r="I1798" s="5" t="s">
        <v>4277</v>
      </c>
      <c r="J1798" s="5" t="s">
        <v>246</v>
      </c>
      <c r="K1798" s="5" t="s">
        <v>2991</v>
      </c>
      <c r="L1798" s="5" t="s">
        <v>190</v>
      </c>
      <c r="M1798" s="5" t="s">
        <v>733</v>
      </c>
      <c r="N1798" s="5" t="s">
        <v>282</v>
      </c>
      <c r="O1798" s="5" t="s">
        <v>2790</v>
      </c>
      <c r="P1798" s="5" t="str">
        <f aca="false">IF(J1798="S0","—",IF(K1798="","",IF(L1798="E0","QM",INDEX(10_ASIL_Matrix!$D$4:$F$15,MATCH(J1798&amp;"-"&amp;L1798,10_ASIL_Matrix!$C$4:$C$15,0),MATCH(N1798,10_ASIL_Matrix!$D$3:$F$3,0)))))</f>
        <v>QM</v>
      </c>
      <c r="Q1798" s="5" t="s">
        <v>448</v>
      </c>
    </row>
    <row r="1799" customFormat="false" ht="35.05" hidden="false" customHeight="false" outlineLevel="0" collapsed="false">
      <c r="A1799" s="6" t="s">
        <v>4278</v>
      </c>
      <c r="B1799" s="6" t="s">
        <v>105</v>
      </c>
      <c r="C1799" s="6" t="s">
        <v>106</v>
      </c>
      <c r="D1799" s="6" t="s">
        <v>173</v>
      </c>
      <c r="E1799" s="6" t="s">
        <v>174</v>
      </c>
      <c r="F1799" s="6" t="s">
        <v>217</v>
      </c>
      <c r="G1799" s="6" t="s">
        <v>488</v>
      </c>
      <c r="H1799" s="6" t="s">
        <v>224</v>
      </c>
      <c r="I1799" s="6" t="s">
        <v>4279</v>
      </c>
      <c r="J1799" s="6" t="s">
        <v>250</v>
      </c>
      <c r="K1799" s="6" t="s">
        <v>2994</v>
      </c>
      <c r="L1799" s="6" t="s">
        <v>190</v>
      </c>
      <c r="M1799" s="6" t="s">
        <v>736</v>
      </c>
      <c r="N1799" s="6" t="s">
        <v>282</v>
      </c>
      <c r="O1799" s="6" t="s">
        <v>2809</v>
      </c>
      <c r="P1799" s="19" t="str">
        <f aca="false">IF(J1799="S0","—",IF(K1799="","",IF(L1799="E0","QM",INDEX(10_ASIL_Matrix!$D$4:$F$15,MATCH(J1799&amp;"-"&amp;L1799,10_ASIL_Matrix!$C$4:$C$15,0),MATCH(N1799,10_ASIL_Matrix!$D$3:$F$3,0)))))</f>
        <v>A</v>
      </c>
      <c r="Q1799" s="6" t="s">
        <v>448</v>
      </c>
    </row>
    <row r="1800" customFormat="false" ht="35.05" hidden="false" customHeight="false" outlineLevel="0" collapsed="false">
      <c r="A1800" s="5" t="s">
        <v>4280</v>
      </c>
      <c r="B1800" s="5" t="s">
        <v>105</v>
      </c>
      <c r="C1800" s="5" t="s">
        <v>106</v>
      </c>
      <c r="D1800" s="5" t="s">
        <v>173</v>
      </c>
      <c r="E1800" s="5" t="s">
        <v>174</v>
      </c>
      <c r="F1800" s="5" t="s">
        <v>217</v>
      </c>
      <c r="G1800" s="5" t="s">
        <v>488</v>
      </c>
      <c r="H1800" s="5" t="s">
        <v>226</v>
      </c>
      <c r="I1800" s="5" t="s">
        <v>4281</v>
      </c>
      <c r="J1800" s="5" t="s">
        <v>246</v>
      </c>
      <c r="K1800" s="5" t="s">
        <v>2991</v>
      </c>
      <c r="L1800" s="5" t="s">
        <v>190</v>
      </c>
      <c r="M1800" s="5" t="s">
        <v>739</v>
      </c>
      <c r="N1800" s="5" t="s">
        <v>282</v>
      </c>
      <c r="O1800" s="5" t="s">
        <v>2790</v>
      </c>
      <c r="P1800" s="5" t="str">
        <f aca="false">IF(J1800="S0","—",IF(K1800="","",IF(L1800="E0","QM",INDEX(10_ASIL_Matrix!$D$4:$F$15,MATCH(J1800&amp;"-"&amp;L1800,10_ASIL_Matrix!$C$4:$C$15,0),MATCH(N1800,10_ASIL_Matrix!$D$3:$F$3,0)))))</f>
        <v>QM</v>
      </c>
      <c r="Q1800" s="5" t="s">
        <v>448</v>
      </c>
    </row>
    <row r="1801" customFormat="false" ht="35.05" hidden="false" customHeight="false" outlineLevel="0" collapsed="false">
      <c r="A1801" s="6" t="s">
        <v>4282</v>
      </c>
      <c r="B1801" s="6" t="s">
        <v>105</v>
      </c>
      <c r="C1801" s="6" t="s">
        <v>106</v>
      </c>
      <c r="D1801" s="6" t="s">
        <v>173</v>
      </c>
      <c r="E1801" s="6" t="s">
        <v>174</v>
      </c>
      <c r="F1801" s="6" t="s">
        <v>217</v>
      </c>
      <c r="G1801" s="6" t="s">
        <v>488</v>
      </c>
      <c r="H1801" s="6" t="s">
        <v>228</v>
      </c>
      <c r="I1801" s="6" t="s">
        <v>4283</v>
      </c>
      <c r="J1801" s="6" t="s">
        <v>250</v>
      </c>
      <c r="K1801" s="6" t="s">
        <v>2994</v>
      </c>
      <c r="L1801" s="6" t="s">
        <v>205</v>
      </c>
      <c r="M1801" s="6" t="s">
        <v>742</v>
      </c>
      <c r="N1801" s="6" t="s">
        <v>282</v>
      </c>
      <c r="O1801" s="6" t="s">
        <v>2809</v>
      </c>
      <c r="P1801" s="6" t="str">
        <f aca="false">IF(J1801="S0","—",IF(K1801="","",IF(L1801="E0","QM",INDEX(10_ASIL_Matrix!$D$4:$F$15,MATCH(J1801&amp;"-"&amp;L1801,10_ASIL_Matrix!$C$4:$C$15,0),MATCH(N1801,10_ASIL_Matrix!$D$3:$F$3,0)))))</f>
        <v>QM</v>
      </c>
      <c r="Q1801" s="6" t="s">
        <v>448</v>
      </c>
    </row>
    <row r="1802" customFormat="false" ht="35.05" hidden="false" customHeight="false" outlineLevel="0" collapsed="false">
      <c r="A1802" s="5" t="s">
        <v>4284</v>
      </c>
      <c r="B1802" s="5" t="s">
        <v>105</v>
      </c>
      <c r="C1802" s="5" t="s">
        <v>106</v>
      </c>
      <c r="D1802" s="5" t="s">
        <v>173</v>
      </c>
      <c r="E1802" s="5" t="s">
        <v>174</v>
      </c>
      <c r="F1802" s="5" t="s">
        <v>217</v>
      </c>
      <c r="G1802" s="5" t="s">
        <v>488</v>
      </c>
      <c r="H1802" s="5" t="s">
        <v>230</v>
      </c>
      <c r="I1802" s="5" t="s">
        <v>4285</v>
      </c>
      <c r="J1802" s="5" t="s">
        <v>250</v>
      </c>
      <c r="K1802" s="5" t="s">
        <v>3001</v>
      </c>
      <c r="L1802" s="5" t="s">
        <v>205</v>
      </c>
      <c r="M1802" s="5" t="s">
        <v>745</v>
      </c>
      <c r="N1802" s="5" t="s">
        <v>286</v>
      </c>
      <c r="O1802" s="5" t="s">
        <v>2800</v>
      </c>
      <c r="P1802" s="19" t="str">
        <f aca="false">IF(J1802="S0","—",IF(K1802="","",IF(L1802="E0","QM",INDEX(10_ASIL_Matrix!$D$4:$F$15,MATCH(J1802&amp;"-"&amp;L1802,10_ASIL_Matrix!$C$4:$C$15,0),MATCH(N1802,10_ASIL_Matrix!$D$3:$F$3,0)))))</f>
        <v>A</v>
      </c>
      <c r="Q1802" s="5" t="s">
        <v>448</v>
      </c>
    </row>
    <row r="1803" customFormat="false" ht="46.25" hidden="false" customHeight="false" outlineLevel="0" collapsed="false">
      <c r="A1803" s="6" t="s">
        <v>4286</v>
      </c>
      <c r="B1803" s="6" t="s">
        <v>105</v>
      </c>
      <c r="C1803" s="6" t="s">
        <v>106</v>
      </c>
      <c r="D1803" s="6" t="s">
        <v>173</v>
      </c>
      <c r="E1803" s="6" t="s">
        <v>174</v>
      </c>
      <c r="F1803" s="6" t="s">
        <v>217</v>
      </c>
      <c r="G1803" s="6" t="s">
        <v>488</v>
      </c>
      <c r="H1803" s="6" t="s">
        <v>232</v>
      </c>
      <c r="I1803" s="6" t="s">
        <v>4287</v>
      </c>
      <c r="J1803" s="6" t="s">
        <v>246</v>
      </c>
      <c r="K1803" s="6" t="s">
        <v>2991</v>
      </c>
      <c r="L1803" s="6" t="s">
        <v>233</v>
      </c>
      <c r="M1803" s="6" t="s">
        <v>748</v>
      </c>
      <c r="N1803" s="6" t="s">
        <v>282</v>
      </c>
      <c r="O1803" s="6" t="s">
        <v>2790</v>
      </c>
      <c r="P1803" s="6" t="str">
        <f aca="false">IF(J1803="S0","—",IF(K1803="","",IF(L1803="E0","QM",INDEX(10_ASIL_Matrix!$D$4:$F$15,MATCH(J1803&amp;"-"&amp;L1803,10_ASIL_Matrix!$C$4:$C$15,0),MATCH(N1803,10_ASIL_Matrix!$D$3:$F$3,0)))))</f>
        <v>QM</v>
      </c>
      <c r="Q1803" s="6" t="s">
        <v>448</v>
      </c>
    </row>
    <row r="1804" customFormat="false" ht="35.05" hidden="false" customHeight="false" outlineLevel="0" collapsed="false">
      <c r="A1804" s="5" t="s">
        <v>4288</v>
      </c>
      <c r="B1804" s="5" t="s">
        <v>108</v>
      </c>
      <c r="C1804" s="5" t="s">
        <v>109</v>
      </c>
      <c r="D1804" s="5" t="s">
        <v>137</v>
      </c>
      <c r="E1804" s="5" t="s">
        <v>138</v>
      </c>
      <c r="F1804" s="5" t="s">
        <v>186</v>
      </c>
      <c r="G1804" s="5" t="s">
        <v>443</v>
      </c>
      <c r="H1804" s="5" t="s">
        <v>222</v>
      </c>
      <c r="I1804" s="5" t="s">
        <v>4289</v>
      </c>
      <c r="J1804" s="5" t="s">
        <v>238</v>
      </c>
      <c r="K1804" s="5" t="s">
        <v>4290</v>
      </c>
      <c r="L1804" s="5" t="s">
        <v>187</v>
      </c>
      <c r="M1804" s="5" t="s">
        <v>446</v>
      </c>
      <c r="N1804" s="5" t="s">
        <v>278</v>
      </c>
      <c r="O1804" s="5" t="s">
        <v>634</v>
      </c>
      <c r="P1804" s="5" t="str">
        <f aca="false">IF(J1804="S0","—",IF(K1804="","",IF(L1804="E0","QM",INDEX(10_ASIL_Matrix!$D$4:$F$15,MATCH(J1804&amp;"-"&amp;L1804,10_ASIL_Matrix!$C$4:$C$15,0),MATCH(N1804,10_ASIL_Matrix!$D$3:$F$3,0)))))</f>
        <v>—</v>
      </c>
      <c r="Q1804" s="5" t="s">
        <v>448</v>
      </c>
    </row>
    <row r="1805" customFormat="false" ht="35.05" hidden="false" customHeight="false" outlineLevel="0" collapsed="false">
      <c r="A1805" s="6" t="s">
        <v>4291</v>
      </c>
      <c r="B1805" s="6" t="s">
        <v>108</v>
      </c>
      <c r="C1805" s="6" t="s">
        <v>109</v>
      </c>
      <c r="D1805" s="6" t="s">
        <v>137</v>
      </c>
      <c r="E1805" s="6" t="s">
        <v>138</v>
      </c>
      <c r="F1805" s="6" t="s">
        <v>186</v>
      </c>
      <c r="G1805" s="6" t="s">
        <v>443</v>
      </c>
      <c r="H1805" s="6" t="s">
        <v>224</v>
      </c>
      <c r="I1805" s="6" t="s">
        <v>4292</v>
      </c>
      <c r="J1805" s="6" t="s">
        <v>238</v>
      </c>
      <c r="K1805" s="6" t="s">
        <v>4290</v>
      </c>
      <c r="L1805" s="6" t="s">
        <v>190</v>
      </c>
      <c r="M1805" s="6" t="s">
        <v>451</v>
      </c>
      <c r="N1805" s="6" t="s">
        <v>278</v>
      </c>
      <c r="O1805" s="6" t="s">
        <v>634</v>
      </c>
      <c r="P1805" s="6" t="str">
        <f aca="false">IF(J1805="S0","—",IF(K1805="","",IF(L1805="E0","QM",INDEX(10_ASIL_Matrix!$D$4:$F$15,MATCH(J1805&amp;"-"&amp;L1805,10_ASIL_Matrix!$C$4:$C$15,0),MATCH(N1805,10_ASIL_Matrix!$D$3:$F$3,0)))))</f>
        <v>—</v>
      </c>
      <c r="Q1805" s="6" t="s">
        <v>448</v>
      </c>
    </row>
    <row r="1806" customFormat="false" ht="35.05" hidden="false" customHeight="false" outlineLevel="0" collapsed="false">
      <c r="A1806" s="5" t="s">
        <v>4293</v>
      </c>
      <c r="B1806" s="5" t="s">
        <v>108</v>
      </c>
      <c r="C1806" s="5" t="s">
        <v>109</v>
      </c>
      <c r="D1806" s="5" t="s">
        <v>137</v>
      </c>
      <c r="E1806" s="5" t="s">
        <v>138</v>
      </c>
      <c r="F1806" s="5" t="s">
        <v>186</v>
      </c>
      <c r="G1806" s="5" t="s">
        <v>443</v>
      </c>
      <c r="H1806" s="5" t="s">
        <v>226</v>
      </c>
      <c r="I1806" s="5" t="s">
        <v>4294</v>
      </c>
      <c r="J1806" s="5" t="s">
        <v>238</v>
      </c>
      <c r="K1806" s="5" t="s">
        <v>4290</v>
      </c>
      <c r="L1806" s="5" t="s">
        <v>190</v>
      </c>
      <c r="M1806" s="5" t="s">
        <v>454</v>
      </c>
      <c r="N1806" s="5" t="s">
        <v>278</v>
      </c>
      <c r="O1806" s="5" t="s">
        <v>634</v>
      </c>
      <c r="P1806" s="5" t="str">
        <f aca="false">IF(J1806="S0","—",IF(K1806="","",IF(L1806="E0","QM",INDEX(10_ASIL_Matrix!$D$4:$F$15,MATCH(J1806&amp;"-"&amp;L1806,10_ASIL_Matrix!$C$4:$C$15,0),MATCH(N1806,10_ASIL_Matrix!$D$3:$F$3,0)))))</f>
        <v>—</v>
      </c>
      <c r="Q1806" s="5" t="s">
        <v>448</v>
      </c>
    </row>
    <row r="1807" customFormat="false" ht="35.05" hidden="false" customHeight="false" outlineLevel="0" collapsed="false">
      <c r="A1807" s="6" t="s">
        <v>4295</v>
      </c>
      <c r="B1807" s="6" t="s">
        <v>108</v>
      </c>
      <c r="C1807" s="6" t="s">
        <v>109</v>
      </c>
      <c r="D1807" s="6" t="s">
        <v>137</v>
      </c>
      <c r="E1807" s="6" t="s">
        <v>138</v>
      </c>
      <c r="F1807" s="6" t="s">
        <v>186</v>
      </c>
      <c r="G1807" s="6" t="s">
        <v>443</v>
      </c>
      <c r="H1807" s="6" t="s">
        <v>228</v>
      </c>
      <c r="I1807" s="6" t="s">
        <v>4296</v>
      </c>
      <c r="J1807" s="6" t="s">
        <v>238</v>
      </c>
      <c r="K1807" s="6" t="s">
        <v>4290</v>
      </c>
      <c r="L1807" s="6" t="s">
        <v>205</v>
      </c>
      <c r="M1807" s="6" t="s">
        <v>457</v>
      </c>
      <c r="N1807" s="6" t="s">
        <v>278</v>
      </c>
      <c r="O1807" s="6" t="s">
        <v>634</v>
      </c>
      <c r="P1807" s="6" t="str">
        <f aca="false">IF(J1807="S0","—",IF(K1807="","",IF(L1807="E0","QM",INDEX(10_ASIL_Matrix!$D$4:$F$15,MATCH(J1807&amp;"-"&amp;L1807,10_ASIL_Matrix!$C$4:$C$15,0),MATCH(N1807,10_ASIL_Matrix!$D$3:$F$3,0)))))</f>
        <v>—</v>
      </c>
      <c r="Q1807" s="6" t="s">
        <v>448</v>
      </c>
    </row>
    <row r="1808" customFormat="false" ht="35.05" hidden="false" customHeight="false" outlineLevel="0" collapsed="false">
      <c r="A1808" s="5" t="s">
        <v>4297</v>
      </c>
      <c r="B1808" s="5" t="s">
        <v>108</v>
      </c>
      <c r="C1808" s="5" t="s">
        <v>109</v>
      </c>
      <c r="D1808" s="5" t="s">
        <v>137</v>
      </c>
      <c r="E1808" s="5" t="s">
        <v>138</v>
      </c>
      <c r="F1808" s="5" t="s">
        <v>186</v>
      </c>
      <c r="G1808" s="5" t="s">
        <v>443</v>
      </c>
      <c r="H1808" s="5" t="s">
        <v>230</v>
      </c>
      <c r="I1808" s="5" t="s">
        <v>4298</v>
      </c>
      <c r="J1808" s="5" t="s">
        <v>238</v>
      </c>
      <c r="K1808" s="5" t="s">
        <v>4290</v>
      </c>
      <c r="L1808" s="5" t="s">
        <v>205</v>
      </c>
      <c r="M1808" s="5" t="s">
        <v>460</v>
      </c>
      <c r="N1808" s="5" t="s">
        <v>278</v>
      </c>
      <c r="O1808" s="5" t="s">
        <v>634</v>
      </c>
      <c r="P1808" s="5" t="str">
        <f aca="false">IF(J1808="S0","—",IF(K1808="","",IF(L1808="E0","QM",INDEX(10_ASIL_Matrix!$D$4:$F$15,MATCH(J1808&amp;"-"&amp;L1808,10_ASIL_Matrix!$C$4:$C$15,0),MATCH(N1808,10_ASIL_Matrix!$D$3:$F$3,0)))))</f>
        <v>—</v>
      </c>
      <c r="Q1808" s="5" t="s">
        <v>448</v>
      </c>
    </row>
    <row r="1809" customFormat="false" ht="46.25" hidden="false" customHeight="false" outlineLevel="0" collapsed="false">
      <c r="A1809" s="6" t="s">
        <v>4299</v>
      </c>
      <c r="B1809" s="6" t="s">
        <v>108</v>
      </c>
      <c r="C1809" s="6" t="s">
        <v>109</v>
      </c>
      <c r="D1809" s="6" t="s">
        <v>137</v>
      </c>
      <c r="E1809" s="6" t="s">
        <v>138</v>
      </c>
      <c r="F1809" s="6" t="s">
        <v>186</v>
      </c>
      <c r="G1809" s="6" t="s">
        <v>443</v>
      </c>
      <c r="H1809" s="6" t="s">
        <v>232</v>
      </c>
      <c r="I1809" s="6" t="s">
        <v>4300</v>
      </c>
      <c r="J1809" s="6" t="s">
        <v>238</v>
      </c>
      <c r="K1809" s="6" t="s">
        <v>4290</v>
      </c>
      <c r="L1809" s="6" t="s">
        <v>233</v>
      </c>
      <c r="M1809" s="6" t="s">
        <v>464</v>
      </c>
      <c r="N1809" s="6" t="s">
        <v>278</v>
      </c>
      <c r="O1809" s="6" t="s">
        <v>634</v>
      </c>
      <c r="P1809" s="6" t="str">
        <f aca="false">IF(J1809="S0","—",IF(K1809="","",IF(L1809="E0","QM",INDEX(10_ASIL_Matrix!$D$4:$F$15,MATCH(J1809&amp;"-"&amp;L1809,10_ASIL_Matrix!$C$4:$C$15,0),MATCH(N1809,10_ASIL_Matrix!$D$3:$F$3,0)))))</f>
        <v>—</v>
      </c>
      <c r="Q1809" s="6" t="s">
        <v>448</v>
      </c>
    </row>
    <row r="1810" customFormat="false" ht="35.05" hidden="false" customHeight="false" outlineLevel="0" collapsed="false">
      <c r="A1810" s="5" t="s">
        <v>4301</v>
      </c>
      <c r="B1810" s="5" t="s">
        <v>108</v>
      </c>
      <c r="C1810" s="5" t="s">
        <v>109</v>
      </c>
      <c r="D1810" s="5" t="s">
        <v>137</v>
      </c>
      <c r="E1810" s="5" t="s">
        <v>138</v>
      </c>
      <c r="F1810" s="5" t="s">
        <v>189</v>
      </c>
      <c r="G1810" s="5" t="s">
        <v>466</v>
      </c>
      <c r="H1810" s="5" t="s">
        <v>222</v>
      </c>
      <c r="I1810" s="5" t="s">
        <v>4302</v>
      </c>
      <c r="J1810" s="5" t="s">
        <v>238</v>
      </c>
      <c r="K1810" s="5" t="s">
        <v>4290</v>
      </c>
      <c r="L1810" s="5" t="s">
        <v>190</v>
      </c>
      <c r="M1810" s="5" t="s">
        <v>469</v>
      </c>
      <c r="N1810" s="5" t="s">
        <v>278</v>
      </c>
      <c r="O1810" s="5" t="s">
        <v>634</v>
      </c>
      <c r="P1810" s="5" t="str">
        <f aca="false">IF(J1810="S0","—",IF(K1810="","",IF(L1810="E0","QM",INDEX(10_ASIL_Matrix!$D$4:$F$15,MATCH(J1810&amp;"-"&amp;L1810,10_ASIL_Matrix!$C$4:$C$15,0),MATCH(N1810,10_ASIL_Matrix!$D$3:$F$3,0)))))</f>
        <v>—</v>
      </c>
      <c r="Q1810" s="5" t="s">
        <v>448</v>
      </c>
    </row>
    <row r="1811" customFormat="false" ht="35.05" hidden="false" customHeight="false" outlineLevel="0" collapsed="false">
      <c r="A1811" s="6" t="s">
        <v>4303</v>
      </c>
      <c r="B1811" s="6" t="s">
        <v>108</v>
      </c>
      <c r="C1811" s="6" t="s">
        <v>109</v>
      </c>
      <c r="D1811" s="6" t="s">
        <v>137</v>
      </c>
      <c r="E1811" s="6" t="s">
        <v>138</v>
      </c>
      <c r="F1811" s="6" t="s">
        <v>189</v>
      </c>
      <c r="G1811" s="6" t="s">
        <v>466</v>
      </c>
      <c r="H1811" s="6" t="s">
        <v>224</v>
      </c>
      <c r="I1811" s="6" t="s">
        <v>4304</v>
      </c>
      <c r="J1811" s="6" t="s">
        <v>238</v>
      </c>
      <c r="K1811" s="6" t="s">
        <v>4290</v>
      </c>
      <c r="L1811" s="6" t="s">
        <v>190</v>
      </c>
      <c r="M1811" s="6" t="s">
        <v>473</v>
      </c>
      <c r="N1811" s="6" t="s">
        <v>278</v>
      </c>
      <c r="O1811" s="6" t="s">
        <v>634</v>
      </c>
      <c r="P1811" s="6" t="str">
        <f aca="false">IF(J1811="S0","—",IF(K1811="","",IF(L1811="E0","QM",INDEX(10_ASIL_Matrix!$D$4:$F$15,MATCH(J1811&amp;"-"&amp;L1811,10_ASIL_Matrix!$C$4:$C$15,0),MATCH(N1811,10_ASIL_Matrix!$D$3:$F$3,0)))))</f>
        <v>—</v>
      </c>
      <c r="Q1811" s="6" t="s">
        <v>448</v>
      </c>
    </row>
    <row r="1812" customFormat="false" ht="35.05" hidden="false" customHeight="false" outlineLevel="0" collapsed="false">
      <c r="A1812" s="5" t="s">
        <v>4305</v>
      </c>
      <c r="B1812" s="5" t="s">
        <v>108</v>
      </c>
      <c r="C1812" s="5" t="s">
        <v>109</v>
      </c>
      <c r="D1812" s="5" t="s">
        <v>137</v>
      </c>
      <c r="E1812" s="5" t="s">
        <v>138</v>
      </c>
      <c r="F1812" s="5" t="s">
        <v>189</v>
      </c>
      <c r="G1812" s="5" t="s">
        <v>466</v>
      </c>
      <c r="H1812" s="5" t="s">
        <v>226</v>
      </c>
      <c r="I1812" s="5" t="s">
        <v>4306</v>
      </c>
      <c r="J1812" s="5" t="s">
        <v>238</v>
      </c>
      <c r="K1812" s="5" t="s">
        <v>4290</v>
      </c>
      <c r="L1812" s="5" t="s">
        <v>190</v>
      </c>
      <c r="M1812" s="5" t="s">
        <v>476</v>
      </c>
      <c r="N1812" s="5" t="s">
        <v>278</v>
      </c>
      <c r="O1812" s="5" t="s">
        <v>634</v>
      </c>
      <c r="P1812" s="5" t="str">
        <f aca="false">IF(J1812="S0","—",IF(K1812="","",IF(L1812="E0","QM",INDEX(10_ASIL_Matrix!$D$4:$F$15,MATCH(J1812&amp;"-"&amp;L1812,10_ASIL_Matrix!$C$4:$C$15,0),MATCH(N1812,10_ASIL_Matrix!$D$3:$F$3,0)))))</f>
        <v>—</v>
      </c>
      <c r="Q1812" s="5" t="s">
        <v>448</v>
      </c>
    </row>
    <row r="1813" customFormat="false" ht="35.05" hidden="false" customHeight="false" outlineLevel="0" collapsed="false">
      <c r="A1813" s="6" t="s">
        <v>4307</v>
      </c>
      <c r="B1813" s="6" t="s">
        <v>108</v>
      </c>
      <c r="C1813" s="6" t="s">
        <v>109</v>
      </c>
      <c r="D1813" s="6" t="s">
        <v>137</v>
      </c>
      <c r="E1813" s="6" t="s">
        <v>138</v>
      </c>
      <c r="F1813" s="6" t="s">
        <v>189</v>
      </c>
      <c r="G1813" s="6" t="s">
        <v>466</v>
      </c>
      <c r="H1813" s="6" t="s">
        <v>228</v>
      </c>
      <c r="I1813" s="6" t="s">
        <v>4308</v>
      </c>
      <c r="J1813" s="6" t="s">
        <v>238</v>
      </c>
      <c r="K1813" s="6" t="s">
        <v>4290</v>
      </c>
      <c r="L1813" s="6" t="s">
        <v>205</v>
      </c>
      <c r="M1813" s="6" t="s">
        <v>479</v>
      </c>
      <c r="N1813" s="6" t="s">
        <v>278</v>
      </c>
      <c r="O1813" s="6" t="s">
        <v>634</v>
      </c>
      <c r="P1813" s="6" t="str">
        <f aca="false">IF(J1813="S0","—",IF(K1813="","",IF(L1813="E0","QM",INDEX(10_ASIL_Matrix!$D$4:$F$15,MATCH(J1813&amp;"-"&amp;L1813,10_ASIL_Matrix!$C$4:$C$15,0),MATCH(N1813,10_ASIL_Matrix!$D$3:$F$3,0)))))</f>
        <v>—</v>
      </c>
      <c r="Q1813" s="6" t="s">
        <v>448</v>
      </c>
    </row>
    <row r="1814" customFormat="false" ht="35.05" hidden="false" customHeight="false" outlineLevel="0" collapsed="false">
      <c r="A1814" s="5" t="s">
        <v>4309</v>
      </c>
      <c r="B1814" s="5" t="s">
        <v>108</v>
      </c>
      <c r="C1814" s="5" t="s">
        <v>109</v>
      </c>
      <c r="D1814" s="5" t="s">
        <v>137</v>
      </c>
      <c r="E1814" s="5" t="s">
        <v>138</v>
      </c>
      <c r="F1814" s="5" t="s">
        <v>189</v>
      </c>
      <c r="G1814" s="5" t="s">
        <v>466</v>
      </c>
      <c r="H1814" s="5" t="s">
        <v>230</v>
      </c>
      <c r="I1814" s="5" t="s">
        <v>4310</v>
      </c>
      <c r="J1814" s="5" t="s">
        <v>238</v>
      </c>
      <c r="K1814" s="5" t="s">
        <v>4290</v>
      </c>
      <c r="L1814" s="5" t="s">
        <v>205</v>
      </c>
      <c r="M1814" s="5" t="s">
        <v>482</v>
      </c>
      <c r="N1814" s="5" t="s">
        <v>278</v>
      </c>
      <c r="O1814" s="5" t="s">
        <v>634</v>
      </c>
      <c r="P1814" s="5" t="str">
        <f aca="false">IF(J1814="S0","—",IF(K1814="","",IF(L1814="E0","QM",INDEX(10_ASIL_Matrix!$D$4:$F$15,MATCH(J1814&amp;"-"&amp;L1814,10_ASIL_Matrix!$C$4:$C$15,0),MATCH(N1814,10_ASIL_Matrix!$D$3:$F$3,0)))))</f>
        <v>—</v>
      </c>
      <c r="Q1814" s="5" t="s">
        <v>448</v>
      </c>
    </row>
    <row r="1815" customFormat="false" ht="46.25" hidden="false" customHeight="false" outlineLevel="0" collapsed="false">
      <c r="A1815" s="6" t="s">
        <v>4311</v>
      </c>
      <c r="B1815" s="6" t="s">
        <v>108</v>
      </c>
      <c r="C1815" s="6" t="s">
        <v>109</v>
      </c>
      <c r="D1815" s="6" t="s">
        <v>137</v>
      </c>
      <c r="E1815" s="6" t="s">
        <v>138</v>
      </c>
      <c r="F1815" s="6" t="s">
        <v>189</v>
      </c>
      <c r="G1815" s="6" t="s">
        <v>466</v>
      </c>
      <c r="H1815" s="6" t="s">
        <v>232</v>
      </c>
      <c r="I1815" s="6" t="s">
        <v>4312</v>
      </c>
      <c r="J1815" s="6" t="s">
        <v>238</v>
      </c>
      <c r="K1815" s="6" t="s">
        <v>4290</v>
      </c>
      <c r="L1815" s="6" t="s">
        <v>233</v>
      </c>
      <c r="M1815" s="6" t="s">
        <v>486</v>
      </c>
      <c r="N1815" s="6" t="s">
        <v>278</v>
      </c>
      <c r="O1815" s="6" t="s">
        <v>634</v>
      </c>
      <c r="P1815" s="6" t="str">
        <f aca="false">IF(J1815="S0","—",IF(K1815="","",IF(L1815="E0","QM",INDEX(10_ASIL_Matrix!$D$4:$F$15,MATCH(J1815&amp;"-"&amp;L1815,10_ASIL_Matrix!$C$4:$C$15,0),MATCH(N1815,10_ASIL_Matrix!$D$3:$F$3,0)))))</f>
        <v>—</v>
      </c>
      <c r="Q1815" s="6" t="s">
        <v>448</v>
      </c>
    </row>
    <row r="1816" customFormat="false" ht="35.05" hidden="false" customHeight="false" outlineLevel="0" collapsed="false">
      <c r="A1816" s="5" t="s">
        <v>4313</v>
      </c>
      <c r="B1816" s="5" t="s">
        <v>108</v>
      </c>
      <c r="C1816" s="5" t="s">
        <v>109</v>
      </c>
      <c r="D1816" s="5" t="s">
        <v>137</v>
      </c>
      <c r="E1816" s="5" t="s">
        <v>138</v>
      </c>
      <c r="F1816" s="5" t="s">
        <v>192</v>
      </c>
      <c r="G1816" s="5" t="s">
        <v>488</v>
      </c>
      <c r="H1816" s="5" t="s">
        <v>222</v>
      </c>
      <c r="I1816" s="5" t="s">
        <v>4314</v>
      </c>
      <c r="J1816" s="5" t="s">
        <v>238</v>
      </c>
      <c r="K1816" s="5" t="s">
        <v>4290</v>
      </c>
      <c r="L1816" s="5" t="s">
        <v>187</v>
      </c>
      <c r="M1816" s="5" t="s">
        <v>491</v>
      </c>
      <c r="N1816" s="5" t="s">
        <v>278</v>
      </c>
      <c r="O1816" s="5" t="s">
        <v>634</v>
      </c>
      <c r="P1816" s="5" t="str">
        <f aca="false">IF(J1816="S0","—",IF(K1816="","",IF(L1816="E0","QM",INDEX(10_ASIL_Matrix!$D$4:$F$15,MATCH(J1816&amp;"-"&amp;L1816,10_ASIL_Matrix!$C$4:$C$15,0),MATCH(N1816,10_ASIL_Matrix!$D$3:$F$3,0)))))</f>
        <v>—</v>
      </c>
      <c r="Q1816" s="5" t="s">
        <v>448</v>
      </c>
    </row>
    <row r="1817" customFormat="false" ht="35.05" hidden="false" customHeight="false" outlineLevel="0" collapsed="false">
      <c r="A1817" s="6" t="s">
        <v>4315</v>
      </c>
      <c r="B1817" s="6" t="s">
        <v>108</v>
      </c>
      <c r="C1817" s="6" t="s">
        <v>109</v>
      </c>
      <c r="D1817" s="6" t="s">
        <v>137</v>
      </c>
      <c r="E1817" s="6" t="s">
        <v>138</v>
      </c>
      <c r="F1817" s="6" t="s">
        <v>192</v>
      </c>
      <c r="G1817" s="6" t="s">
        <v>488</v>
      </c>
      <c r="H1817" s="6" t="s">
        <v>224</v>
      </c>
      <c r="I1817" s="6" t="s">
        <v>4316</v>
      </c>
      <c r="J1817" s="6" t="s">
        <v>238</v>
      </c>
      <c r="K1817" s="6" t="s">
        <v>4290</v>
      </c>
      <c r="L1817" s="6" t="s">
        <v>190</v>
      </c>
      <c r="M1817" s="6" t="s">
        <v>494</v>
      </c>
      <c r="N1817" s="6" t="s">
        <v>278</v>
      </c>
      <c r="O1817" s="6" t="s">
        <v>634</v>
      </c>
      <c r="P1817" s="6" t="str">
        <f aca="false">IF(J1817="S0","—",IF(K1817="","",IF(L1817="E0","QM",INDEX(10_ASIL_Matrix!$D$4:$F$15,MATCH(J1817&amp;"-"&amp;L1817,10_ASIL_Matrix!$C$4:$C$15,0),MATCH(N1817,10_ASIL_Matrix!$D$3:$F$3,0)))))</f>
        <v>—</v>
      </c>
      <c r="Q1817" s="6" t="s">
        <v>448</v>
      </c>
    </row>
    <row r="1818" customFormat="false" ht="35.05" hidden="false" customHeight="false" outlineLevel="0" collapsed="false">
      <c r="A1818" s="5" t="s">
        <v>4317</v>
      </c>
      <c r="B1818" s="5" t="s">
        <v>108</v>
      </c>
      <c r="C1818" s="5" t="s">
        <v>109</v>
      </c>
      <c r="D1818" s="5" t="s">
        <v>137</v>
      </c>
      <c r="E1818" s="5" t="s">
        <v>138</v>
      </c>
      <c r="F1818" s="5" t="s">
        <v>192</v>
      </c>
      <c r="G1818" s="5" t="s">
        <v>488</v>
      </c>
      <c r="H1818" s="5" t="s">
        <v>226</v>
      </c>
      <c r="I1818" s="5" t="s">
        <v>4318</v>
      </c>
      <c r="J1818" s="5" t="s">
        <v>238</v>
      </c>
      <c r="K1818" s="5" t="s">
        <v>4290</v>
      </c>
      <c r="L1818" s="5" t="s">
        <v>190</v>
      </c>
      <c r="M1818" s="5" t="s">
        <v>497</v>
      </c>
      <c r="N1818" s="5" t="s">
        <v>278</v>
      </c>
      <c r="O1818" s="5" t="s">
        <v>634</v>
      </c>
      <c r="P1818" s="5" t="str">
        <f aca="false">IF(J1818="S0","—",IF(K1818="","",IF(L1818="E0","QM",INDEX(10_ASIL_Matrix!$D$4:$F$15,MATCH(J1818&amp;"-"&amp;L1818,10_ASIL_Matrix!$C$4:$C$15,0),MATCH(N1818,10_ASIL_Matrix!$D$3:$F$3,0)))))</f>
        <v>—</v>
      </c>
      <c r="Q1818" s="5" t="s">
        <v>448</v>
      </c>
    </row>
    <row r="1819" customFormat="false" ht="35.05" hidden="false" customHeight="false" outlineLevel="0" collapsed="false">
      <c r="A1819" s="6" t="s">
        <v>4319</v>
      </c>
      <c r="B1819" s="6" t="s">
        <v>108</v>
      </c>
      <c r="C1819" s="6" t="s">
        <v>109</v>
      </c>
      <c r="D1819" s="6" t="s">
        <v>137</v>
      </c>
      <c r="E1819" s="6" t="s">
        <v>138</v>
      </c>
      <c r="F1819" s="6" t="s">
        <v>192</v>
      </c>
      <c r="G1819" s="6" t="s">
        <v>488</v>
      </c>
      <c r="H1819" s="6" t="s">
        <v>228</v>
      </c>
      <c r="I1819" s="6" t="s">
        <v>4320</v>
      </c>
      <c r="J1819" s="6" t="s">
        <v>238</v>
      </c>
      <c r="K1819" s="6" t="s">
        <v>4290</v>
      </c>
      <c r="L1819" s="6" t="s">
        <v>205</v>
      </c>
      <c r="M1819" s="6" t="s">
        <v>500</v>
      </c>
      <c r="N1819" s="6" t="s">
        <v>278</v>
      </c>
      <c r="O1819" s="6" t="s">
        <v>634</v>
      </c>
      <c r="P1819" s="6" t="str">
        <f aca="false">IF(J1819="S0","—",IF(K1819="","",IF(L1819="E0","QM",INDEX(10_ASIL_Matrix!$D$4:$F$15,MATCH(J1819&amp;"-"&amp;L1819,10_ASIL_Matrix!$C$4:$C$15,0),MATCH(N1819,10_ASIL_Matrix!$D$3:$F$3,0)))))</f>
        <v>—</v>
      </c>
      <c r="Q1819" s="6" t="s">
        <v>448</v>
      </c>
    </row>
    <row r="1820" customFormat="false" ht="35.05" hidden="false" customHeight="false" outlineLevel="0" collapsed="false">
      <c r="A1820" s="5" t="s">
        <v>4321</v>
      </c>
      <c r="B1820" s="5" t="s">
        <v>108</v>
      </c>
      <c r="C1820" s="5" t="s">
        <v>109</v>
      </c>
      <c r="D1820" s="5" t="s">
        <v>137</v>
      </c>
      <c r="E1820" s="5" t="s">
        <v>138</v>
      </c>
      <c r="F1820" s="5" t="s">
        <v>192</v>
      </c>
      <c r="G1820" s="5" t="s">
        <v>488</v>
      </c>
      <c r="H1820" s="5" t="s">
        <v>230</v>
      </c>
      <c r="I1820" s="5" t="s">
        <v>4322</v>
      </c>
      <c r="J1820" s="5" t="s">
        <v>238</v>
      </c>
      <c r="K1820" s="5" t="s">
        <v>4290</v>
      </c>
      <c r="L1820" s="5" t="s">
        <v>205</v>
      </c>
      <c r="M1820" s="5" t="s">
        <v>503</v>
      </c>
      <c r="N1820" s="5" t="s">
        <v>278</v>
      </c>
      <c r="O1820" s="5" t="s">
        <v>634</v>
      </c>
      <c r="P1820" s="5" t="str">
        <f aca="false">IF(J1820="S0","—",IF(K1820="","",IF(L1820="E0","QM",INDEX(10_ASIL_Matrix!$D$4:$F$15,MATCH(J1820&amp;"-"&amp;L1820,10_ASIL_Matrix!$C$4:$C$15,0),MATCH(N1820,10_ASIL_Matrix!$D$3:$F$3,0)))))</f>
        <v>—</v>
      </c>
      <c r="Q1820" s="5" t="s">
        <v>448</v>
      </c>
    </row>
    <row r="1821" customFormat="false" ht="46.25" hidden="false" customHeight="false" outlineLevel="0" collapsed="false">
      <c r="A1821" s="6" t="s">
        <v>4323</v>
      </c>
      <c r="B1821" s="6" t="s">
        <v>108</v>
      </c>
      <c r="C1821" s="6" t="s">
        <v>109</v>
      </c>
      <c r="D1821" s="6" t="s">
        <v>137</v>
      </c>
      <c r="E1821" s="6" t="s">
        <v>138</v>
      </c>
      <c r="F1821" s="6" t="s">
        <v>192</v>
      </c>
      <c r="G1821" s="6" t="s">
        <v>488</v>
      </c>
      <c r="H1821" s="6" t="s">
        <v>232</v>
      </c>
      <c r="I1821" s="6" t="s">
        <v>4324</v>
      </c>
      <c r="J1821" s="6" t="s">
        <v>238</v>
      </c>
      <c r="K1821" s="6" t="s">
        <v>4290</v>
      </c>
      <c r="L1821" s="6" t="s">
        <v>233</v>
      </c>
      <c r="M1821" s="6" t="s">
        <v>506</v>
      </c>
      <c r="N1821" s="6" t="s">
        <v>278</v>
      </c>
      <c r="O1821" s="6" t="s">
        <v>634</v>
      </c>
      <c r="P1821" s="6" t="str">
        <f aca="false">IF(J1821="S0","—",IF(K1821="","",IF(L1821="E0","QM",INDEX(10_ASIL_Matrix!$D$4:$F$15,MATCH(J1821&amp;"-"&amp;L1821,10_ASIL_Matrix!$C$4:$C$15,0),MATCH(N1821,10_ASIL_Matrix!$D$3:$F$3,0)))))</f>
        <v>—</v>
      </c>
      <c r="Q1821" s="6" t="s">
        <v>448</v>
      </c>
    </row>
    <row r="1822" customFormat="false" ht="35.05" hidden="false" customHeight="false" outlineLevel="0" collapsed="false">
      <c r="A1822" s="5" t="s">
        <v>4325</v>
      </c>
      <c r="B1822" s="5" t="s">
        <v>108</v>
      </c>
      <c r="C1822" s="5" t="s">
        <v>109</v>
      </c>
      <c r="D1822" s="5" t="s">
        <v>137</v>
      </c>
      <c r="E1822" s="5" t="s">
        <v>138</v>
      </c>
      <c r="F1822" s="5" t="s">
        <v>194</v>
      </c>
      <c r="G1822" s="5" t="s">
        <v>508</v>
      </c>
      <c r="H1822" s="5" t="s">
        <v>222</v>
      </c>
      <c r="I1822" s="5" t="s">
        <v>4326</v>
      </c>
      <c r="J1822" s="5" t="s">
        <v>238</v>
      </c>
      <c r="K1822" s="5" t="s">
        <v>4290</v>
      </c>
      <c r="L1822" s="5" t="s">
        <v>190</v>
      </c>
      <c r="M1822" s="5" t="s">
        <v>511</v>
      </c>
      <c r="N1822" s="5" t="s">
        <v>278</v>
      </c>
      <c r="O1822" s="5" t="s">
        <v>634</v>
      </c>
      <c r="P1822" s="5" t="str">
        <f aca="false">IF(J1822="S0","—",IF(K1822="","",IF(L1822="E0","QM",INDEX(10_ASIL_Matrix!$D$4:$F$15,MATCH(J1822&amp;"-"&amp;L1822,10_ASIL_Matrix!$C$4:$C$15,0),MATCH(N1822,10_ASIL_Matrix!$D$3:$F$3,0)))))</f>
        <v>—</v>
      </c>
      <c r="Q1822" s="5" t="s">
        <v>448</v>
      </c>
    </row>
    <row r="1823" customFormat="false" ht="35.05" hidden="false" customHeight="false" outlineLevel="0" collapsed="false">
      <c r="A1823" s="6" t="s">
        <v>4327</v>
      </c>
      <c r="B1823" s="6" t="s">
        <v>108</v>
      </c>
      <c r="C1823" s="6" t="s">
        <v>109</v>
      </c>
      <c r="D1823" s="6" t="s">
        <v>137</v>
      </c>
      <c r="E1823" s="6" t="s">
        <v>138</v>
      </c>
      <c r="F1823" s="6" t="s">
        <v>194</v>
      </c>
      <c r="G1823" s="6" t="s">
        <v>508</v>
      </c>
      <c r="H1823" s="6" t="s">
        <v>224</v>
      </c>
      <c r="I1823" s="6" t="s">
        <v>4328</v>
      </c>
      <c r="J1823" s="6" t="s">
        <v>238</v>
      </c>
      <c r="K1823" s="6" t="s">
        <v>4290</v>
      </c>
      <c r="L1823" s="6" t="s">
        <v>190</v>
      </c>
      <c r="M1823" s="6" t="s">
        <v>514</v>
      </c>
      <c r="N1823" s="6" t="s">
        <v>278</v>
      </c>
      <c r="O1823" s="6" t="s">
        <v>634</v>
      </c>
      <c r="P1823" s="6" t="str">
        <f aca="false">IF(J1823="S0","—",IF(K1823="","",IF(L1823="E0","QM",INDEX(10_ASIL_Matrix!$D$4:$F$15,MATCH(J1823&amp;"-"&amp;L1823,10_ASIL_Matrix!$C$4:$C$15,0),MATCH(N1823,10_ASIL_Matrix!$D$3:$F$3,0)))))</f>
        <v>—</v>
      </c>
      <c r="Q1823" s="6" t="s">
        <v>448</v>
      </c>
    </row>
    <row r="1824" customFormat="false" ht="35.05" hidden="false" customHeight="false" outlineLevel="0" collapsed="false">
      <c r="A1824" s="5" t="s">
        <v>4329</v>
      </c>
      <c r="B1824" s="5" t="s">
        <v>108</v>
      </c>
      <c r="C1824" s="5" t="s">
        <v>109</v>
      </c>
      <c r="D1824" s="5" t="s">
        <v>137</v>
      </c>
      <c r="E1824" s="5" t="s">
        <v>138</v>
      </c>
      <c r="F1824" s="5" t="s">
        <v>194</v>
      </c>
      <c r="G1824" s="5" t="s">
        <v>508</v>
      </c>
      <c r="H1824" s="5" t="s">
        <v>226</v>
      </c>
      <c r="I1824" s="5" t="s">
        <v>4330</v>
      </c>
      <c r="J1824" s="5" t="s">
        <v>238</v>
      </c>
      <c r="K1824" s="5" t="s">
        <v>4290</v>
      </c>
      <c r="L1824" s="5" t="s">
        <v>190</v>
      </c>
      <c r="M1824" s="5" t="s">
        <v>517</v>
      </c>
      <c r="N1824" s="5" t="s">
        <v>278</v>
      </c>
      <c r="O1824" s="5" t="s">
        <v>634</v>
      </c>
      <c r="P1824" s="5" t="str">
        <f aca="false">IF(J1824="S0","—",IF(K1824="","",IF(L1824="E0","QM",INDEX(10_ASIL_Matrix!$D$4:$F$15,MATCH(J1824&amp;"-"&amp;L1824,10_ASIL_Matrix!$C$4:$C$15,0),MATCH(N1824,10_ASIL_Matrix!$D$3:$F$3,0)))))</f>
        <v>—</v>
      </c>
      <c r="Q1824" s="5" t="s">
        <v>448</v>
      </c>
    </row>
    <row r="1825" customFormat="false" ht="35.05" hidden="false" customHeight="false" outlineLevel="0" collapsed="false">
      <c r="A1825" s="6" t="s">
        <v>4331</v>
      </c>
      <c r="B1825" s="6" t="s">
        <v>108</v>
      </c>
      <c r="C1825" s="6" t="s">
        <v>109</v>
      </c>
      <c r="D1825" s="6" t="s">
        <v>137</v>
      </c>
      <c r="E1825" s="6" t="s">
        <v>138</v>
      </c>
      <c r="F1825" s="6" t="s">
        <v>194</v>
      </c>
      <c r="G1825" s="6" t="s">
        <v>508</v>
      </c>
      <c r="H1825" s="6" t="s">
        <v>228</v>
      </c>
      <c r="I1825" s="6" t="s">
        <v>4332</v>
      </c>
      <c r="J1825" s="6" t="s">
        <v>238</v>
      </c>
      <c r="K1825" s="6" t="s">
        <v>4290</v>
      </c>
      <c r="L1825" s="6" t="s">
        <v>205</v>
      </c>
      <c r="M1825" s="6" t="s">
        <v>520</v>
      </c>
      <c r="N1825" s="6" t="s">
        <v>278</v>
      </c>
      <c r="O1825" s="6" t="s">
        <v>634</v>
      </c>
      <c r="P1825" s="6" t="str">
        <f aca="false">IF(J1825="S0","—",IF(K1825="","",IF(L1825="E0","QM",INDEX(10_ASIL_Matrix!$D$4:$F$15,MATCH(J1825&amp;"-"&amp;L1825,10_ASIL_Matrix!$C$4:$C$15,0),MATCH(N1825,10_ASIL_Matrix!$D$3:$F$3,0)))))</f>
        <v>—</v>
      </c>
      <c r="Q1825" s="6" t="s">
        <v>448</v>
      </c>
    </row>
    <row r="1826" customFormat="false" ht="35.05" hidden="false" customHeight="false" outlineLevel="0" collapsed="false">
      <c r="A1826" s="5" t="s">
        <v>4333</v>
      </c>
      <c r="B1826" s="5" t="s">
        <v>108</v>
      </c>
      <c r="C1826" s="5" t="s">
        <v>109</v>
      </c>
      <c r="D1826" s="5" t="s">
        <v>137</v>
      </c>
      <c r="E1826" s="5" t="s">
        <v>138</v>
      </c>
      <c r="F1826" s="5" t="s">
        <v>194</v>
      </c>
      <c r="G1826" s="5" t="s">
        <v>508</v>
      </c>
      <c r="H1826" s="5" t="s">
        <v>230</v>
      </c>
      <c r="I1826" s="5" t="s">
        <v>4334</v>
      </c>
      <c r="J1826" s="5" t="s">
        <v>238</v>
      </c>
      <c r="K1826" s="5" t="s">
        <v>4290</v>
      </c>
      <c r="L1826" s="5" t="s">
        <v>205</v>
      </c>
      <c r="M1826" s="5" t="s">
        <v>523</v>
      </c>
      <c r="N1826" s="5" t="s">
        <v>278</v>
      </c>
      <c r="O1826" s="5" t="s">
        <v>634</v>
      </c>
      <c r="P1826" s="5" t="str">
        <f aca="false">IF(J1826="S0","—",IF(K1826="","",IF(L1826="E0","QM",INDEX(10_ASIL_Matrix!$D$4:$F$15,MATCH(J1826&amp;"-"&amp;L1826,10_ASIL_Matrix!$C$4:$C$15,0),MATCH(N1826,10_ASIL_Matrix!$D$3:$F$3,0)))))</f>
        <v>—</v>
      </c>
      <c r="Q1826" s="5" t="s">
        <v>448</v>
      </c>
    </row>
    <row r="1827" customFormat="false" ht="46.25" hidden="false" customHeight="false" outlineLevel="0" collapsed="false">
      <c r="A1827" s="6" t="s">
        <v>4335</v>
      </c>
      <c r="B1827" s="6" t="s">
        <v>108</v>
      </c>
      <c r="C1827" s="6" t="s">
        <v>109</v>
      </c>
      <c r="D1827" s="6" t="s">
        <v>137</v>
      </c>
      <c r="E1827" s="6" t="s">
        <v>138</v>
      </c>
      <c r="F1827" s="6" t="s">
        <v>194</v>
      </c>
      <c r="G1827" s="6" t="s">
        <v>508</v>
      </c>
      <c r="H1827" s="6" t="s">
        <v>232</v>
      </c>
      <c r="I1827" s="6" t="s">
        <v>4336</v>
      </c>
      <c r="J1827" s="6" t="s">
        <v>238</v>
      </c>
      <c r="K1827" s="6" t="s">
        <v>4290</v>
      </c>
      <c r="L1827" s="6" t="s">
        <v>233</v>
      </c>
      <c r="M1827" s="6" t="s">
        <v>526</v>
      </c>
      <c r="N1827" s="6" t="s">
        <v>278</v>
      </c>
      <c r="O1827" s="6" t="s">
        <v>634</v>
      </c>
      <c r="P1827" s="6" t="str">
        <f aca="false">IF(J1827="S0","—",IF(K1827="","",IF(L1827="E0","QM",INDEX(10_ASIL_Matrix!$D$4:$F$15,MATCH(J1827&amp;"-"&amp;L1827,10_ASIL_Matrix!$C$4:$C$15,0),MATCH(N1827,10_ASIL_Matrix!$D$3:$F$3,0)))))</f>
        <v>—</v>
      </c>
      <c r="Q1827" s="6" t="s">
        <v>448</v>
      </c>
    </row>
    <row r="1828" customFormat="false" ht="35.05" hidden="false" customHeight="false" outlineLevel="0" collapsed="false">
      <c r="A1828" s="5" t="s">
        <v>4337</v>
      </c>
      <c r="B1828" s="5" t="s">
        <v>108</v>
      </c>
      <c r="C1828" s="5" t="s">
        <v>109</v>
      </c>
      <c r="D1828" s="5" t="s">
        <v>137</v>
      </c>
      <c r="E1828" s="5" t="s">
        <v>138</v>
      </c>
      <c r="F1828" s="5" t="s">
        <v>196</v>
      </c>
      <c r="G1828" s="5" t="s">
        <v>528</v>
      </c>
      <c r="H1828" s="5" t="s">
        <v>222</v>
      </c>
      <c r="I1828" s="5" t="s">
        <v>4338</v>
      </c>
      <c r="J1828" s="5" t="s">
        <v>238</v>
      </c>
      <c r="K1828" s="5" t="s">
        <v>4290</v>
      </c>
      <c r="L1828" s="5" t="s">
        <v>187</v>
      </c>
      <c r="M1828" s="5" t="s">
        <v>531</v>
      </c>
      <c r="N1828" s="5" t="s">
        <v>278</v>
      </c>
      <c r="O1828" s="5" t="s">
        <v>634</v>
      </c>
      <c r="P1828" s="5" t="str">
        <f aca="false">IF(J1828="S0","—",IF(K1828="","",IF(L1828="E0","QM",INDEX(10_ASIL_Matrix!$D$4:$F$15,MATCH(J1828&amp;"-"&amp;L1828,10_ASIL_Matrix!$C$4:$C$15,0),MATCH(N1828,10_ASIL_Matrix!$D$3:$F$3,0)))))</f>
        <v>—</v>
      </c>
      <c r="Q1828" s="5" t="s">
        <v>448</v>
      </c>
    </row>
    <row r="1829" customFormat="false" ht="35.05" hidden="false" customHeight="false" outlineLevel="0" collapsed="false">
      <c r="A1829" s="6" t="s">
        <v>4339</v>
      </c>
      <c r="B1829" s="6" t="s">
        <v>108</v>
      </c>
      <c r="C1829" s="6" t="s">
        <v>109</v>
      </c>
      <c r="D1829" s="6" t="s">
        <v>137</v>
      </c>
      <c r="E1829" s="6" t="s">
        <v>138</v>
      </c>
      <c r="F1829" s="6" t="s">
        <v>196</v>
      </c>
      <c r="G1829" s="6" t="s">
        <v>528</v>
      </c>
      <c r="H1829" s="6" t="s">
        <v>224</v>
      </c>
      <c r="I1829" s="6" t="s">
        <v>4340</v>
      </c>
      <c r="J1829" s="6" t="s">
        <v>238</v>
      </c>
      <c r="K1829" s="6" t="s">
        <v>4290</v>
      </c>
      <c r="L1829" s="6" t="s">
        <v>190</v>
      </c>
      <c r="M1829" s="6" t="s">
        <v>534</v>
      </c>
      <c r="N1829" s="6" t="s">
        <v>278</v>
      </c>
      <c r="O1829" s="6" t="s">
        <v>634</v>
      </c>
      <c r="P1829" s="6" t="str">
        <f aca="false">IF(J1829="S0","—",IF(K1829="","",IF(L1829="E0","QM",INDEX(10_ASIL_Matrix!$D$4:$F$15,MATCH(J1829&amp;"-"&amp;L1829,10_ASIL_Matrix!$C$4:$C$15,0),MATCH(N1829,10_ASIL_Matrix!$D$3:$F$3,0)))))</f>
        <v>—</v>
      </c>
      <c r="Q1829" s="6" t="s">
        <v>448</v>
      </c>
    </row>
    <row r="1830" customFormat="false" ht="35.05" hidden="false" customHeight="false" outlineLevel="0" collapsed="false">
      <c r="A1830" s="5" t="s">
        <v>4341</v>
      </c>
      <c r="B1830" s="5" t="s">
        <v>108</v>
      </c>
      <c r="C1830" s="5" t="s">
        <v>109</v>
      </c>
      <c r="D1830" s="5" t="s">
        <v>137</v>
      </c>
      <c r="E1830" s="5" t="s">
        <v>138</v>
      </c>
      <c r="F1830" s="5" t="s">
        <v>196</v>
      </c>
      <c r="G1830" s="5" t="s">
        <v>528</v>
      </c>
      <c r="H1830" s="5" t="s">
        <v>226</v>
      </c>
      <c r="I1830" s="5" t="s">
        <v>4342</v>
      </c>
      <c r="J1830" s="5" t="s">
        <v>238</v>
      </c>
      <c r="K1830" s="5" t="s">
        <v>4290</v>
      </c>
      <c r="L1830" s="5" t="s">
        <v>190</v>
      </c>
      <c r="M1830" s="5" t="s">
        <v>537</v>
      </c>
      <c r="N1830" s="5" t="s">
        <v>278</v>
      </c>
      <c r="O1830" s="5" t="s">
        <v>634</v>
      </c>
      <c r="P1830" s="5" t="str">
        <f aca="false">IF(J1830="S0","—",IF(K1830="","",IF(L1830="E0","QM",INDEX(10_ASIL_Matrix!$D$4:$F$15,MATCH(J1830&amp;"-"&amp;L1830,10_ASIL_Matrix!$C$4:$C$15,0),MATCH(N1830,10_ASIL_Matrix!$D$3:$F$3,0)))))</f>
        <v>—</v>
      </c>
      <c r="Q1830" s="5" t="s">
        <v>448</v>
      </c>
    </row>
    <row r="1831" customFormat="false" ht="35.05" hidden="false" customHeight="false" outlineLevel="0" collapsed="false">
      <c r="A1831" s="6" t="s">
        <v>4343</v>
      </c>
      <c r="B1831" s="6" t="s">
        <v>108</v>
      </c>
      <c r="C1831" s="6" t="s">
        <v>109</v>
      </c>
      <c r="D1831" s="6" t="s">
        <v>137</v>
      </c>
      <c r="E1831" s="6" t="s">
        <v>138</v>
      </c>
      <c r="F1831" s="6" t="s">
        <v>196</v>
      </c>
      <c r="G1831" s="6" t="s">
        <v>528</v>
      </c>
      <c r="H1831" s="6" t="s">
        <v>228</v>
      </c>
      <c r="I1831" s="6" t="s">
        <v>4344</v>
      </c>
      <c r="J1831" s="6" t="s">
        <v>238</v>
      </c>
      <c r="K1831" s="6" t="s">
        <v>4290</v>
      </c>
      <c r="L1831" s="6" t="s">
        <v>205</v>
      </c>
      <c r="M1831" s="6" t="s">
        <v>540</v>
      </c>
      <c r="N1831" s="6" t="s">
        <v>278</v>
      </c>
      <c r="O1831" s="6" t="s">
        <v>634</v>
      </c>
      <c r="P1831" s="6" t="str">
        <f aca="false">IF(J1831="S0","—",IF(K1831="","",IF(L1831="E0","QM",INDEX(10_ASIL_Matrix!$D$4:$F$15,MATCH(J1831&amp;"-"&amp;L1831,10_ASIL_Matrix!$C$4:$C$15,0),MATCH(N1831,10_ASIL_Matrix!$D$3:$F$3,0)))))</f>
        <v>—</v>
      </c>
      <c r="Q1831" s="6" t="s">
        <v>448</v>
      </c>
    </row>
    <row r="1832" customFormat="false" ht="35.05" hidden="false" customHeight="false" outlineLevel="0" collapsed="false">
      <c r="A1832" s="5" t="s">
        <v>4345</v>
      </c>
      <c r="B1832" s="5" t="s">
        <v>108</v>
      </c>
      <c r="C1832" s="5" t="s">
        <v>109</v>
      </c>
      <c r="D1832" s="5" t="s">
        <v>137</v>
      </c>
      <c r="E1832" s="5" t="s">
        <v>138</v>
      </c>
      <c r="F1832" s="5" t="s">
        <v>196</v>
      </c>
      <c r="G1832" s="5" t="s">
        <v>528</v>
      </c>
      <c r="H1832" s="5" t="s">
        <v>230</v>
      </c>
      <c r="I1832" s="5" t="s">
        <v>4346</v>
      </c>
      <c r="J1832" s="5" t="s">
        <v>238</v>
      </c>
      <c r="K1832" s="5" t="s">
        <v>4290</v>
      </c>
      <c r="L1832" s="5" t="s">
        <v>205</v>
      </c>
      <c r="M1832" s="5" t="s">
        <v>543</v>
      </c>
      <c r="N1832" s="5" t="s">
        <v>278</v>
      </c>
      <c r="O1832" s="5" t="s">
        <v>634</v>
      </c>
      <c r="P1832" s="5" t="str">
        <f aca="false">IF(J1832="S0","—",IF(K1832="","",IF(L1832="E0","QM",INDEX(10_ASIL_Matrix!$D$4:$F$15,MATCH(J1832&amp;"-"&amp;L1832,10_ASIL_Matrix!$C$4:$C$15,0),MATCH(N1832,10_ASIL_Matrix!$D$3:$F$3,0)))))</f>
        <v>—</v>
      </c>
      <c r="Q1832" s="5" t="s">
        <v>448</v>
      </c>
    </row>
    <row r="1833" customFormat="false" ht="46.25" hidden="false" customHeight="false" outlineLevel="0" collapsed="false">
      <c r="A1833" s="6" t="s">
        <v>4347</v>
      </c>
      <c r="B1833" s="6" t="s">
        <v>108</v>
      </c>
      <c r="C1833" s="6" t="s">
        <v>109</v>
      </c>
      <c r="D1833" s="6" t="s">
        <v>137</v>
      </c>
      <c r="E1833" s="6" t="s">
        <v>138</v>
      </c>
      <c r="F1833" s="6" t="s">
        <v>196</v>
      </c>
      <c r="G1833" s="6" t="s">
        <v>528</v>
      </c>
      <c r="H1833" s="6" t="s">
        <v>232</v>
      </c>
      <c r="I1833" s="6" t="s">
        <v>4348</v>
      </c>
      <c r="J1833" s="6" t="s">
        <v>238</v>
      </c>
      <c r="K1833" s="6" t="s">
        <v>4290</v>
      </c>
      <c r="L1833" s="6" t="s">
        <v>233</v>
      </c>
      <c r="M1833" s="6" t="s">
        <v>546</v>
      </c>
      <c r="N1833" s="6" t="s">
        <v>278</v>
      </c>
      <c r="O1833" s="6" t="s">
        <v>634</v>
      </c>
      <c r="P1833" s="6" t="str">
        <f aca="false">IF(J1833="S0","—",IF(K1833="","",IF(L1833="E0","QM",INDEX(10_ASIL_Matrix!$D$4:$F$15,MATCH(J1833&amp;"-"&amp;L1833,10_ASIL_Matrix!$C$4:$C$15,0),MATCH(N1833,10_ASIL_Matrix!$D$3:$F$3,0)))))</f>
        <v>—</v>
      </c>
      <c r="Q1833" s="6" t="s">
        <v>448</v>
      </c>
    </row>
    <row r="1834" customFormat="false" ht="35.05" hidden="false" customHeight="false" outlineLevel="0" collapsed="false">
      <c r="A1834" s="5" t="s">
        <v>4349</v>
      </c>
      <c r="B1834" s="5" t="s">
        <v>108</v>
      </c>
      <c r="C1834" s="5" t="s">
        <v>109</v>
      </c>
      <c r="D1834" s="5" t="s">
        <v>137</v>
      </c>
      <c r="E1834" s="5" t="s">
        <v>138</v>
      </c>
      <c r="F1834" s="5" t="s">
        <v>198</v>
      </c>
      <c r="G1834" s="5" t="s">
        <v>548</v>
      </c>
      <c r="H1834" s="5" t="s">
        <v>222</v>
      </c>
      <c r="I1834" s="5" t="s">
        <v>4350</v>
      </c>
      <c r="J1834" s="5" t="s">
        <v>238</v>
      </c>
      <c r="K1834" s="5" t="s">
        <v>4290</v>
      </c>
      <c r="L1834" s="5" t="s">
        <v>190</v>
      </c>
      <c r="M1834" s="5" t="s">
        <v>551</v>
      </c>
      <c r="N1834" s="5" t="s">
        <v>278</v>
      </c>
      <c r="O1834" s="5" t="s">
        <v>634</v>
      </c>
      <c r="P1834" s="5" t="str">
        <f aca="false">IF(J1834="S0","—",IF(K1834="","",IF(L1834="E0","QM",INDEX(10_ASIL_Matrix!$D$4:$F$15,MATCH(J1834&amp;"-"&amp;L1834,10_ASIL_Matrix!$C$4:$C$15,0),MATCH(N1834,10_ASIL_Matrix!$D$3:$F$3,0)))))</f>
        <v>—</v>
      </c>
      <c r="Q1834" s="5" t="s">
        <v>448</v>
      </c>
    </row>
    <row r="1835" customFormat="false" ht="35.05" hidden="false" customHeight="false" outlineLevel="0" collapsed="false">
      <c r="A1835" s="6" t="s">
        <v>4351</v>
      </c>
      <c r="B1835" s="6" t="s">
        <v>108</v>
      </c>
      <c r="C1835" s="6" t="s">
        <v>109</v>
      </c>
      <c r="D1835" s="6" t="s">
        <v>137</v>
      </c>
      <c r="E1835" s="6" t="s">
        <v>138</v>
      </c>
      <c r="F1835" s="6" t="s">
        <v>198</v>
      </c>
      <c r="G1835" s="6" t="s">
        <v>548</v>
      </c>
      <c r="H1835" s="6" t="s">
        <v>224</v>
      </c>
      <c r="I1835" s="6" t="s">
        <v>4352</v>
      </c>
      <c r="J1835" s="6" t="s">
        <v>238</v>
      </c>
      <c r="K1835" s="6" t="s">
        <v>4290</v>
      </c>
      <c r="L1835" s="6" t="s">
        <v>190</v>
      </c>
      <c r="M1835" s="6" t="s">
        <v>555</v>
      </c>
      <c r="N1835" s="6" t="s">
        <v>278</v>
      </c>
      <c r="O1835" s="6" t="s">
        <v>634</v>
      </c>
      <c r="P1835" s="6" t="str">
        <f aca="false">IF(J1835="S0","—",IF(K1835="","",IF(L1835="E0","QM",INDEX(10_ASIL_Matrix!$D$4:$F$15,MATCH(J1835&amp;"-"&amp;L1835,10_ASIL_Matrix!$C$4:$C$15,0),MATCH(N1835,10_ASIL_Matrix!$D$3:$F$3,0)))))</f>
        <v>—</v>
      </c>
      <c r="Q1835" s="6" t="s">
        <v>448</v>
      </c>
    </row>
    <row r="1836" customFormat="false" ht="35.05" hidden="false" customHeight="false" outlineLevel="0" collapsed="false">
      <c r="A1836" s="5" t="s">
        <v>4353</v>
      </c>
      <c r="B1836" s="5" t="s">
        <v>108</v>
      </c>
      <c r="C1836" s="5" t="s">
        <v>109</v>
      </c>
      <c r="D1836" s="5" t="s">
        <v>137</v>
      </c>
      <c r="E1836" s="5" t="s">
        <v>138</v>
      </c>
      <c r="F1836" s="5" t="s">
        <v>198</v>
      </c>
      <c r="G1836" s="5" t="s">
        <v>548</v>
      </c>
      <c r="H1836" s="5" t="s">
        <v>226</v>
      </c>
      <c r="I1836" s="5" t="s">
        <v>4354</v>
      </c>
      <c r="J1836" s="5" t="s">
        <v>238</v>
      </c>
      <c r="K1836" s="5" t="s">
        <v>4290</v>
      </c>
      <c r="L1836" s="5" t="s">
        <v>190</v>
      </c>
      <c r="M1836" s="5" t="s">
        <v>558</v>
      </c>
      <c r="N1836" s="5" t="s">
        <v>278</v>
      </c>
      <c r="O1836" s="5" t="s">
        <v>634</v>
      </c>
      <c r="P1836" s="5" t="str">
        <f aca="false">IF(J1836="S0","—",IF(K1836="","",IF(L1836="E0","QM",INDEX(10_ASIL_Matrix!$D$4:$F$15,MATCH(J1836&amp;"-"&amp;L1836,10_ASIL_Matrix!$C$4:$C$15,0),MATCH(N1836,10_ASIL_Matrix!$D$3:$F$3,0)))))</f>
        <v>—</v>
      </c>
      <c r="Q1836" s="5" t="s">
        <v>448</v>
      </c>
    </row>
    <row r="1837" customFormat="false" ht="46.25" hidden="false" customHeight="false" outlineLevel="0" collapsed="false">
      <c r="A1837" s="6" t="s">
        <v>4355</v>
      </c>
      <c r="B1837" s="6" t="s">
        <v>108</v>
      </c>
      <c r="C1837" s="6" t="s">
        <v>109</v>
      </c>
      <c r="D1837" s="6" t="s">
        <v>137</v>
      </c>
      <c r="E1837" s="6" t="s">
        <v>138</v>
      </c>
      <c r="F1837" s="6" t="s">
        <v>198</v>
      </c>
      <c r="G1837" s="6" t="s">
        <v>548</v>
      </c>
      <c r="H1837" s="6" t="s">
        <v>228</v>
      </c>
      <c r="I1837" s="6" t="s">
        <v>4356</v>
      </c>
      <c r="J1837" s="6" t="s">
        <v>238</v>
      </c>
      <c r="K1837" s="6" t="s">
        <v>4290</v>
      </c>
      <c r="L1837" s="6" t="s">
        <v>205</v>
      </c>
      <c r="M1837" s="6" t="s">
        <v>561</v>
      </c>
      <c r="N1837" s="6" t="s">
        <v>278</v>
      </c>
      <c r="O1837" s="6" t="s">
        <v>634</v>
      </c>
      <c r="P1837" s="6" t="str">
        <f aca="false">IF(J1837="S0","—",IF(K1837="","",IF(L1837="E0","QM",INDEX(10_ASIL_Matrix!$D$4:$F$15,MATCH(J1837&amp;"-"&amp;L1837,10_ASIL_Matrix!$C$4:$C$15,0),MATCH(N1837,10_ASIL_Matrix!$D$3:$F$3,0)))))</f>
        <v>—</v>
      </c>
      <c r="Q1837" s="6" t="s">
        <v>448</v>
      </c>
    </row>
    <row r="1838" customFormat="false" ht="35.05" hidden="false" customHeight="false" outlineLevel="0" collapsed="false">
      <c r="A1838" s="5" t="s">
        <v>4357</v>
      </c>
      <c r="B1838" s="5" t="s">
        <v>108</v>
      </c>
      <c r="C1838" s="5" t="s">
        <v>109</v>
      </c>
      <c r="D1838" s="5" t="s">
        <v>137</v>
      </c>
      <c r="E1838" s="5" t="s">
        <v>138</v>
      </c>
      <c r="F1838" s="5" t="s">
        <v>198</v>
      </c>
      <c r="G1838" s="5" t="s">
        <v>548</v>
      </c>
      <c r="H1838" s="5" t="s">
        <v>230</v>
      </c>
      <c r="I1838" s="5" t="s">
        <v>4358</v>
      </c>
      <c r="J1838" s="5" t="s">
        <v>238</v>
      </c>
      <c r="K1838" s="5" t="s">
        <v>4290</v>
      </c>
      <c r="L1838" s="5" t="s">
        <v>205</v>
      </c>
      <c r="M1838" s="5" t="s">
        <v>564</v>
      </c>
      <c r="N1838" s="5" t="s">
        <v>278</v>
      </c>
      <c r="O1838" s="5" t="s">
        <v>634</v>
      </c>
      <c r="P1838" s="5" t="str">
        <f aca="false">IF(J1838="S0","—",IF(K1838="","",IF(L1838="E0","QM",INDEX(10_ASIL_Matrix!$D$4:$F$15,MATCH(J1838&amp;"-"&amp;L1838,10_ASIL_Matrix!$C$4:$C$15,0),MATCH(N1838,10_ASIL_Matrix!$D$3:$F$3,0)))))</f>
        <v>—</v>
      </c>
      <c r="Q1838" s="5" t="s">
        <v>448</v>
      </c>
    </row>
    <row r="1839" customFormat="false" ht="46.25" hidden="false" customHeight="false" outlineLevel="0" collapsed="false">
      <c r="A1839" s="6" t="s">
        <v>4359</v>
      </c>
      <c r="B1839" s="6" t="s">
        <v>108</v>
      </c>
      <c r="C1839" s="6" t="s">
        <v>109</v>
      </c>
      <c r="D1839" s="6" t="s">
        <v>137</v>
      </c>
      <c r="E1839" s="6" t="s">
        <v>138</v>
      </c>
      <c r="F1839" s="6" t="s">
        <v>198</v>
      </c>
      <c r="G1839" s="6" t="s">
        <v>548</v>
      </c>
      <c r="H1839" s="6" t="s">
        <v>232</v>
      </c>
      <c r="I1839" s="6" t="s">
        <v>4360</v>
      </c>
      <c r="J1839" s="6" t="s">
        <v>238</v>
      </c>
      <c r="K1839" s="6" t="s">
        <v>4290</v>
      </c>
      <c r="L1839" s="6" t="s">
        <v>233</v>
      </c>
      <c r="M1839" s="6" t="s">
        <v>568</v>
      </c>
      <c r="N1839" s="6" t="s">
        <v>278</v>
      </c>
      <c r="O1839" s="6" t="s">
        <v>634</v>
      </c>
      <c r="P1839" s="6" t="str">
        <f aca="false">IF(J1839="S0","—",IF(K1839="","",IF(L1839="E0","QM",INDEX(10_ASIL_Matrix!$D$4:$F$15,MATCH(J1839&amp;"-"&amp;L1839,10_ASIL_Matrix!$C$4:$C$15,0),MATCH(N1839,10_ASIL_Matrix!$D$3:$F$3,0)))))</f>
        <v>—</v>
      </c>
      <c r="Q1839" s="6" t="s">
        <v>448</v>
      </c>
    </row>
    <row r="1840" customFormat="false" ht="35.05" hidden="false" customHeight="false" outlineLevel="0" collapsed="false">
      <c r="A1840" s="5" t="s">
        <v>4361</v>
      </c>
      <c r="B1840" s="5" t="s">
        <v>108</v>
      </c>
      <c r="C1840" s="5" t="s">
        <v>109</v>
      </c>
      <c r="D1840" s="5" t="s">
        <v>137</v>
      </c>
      <c r="E1840" s="5" t="s">
        <v>138</v>
      </c>
      <c r="F1840" s="5" t="s">
        <v>200</v>
      </c>
      <c r="G1840" s="5" t="s">
        <v>570</v>
      </c>
      <c r="H1840" s="5" t="s">
        <v>222</v>
      </c>
      <c r="I1840" s="5" t="s">
        <v>4362</v>
      </c>
      <c r="J1840" s="5" t="s">
        <v>238</v>
      </c>
      <c r="K1840" s="5" t="s">
        <v>4290</v>
      </c>
      <c r="L1840" s="5" t="s">
        <v>190</v>
      </c>
      <c r="M1840" s="5" t="s">
        <v>573</v>
      </c>
      <c r="N1840" s="5" t="s">
        <v>278</v>
      </c>
      <c r="O1840" s="5" t="s">
        <v>634</v>
      </c>
      <c r="P1840" s="5" t="str">
        <f aca="false">IF(J1840="S0","—",IF(K1840="","",IF(L1840="E0","QM",INDEX(10_ASIL_Matrix!$D$4:$F$15,MATCH(J1840&amp;"-"&amp;L1840,10_ASIL_Matrix!$C$4:$C$15,0),MATCH(N1840,10_ASIL_Matrix!$D$3:$F$3,0)))))</f>
        <v>—</v>
      </c>
      <c r="Q1840" s="5" t="s">
        <v>448</v>
      </c>
    </row>
    <row r="1841" customFormat="false" ht="35.05" hidden="false" customHeight="false" outlineLevel="0" collapsed="false">
      <c r="A1841" s="6" t="s">
        <v>4363</v>
      </c>
      <c r="B1841" s="6" t="s">
        <v>108</v>
      </c>
      <c r="C1841" s="6" t="s">
        <v>109</v>
      </c>
      <c r="D1841" s="6" t="s">
        <v>137</v>
      </c>
      <c r="E1841" s="6" t="s">
        <v>138</v>
      </c>
      <c r="F1841" s="6" t="s">
        <v>200</v>
      </c>
      <c r="G1841" s="6" t="s">
        <v>570</v>
      </c>
      <c r="H1841" s="6" t="s">
        <v>224</v>
      </c>
      <c r="I1841" s="6" t="s">
        <v>4364</v>
      </c>
      <c r="J1841" s="6" t="s">
        <v>238</v>
      </c>
      <c r="K1841" s="6" t="s">
        <v>4290</v>
      </c>
      <c r="L1841" s="6" t="s">
        <v>190</v>
      </c>
      <c r="M1841" s="6" t="s">
        <v>576</v>
      </c>
      <c r="N1841" s="6" t="s">
        <v>278</v>
      </c>
      <c r="O1841" s="6" t="s">
        <v>634</v>
      </c>
      <c r="P1841" s="6" t="str">
        <f aca="false">IF(J1841="S0","—",IF(K1841="","",IF(L1841="E0","QM",INDEX(10_ASIL_Matrix!$D$4:$F$15,MATCH(J1841&amp;"-"&amp;L1841,10_ASIL_Matrix!$C$4:$C$15,0),MATCH(N1841,10_ASIL_Matrix!$D$3:$F$3,0)))))</f>
        <v>—</v>
      </c>
      <c r="Q1841" s="6" t="s">
        <v>448</v>
      </c>
    </row>
    <row r="1842" customFormat="false" ht="35.05" hidden="false" customHeight="false" outlineLevel="0" collapsed="false">
      <c r="A1842" s="5" t="s">
        <v>4365</v>
      </c>
      <c r="B1842" s="5" t="s">
        <v>108</v>
      </c>
      <c r="C1842" s="5" t="s">
        <v>109</v>
      </c>
      <c r="D1842" s="5" t="s">
        <v>137</v>
      </c>
      <c r="E1842" s="5" t="s">
        <v>138</v>
      </c>
      <c r="F1842" s="5" t="s">
        <v>200</v>
      </c>
      <c r="G1842" s="5" t="s">
        <v>570</v>
      </c>
      <c r="H1842" s="5" t="s">
        <v>226</v>
      </c>
      <c r="I1842" s="5" t="s">
        <v>4366</v>
      </c>
      <c r="J1842" s="5" t="s">
        <v>238</v>
      </c>
      <c r="K1842" s="5" t="s">
        <v>4290</v>
      </c>
      <c r="L1842" s="5" t="s">
        <v>190</v>
      </c>
      <c r="M1842" s="5" t="s">
        <v>579</v>
      </c>
      <c r="N1842" s="5" t="s">
        <v>278</v>
      </c>
      <c r="O1842" s="5" t="s">
        <v>634</v>
      </c>
      <c r="P1842" s="5" t="str">
        <f aca="false">IF(J1842="S0","—",IF(K1842="","",IF(L1842="E0","QM",INDEX(10_ASIL_Matrix!$D$4:$F$15,MATCH(J1842&amp;"-"&amp;L1842,10_ASIL_Matrix!$C$4:$C$15,0),MATCH(N1842,10_ASIL_Matrix!$D$3:$F$3,0)))))</f>
        <v>—</v>
      </c>
      <c r="Q1842" s="5" t="s">
        <v>448</v>
      </c>
    </row>
    <row r="1843" customFormat="false" ht="35.05" hidden="false" customHeight="false" outlineLevel="0" collapsed="false">
      <c r="A1843" s="6" t="s">
        <v>4367</v>
      </c>
      <c r="B1843" s="6" t="s">
        <v>108</v>
      </c>
      <c r="C1843" s="6" t="s">
        <v>109</v>
      </c>
      <c r="D1843" s="6" t="s">
        <v>137</v>
      </c>
      <c r="E1843" s="6" t="s">
        <v>138</v>
      </c>
      <c r="F1843" s="6" t="s">
        <v>200</v>
      </c>
      <c r="G1843" s="6" t="s">
        <v>570</v>
      </c>
      <c r="H1843" s="6" t="s">
        <v>228</v>
      </c>
      <c r="I1843" s="6" t="s">
        <v>4368</v>
      </c>
      <c r="J1843" s="6" t="s">
        <v>238</v>
      </c>
      <c r="K1843" s="6" t="s">
        <v>4290</v>
      </c>
      <c r="L1843" s="6" t="s">
        <v>205</v>
      </c>
      <c r="M1843" s="6" t="s">
        <v>582</v>
      </c>
      <c r="N1843" s="6" t="s">
        <v>278</v>
      </c>
      <c r="O1843" s="6" t="s">
        <v>634</v>
      </c>
      <c r="P1843" s="6" t="str">
        <f aca="false">IF(J1843="S0","—",IF(K1843="","",IF(L1843="E0","QM",INDEX(10_ASIL_Matrix!$D$4:$F$15,MATCH(J1843&amp;"-"&amp;L1843,10_ASIL_Matrix!$C$4:$C$15,0),MATCH(N1843,10_ASIL_Matrix!$D$3:$F$3,0)))))</f>
        <v>—</v>
      </c>
      <c r="Q1843" s="6" t="s">
        <v>448</v>
      </c>
    </row>
    <row r="1844" customFormat="false" ht="35.05" hidden="false" customHeight="false" outlineLevel="0" collapsed="false">
      <c r="A1844" s="5" t="s">
        <v>4369</v>
      </c>
      <c r="B1844" s="5" t="s">
        <v>108</v>
      </c>
      <c r="C1844" s="5" t="s">
        <v>109</v>
      </c>
      <c r="D1844" s="5" t="s">
        <v>137</v>
      </c>
      <c r="E1844" s="5" t="s">
        <v>138</v>
      </c>
      <c r="F1844" s="5" t="s">
        <v>200</v>
      </c>
      <c r="G1844" s="5" t="s">
        <v>570</v>
      </c>
      <c r="H1844" s="5" t="s">
        <v>230</v>
      </c>
      <c r="I1844" s="5" t="s">
        <v>4370</v>
      </c>
      <c r="J1844" s="5" t="s">
        <v>238</v>
      </c>
      <c r="K1844" s="5" t="s">
        <v>4290</v>
      </c>
      <c r="L1844" s="5" t="s">
        <v>205</v>
      </c>
      <c r="M1844" s="5" t="s">
        <v>585</v>
      </c>
      <c r="N1844" s="5" t="s">
        <v>278</v>
      </c>
      <c r="O1844" s="5" t="s">
        <v>634</v>
      </c>
      <c r="P1844" s="5" t="str">
        <f aca="false">IF(J1844="S0","—",IF(K1844="","",IF(L1844="E0","QM",INDEX(10_ASIL_Matrix!$D$4:$F$15,MATCH(J1844&amp;"-"&amp;L1844,10_ASIL_Matrix!$C$4:$C$15,0),MATCH(N1844,10_ASIL_Matrix!$D$3:$F$3,0)))))</f>
        <v>—</v>
      </c>
      <c r="Q1844" s="5" t="s">
        <v>448</v>
      </c>
    </row>
    <row r="1845" customFormat="false" ht="46.25" hidden="false" customHeight="false" outlineLevel="0" collapsed="false">
      <c r="A1845" s="6" t="s">
        <v>4371</v>
      </c>
      <c r="B1845" s="6" t="s">
        <v>108</v>
      </c>
      <c r="C1845" s="6" t="s">
        <v>109</v>
      </c>
      <c r="D1845" s="6" t="s">
        <v>137</v>
      </c>
      <c r="E1845" s="6" t="s">
        <v>138</v>
      </c>
      <c r="F1845" s="6" t="s">
        <v>200</v>
      </c>
      <c r="G1845" s="6" t="s">
        <v>570</v>
      </c>
      <c r="H1845" s="6" t="s">
        <v>232</v>
      </c>
      <c r="I1845" s="6" t="s">
        <v>4372</v>
      </c>
      <c r="J1845" s="6" t="s">
        <v>238</v>
      </c>
      <c r="K1845" s="6" t="s">
        <v>4290</v>
      </c>
      <c r="L1845" s="6" t="s">
        <v>233</v>
      </c>
      <c r="M1845" s="6" t="s">
        <v>588</v>
      </c>
      <c r="N1845" s="6" t="s">
        <v>278</v>
      </c>
      <c r="O1845" s="6" t="s">
        <v>634</v>
      </c>
      <c r="P1845" s="6" t="str">
        <f aca="false">IF(J1845="S0","—",IF(K1845="","",IF(L1845="E0","QM",INDEX(10_ASIL_Matrix!$D$4:$F$15,MATCH(J1845&amp;"-"&amp;L1845,10_ASIL_Matrix!$C$4:$C$15,0),MATCH(N1845,10_ASIL_Matrix!$D$3:$F$3,0)))))</f>
        <v>—</v>
      </c>
      <c r="Q1845" s="6" t="s">
        <v>448</v>
      </c>
    </row>
    <row r="1846" customFormat="false" ht="35.05" hidden="false" customHeight="false" outlineLevel="0" collapsed="false">
      <c r="A1846" s="5" t="s">
        <v>4373</v>
      </c>
      <c r="B1846" s="5" t="s">
        <v>108</v>
      </c>
      <c r="C1846" s="5" t="s">
        <v>109</v>
      </c>
      <c r="D1846" s="5" t="s">
        <v>137</v>
      </c>
      <c r="E1846" s="5" t="s">
        <v>138</v>
      </c>
      <c r="F1846" s="5" t="s">
        <v>202</v>
      </c>
      <c r="G1846" s="5" t="s">
        <v>590</v>
      </c>
      <c r="H1846" s="5" t="s">
        <v>222</v>
      </c>
      <c r="I1846" s="5" t="s">
        <v>4374</v>
      </c>
      <c r="J1846" s="5" t="s">
        <v>238</v>
      </c>
      <c r="K1846" s="5" t="s">
        <v>4290</v>
      </c>
      <c r="L1846" s="5" t="s">
        <v>187</v>
      </c>
      <c r="M1846" s="5" t="s">
        <v>592</v>
      </c>
      <c r="N1846" s="5" t="s">
        <v>278</v>
      </c>
      <c r="O1846" s="5" t="s">
        <v>634</v>
      </c>
      <c r="P1846" s="5" t="str">
        <f aca="false">IF(J1846="S0","—",IF(K1846="","",IF(L1846="E0","QM",INDEX(10_ASIL_Matrix!$D$4:$F$15,MATCH(J1846&amp;"-"&amp;L1846,10_ASIL_Matrix!$C$4:$C$15,0),MATCH(N1846,10_ASIL_Matrix!$D$3:$F$3,0)))))</f>
        <v>—</v>
      </c>
      <c r="Q1846" s="5" t="s">
        <v>448</v>
      </c>
    </row>
    <row r="1847" customFormat="false" ht="35.05" hidden="false" customHeight="false" outlineLevel="0" collapsed="false">
      <c r="A1847" s="6" t="s">
        <v>4375</v>
      </c>
      <c r="B1847" s="6" t="s">
        <v>108</v>
      </c>
      <c r="C1847" s="6" t="s">
        <v>109</v>
      </c>
      <c r="D1847" s="6" t="s">
        <v>137</v>
      </c>
      <c r="E1847" s="6" t="s">
        <v>138</v>
      </c>
      <c r="F1847" s="6" t="s">
        <v>202</v>
      </c>
      <c r="G1847" s="6" t="s">
        <v>590</v>
      </c>
      <c r="H1847" s="6" t="s">
        <v>224</v>
      </c>
      <c r="I1847" s="6" t="s">
        <v>4376</v>
      </c>
      <c r="J1847" s="6" t="s">
        <v>238</v>
      </c>
      <c r="K1847" s="6" t="s">
        <v>4290</v>
      </c>
      <c r="L1847" s="6" t="s">
        <v>190</v>
      </c>
      <c r="M1847" s="6" t="s">
        <v>595</v>
      </c>
      <c r="N1847" s="6" t="s">
        <v>278</v>
      </c>
      <c r="O1847" s="6" t="s">
        <v>634</v>
      </c>
      <c r="P1847" s="6" t="str">
        <f aca="false">IF(J1847="S0","—",IF(K1847="","",IF(L1847="E0","QM",INDEX(10_ASIL_Matrix!$D$4:$F$15,MATCH(J1847&amp;"-"&amp;L1847,10_ASIL_Matrix!$C$4:$C$15,0),MATCH(N1847,10_ASIL_Matrix!$D$3:$F$3,0)))))</f>
        <v>—</v>
      </c>
      <c r="Q1847" s="6" t="s">
        <v>448</v>
      </c>
    </row>
    <row r="1848" customFormat="false" ht="35.05" hidden="false" customHeight="false" outlineLevel="0" collapsed="false">
      <c r="A1848" s="5" t="s">
        <v>4377</v>
      </c>
      <c r="B1848" s="5" t="s">
        <v>108</v>
      </c>
      <c r="C1848" s="5" t="s">
        <v>109</v>
      </c>
      <c r="D1848" s="5" t="s">
        <v>137</v>
      </c>
      <c r="E1848" s="5" t="s">
        <v>138</v>
      </c>
      <c r="F1848" s="5" t="s">
        <v>202</v>
      </c>
      <c r="G1848" s="5" t="s">
        <v>590</v>
      </c>
      <c r="H1848" s="5" t="s">
        <v>226</v>
      </c>
      <c r="I1848" s="5" t="s">
        <v>4378</v>
      </c>
      <c r="J1848" s="5" t="s">
        <v>238</v>
      </c>
      <c r="K1848" s="5" t="s">
        <v>4290</v>
      </c>
      <c r="L1848" s="5" t="s">
        <v>190</v>
      </c>
      <c r="M1848" s="5" t="s">
        <v>598</v>
      </c>
      <c r="N1848" s="5" t="s">
        <v>278</v>
      </c>
      <c r="O1848" s="5" t="s">
        <v>634</v>
      </c>
      <c r="P1848" s="5" t="str">
        <f aca="false">IF(J1848="S0","—",IF(K1848="","",IF(L1848="E0","QM",INDEX(10_ASIL_Matrix!$D$4:$F$15,MATCH(J1848&amp;"-"&amp;L1848,10_ASIL_Matrix!$C$4:$C$15,0),MATCH(N1848,10_ASIL_Matrix!$D$3:$F$3,0)))))</f>
        <v>—</v>
      </c>
      <c r="Q1848" s="5" t="s">
        <v>448</v>
      </c>
    </row>
    <row r="1849" customFormat="false" ht="35.05" hidden="false" customHeight="false" outlineLevel="0" collapsed="false">
      <c r="A1849" s="6" t="s">
        <v>4379</v>
      </c>
      <c r="B1849" s="6" t="s">
        <v>108</v>
      </c>
      <c r="C1849" s="6" t="s">
        <v>109</v>
      </c>
      <c r="D1849" s="6" t="s">
        <v>137</v>
      </c>
      <c r="E1849" s="6" t="s">
        <v>138</v>
      </c>
      <c r="F1849" s="6" t="s">
        <v>202</v>
      </c>
      <c r="G1849" s="6" t="s">
        <v>590</v>
      </c>
      <c r="H1849" s="6" t="s">
        <v>228</v>
      </c>
      <c r="I1849" s="6" t="s">
        <v>4380</v>
      </c>
      <c r="J1849" s="6" t="s">
        <v>238</v>
      </c>
      <c r="K1849" s="6" t="s">
        <v>4290</v>
      </c>
      <c r="L1849" s="6" t="s">
        <v>205</v>
      </c>
      <c r="M1849" s="6" t="s">
        <v>601</v>
      </c>
      <c r="N1849" s="6" t="s">
        <v>278</v>
      </c>
      <c r="O1849" s="6" t="s">
        <v>634</v>
      </c>
      <c r="P1849" s="6" t="str">
        <f aca="false">IF(J1849="S0","—",IF(K1849="","",IF(L1849="E0","QM",INDEX(10_ASIL_Matrix!$D$4:$F$15,MATCH(J1849&amp;"-"&amp;L1849,10_ASIL_Matrix!$C$4:$C$15,0),MATCH(N1849,10_ASIL_Matrix!$D$3:$F$3,0)))))</f>
        <v>—</v>
      </c>
      <c r="Q1849" s="6" t="s">
        <v>448</v>
      </c>
    </row>
    <row r="1850" customFormat="false" ht="35.05" hidden="false" customHeight="false" outlineLevel="0" collapsed="false">
      <c r="A1850" s="5" t="s">
        <v>4381</v>
      </c>
      <c r="B1850" s="5" t="s">
        <v>108</v>
      </c>
      <c r="C1850" s="5" t="s">
        <v>109</v>
      </c>
      <c r="D1850" s="5" t="s">
        <v>137</v>
      </c>
      <c r="E1850" s="5" t="s">
        <v>138</v>
      </c>
      <c r="F1850" s="5" t="s">
        <v>202</v>
      </c>
      <c r="G1850" s="5" t="s">
        <v>590</v>
      </c>
      <c r="H1850" s="5" t="s">
        <v>230</v>
      </c>
      <c r="I1850" s="5" t="s">
        <v>4382</v>
      </c>
      <c r="J1850" s="5" t="s">
        <v>238</v>
      </c>
      <c r="K1850" s="5" t="s">
        <v>4290</v>
      </c>
      <c r="L1850" s="5" t="s">
        <v>205</v>
      </c>
      <c r="M1850" s="5" t="s">
        <v>604</v>
      </c>
      <c r="N1850" s="5" t="s">
        <v>278</v>
      </c>
      <c r="O1850" s="5" t="s">
        <v>634</v>
      </c>
      <c r="P1850" s="5" t="str">
        <f aca="false">IF(J1850="S0","—",IF(K1850="","",IF(L1850="E0","QM",INDEX(10_ASIL_Matrix!$D$4:$F$15,MATCH(J1850&amp;"-"&amp;L1850,10_ASIL_Matrix!$C$4:$C$15,0),MATCH(N1850,10_ASIL_Matrix!$D$3:$F$3,0)))))</f>
        <v>—</v>
      </c>
      <c r="Q1850" s="5" t="s">
        <v>448</v>
      </c>
    </row>
    <row r="1851" customFormat="false" ht="46.25" hidden="false" customHeight="false" outlineLevel="0" collapsed="false">
      <c r="A1851" s="6" t="s">
        <v>4383</v>
      </c>
      <c r="B1851" s="6" t="s">
        <v>108</v>
      </c>
      <c r="C1851" s="6" t="s">
        <v>109</v>
      </c>
      <c r="D1851" s="6" t="s">
        <v>137</v>
      </c>
      <c r="E1851" s="6" t="s">
        <v>138</v>
      </c>
      <c r="F1851" s="6" t="s">
        <v>202</v>
      </c>
      <c r="G1851" s="6" t="s">
        <v>590</v>
      </c>
      <c r="H1851" s="6" t="s">
        <v>232</v>
      </c>
      <c r="I1851" s="6" t="s">
        <v>4384</v>
      </c>
      <c r="J1851" s="6" t="s">
        <v>238</v>
      </c>
      <c r="K1851" s="6" t="s">
        <v>4290</v>
      </c>
      <c r="L1851" s="6" t="s">
        <v>233</v>
      </c>
      <c r="M1851" s="6" t="s">
        <v>607</v>
      </c>
      <c r="N1851" s="6" t="s">
        <v>278</v>
      </c>
      <c r="O1851" s="6" t="s">
        <v>634</v>
      </c>
      <c r="P1851" s="6" t="str">
        <f aca="false">IF(J1851="S0","—",IF(K1851="","",IF(L1851="E0","QM",INDEX(10_ASIL_Matrix!$D$4:$F$15,MATCH(J1851&amp;"-"&amp;L1851,10_ASIL_Matrix!$C$4:$C$15,0),MATCH(N1851,10_ASIL_Matrix!$D$3:$F$3,0)))))</f>
        <v>—</v>
      </c>
      <c r="Q1851" s="6" t="s">
        <v>448</v>
      </c>
    </row>
    <row r="1852" customFormat="false" ht="35.05" hidden="false" customHeight="false" outlineLevel="0" collapsed="false">
      <c r="A1852" s="5" t="s">
        <v>4385</v>
      </c>
      <c r="B1852" s="5" t="s">
        <v>108</v>
      </c>
      <c r="C1852" s="5" t="s">
        <v>109</v>
      </c>
      <c r="D1852" s="5" t="s">
        <v>137</v>
      </c>
      <c r="E1852" s="5" t="s">
        <v>138</v>
      </c>
      <c r="F1852" s="5" t="s">
        <v>204</v>
      </c>
      <c r="G1852" s="5" t="s">
        <v>609</v>
      </c>
      <c r="H1852" s="5" t="s">
        <v>222</v>
      </c>
      <c r="I1852" s="5" t="s">
        <v>4386</v>
      </c>
      <c r="J1852" s="5" t="s">
        <v>250</v>
      </c>
      <c r="K1852" s="5" t="s">
        <v>4387</v>
      </c>
      <c r="L1852" s="5" t="s">
        <v>205</v>
      </c>
      <c r="M1852" s="5" t="s">
        <v>612</v>
      </c>
      <c r="N1852" s="5" t="s">
        <v>286</v>
      </c>
      <c r="O1852" s="5" t="s">
        <v>4388</v>
      </c>
      <c r="P1852" s="19" t="str">
        <f aca="false">IF(J1852="S0","—",IF(K1852="","",IF(L1852="E0","QM",INDEX(10_ASIL_Matrix!$D$4:$F$15,MATCH(J1852&amp;"-"&amp;L1852,10_ASIL_Matrix!$C$4:$C$15,0),MATCH(N1852,10_ASIL_Matrix!$D$3:$F$3,0)))))</f>
        <v>A</v>
      </c>
      <c r="Q1852" s="5" t="s">
        <v>448</v>
      </c>
    </row>
    <row r="1853" customFormat="false" ht="35.05" hidden="false" customHeight="false" outlineLevel="0" collapsed="false">
      <c r="A1853" s="6" t="s">
        <v>4389</v>
      </c>
      <c r="B1853" s="6" t="s">
        <v>108</v>
      </c>
      <c r="C1853" s="6" t="s">
        <v>109</v>
      </c>
      <c r="D1853" s="6" t="s">
        <v>137</v>
      </c>
      <c r="E1853" s="6" t="s">
        <v>138</v>
      </c>
      <c r="F1853" s="6" t="s">
        <v>204</v>
      </c>
      <c r="G1853" s="6" t="s">
        <v>609</v>
      </c>
      <c r="H1853" s="6" t="s">
        <v>224</v>
      </c>
      <c r="I1853" s="6" t="s">
        <v>4390</v>
      </c>
      <c r="J1853" s="6" t="s">
        <v>250</v>
      </c>
      <c r="K1853" s="6" t="s">
        <v>4387</v>
      </c>
      <c r="L1853" s="6" t="s">
        <v>205</v>
      </c>
      <c r="M1853" s="6" t="s">
        <v>616</v>
      </c>
      <c r="N1853" s="6" t="s">
        <v>286</v>
      </c>
      <c r="O1853" s="6" t="s">
        <v>4388</v>
      </c>
      <c r="P1853" s="19" t="str">
        <f aca="false">IF(J1853="S0","—",IF(K1853="","",IF(L1853="E0","QM",INDEX(10_ASIL_Matrix!$D$4:$F$15,MATCH(J1853&amp;"-"&amp;L1853,10_ASIL_Matrix!$C$4:$C$15,0),MATCH(N1853,10_ASIL_Matrix!$D$3:$F$3,0)))))</f>
        <v>A</v>
      </c>
      <c r="Q1853" s="6" t="s">
        <v>448</v>
      </c>
    </row>
    <row r="1854" customFormat="false" ht="35.05" hidden="false" customHeight="false" outlineLevel="0" collapsed="false">
      <c r="A1854" s="5" t="s">
        <v>4391</v>
      </c>
      <c r="B1854" s="5" t="s">
        <v>108</v>
      </c>
      <c r="C1854" s="5" t="s">
        <v>109</v>
      </c>
      <c r="D1854" s="5" t="s">
        <v>137</v>
      </c>
      <c r="E1854" s="5" t="s">
        <v>138</v>
      </c>
      <c r="F1854" s="5" t="s">
        <v>204</v>
      </c>
      <c r="G1854" s="5" t="s">
        <v>609</v>
      </c>
      <c r="H1854" s="5" t="s">
        <v>226</v>
      </c>
      <c r="I1854" s="5" t="s">
        <v>4392</v>
      </c>
      <c r="J1854" s="5" t="s">
        <v>250</v>
      </c>
      <c r="K1854" s="5" t="s">
        <v>4387</v>
      </c>
      <c r="L1854" s="5" t="s">
        <v>205</v>
      </c>
      <c r="M1854" s="5" t="s">
        <v>619</v>
      </c>
      <c r="N1854" s="5" t="s">
        <v>286</v>
      </c>
      <c r="O1854" s="5" t="s">
        <v>4388</v>
      </c>
      <c r="P1854" s="19" t="str">
        <f aca="false">IF(J1854="S0","—",IF(K1854="","",IF(L1854="E0","QM",INDEX(10_ASIL_Matrix!$D$4:$F$15,MATCH(J1854&amp;"-"&amp;L1854,10_ASIL_Matrix!$C$4:$C$15,0),MATCH(N1854,10_ASIL_Matrix!$D$3:$F$3,0)))))</f>
        <v>A</v>
      </c>
      <c r="Q1854" s="5" t="s">
        <v>448</v>
      </c>
    </row>
    <row r="1855" customFormat="false" ht="35.05" hidden="false" customHeight="false" outlineLevel="0" collapsed="false">
      <c r="A1855" s="6" t="s">
        <v>4393</v>
      </c>
      <c r="B1855" s="6" t="s">
        <v>108</v>
      </c>
      <c r="C1855" s="6" t="s">
        <v>109</v>
      </c>
      <c r="D1855" s="6" t="s">
        <v>137</v>
      </c>
      <c r="E1855" s="6" t="s">
        <v>138</v>
      </c>
      <c r="F1855" s="6" t="s">
        <v>204</v>
      </c>
      <c r="G1855" s="6" t="s">
        <v>609</v>
      </c>
      <c r="H1855" s="6" t="s">
        <v>228</v>
      </c>
      <c r="I1855" s="6" t="s">
        <v>4394</v>
      </c>
      <c r="J1855" s="6" t="s">
        <v>250</v>
      </c>
      <c r="K1855" s="6" t="s">
        <v>4387</v>
      </c>
      <c r="L1855" s="6" t="s">
        <v>205</v>
      </c>
      <c r="M1855" s="6" t="s">
        <v>622</v>
      </c>
      <c r="N1855" s="6" t="s">
        <v>286</v>
      </c>
      <c r="O1855" s="6" t="s">
        <v>4388</v>
      </c>
      <c r="P1855" s="19" t="str">
        <f aca="false">IF(J1855="S0","—",IF(K1855="","",IF(L1855="E0","QM",INDEX(10_ASIL_Matrix!$D$4:$F$15,MATCH(J1855&amp;"-"&amp;L1855,10_ASIL_Matrix!$C$4:$C$15,0),MATCH(N1855,10_ASIL_Matrix!$D$3:$F$3,0)))))</f>
        <v>A</v>
      </c>
      <c r="Q1855" s="6" t="s">
        <v>448</v>
      </c>
    </row>
    <row r="1856" customFormat="false" ht="35.05" hidden="false" customHeight="false" outlineLevel="0" collapsed="false">
      <c r="A1856" s="5" t="s">
        <v>4395</v>
      </c>
      <c r="B1856" s="5" t="s">
        <v>108</v>
      </c>
      <c r="C1856" s="5" t="s">
        <v>109</v>
      </c>
      <c r="D1856" s="5" t="s">
        <v>137</v>
      </c>
      <c r="E1856" s="5" t="s">
        <v>138</v>
      </c>
      <c r="F1856" s="5" t="s">
        <v>204</v>
      </c>
      <c r="G1856" s="5" t="s">
        <v>609</v>
      </c>
      <c r="H1856" s="5" t="s">
        <v>230</v>
      </c>
      <c r="I1856" s="5" t="s">
        <v>4396</v>
      </c>
      <c r="J1856" s="5" t="s">
        <v>250</v>
      </c>
      <c r="K1856" s="5" t="s">
        <v>4387</v>
      </c>
      <c r="L1856" s="5" t="s">
        <v>205</v>
      </c>
      <c r="M1856" s="5" t="s">
        <v>625</v>
      </c>
      <c r="N1856" s="5" t="s">
        <v>286</v>
      </c>
      <c r="O1856" s="5" t="s">
        <v>4388</v>
      </c>
      <c r="P1856" s="19" t="str">
        <f aca="false">IF(J1856="S0","—",IF(K1856="","",IF(L1856="E0","QM",INDEX(10_ASIL_Matrix!$D$4:$F$15,MATCH(J1856&amp;"-"&amp;L1856,10_ASIL_Matrix!$C$4:$C$15,0),MATCH(N1856,10_ASIL_Matrix!$D$3:$F$3,0)))))</f>
        <v>A</v>
      </c>
      <c r="Q1856" s="5" t="s">
        <v>448</v>
      </c>
    </row>
    <row r="1857" customFormat="false" ht="46.25" hidden="false" customHeight="false" outlineLevel="0" collapsed="false">
      <c r="A1857" s="6" t="s">
        <v>4397</v>
      </c>
      <c r="B1857" s="6" t="s">
        <v>108</v>
      </c>
      <c r="C1857" s="6" t="s">
        <v>109</v>
      </c>
      <c r="D1857" s="6" t="s">
        <v>137</v>
      </c>
      <c r="E1857" s="6" t="s">
        <v>138</v>
      </c>
      <c r="F1857" s="6" t="s">
        <v>204</v>
      </c>
      <c r="G1857" s="6" t="s">
        <v>609</v>
      </c>
      <c r="H1857" s="6" t="s">
        <v>232</v>
      </c>
      <c r="I1857" s="6" t="s">
        <v>4398</v>
      </c>
      <c r="J1857" s="6" t="s">
        <v>250</v>
      </c>
      <c r="K1857" s="6" t="s">
        <v>4387</v>
      </c>
      <c r="L1857" s="6" t="s">
        <v>233</v>
      </c>
      <c r="M1857" s="6" t="s">
        <v>629</v>
      </c>
      <c r="N1857" s="6" t="s">
        <v>286</v>
      </c>
      <c r="O1857" s="6" t="s">
        <v>4388</v>
      </c>
      <c r="P1857" s="6" t="str">
        <f aca="false">IF(J1857="S0","—",IF(K1857="","",IF(L1857="E0","QM",INDEX(10_ASIL_Matrix!$D$4:$F$15,MATCH(J1857&amp;"-"&amp;L1857,10_ASIL_Matrix!$C$4:$C$15,0),MATCH(N1857,10_ASIL_Matrix!$D$3:$F$3,0)))))</f>
        <v>QM</v>
      </c>
      <c r="Q1857" s="6" t="s">
        <v>448</v>
      </c>
    </row>
    <row r="1858" customFormat="false" ht="35.05" hidden="false" customHeight="false" outlineLevel="0" collapsed="false">
      <c r="A1858" s="5" t="s">
        <v>4399</v>
      </c>
      <c r="B1858" s="5" t="s">
        <v>108</v>
      </c>
      <c r="C1858" s="5" t="s">
        <v>109</v>
      </c>
      <c r="D1858" s="5" t="s">
        <v>137</v>
      </c>
      <c r="E1858" s="5" t="s">
        <v>138</v>
      </c>
      <c r="F1858" s="5" t="s">
        <v>207</v>
      </c>
      <c r="G1858" s="5" t="s">
        <v>609</v>
      </c>
      <c r="H1858" s="5" t="s">
        <v>222</v>
      </c>
      <c r="I1858" s="5" t="s">
        <v>4400</v>
      </c>
      <c r="J1858" s="5" t="s">
        <v>250</v>
      </c>
      <c r="K1858" s="5" t="s">
        <v>4401</v>
      </c>
      <c r="L1858" s="5" t="s">
        <v>190</v>
      </c>
      <c r="M1858" s="5" t="s">
        <v>633</v>
      </c>
      <c r="N1858" s="5" t="s">
        <v>286</v>
      </c>
      <c r="O1858" s="5" t="s">
        <v>4402</v>
      </c>
      <c r="P1858" s="18" t="str">
        <f aca="false">IF(J1858="S0","—",IF(K1858="","",IF(L1858="E0","QM",INDEX(10_ASIL_Matrix!$D$4:$F$15,MATCH(J1858&amp;"-"&amp;L1858,10_ASIL_Matrix!$C$4:$C$15,0),MATCH(N1858,10_ASIL_Matrix!$D$3:$F$3,0)))))</f>
        <v>B</v>
      </c>
      <c r="Q1858" s="5" t="s">
        <v>448</v>
      </c>
    </row>
    <row r="1859" customFormat="false" ht="35.05" hidden="false" customHeight="false" outlineLevel="0" collapsed="false">
      <c r="A1859" s="6" t="s">
        <v>4403</v>
      </c>
      <c r="B1859" s="6" t="s">
        <v>108</v>
      </c>
      <c r="C1859" s="6" t="s">
        <v>109</v>
      </c>
      <c r="D1859" s="6" t="s">
        <v>137</v>
      </c>
      <c r="E1859" s="6" t="s">
        <v>138</v>
      </c>
      <c r="F1859" s="6" t="s">
        <v>207</v>
      </c>
      <c r="G1859" s="6" t="s">
        <v>609</v>
      </c>
      <c r="H1859" s="6" t="s">
        <v>224</v>
      </c>
      <c r="I1859" s="6" t="s">
        <v>4404</v>
      </c>
      <c r="J1859" s="6" t="s">
        <v>250</v>
      </c>
      <c r="K1859" s="6" t="s">
        <v>4401</v>
      </c>
      <c r="L1859" s="6" t="s">
        <v>190</v>
      </c>
      <c r="M1859" s="6" t="s">
        <v>637</v>
      </c>
      <c r="N1859" s="6" t="s">
        <v>286</v>
      </c>
      <c r="O1859" s="6" t="s">
        <v>4402</v>
      </c>
      <c r="P1859" s="18" t="str">
        <f aca="false">IF(J1859="S0","—",IF(K1859="","",IF(L1859="E0","QM",INDEX(10_ASIL_Matrix!$D$4:$F$15,MATCH(J1859&amp;"-"&amp;L1859,10_ASIL_Matrix!$C$4:$C$15,0),MATCH(N1859,10_ASIL_Matrix!$D$3:$F$3,0)))))</f>
        <v>B</v>
      </c>
      <c r="Q1859" s="6" t="s">
        <v>448</v>
      </c>
    </row>
    <row r="1860" customFormat="false" ht="35.05" hidden="false" customHeight="false" outlineLevel="0" collapsed="false">
      <c r="A1860" s="5" t="s">
        <v>4405</v>
      </c>
      <c r="B1860" s="5" t="s">
        <v>108</v>
      </c>
      <c r="C1860" s="5" t="s">
        <v>109</v>
      </c>
      <c r="D1860" s="5" t="s">
        <v>137</v>
      </c>
      <c r="E1860" s="5" t="s">
        <v>138</v>
      </c>
      <c r="F1860" s="5" t="s">
        <v>207</v>
      </c>
      <c r="G1860" s="5" t="s">
        <v>609</v>
      </c>
      <c r="H1860" s="5" t="s">
        <v>226</v>
      </c>
      <c r="I1860" s="5" t="s">
        <v>4406</v>
      </c>
      <c r="J1860" s="5" t="s">
        <v>250</v>
      </c>
      <c r="K1860" s="5" t="s">
        <v>4401</v>
      </c>
      <c r="L1860" s="5" t="s">
        <v>190</v>
      </c>
      <c r="M1860" s="5" t="s">
        <v>640</v>
      </c>
      <c r="N1860" s="5" t="s">
        <v>286</v>
      </c>
      <c r="O1860" s="5" t="s">
        <v>4402</v>
      </c>
      <c r="P1860" s="18" t="str">
        <f aca="false">IF(J1860="S0","—",IF(K1860="","",IF(L1860="E0","QM",INDEX(10_ASIL_Matrix!$D$4:$F$15,MATCH(J1860&amp;"-"&amp;L1860,10_ASIL_Matrix!$C$4:$C$15,0),MATCH(N1860,10_ASIL_Matrix!$D$3:$F$3,0)))))</f>
        <v>B</v>
      </c>
      <c r="Q1860" s="5" t="s">
        <v>448</v>
      </c>
    </row>
    <row r="1861" customFormat="false" ht="35.05" hidden="false" customHeight="false" outlineLevel="0" collapsed="false">
      <c r="A1861" s="6" t="s">
        <v>4407</v>
      </c>
      <c r="B1861" s="6" t="s">
        <v>108</v>
      </c>
      <c r="C1861" s="6" t="s">
        <v>109</v>
      </c>
      <c r="D1861" s="6" t="s">
        <v>137</v>
      </c>
      <c r="E1861" s="6" t="s">
        <v>138</v>
      </c>
      <c r="F1861" s="6" t="s">
        <v>207</v>
      </c>
      <c r="G1861" s="6" t="s">
        <v>609</v>
      </c>
      <c r="H1861" s="6" t="s">
        <v>228</v>
      </c>
      <c r="I1861" s="6" t="s">
        <v>4408</v>
      </c>
      <c r="J1861" s="6" t="s">
        <v>250</v>
      </c>
      <c r="K1861" s="6" t="s">
        <v>4401</v>
      </c>
      <c r="L1861" s="6" t="s">
        <v>205</v>
      </c>
      <c r="M1861" s="6" t="s">
        <v>643</v>
      </c>
      <c r="N1861" s="6" t="s">
        <v>286</v>
      </c>
      <c r="O1861" s="6" t="s">
        <v>4402</v>
      </c>
      <c r="P1861" s="19" t="str">
        <f aca="false">IF(J1861="S0","—",IF(K1861="","",IF(L1861="E0","QM",INDEX(10_ASIL_Matrix!$D$4:$F$15,MATCH(J1861&amp;"-"&amp;L1861,10_ASIL_Matrix!$C$4:$C$15,0),MATCH(N1861,10_ASIL_Matrix!$D$3:$F$3,0)))))</f>
        <v>A</v>
      </c>
      <c r="Q1861" s="6" t="s">
        <v>448</v>
      </c>
    </row>
    <row r="1862" customFormat="false" ht="35.05" hidden="false" customHeight="false" outlineLevel="0" collapsed="false">
      <c r="A1862" s="5" t="s">
        <v>4409</v>
      </c>
      <c r="B1862" s="5" t="s">
        <v>108</v>
      </c>
      <c r="C1862" s="5" t="s">
        <v>109</v>
      </c>
      <c r="D1862" s="5" t="s">
        <v>137</v>
      </c>
      <c r="E1862" s="5" t="s">
        <v>138</v>
      </c>
      <c r="F1862" s="5" t="s">
        <v>207</v>
      </c>
      <c r="G1862" s="5" t="s">
        <v>609</v>
      </c>
      <c r="H1862" s="5" t="s">
        <v>230</v>
      </c>
      <c r="I1862" s="5" t="s">
        <v>4410</v>
      </c>
      <c r="J1862" s="5" t="s">
        <v>250</v>
      </c>
      <c r="K1862" s="5" t="s">
        <v>4401</v>
      </c>
      <c r="L1862" s="5" t="s">
        <v>205</v>
      </c>
      <c r="M1862" s="5" t="s">
        <v>646</v>
      </c>
      <c r="N1862" s="5" t="s">
        <v>286</v>
      </c>
      <c r="O1862" s="5" t="s">
        <v>4402</v>
      </c>
      <c r="P1862" s="19" t="str">
        <f aca="false">IF(J1862="S0","—",IF(K1862="","",IF(L1862="E0","QM",INDEX(10_ASIL_Matrix!$D$4:$F$15,MATCH(J1862&amp;"-"&amp;L1862,10_ASIL_Matrix!$C$4:$C$15,0),MATCH(N1862,10_ASIL_Matrix!$D$3:$F$3,0)))))</f>
        <v>A</v>
      </c>
      <c r="Q1862" s="5" t="s">
        <v>448</v>
      </c>
    </row>
    <row r="1863" customFormat="false" ht="46.25" hidden="false" customHeight="false" outlineLevel="0" collapsed="false">
      <c r="A1863" s="6" t="s">
        <v>4411</v>
      </c>
      <c r="B1863" s="6" t="s">
        <v>108</v>
      </c>
      <c r="C1863" s="6" t="s">
        <v>109</v>
      </c>
      <c r="D1863" s="6" t="s">
        <v>137</v>
      </c>
      <c r="E1863" s="6" t="s">
        <v>138</v>
      </c>
      <c r="F1863" s="6" t="s">
        <v>207</v>
      </c>
      <c r="G1863" s="6" t="s">
        <v>609</v>
      </c>
      <c r="H1863" s="6" t="s">
        <v>232</v>
      </c>
      <c r="I1863" s="6" t="s">
        <v>4412</v>
      </c>
      <c r="J1863" s="6" t="s">
        <v>250</v>
      </c>
      <c r="K1863" s="6" t="s">
        <v>4401</v>
      </c>
      <c r="L1863" s="6" t="s">
        <v>233</v>
      </c>
      <c r="M1863" s="6" t="s">
        <v>649</v>
      </c>
      <c r="N1863" s="6" t="s">
        <v>286</v>
      </c>
      <c r="O1863" s="6" t="s">
        <v>4402</v>
      </c>
      <c r="P1863" s="6" t="str">
        <f aca="false">IF(J1863="S0","—",IF(K1863="","",IF(L1863="E0","QM",INDEX(10_ASIL_Matrix!$D$4:$F$15,MATCH(J1863&amp;"-"&amp;L1863,10_ASIL_Matrix!$C$4:$C$15,0),MATCH(N1863,10_ASIL_Matrix!$D$3:$F$3,0)))))</f>
        <v>QM</v>
      </c>
      <c r="Q1863" s="6" t="s">
        <v>448</v>
      </c>
    </row>
    <row r="1864" customFormat="false" ht="35.05" hidden="false" customHeight="false" outlineLevel="0" collapsed="false">
      <c r="A1864" s="5" t="s">
        <v>4413</v>
      </c>
      <c r="B1864" s="5" t="s">
        <v>108</v>
      </c>
      <c r="C1864" s="5" t="s">
        <v>109</v>
      </c>
      <c r="D1864" s="5" t="s">
        <v>137</v>
      </c>
      <c r="E1864" s="5" t="s">
        <v>138</v>
      </c>
      <c r="F1864" s="5" t="s">
        <v>209</v>
      </c>
      <c r="G1864" s="5" t="s">
        <v>570</v>
      </c>
      <c r="H1864" s="5" t="s">
        <v>222</v>
      </c>
      <c r="I1864" s="5" t="s">
        <v>4414</v>
      </c>
      <c r="J1864" s="5" t="s">
        <v>238</v>
      </c>
      <c r="K1864" s="5" t="s">
        <v>4290</v>
      </c>
      <c r="L1864" s="5" t="s">
        <v>190</v>
      </c>
      <c r="M1864" s="5" t="s">
        <v>653</v>
      </c>
      <c r="N1864" s="5" t="s">
        <v>278</v>
      </c>
      <c r="O1864" s="5" t="s">
        <v>634</v>
      </c>
      <c r="P1864" s="5" t="str">
        <f aca="false">IF(J1864="S0","—",IF(K1864="","",IF(L1864="E0","QM",INDEX(10_ASIL_Matrix!$D$4:$F$15,MATCH(J1864&amp;"-"&amp;L1864,10_ASIL_Matrix!$C$4:$C$15,0),MATCH(N1864,10_ASIL_Matrix!$D$3:$F$3,0)))))</f>
        <v>—</v>
      </c>
      <c r="Q1864" s="5" t="s">
        <v>448</v>
      </c>
    </row>
    <row r="1865" customFormat="false" ht="35.05" hidden="false" customHeight="false" outlineLevel="0" collapsed="false">
      <c r="A1865" s="6" t="s">
        <v>4415</v>
      </c>
      <c r="B1865" s="6" t="s">
        <v>108</v>
      </c>
      <c r="C1865" s="6" t="s">
        <v>109</v>
      </c>
      <c r="D1865" s="6" t="s">
        <v>137</v>
      </c>
      <c r="E1865" s="6" t="s">
        <v>138</v>
      </c>
      <c r="F1865" s="6" t="s">
        <v>209</v>
      </c>
      <c r="G1865" s="6" t="s">
        <v>570</v>
      </c>
      <c r="H1865" s="6" t="s">
        <v>224</v>
      </c>
      <c r="I1865" s="6" t="s">
        <v>4416</v>
      </c>
      <c r="J1865" s="6" t="s">
        <v>238</v>
      </c>
      <c r="K1865" s="6" t="s">
        <v>4290</v>
      </c>
      <c r="L1865" s="6" t="s">
        <v>190</v>
      </c>
      <c r="M1865" s="6" t="s">
        <v>656</v>
      </c>
      <c r="N1865" s="6" t="s">
        <v>278</v>
      </c>
      <c r="O1865" s="6" t="s">
        <v>634</v>
      </c>
      <c r="P1865" s="6" t="str">
        <f aca="false">IF(J1865="S0","—",IF(K1865="","",IF(L1865="E0","QM",INDEX(10_ASIL_Matrix!$D$4:$F$15,MATCH(J1865&amp;"-"&amp;L1865,10_ASIL_Matrix!$C$4:$C$15,0),MATCH(N1865,10_ASIL_Matrix!$D$3:$F$3,0)))))</f>
        <v>—</v>
      </c>
      <c r="Q1865" s="6" t="s">
        <v>448</v>
      </c>
    </row>
    <row r="1866" customFormat="false" ht="35.05" hidden="false" customHeight="false" outlineLevel="0" collapsed="false">
      <c r="A1866" s="5" t="s">
        <v>4417</v>
      </c>
      <c r="B1866" s="5" t="s">
        <v>108</v>
      </c>
      <c r="C1866" s="5" t="s">
        <v>109</v>
      </c>
      <c r="D1866" s="5" t="s">
        <v>137</v>
      </c>
      <c r="E1866" s="5" t="s">
        <v>138</v>
      </c>
      <c r="F1866" s="5" t="s">
        <v>209</v>
      </c>
      <c r="G1866" s="5" t="s">
        <v>570</v>
      </c>
      <c r="H1866" s="5" t="s">
        <v>226</v>
      </c>
      <c r="I1866" s="5" t="s">
        <v>4418</v>
      </c>
      <c r="J1866" s="5" t="s">
        <v>238</v>
      </c>
      <c r="K1866" s="5" t="s">
        <v>4290</v>
      </c>
      <c r="L1866" s="5" t="s">
        <v>190</v>
      </c>
      <c r="M1866" s="5" t="s">
        <v>659</v>
      </c>
      <c r="N1866" s="5" t="s">
        <v>278</v>
      </c>
      <c r="O1866" s="5" t="s">
        <v>634</v>
      </c>
      <c r="P1866" s="5" t="str">
        <f aca="false">IF(J1866="S0","—",IF(K1866="","",IF(L1866="E0","QM",INDEX(10_ASIL_Matrix!$D$4:$F$15,MATCH(J1866&amp;"-"&amp;L1866,10_ASIL_Matrix!$C$4:$C$15,0),MATCH(N1866,10_ASIL_Matrix!$D$3:$F$3,0)))))</f>
        <v>—</v>
      </c>
      <c r="Q1866" s="5" t="s">
        <v>448</v>
      </c>
    </row>
    <row r="1867" customFormat="false" ht="35.05" hidden="false" customHeight="false" outlineLevel="0" collapsed="false">
      <c r="A1867" s="6" t="s">
        <v>4419</v>
      </c>
      <c r="B1867" s="6" t="s">
        <v>108</v>
      </c>
      <c r="C1867" s="6" t="s">
        <v>109</v>
      </c>
      <c r="D1867" s="6" t="s">
        <v>137</v>
      </c>
      <c r="E1867" s="6" t="s">
        <v>138</v>
      </c>
      <c r="F1867" s="6" t="s">
        <v>209</v>
      </c>
      <c r="G1867" s="6" t="s">
        <v>570</v>
      </c>
      <c r="H1867" s="6" t="s">
        <v>228</v>
      </c>
      <c r="I1867" s="6" t="s">
        <v>4420</v>
      </c>
      <c r="J1867" s="6" t="s">
        <v>238</v>
      </c>
      <c r="K1867" s="6" t="s">
        <v>4290</v>
      </c>
      <c r="L1867" s="6" t="s">
        <v>205</v>
      </c>
      <c r="M1867" s="6" t="s">
        <v>662</v>
      </c>
      <c r="N1867" s="6" t="s">
        <v>278</v>
      </c>
      <c r="O1867" s="6" t="s">
        <v>634</v>
      </c>
      <c r="P1867" s="6" t="str">
        <f aca="false">IF(J1867="S0","—",IF(K1867="","",IF(L1867="E0","QM",INDEX(10_ASIL_Matrix!$D$4:$F$15,MATCH(J1867&amp;"-"&amp;L1867,10_ASIL_Matrix!$C$4:$C$15,0),MATCH(N1867,10_ASIL_Matrix!$D$3:$F$3,0)))))</f>
        <v>—</v>
      </c>
      <c r="Q1867" s="6" t="s">
        <v>448</v>
      </c>
    </row>
    <row r="1868" customFormat="false" ht="35.05" hidden="false" customHeight="false" outlineLevel="0" collapsed="false">
      <c r="A1868" s="5" t="s">
        <v>4421</v>
      </c>
      <c r="B1868" s="5" t="s">
        <v>108</v>
      </c>
      <c r="C1868" s="5" t="s">
        <v>109</v>
      </c>
      <c r="D1868" s="5" t="s">
        <v>137</v>
      </c>
      <c r="E1868" s="5" t="s">
        <v>138</v>
      </c>
      <c r="F1868" s="5" t="s">
        <v>209</v>
      </c>
      <c r="G1868" s="5" t="s">
        <v>570</v>
      </c>
      <c r="H1868" s="5" t="s">
        <v>230</v>
      </c>
      <c r="I1868" s="5" t="s">
        <v>4422</v>
      </c>
      <c r="J1868" s="5" t="s">
        <v>238</v>
      </c>
      <c r="K1868" s="5" t="s">
        <v>4290</v>
      </c>
      <c r="L1868" s="5" t="s">
        <v>205</v>
      </c>
      <c r="M1868" s="5" t="s">
        <v>665</v>
      </c>
      <c r="N1868" s="5" t="s">
        <v>278</v>
      </c>
      <c r="O1868" s="5" t="s">
        <v>634</v>
      </c>
      <c r="P1868" s="5" t="str">
        <f aca="false">IF(J1868="S0","—",IF(K1868="","",IF(L1868="E0","QM",INDEX(10_ASIL_Matrix!$D$4:$F$15,MATCH(J1868&amp;"-"&amp;L1868,10_ASIL_Matrix!$C$4:$C$15,0),MATCH(N1868,10_ASIL_Matrix!$D$3:$F$3,0)))))</f>
        <v>—</v>
      </c>
      <c r="Q1868" s="5" t="s">
        <v>448</v>
      </c>
    </row>
    <row r="1869" customFormat="false" ht="46.25" hidden="false" customHeight="false" outlineLevel="0" collapsed="false">
      <c r="A1869" s="6" t="s">
        <v>4423</v>
      </c>
      <c r="B1869" s="6" t="s">
        <v>108</v>
      </c>
      <c r="C1869" s="6" t="s">
        <v>109</v>
      </c>
      <c r="D1869" s="6" t="s">
        <v>137</v>
      </c>
      <c r="E1869" s="6" t="s">
        <v>138</v>
      </c>
      <c r="F1869" s="6" t="s">
        <v>209</v>
      </c>
      <c r="G1869" s="6" t="s">
        <v>570</v>
      </c>
      <c r="H1869" s="6" t="s">
        <v>232</v>
      </c>
      <c r="I1869" s="6" t="s">
        <v>4424</v>
      </c>
      <c r="J1869" s="6" t="s">
        <v>238</v>
      </c>
      <c r="K1869" s="6" t="s">
        <v>4290</v>
      </c>
      <c r="L1869" s="6" t="s">
        <v>233</v>
      </c>
      <c r="M1869" s="6" t="s">
        <v>668</v>
      </c>
      <c r="N1869" s="6" t="s">
        <v>278</v>
      </c>
      <c r="O1869" s="6" t="s">
        <v>634</v>
      </c>
      <c r="P1869" s="6" t="str">
        <f aca="false">IF(J1869="S0","—",IF(K1869="","",IF(L1869="E0","QM",INDEX(10_ASIL_Matrix!$D$4:$F$15,MATCH(J1869&amp;"-"&amp;L1869,10_ASIL_Matrix!$C$4:$C$15,0),MATCH(N1869,10_ASIL_Matrix!$D$3:$F$3,0)))))</f>
        <v>—</v>
      </c>
      <c r="Q1869" s="6" t="s">
        <v>448</v>
      </c>
    </row>
    <row r="1870" customFormat="false" ht="35.05" hidden="false" customHeight="false" outlineLevel="0" collapsed="false">
      <c r="A1870" s="5" t="s">
        <v>4425</v>
      </c>
      <c r="B1870" s="5" t="s">
        <v>108</v>
      </c>
      <c r="C1870" s="5" t="s">
        <v>109</v>
      </c>
      <c r="D1870" s="5" t="s">
        <v>137</v>
      </c>
      <c r="E1870" s="5" t="s">
        <v>138</v>
      </c>
      <c r="F1870" s="5" t="s">
        <v>211</v>
      </c>
      <c r="G1870" s="5" t="s">
        <v>609</v>
      </c>
      <c r="H1870" s="5" t="s">
        <v>222</v>
      </c>
      <c r="I1870" s="5" t="s">
        <v>4426</v>
      </c>
      <c r="J1870" s="5" t="s">
        <v>238</v>
      </c>
      <c r="K1870" s="5" t="s">
        <v>671</v>
      </c>
      <c r="L1870" s="5" t="s">
        <v>187</v>
      </c>
      <c r="M1870" s="5" t="s">
        <v>672</v>
      </c>
      <c r="N1870" s="5" t="s">
        <v>278</v>
      </c>
      <c r="O1870" s="5" t="s">
        <v>634</v>
      </c>
      <c r="P1870" s="5" t="str">
        <f aca="false">IF(J1870="S0","—",IF(K1870="","",IF(L1870="E0","QM",INDEX(10_ASIL_Matrix!$D$4:$F$15,MATCH(J1870&amp;"-"&amp;L1870,10_ASIL_Matrix!$C$4:$C$15,0),MATCH(N1870,10_ASIL_Matrix!$D$3:$F$3,0)))))</f>
        <v>—</v>
      </c>
      <c r="Q1870" s="5" t="s">
        <v>448</v>
      </c>
    </row>
    <row r="1871" customFormat="false" ht="35.05" hidden="false" customHeight="false" outlineLevel="0" collapsed="false">
      <c r="A1871" s="6" t="s">
        <v>4427</v>
      </c>
      <c r="B1871" s="6" t="s">
        <v>108</v>
      </c>
      <c r="C1871" s="6" t="s">
        <v>109</v>
      </c>
      <c r="D1871" s="6" t="s">
        <v>137</v>
      </c>
      <c r="E1871" s="6" t="s">
        <v>138</v>
      </c>
      <c r="F1871" s="6" t="s">
        <v>211</v>
      </c>
      <c r="G1871" s="6" t="s">
        <v>609</v>
      </c>
      <c r="H1871" s="6" t="s">
        <v>224</v>
      </c>
      <c r="I1871" s="6" t="s">
        <v>4428</v>
      </c>
      <c r="J1871" s="6" t="s">
        <v>238</v>
      </c>
      <c r="K1871" s="6" t="s">
        <v>671</v>
      </c>
      <c r="L1871" s="6" t="s">
        <v>190</v>
      </c>
      <c r="M1871" s="6" t="s">
        <v>675</v>
      </c>
      <c r="N1871" s="6" t="s">
        <v>278</v>
      </c>
      <c r="O1871" s="6" t="s">
        <v>634</v>
      </c>
      <c r="P1871" s="6" t="str">
        <f aca="false">IF(J1871="S0","—",IF(K1871="","",IF(L1871="E0","QM",INDEX(10_ASIL_Matrix!$D$4:$F$15,MATCH(J1871&amp;"-"&amp;L1871,10_ASIL_Matrix!$C$4:$C$15,0),MATCH(N1871,10_ASIL_Matrix!$D$3:$F$3,0)))))</f>
        <v>—</v>
      </c>
      <c r="Q1871" s="6" t="s">
        <v>448</v>
      </c>
    </row>
    <row r="1872" customFormat="false" ht="35.05" hidden="false" customHeight="false" outlineLevel="0" collapsed="false">
      <c r="A1872" s="5" t="s">
        <v>4429</v>
      </c>
      <c r="B1872" s="5" t="s">
        <v>108</v>
      </c>
      <c r="C1872" s="5" t="s">
        <v>109</v>
      </c>
      <c r="D1872" s="5" t="s">
        <v>137</v>
      </c>
      <c r="E1872" s="5" t="s">
        <v>138</v>
      </c>
      <c r="F1872" s="5" t="s">
        <v>211</v>
      </c>
      <c r="G1872" s="5" t="s">
        <v>609</v>
      </c>
      <c r="H1872" s="5" t="s">
        <v>226</v>
      </c>
      <c r="I1872" s="5" t="s">
        <v>4430</v>
      </c>
      <c r="J1872" s="5" t="s">
        <v>238</v>
      </c>
      <c r="K1872" s="5" t="s">
        <v>671</v>
      </c>
      <c r="L1872" s="5" t="s">
        <v>190</v>
      </c>
      <c r="M1872" s="5" t="s">
        <v>678</v>
      </c>
      <c r="N1872" s="5" t="s">
        <v>278</v>
      </c>
      <c r="O1872" s="5" t="s">
        <v>634</v>
      </c>
      <c r="P1872" s="5" t="str">
        <f aca="false">IF(J1872="S0","—",IF(K1872="","",IF(L1872="E0","QM",INDEX(10_ASIL_Matrix!$D$4:$F$15,MATCH(J1872&amp;"-"&amp;L1872,10_ASIL_Matrix!$C$4:$C$15,0),MATCH(N1872,10_ASIL_Matrix!$D$3:$F$3,0)))))</f>
        <v>—</v>
      </c>
      <c r="Q1872" s="5" t="s">
        <v>448</v>
      </c>
    </row>
    <row r="1873" customFormat="false" ht="35.05" hidden="false" customHeight="false" outlineLevel="0" collapsed="false">
      <c r="A1873" s="6" t="s">
        <v>4431</v>
      </c>
      <c r="B1873" s="6" t="s">
        <v>108</v>
      </c>
      <c r="C1873" s="6" t="s">
        <v>109</v>
      </c>
      <c r="D1873" s="6" t="s">
        <v>137</v>
      </c>
      <c r="E1873" s="6" t="s">
        <v>138</v>
      </c>
      <c r="F1873" s="6" t="s">
        <v>211</v>
      </c>
      <c r="G1873" s="6" t="s">
        <v>609</v>
      </c>
      <c r="H1873" s="6" t="s">
        <v>228</v>
      </c>
      <c r="I1873" s="6" t="s">
        <v>4432</v>
      </c>
      <c r="J1873" s="6" t="s">
        <v>238</v>
      </c>
      <c r="K1873" s="6" t="s">
        <v>671</v>
      </c>
      <c r="L1873" s="6" t="s">
        <v>205</v>
      </c>
      <c r="M1873" s="6" t="s">
        <v>681</v>
      </c>
      <c r="N1873" s="6" t="s">
        <v>278</v>
      </c>
      <c r="O1873" s="6" t="s">
        <v>634</v>
      </c>
      <c r="P1873" s="6" t="str">
        <f aca="false">IF(J1873="S0","—",IF(K1873="","",IF(L1873="E0","QM",INDEX(10_ASIL_Matrix!$D$4:$F$15,MATCH(J1873&amp;"-"&amp;L1873,10_ASIL_Matrix!$C$4:$C$15,0),MATCH(N1873,10_ASIL_Matrix!$D$3:$F$3,0)))))</f>
        <v>—</v>
      </c>
      <c r="Q1873" s="6" t="s">
        <v>448</v>
      </c>
    </row>
    <row r="1874" customFormat="false" ht="35.05" hidden="false" customHeight="false" outlineLevel="0" collapsed="false">
      <c r="A1874" s="5" t="s">
        <v>4433</v>
      </c>
      <c r="B1874" s="5" t="s">
        <v>108</v>
      </c>
      <c r="C1874" s="5" t="s">
        <v>109</v>
      </c>
      <c r="D1874" s="5" t="s">
        <v>137</v>
      </c>
      <c r="E1874" s="5" t="s">
        <v>138</v>
      </c>
      <c r="F1874" s="5" t="s">
        <v>211</v>
      </c>
      <c r="G1874" s="5" t="s">
        <v>609</v>
      </c>
      <c r="H1874" s="5" t="s">
        <v>230</v>
      </c>
      <c r="I1874" s="5" t="s">
        <v>4434</v>
      </c>
      <c r="J1874" s="5" t="s">
        <v>238</v>
      </c>
      <c r="K1874" s="5" t="s">
        <v>671</v>
      </c>
      <c r="L1874" s="5" t="s">
        <v>205</v>
      </c>
      <c r="M1874" s="5" t="s">
        <v>684</v>
      </c>
      <c r="N1874" s="5" t="s">
        <v>278</v>
      </c>
      <c r="O1874" s="5" t="s">
        <v>634</v>
      </c>
      <c r="P1874" s="5" t="str">
        <f aca="false">IF(J1874="S0","—",IF(K1874="","",IF(L1874="E0","QM",INDEX(10_ASIL_Matrix!$D$4:$F$15,MATCH(J1874&amp;"-"&amp;L1874,10_ASIL_Matrix!$C$4:$C$15,0),MATCH(N1874,10_ASIL_Matrix!$D$3:$F$3,0)))))</f>
        <v>—</v>
      </c>
      <c r="Q1874" s="5" t="s">
        <v>448</v>
      </c>
    </row>
    <row r="1875" customFormat="false" ht="46.25" hidden="false" customHeight="false" outlineLevel="0" collapsed="false">
      <c r="A1875" s="6" t="s">
        <v>4435</v>
      </c>
      <c r="B1875" s="6" t="s">
        <v>108</v>
      </c>
      <c r="C1875" s="6" t="s">
        <v>109</v>
      </c>
      <c r="D1875" s="6" t="s">
        <v>137</v>
      </c>
      <c r="E1875" s="6" t="s">
        <v>138</v>
      </c>
      <c r="F1875" s="6" t="s">
        <v>211</v>
      </c>
      <c r="G1875" s="6" t="s">
        <v>609</v>
      </c>
      <c r="H1875" s="6" t="s">
        <v>232</v>
      </c>
      <c r="I1875" s="6" t="s">
        <v>4436</v>
      </c>
      <c r="J1875" s="6" t="s">
        <v>238</v>
      </c>
      <c r="K1875" s="6" t="s">
        <v>671</v>
      </c>
      <c r="L1875" s="6" t="s">
        <v>233</v>
      </c>
      <c r="M1875" s="6" t="s">
        <v>687</v>
      </c>
      <c r="N1875" s="6" t="s">
        <v>278</v>
      </c>
      <c r="O1875" s="6" t="s">
        <v>634</v>
      </c>
      <c r="P1875" s="6" t="str">
        <f aca="false">IF(J1875="S0","—",IF(K1875="","",IF(L1875="E0","QM",INDEX(10_ASIL_Matrix!$D$4:$F$15,MATCH(J1875&amp;"-"&amp;L1875,10_ASIL_Matrix!$C$4:$C$15,0),MATCH(N1875,10_ASIL_Matrix!$D$3:$F$3,0)))))</f>
        <v>—</v>
      </c>
      <c r="Q1875" s="6" t="s">
        <v>448</v>
      </c>
    </row>
    <row r="1876" customFormat="false" ht="46.25" hidden="false" customHeight="false" outlineLevel="0" collapsed="false">
      <c r="A1876" s="5" t="s">
        <v>4437</v>
      </c>
      <c r="B1876" s="5" t="s">
        <v>108</v>
      </c>
      <c r="C1876" s="5" t="s">
        <v>109</v>
      </c>
      <c r="D1876" s="5" t="s">
        <v>137</v>
      </c>
      <c r="E1876" s="5" t="s">
        <v>138</v>
      </c>
      <c r="F1876" s="5" t="s">
        <v>213</v>
      </c>
      <c r="G1876" s="5" t="s">
        <v>689</v>
      </c>
      <c r="H1876" s="5" t="s">
        <v>222</v>
      </c>
      <c r="I1876" s="5" t="s">
        <v>4438</v>
      </c>
      <c r="J1876" s="5" t="s">
        <v>238</v>
      </c>
      <c r="K1876" s="5" t="s">
        <v>4290</v>
      </c>
      <c r="L1876" s="5" t="s">
        <v>205</v>
      </c>
      <c r="M1876" s="5" t="s">
        <v>692</v>
      </c>
      <c r="N1876" s="5" t="s">
        <v>278</v>
      </c>
      <c r="O1876" s="5" t="s">
        <v>634</v>
      </c>
      <c r="P1876" s="5" t="str">
        <f aca="false">IF(J1876="S0","—",IF(K1876="","",IF(L1876="E0","QM",INDEX(10_ASIL_Matrix!$D$4:$F$15,MATCH(J1876&amp;"-"&amp;L1876,10_ASIL_Matrix!$C$4:$C$15,0),MATCH(N1876,10_ASIL_Matrix!$D$3:$F$3,0)))))</f>
        <v>—</v>
      </c>
      <c r="Q1876" s="5" t="s">
        <v>448</v>
      </c>
    </row>
    <row r="1877" customFormat="false" ht="46.25" hidden="false" customHeight="false" outlineLevel="0" collapsed="false">
      <c r="A1877" s="6" t="s">
        <v>4439</v>
      </c>
      <c r="B1877" s="6" t="s">
        <v>108</v>
      </c>
      <c r="C1877" s="6" t="s">
        <v>109</v>
      </c>
      <c r="D1877" s="6" t="s">
        <v>137</v>
      </c>
      <c r="E1877" s="6" t="s">
        <v>138</v>
      </c>
      <c r="F1877" s="6" t="s">
        <v>213</v>
      </c>
      <c r="G1877" s="6" t="s">
        <v>689</v>
      </c>
      <c r="H1877" s="6" t="s">
        <v>224</v>
      </c>
      <c r="I1877" s="6" t="s">
        <v>4440</v>
      </c>
      <c r="J1877" s="6" t="s">
        <v>238</v>
      </c>
      <c r="K1877" s="6" t="s">
        <v>4290</v>
      </c>
      <c r="L1877" s="6" t="s">
        <v>205</v>
      </c>
      <c r="M1877" s="6" t="s">
        <v>696</v>
      </c>
      <c r="N1877" s="6" t="s">
        <v>278</v>
      </c>
      <c r="O1877" s="6" t="s">
        <v>634</v>
      </c>
      <c r="P1877" s="6" t="str">
        <f aca="false">IF(J1877="S0","—",IF(K1877="","",IF(L1877="E0","QM",INDEX(10_ASIL_Matrix!$D$4:$F$15,MATCH(J1877&amp;"-"&amp;L1877,10_ASIL_Matrix!$C$4:$C$15,0),MATCH(N1877,10_ASIL_Matrix!$D$3:$F$3,0)))))</f>
        <v>—</v>
      </c>
      <c r="Q1877" s="6" t="s">
        <v>448</v>
      </c>
    </row>
    <row r="1878" customFormat="false" ht="46.25" hidden="false" customHeight="false" outlineLevel="0" collapsed="false">
      <c r="A1878" s="5" t="s">
        <v>4441</v>
      </c>
      <c r="B1878" s="5" t="s">
        <v>108</v>
      </c>
      <c r="C1878" s="5" t="s">
        <v>109</v>
      </c>
      <c r="D1878" s="5" t="s">
        <v>137</v>
      </c>
      <c r="E1878" s="5" t="s">
        <v>138</v>
      </c>
      <c r="F1878" s="5" t="s">
        <v>213</v>
      </c>
      <c r="G1878" s="5" t="s">
        <v>689</v>
      </c>
      <c r="H1878" s="5" t="s">
        <v>226</v>
      </c>
      <c r="I1878" s="5" t="s">
        <v>4442</v>
      </c>
      <c r="J1878" s="5" t="s">
        <v>238</v>
      </c>
      <c r="K1878" s="5" t="s">
        <v>4290</v>
      </c>
      <c r="L1878" s="5" t="s">
        <v>205</v>
      </c>
      <c r="M1878" s="5" t="s">
        <v>699</v>
      </c>
      <c r="N1878" s="5" t="s">
        <v>278</v>
      </c>
      <c r="O1878" s="5" t="s">
        <v>634</v>
      </c>
      <c r="P1878" s="5" t="str">
        <f aca="false">IF(J1878="S0","—",IF(K1878="","",IF(L1878="E0","QM",INDEX(10_ASIL_Matrix!$D$4:$F$15,MATCH(J1878&amp;"-"&amp;L1878,10_ASIL_Matrix!$C$4:$C$15,0),MATCH(N1878,10_ASIL_Matrix!$D$3:$F$3,0)))))</f>
        <v>—</v>
      </c>
      <c r="Q1878" s="5" t="s">
        <v>448</v>
      </c>
    </row>
    <row r="1879" customFormat="false" ht="46.25" hidden="false" customHeight="false" outlineLevel="0" collapsed="false">
      <c r="A1879" s="6" t="s">
        <v>4443</v>
      </c>
      <c r="B1879" s="6" t="s">
        <v>108</v>
      </c>
      <c r="C1879" s="6" t="s">
        <v>109</v>
      </c>
      <c r="D1879" s="6" t="s">
        <v>137</v>
      </c>
      <c r="E1879" s="6" t="s">
        <v>138</v>
      </c>
      <c r="F1879" s="6" t="s">
        <v>213</v>
      </c>
      <c r="G1879" s="6" t="s">
        <v>689</v>
      </c>
      <c r="H1879" s="6" t="s">
        <v>228</v>
      </c>
      <c r="I1879" s="6" t="s">
        <v>4444</v>
      </c>
      <c r="J1879" s="6" t="s">
        <v>238</v>
      </c>
      <c r="K1879" s="6" t="s">
        <v>4290</v>
      </c>
      <c r="L1879" s="6" t="s">
        <v>205</v>
      </c>
      <c r="M1879" s="6" t="s">
        <v>702</v>
      </c>
      <c r="N1879" s="6" t="s">
        <v>278</v>
      </c>
      <c r="O1879" s="6" t="s">
        <v>634</v>
      </c>
      <c r="P1879" s="6" t="str">
        <f aca="false">IF(J1879="S0","—",IF(K1879="","",IF(L1879="E0","QM",INDEX(10_ASIL_Matrix!$D$4:$F$15,MATCH(J1879&amp;"-"&amp;L1879,10_ASIL_Matrix!$C$4:$C$15,0),MATCH(N1879,10_ASIL_Matrix!$D$3:$F$3,0)))))</f>
        <v>—</v>
      </c>
      <c r="Q1879" s="6" t="s">
        <v>448</v>
      </c>
    </row>
    <row r="1880" customFormat="false" ht="46.25" hidden="false" customHeight="false" outlineLevel="0" collapsed="false">
      <c r="A1880" s="5" t="s">
        <v>4445</v>
      </c>
      <c r="B1880" s="5" t="s">
        <v>108</v>
      </c>
      <c r="C1880" s="5" t="s">
        <v>109</v>
      </c>
      <c r="D1880" s="5" t="s">
        <v>137</v>
      </c>
      <c r="E1880" s="5" t="s">
        <v>138</v>
      </c>
      <c r="F1880" s="5" t="s">
        <v>213</v>
      </c>
      <c r="G1880" s="5" t="s">
        <v>689</v>
      </c>
      <c r="H1880" s="5" t="s">
        <v>230</v>
      </c>
      <c r="I1880" s="5" t="s">
        <v>4446</v>
      </c>
      <c r="J1880" s="5" t="s">
        <v>238</v>
      </c>
      <c r="K1880" s="5" t="s">
        <v>4290</v>
      </c>
      <c r="L1880" s="5" t="s">
        <v>205</v>
      </c>
      <c r="M1880" s="5" t="s">
        <v>705</v>
      </c>
      <c r="N1880" s="5" t="s">
        <v>278</v>
      </c>
      <c r="O1880" s="5" t="s">
        <v>634</v>
      </c>
      <c r="P1880" s="5" t="str">
        <f aca="false">IF(J1880="S0","—",IF(K1880="","",IF(L1880="E0","QM",INDEX(10_ASIL_Matrix!$D$4:$F$15,MATCH(J1880&amp;"-"&amp;L1880,10_ASIL_Matrix!$C$4:$C$15,0),MATCH(N1880,10_ASIL_Matrix!$D$3:$F$3,0)))))</f>
        <v>—</v>
      </c>
      <c r="Q1880" s="5" t="s">
        <v>448</v>
      </c>
    </row>
    <row r="1881" customFormat="false" ht="46.25" hidden="false" customHeight="false" outlineLevel="0" collapsed="false">
      <c r="A1881" s="6" t="s">
        <v>4447</v>
      </c>
      <c r="B1881" s="6" t="s">
        <v>108</v>
      </c>
      <c r="C1881" s="6" t="s">
        <v>109</v>
      </c>
      <c r="D1881" s="6" t="s">
        <v>137</v>
      </c>
      <c r="E1881" s="6" t="s">
        <v>138</v>
      </c>
      <c r="F1881" s="6" t="s">
        <v>213</v>
      </c>
      <c r="G1881" s="6" t="s">
        <v>689</v>
      </c>
      <c r="H1881" s="6" t="s">
        <v>232</v>
      </c>
      <c r="I1881" s="6" t="s">
        <v>4448</v>
      </c>
      <c r="J1881" s="6" t="s">
        <v>238</v>
      </c>
      <c r="K1881" s="6" t="s">
        <v>4290</v>
      </c>
      <c r="L1881" s="6" t="s">
        <v>233</v>
      </c>
      <c r="M1881" s="6" t="s">
        <v>709</v>
      </c>
      <c r="N1881" s="6" t="s">
        <v>278</v>
      </c>
      <c r="O1881" s="6" t="s">
        <v>634</v>
      </c>
      <c r="P1881" s="6" t="str">
        <f aca="false">IF(J1881="S0","—",IF(K1881="","",IF(L1881="E0","QM",INDEX(10_ASIL_Matrix!$D$4:$F$15,MATCH(J1881&amp;"-"&amp;L1881,10_ASIL_Matrix!$C$4:$C$15,0),MATCH(N1881,10_ASIL_Matrix!$D$3:$F$3,0)))))</f>
        <v>—</v>
      </c>
      <c r="Q1881" s="6" t="s">
        <v>448</v>
      </c>
    </row>
    <row r="1882" customFormat="false" ht="35.05" hidden="false" customHeight="false" outlineLevel="0" collapsed="false">
      <c r="A1882" s="5" t="s">
        <v>4449</v>
      </c>
      <c r="B1882" s="5" t="s">
        <v>108</v>
      </c>
      <c r="C1882" s="5" t="s">
        <v>109</v>
      </c>
      <c r="D1882" s="5" t="s">
        <v>137</v>
      </c>
      <c r="E1882" s="5" t="s">
        <v>138</v>
      </c>
      <c r="F1882" s="5" t="s">
        <v>215</v>
      </c>
      <c r="G1882" s="5" t="s">
        <v>711</v>
      </c>
      <c r="H1882" s="5" t="s">
        <v>222</v>
      </c>
      <c r="I1882" s="5" t="s">
        <v>4450</v>
      </c>
      <c r="J1882" s="5" t="s">
        <v>238</v>
      </c>
      <c r="K1882" s="5" t="s">
        <v>4290</v>
      </c>
      <c r="L1882" s="5" t="s">
        <v>190</v>
      </c>
      <c r="M1882" s="5" t="s">
        <v>714</v>
      </c>
      <c r="N1882" s="5" t="s">
        <v>278</v>
      </c>
      <c r="O1882" s="5" t="s">
        <v>634</v>
      </c>
      <c r="P1882" s="5" t="str">
        <f aca="false">IF(J1882="S0","—",IF(K1882="","",IF(L1882="E0","QM",INDEX(10_ASIL_Matrix!$D$4:$F$15,MATCH(J1882&amp;"-"&amp;L1882,10_ASIL_Matrix!$C$4:$C$15,0),MATCH(N1882,10_ASIL_Matrix!$D$3:$F$3,0)))))</f>
        <v>—</v>
      </c>
      <c r="Q1882" s="5" t="s">
        <v>448</v>
      </c>
    </row>
    <row r="1883" customFormat="false" ht="35.05" hidden="false" customHeight="false" outlineLevel="0" collapsed="false">
      <c r="A1883" s="6" t="s">
        <v>4451</v>
      </c>
      <c r="B1883" s="6" t="s">
        <v>108</v>
      </c>
      <c r="C1883" s="6" t="s">
        <v>109</v>
      </c>
      <c r="D1883" s="6" t="s">
        <v>137</v>
      </c>
      <c r="E1883" s="6" t="s">
        <v>138</v>
      </c>
      <c r="F1883" s="6" t="s">
        <v>215</v>
      </c>
      <c r="G1883" s="6" t="s">
        <v>711</v>
      </c>
      <c r="H1883" s="6" t="s">
        <v>224</v>
      </c>
      <c r="I1883" s="6" t="s">
        <v>4452</v>
      </c>
      <c r="J1883" s="6" t="s">
        <v>238</v>
      </c>
      <c r="K1883" s="6" t="s">
        <v>4290</v>
      </c>
      <c r="L1883" s="6" t="s">
        <v>190</v>
      </c>
      <c r="M1883" s="6" t="s">
        <v>717</v>
      </c>
      <c r="N1883" s="6" t="s">
        <v>278</v>
      </c>
      <c r="O1883" s="6" t="s">
        <v>634</v>
      </c>
      <c r="P1883" s="6" t="str">
        <f aca="false">IF(J1883="S0","—",IF(K1883="","",IF(L1883="E0","QM",INDEX(10_ASIL_Matrix!$D$4:$F$15,MATCH(J1883&amp;"-"&amp;L1883,10_ASIL_Matrix!$C$4:$C$15,0),MATCH(N1883,10_ASIL_Matrix!$D$3:$F$3,0)))))</f>
        <v>—</v>
      </c>
      <c r="Q1883" s="6" t="s">
        <v>448</v>
      </c>
    </row>
    <row r="1884" customFormat="false" ht="35.05" hidden="false" customHeight="false" outlineLevel="0" collapsed="false">
      <c r="A1884" s="5" t="s">
        <v>4453</v>
      </c>
      <c r="B1884" s="5" t="s">
        <v>108</v>
      </c>
      <c r="C1884" s="5" t="s">
        <v>109</v>
      </c>
      <c r="D1884" s="5" t="s">
        <v>137</v>
      </c>
      <c r="E1884" s="5" t="s">
        <v>138</v>
      </c>
      <c r="F1884" s="5" t="s">
        <v>215</v>
      </c>
      <c r="G1884" s="5" t="s">
        <v>711</v>
      </c>
      <c r="H1884" s="5" t="s">
        <v>226</v>
      </c>
      <c r="I1884" s="5" t="s">
        <v>4454</v>
      </c>
      <c r="J1884" s="5" t="s">
        <v>238</v>
      </c>
      <c r="K1884" s="5" t="s">
        <v>4290</v>
      </c>
      <c r="L1884" s="5" t="s">
        <v>190</v>
      </c>
      <c r="M1884" s="5" t="s">
        <v>720</v>
      </c>
      <c r="N1884" s="5" t="s">
        <v>278</v>
      </c>
      <c r="O1884" s="5" t="s">
        <v>634</v>
      </c>
      <c r="P1884" s="5" t="str">
        <f aca="false">IF(J1884="S0","—",IF(K1884="","",IF(L1884="E0","QM",INDEX(10_ASIL_Matrix!$D$4:$F$15,MATCH(J1884&amp;"-"&amp;L1884,10_ASIL_Matrix!$C$4:$C$15,0),MATCH(N1884,10_ASIL_Matrix!$D$3:$F$3,0)))))</f>
        <v>—</v>
      </c>
      <c r="Q1884" s="5" t="s">
        <v>448</v>
      </c>
    </row>
    <row r="1885" customFormat="false" ht="35.05" hidden="false" customHeight="false" outlineLevel="0" collapsed="false">
      <c r="A1885" s="6" t="s">
        <v>4455</v>
      </c>
      <c r="B1885" s="6" t="s">
        <v>108</v>
      </c>
      <c r="C1885" s="6" t="s">
        <v>109</v>
      </c>
      <c r="D1885" s="6" t="s">
        <v>137</v>
      </c>
      <c r="E1885" s="6" t="s">
        <v>138</v>
      </c>
      <c r="F1885" s="6" t="s">
        <v>215</v>
      </c>
      <c r="G1885" s="6" t="s">
        <v>711</v>
      </c>
      <c r="H1885" s="6" t="s">
        <v>228</v>
      </c>
      <c r="I1885" s="6" t="s">
        <v>4456</v>
      </c>
      <c r="J1885" s="6" t="s">
        <v>238</v>
      </c>
      <c r="K1885" s="6" t="s">
        <v>4290</v>
      </c>
      <c r="L1885" s="6" t="s">
        <v>205</v>
      </c>
      <c r="M1885" s="6" t="s">
        <v>723</v>
      </c>
      <c r="N1885" s="6" t="s">
        <v>278</v>
      </c>
      <c r="O1885" s="6" t="s">
        <v>634</v>
      </c>
      <c r="P1885" s="6" t="str">
        <f aca="false">IF(J1885="S0","—",IF(K1885="","",IF(L1885="E0","QM",INDEX(10_ASIL_Matrix!$D$4:$F$15,MATCH(J1885&amp;"-"&amp;L1885,10_ASIL_Matrix!$C$4:$C$15,0),MATCH(N1885,10_ASIL_Matrix!$D$3:$F$3,0)))))</f>
        <v>—</v>
      </c>
      <c r="Q1885" s="6" t="s">
        <v>448</v>
      </c>
    </row>
    <row r="1886" customFormat="false" ht="35.05" hidden="false" customHeight="false" outlineLevel="0" collapsed="false">
      <c r="A1886" s="5" t="s">
        <v>4457</v>
      </c>
      <c r="B1886" s="5" t="s">
        <v>108</v>
      </c>
      <c r="C1886" s="5" t="s">
        <v>109</v>
      </c>
      <c r="D1886" s="5" t="s">
        <v>137</v>
      </c>
      <c r="E1886" s="5" t="s">
        <v>138</v>
      </c>
      <c r="F1886" s="5" t="s">
        <v>215</v>
      </c>
      <c r="G1886" s="5" t="s">
        <v>711</v>
      </c>
      <c r="H1886" s="5" t="s">
        <v>230</v>
      </c>
      <c r="I1886" s="5" t="s">
        <v>4458</v>
      </c>
      <c r="J1886" s="5" t="s">
        <v>238</v>
      </c>
      <c r="K1886" s="5" t="s">
        <v>4290</v>
      </c>
      <c r="L1886" s="5" t="s">
        <v>205</v>
      </c>
      <c r="M1886" s="5" t="s">
        <v>726</v>
      </c>
      <c r="N1886" s="5" t="s">
        <v>278</v>
      </c>
      <c r="O1886" s="5" t="s">
        <v>634</v>
      </c>
      <c r="P1886" s="5" t="str">
        <f aca="false">IF(J1886="S0","—",IF(K1886="","",IF(L1886="E0","QM",INDEX(10_ASIL_Matrix!$D$4:$F$15,MATCH(J1886&amp;"-"&amp;L1886,10_ASIL_Matrix!$C$4:$C$15,0),MATCH(N1886,10_ASIL_Matrix!$D$3:$F$3,0)))))</f>
        <v>—</v>
      </c>
      <c r="Q1886" s="5" t="s">
        <v>448</v>
      </c>
    </row>
    <row r="1887" customFormat="false" ht="46.25" hidden="false" customHeight="false" outlineLevel="0" collapsed="false">
      <c r="A1887" s="6" t="s">
        <v>4459</v>
      </c>
      <c r="B1887" s="6" t="s">
        <v>108</v>
      </c>
      <c r="C1887" s="6" t="s">
        <v>109</v>
      </c>
      <c r="D1887" s="6" t="s">
        <v>137</v>
      </c>
      <c r="E1887" s="6" t="s">
        <v>138</v>
      </c>
      <c r="F1887" s="6" t="s">
        <v>215</v>
      </c>
      <c r="G1887" s="6" t="s">
        <v>711</v>
      </c>
      <c r="H1887" s="6" t="s">
        <v>232</v>
      </c>
      <c r="I1887" s="6" t="s">
        <v>4460</v>
      </c>
      <c r="J1887" s="6" t="s">
        <v>238</v>
      </c>
      <c r="K1887" s="6" t="s">
        <v>4290</v>
      </c>
      <c r="L1887" s="6" t="s">
        <v>233</v>
      </c>
      <c r="M1887" s="6" t="s">
        <v>729</v>
      </c>
      <c r="N1887" s="6" t="s">
        <v>278</v>
      </c>
      <c r="O1887" s="6" t="s">
        <v>634</v>
      </c>
      <c r="P1887" s="6" t="str">
        <f aca="false">IF(J1887="S0","—",IF(K1887="","",IF(L1887="E0","QM",INDEX(10_ASIL_Matrix!$D$4:$F$15,MATCH(J1887&amp;"-"&amp;L1887,10_ASIL_Matrix!$C$4:$C$15,0),MATCH(N1887,10_ASIL_Matrix!$D$3:$F$3,0)))))</f>
        <v>—</v>
      </c>
      <c r="Q1887" s="6" t="s">
        <v>448</v>
      </c>
    </row>
    <row r="1888" customFormat="false" ht="35.05" hidden="false" customHeight="false" outlineLevel="0" collapsed="false">
      <c r="A1888" s="5" t="s">
        <v>4461</v>
      </c>
      <c r="B1888" s="5" t="s">
        <v>108</v>
      </c>
      <c r="C1888" s="5" t="s">
        <v>109</v>
      </c>
      <c r="D1888" s="5" t="s">
        <v>137</v>
      </c>
      <c r="E1888" s="5" t="s">
        <v>138</v>
      </c>
      <c r="F1888" s="5" t="s">
        <v>217</v>
      </c>
      <c r="G1888" s="5" t="s">
        <v>488</v>
      </c>
      <c r="H1888" s="5" t="s">
        <v>222</v>
      </c>
      <c r="I1888" s="5" t="s">
        <v>4462</v>
      </c>
      <c r="J1888" s="5" t="s">
        <v>238</v>
      </c>
      <c r="K1888" s="5" t="s">
        <v>4290</v>
      </c>
      <c r="L1888" s="5" t="s">
        <v>190</v>
      </c>
      <c r="M1888" s="5" t="s">
        <v>733</v>
      </c>
      <c r="N1888" s="5" t="s">
        <v>278</v>
      </c>
      <c r="O1888" s="5" t="s">
        <v>634</v>
      </c>
      <c r="P1888" s="5" t="str">
        <f aca="false">IF(J1888="S0","—",IF(K1888="","",IF(L1888="E0","QM",INDEX(10_ASIL_Matrix!$D$4:$F$15,MATCH(J1888&amp;"-"&amp;L1888,10_ASIL_Matrix!$C$4:$C$15,0),MATCH(N1888,10_ASIL_Matrix!$D$3:$F$3,0)))))</f>
        <v>—</v>
      </c>
      <c r="Q1888" s="5" t="s">
        <v>448</v>
      </c>
    </row>
    <row r="1889" customFormat="false" ht="35.05" hidden="false" customHeight="false" outlineLevel="0" collapsed="false">
      <c r="A1889" s="6" t="s">
        <v>4463</v>
      </c>
      <c r="B1889" s="6" t="s">
        <v>108</v>
      </c>
      <c r="C1889" s="6" t="s">
        <v>109</v>
      </c>
      <c r="D1889" s="6" t="s">
        <v>137</v>
      </c>
      <c r="E1889" s="6" t="s">
        <v>138</v>
      </c>
      <c r="F1889" s="6" t="s">
        <v>217</v>
      </c>
      <c r="G1889" s="6" t="s">
        <v>488</v>
      </c>
      <c r="H1889" s="6" t="s">
        <v>224</v>
      </c>
      <c r="I1889" s="6" t="s">
        <v>4464</v>
      </c>
      <c r="J1889" s="6" t="s">
        <v>238</v>
      </c>
      <c r="K1889" s="6" t="s">
        <v>4290</v>
      </c>
      <c r="L1889" s="6" t="s">
        <v>190</v>
      </c>
      <c r="M1889" s="6" t="s">
        <v>736</v>
      </c>
      <c r="N1889" s="6" t="s">
        <v>278</v>
      </c>
      <c r="O1889" s="6" t="s">
        <v>634</v>
      </c>
      <c r="P1889" s="6" t="str">
        <f aca="false">IF(J1889="S0","—",IF(K1889="","",IF(L1889="E0","QM",INDEX(10_ASIL_Matrix!$D$4:$F$15,MATCH(J1889&amp;"-"&amp;L1889,10_ASIL_Matrix!$C$4:$C$15,0),MATCH(N1889,10_ASIL_Matrix!$D$3:$F$3,0)))))</f>
        <v>—</v>
      </c>
      <c r="Q1889" s="6" t="s">
        <v>448</v>
      </c>
    </row>
    <row r="1890" customFormat="false" ht="35.05" hidden="false" customHeight="false" outlineLevel="0" collapsed="false">
      <c r="A1890" s="5" t="s">
        <v>4465</v>
      </c>
      <c r="B1890" s="5" t="s">
        <v>108</v>
      </c>
      <c r="C1890" s="5" t="s">
        <v>109</v>
      </c>
      <c r="D1890" s="5" t="s">
        <v>137</v>
      </c>
      <c r="E1890" s="5" t="s">
        <v>138</v>
      </c>
      <c r="F1890" s="5" t="s">
        <v>217</v>
      </c>
      <c r="G1890" s="5" t="s">
        <v>488</v>
      </c>
      <c r="H1890" s="5" t="s">
        <v>226</v>
      </c>
      <c r="I1890" s="5" t="s">
        <v>4466</v>
      </c>
      <c r="J1890" s="5" t="s">
        <v>238</v>
      </c>
      <c r="K1890" s="5" t="s">
        <v>4290</v>
      </c>
      <c r="L1890" s="5" t="s">
        <v>190</v>
      </c>
      <c r="M1890" s="5" t="s">
        <v>739</v>
      </c>
      <c r="N1890" s="5" t="s">
        <v>278</v>
      </c>
      <c r="O1890" s="5" t="s">
        <v>634</v>
      </c>
      <c r="P1890" s="5" t="str">
        <f aca="false">IF(J1890="S0","—",IF(K1890="","",IF(L1890="E0","QM",INDEX(10_ASIL_Matrix!$D$4:$F$15,MATCH(J1890&amp;"-"&amp;L1890,10_ASIL_Matrix!$C$4:$C$15,0),MATCH(N1890,10_ASIL_Matrix!$D$3:$F$3,0)))))</f>
        <v>—</v>
      </c>
      <c r="Q1890" s="5" t="s">
        <v>448</v>
      </c>
    </row>
    <row r="1891" customFormat="false" ht="35.05" hidden="false" customHeight="false" outlineLevel="0" collapsed="false">
      <c r="A1891" s="6" t="s">
        <v>4467</v>
      </c>
      <c r="B1891" s="6" t="s">
        <v>108</v>
      </c>
      <c r="C1891" s="6" t="s">
        <v>109</v>
      </c>
      <c r="D1891" s="6" t="s">
        <v>137</v>
      </c>
      <c r="E1891" s="6" t="s">
        <v>138</v>
      </c>
      <c r="F1891" s="6" t="s">
        <v>217</v>
      </c>
      <c r="G1891" s="6" t="s">
        <v>488</v>
      </c>
      <c r="H1891" s="6" t="s">
        <v>228</v>
      </c>
      <c r="I1891" s="6" t="s">
        <v>4468</v>
      </c>
      <c r="J1891" s="6" t="s">
        <v>238</v>
      </c>
      <c r="K1891" s="6" t="s">
        <v>4290</v>
      </c>
      <c r="L1891" s="6" t="s">
        <v>205</v>
      </c>
      <c r="M1891" s="6" t="s">
        <v>742</v>
      </c>
      <c r="N1891" s="6" t="s">
        <v>278</v>
      </c>
      <c r="O1891" s="6" t="s">
        <v>634</v>
      </c>
      <c r="P1891" s="6" t="str">
        <f aca="false">IF(J1891="S0","—",IF(K1891="","",IF(L1891="E0","QM",INDEX(10_ASIL_Matrix!$D$4:$F$15,MATCH(J1891&amp;"-"&amp;L1891,10_ASIL_Matrix!$C$4:$C$15,0),MATCH(N1891,10_ASIL_Matrix!$D$3:$F$3,0)))))</f>
        <v>—</v>
      </c>
      <c r="Q1891" s="6" t="s">
        <v>448</v>
      </c>
    </row>
    <row r="1892" customFormat="false" ht="35.05" hidden="false" customHeight="false" outlineLevel="0" collapsed="false">
      <c r="A1892" s="5" t="s">
        <v>4469</v>
      </c>
      <c r="B1892" s="5" t="s">
        <v>108</v>
      </c>
      <c r="C1892" s="5" t="s">
        <v>109</v>
      </c>
      <c r="D1892" s="5" t="s">
        <v>137</v>
      </c>
      <c r="E1892" s="5" t="s">
        <v>138</v>
      </c>
      <c r="F1892" s="5" t="s">
        <v>217</v>
      </c>
      <c r="G1892" s="5" t="s">
        <v>488</v>
      </c>
      <c r="H1892" s="5" t="s">
        <v>230</v>
      </c>
      <c r="I1892" s="5" t="s">
        <v>4470</v>
      </c>
      <c r="J1892" s="5" t="s">
        <v>238</v>
      </c>
      <c r="K1892" s="5" t="s">
        <v>4290</v>
      </c>
      <c r="L1892" s="5" t="s">
        <v>205</v>
      </c>
      <c r="M1892" s="5" t="s">
        <v>745</v>
      </c>
      <c r="N1892" s="5" t="s">
        <v>278</v>
      </c>
      <c r="O1892" s="5" t="s">
        <v>634</v>
      </c>
      <c r="P1892" s="5" t="str">
        <f aca="false">IF(J1892="S0","—",IF(K1892="","",IF(L1892="E0","QM",INDEX(10_ASIL_Matrix!$D$4:$F$15,MATCH(J1892&amp;"-"&amp;L1892,10_ASIL_Matrix!$C$4:$C$15,0),MATCH(N1892,10_ASIL_Matrix!$D$3:$F$3,0)))))</f>
        <v>—</v>
      </c>
      <c r="Q1892" s="5" t="s">
        <v>448</v>
      </c>
    </row>
    <row r="1893" customFormat="false" ht="46.25" hidden="false" customHeight="false" outlineLevel="0" collapsed="false">
      <c r="A1893" s="6" t="s">
        <v>4471</v>
      </c>
      <c r="B1893" s="6" t="s">
        <v>108</v>
      </c>
      <c r="C1893" s="6" t="s">
        <v>109</v>
      </c>
      <c r="D1893" s="6" t="s">
        <v>137</v>
      </c>
      <c r="E1893" s="6" t="s">
        <v>138</v>
      </c>
      <c r="F1893" s="6" t="s">
        <v>217</v>
      </c>
      <c r="G1893" s="6" t="s">
        <v>488</v>
      </c>
      <c r="H1893" s="6" t="s">
        <v>232</v>
      </c>
      <c r="I1893" s="6" t="s">
        <v>4472</v>
      </c>
      <c r="J1893" s="6" t="s">
        <v>238</v>
      </c>
      <c r="K1893" s="6" t="s">
        <v>4290</v>
      </c>
      <c r="L1893" s="6" t="s">
        <v>233</v>
      </c>
      <c r="M1893" s="6" t="s">
        <v>748</v>
      </c>
      <c r="N1893" s="6" t="s">
        <v>278</v>
      </c>
      <c r="O1893" s="6" t="s">
        <v>634</v>
      </c>
      <c r="P1893" s="6" t="str">
        <f aca="false">IF(J1893="S0","—",IF(K1893="","",IF(L1893="E0","QM",INDEX(10_ASIL_Matrix!$D$4:$F$15,MATCH(J1893&amp;"-"&amp;L1893,10_ASIL_Matrix!$C$4:$C$15,0),MATCH(N1893,10_ASIL_Matrix!$D$3:$F$3,0)))))</f>
        <v>—</v>
      </c>
      <c r="Q1893" s="6" t="s">
        <v>448</v>
      </c>
    </row>
    <row r="1894" customFormat="false" ht="35.05" hidden="false" customHeight="false" outlineLevel="0" collapsed="false">
      <c r="A1894" s="5" t="s">
        <v>4473</v>
      </c>
      <c r="B1894" s="5" t="s">
        <v>108</v>
      </c>
      <c r="C1894" s="5" t="s">
        <v>109</v>
      </c>
      <c r="D1894" s="5" t="s">
        <v>140</v>
      </c>
      <c r="E1894" s="5" t="s">
        <v>141</v>
      </c>
      <c r="F1894" s="5" t="s">
        <v>186</v>
      </c>
      <c r="G1894" s="5" t="s">
        <v>443</v>
      </c>
      <c r="H1894" s="5" t="s">
        <v>222</v>
      </c>
      <c r="I1894" s="5" t="s">
        <v>4474</v>
      </c>
      <c r="J1894" s="5" t="s">
        <v>250</v>
      </c>
      <c r="K1894" s="5" t="s">
        <v>445</v>
      </c>
      <c r="L1894" s="5" t="s">
        <v>187</v>
      </c>
      <c r="M1894" s="5" t="s">
        <v>446</v>
      </c>
      <c r="N1894" s="5" t="s">
        <v>282</v>
      </c>
      <c r="O1894" s="5" t="s">
        <v>447</v>
      </c>
      <c r="P1894" s="18" t="str">
        <f aca="false">IF(J1894="S0","—",IF(K1894="","",IF(L1894="E0","QM",INDEX(10_ASIL_Matrix!$D$4:$F$15,MATCH(J1894&amp;"-"&amp;L1894,10_ASIL_Matrix!$C$4:$C$15,0),MATCH(N1894,10_ASIL_Matrix!$D$3:$F$3,0)))))</f>
        <v>B</v>
      </c>
      <c r="Q1894" s="5" t="s">
        <v>448</v>
      </c>
    </row>
    <row r="1895" customFormat="false" ht="35.05" hidden="false" customHeight="false" outlineLevel="0" collapsed="false">
      <c r="A1895" s="6" t="s">
        <v>4475</v>
      </c>
      <c r="B1895" s="6" t="s">
        <v>108</v>
      </c>
      <c r="C1895" s="6" t="s">
        <v>109</v>
      </c>
      <c r="D1895" s="6" t="s">
        <v>140</v>
      </c>
      <c r="E1895" s="6" t="s">
        <v>141</v>
      </c>
      <c r="F1895" s="6" t="s">
        <v>186</v>
      </c>
      <c r="G1895" s="6" t="s">
        <v>443</v>
      </c>
      <c r="H1895" s="6" t="s">
        <v>224</v>
      </c>
      <c r="I1895" s="6" t="s">
        <v>4476</v>
      </c>
      <c r="J1895" s="6" t="s">
        <v>250</v>
      </c>
      <c r="K1895" s="6" t="s">
        <v>445</v>
      </c>
      <c r="L1895" s="6" t="s">
        <v>190</v>
      </c>
      <c r="M1895" s="6" t="s">
        <v>451</v>
      </c>
      <c r="N1895" s="6" t="s">
        <v>282</v>
      </c>
      <c r="O1895" s="6" t="s">
        <v>447</v>
      </c>
      <c r="P1895" s="19" t="str">
        <f aca="false">IF(J1895="S0","—",IF(K1895="","",IF(L1895="E0","QM",INDEX(10_ASIL_Matrix!$D$4:$F$15,MATCH(J1895&amp;"-"&amp;L1895,10_ASIL_Matrix!$C$4:$C$15,0),MATCH(N1895,10_ASIL_Matrix!$D$3:$F$3,0)))))</f>
        <v>A</v>
      </c>
      <c r="Q1895" s="6" t="s">
        <v>448</v>
      </c>
    </row>
    <row r="1896" customFormat="false" ht="35.05" hidden="false" customHeight="false" outlineLevel="0" collapsed="false">
      <c r="A1896" s="5" t="s">
        <v>4477</v>
      </c>
      <c r="B1896" s="5" t="s">
        <v>108</v>
      </c>
      <c r="C1896" s="5" t="s">
        <v>109</v>
      </c>
      <c r="D1896" s="5" t="s">
        <v>140</v>
      </c>
      <c r="E1896" s="5" t="s">
        <v>141</v>
      </c>
      <c r="F1896" s="5" t="s">
        <v>186</v>
      </c>
      <c r="G1896" s="5" t="s">
        <v>443</v>
      </c>
      <c r="H1896" s="5" t="s">
        <v>226</v>
      </c>
      <c r="I1896" s="5" t="s">
        <v>4478</v>
      </c>
      <c r="J1896" s="5" t="s">
        <v>250</v>
      </c>
      <c r="K1896" s="5" t="s">
        <v>445</v>
      </c>
      <c r="L1896" s="5" t="s">
        <v>190</v>
      </c>
      <c r="M1896" s="5" t="s">
        <v>454</v>
      </c>
      <c r="N1896" s="5" t="s">
        <v>282</v>
      </c>
      <c r="O1896" s="5" t="s">
        <v>447</v>
      </c>
      <c r="P1896" s="19" t="str">
        <f aca="false">IF(J1896="S0","—",IF(K1896="","",IF(L1896="E0","QM",INDEX(10_ASIL_Matrix!$D$4:$F$15,MATCH(J1896&amp;"-"&amp;L1896,10_ASIL_Matrix!$C$4:$C$15,0),MATCH(N1896,10_ASIL_Matrix!$D$3:$F$3,0)))))</f>
        <v>A</v>
      </c>
      <c r="Q1896" s="5" t="s">
        <v>448</v>
      </c>
    </row>
    <row r="1897" customFormat="false" ht="35.05" hidden="false" customHeight="false" outlineLevel="0" collapsed="false">
      <c r="A1897" s="6" t="s">
        <v>4479</v>
      </c>
      <c r="B1897" s="6" t="s">
        <v>108</v>
      </c>
      <c r="C1897" s="6" t="s">
        <v>109</v>
      </c>
      <c r="D1897" s="6" t="s">
        <v>140</v>
      </c>
      <c r="E1897" s="6" t="s">
        <v>141</v>
      </c>
      <c r="F1897" s="6" t="s">
        <v>186</v>
      </c>
      <c r="G1897" s="6" t="s">
        <v>443</v>
      </c>
      <c r="H1897" s="6" t="s">
        <v>228</v>
      </c>
      <c r="I1897" s="6" t="s">
        <v>4480</v>
      </c>
      <c r="J1897" s="6" t="s">
        <v>250</v>
      </c>
      <c r="K1897" s="6" t="s">
        <v>445</v>
      </c>
      <c r="L1897" s="6" t="s">
        <v>205</v>
      </c>
      <c r="M1897" s="6" t="s">
        <v>457</v>
      </c>
      <c r="N1897" s="6" t="s">
        <v>282</v>
      </c>
      <c r="O1897" s="6" t="s">
        <v>447</v>
      </c>
      <c r="P1897" s="6" t="str">
        <f aca="false">IF(J1897="S0","—",IF(K1897="","",IF(L1897="E0","QM",INDEX(10_ASIL_Matrix!$D$4:$F$15,MATCH(J1897&amp;"-"&amp;L1897,10_ASIL_Matrix!$C$4:$C$15,0),MATCH(N1897,10_ASIL_Matrix!$D$3:$F$3,0)))))</f>
        <v>QM</v>
      </c>
      <c r="Q1897" s="6" t="s">
        <v>448</v>
      </c>
    </row>
    <row r="1898" customFormat="false" ht="35.05" hidden="false" customHeight="false" outlineLevel="0" collapsed="false">
      <c r="A1898" s="5" t="s">
        <v>4481</v>
      </c>
      <c r="B1898" s="5" t="s">
        <v>108</v>
      </c>
      <c r="C1898" s="5" t="s">
        <v>109</v>
      </c>
      <c r="D1898" s="5" t="s">
        <v>140</v>
      </c>
      <c r="E1898" s="5" t="s">
        <v>141</v>
      </c>
      <c r="F1898" s="5" t="s">
        <v>186</v>
      </c>
      <c r="G1898" s="5" t="s">
        <v>443</v>
      </c>
      <c r="H1898" s="5" t="s">
        <v>230</v>
      </c>
      <c r="I1898" s="5" t="s">
        <v>4482</v>
      </c>
      <c r="J1898" s="5" t="s">
        <v>250</v>
      </c>
      <c r="K1898" s="5" t="s">
        <v>445</v>
      </c>
      <c r="L1898" s="5" t="s">
        <v>205</v>
      </c>
      <c r="M1898" s="5" t="s">
        <v>460</v>
      </c>
      <c r="N1898" s="5" t="s">
        <v>286</v>
      </c>
      <c r="O1898" s="5" t="s">
        <v>461</v>
      </c>
      <c r="P1898" s="19" t="str">
        <f aca="false">IF(J1898="S0","—",IF(K1898="","",IF(L1898="E0","QM",INDEX(10_ASIL_Matrix!$D$4:$F$15,MATCH(J1898&amp;"-"&amp;L1898,10_ASIL_Matrix!$C$4:$C$15,0),MATCH(N1898,10_ASIL_Matrix!$D$3:$F$3,0)))))</f>
        <v>A</v>
      </c>
      <c r="Q1898" s="5" t="s">
        <v>448</v>
      </c>
    </row>
    <row r="1899" customFormat="false" ht="46.25" hidden="false" customHeight="false" outlineLevel="0" collapsed="false">
      <c r="A1899" s="6" t="s">
        <v>4483</v>
      </c>
      <c r="B1899" s="6" t="s">
        <v>108</v>
      </c>
      <c r="C1899" s="6" t="s">
        <v>109</v>
      </c>
      <c r="D1899" s="6" t="s">
        <v>140</v>
      </c>
      <c r="E1899" s="6" t="s">
        <v>141</v>
      </c>
      <c r="F1899" s="6" t="s">
        <v>186</v>
      </c>
      <c r="G1899" s="6" t="s">
        <v>443</v>
      </c>
      <c r="H1899" s="6" t="s">
        <v>232</v>
      </c>
      <c r="I1899" s="6" t="s">
        <v>4484</v>
      </c>
      <c r="J1899" s="6" t="s">
        <v>250</v>
      </c>
      <c r="K1899" s="6" t="s">
        <v>445</v>
      </c>
      <c r="L1899" s="6" t="s">
        <v>233</v>
      </c>
      <c r="M1899" s="6" t="s">
        <v>464</v>
      </c>
      <c r="N1899" s="6" t="s">
        <v>282</v>
      </c>
      <c r="O1899" s="6" t="s">
        <v>447</v>
      </c>
      <c r="P1899" s="6" t="str">
        <f aca="false">IF(J1899="S0","—",IF(K1899="","",IF(L1899="E0","QM",INDEX(10_ASIL_Matrix!$D$4:$F$15,MATCH(J1899&amp;"-"&amp;L1899,10_ASIL_Matrix!$C$4:$C$15,0),MATCH(N1899,10_ASIL_Matrix!$D$3:$F$3,0)))))</f>
        <v>QM</v>
      </c>
      <c r="Q1899" s="6" t="s">
        <v>448</v>
      </c>
    </row>
    <row r="1900" customFormat="false" ht="35.05" hidden="false" customHeight="false" outlineLevel="0" collapsed="false">
      <c r="A1900" s="5" t="s">
        <v>4485</v>
      </c>
      <c r="B1900" s="5" t="s">
        <v>108</v>
      </c>
      <c r="C1900" s="5" t="s">
        <v>109</v>
      </c>
      <c r="D1900" s="5" t="s">
        <v>140</v>
      </c>
      <c r="E1900" s="5" t="s">
        <v>141</v>
      </c>
      <c r="F1900" s="5" t="s">
        <v>189</v>
      </c>
      <c r="G1900" s="5" t="s">
        <v>466</v>
      </c>
      <c r="H1900" s="5" t="s">
        <v>222</v>
      </c>
      <c r="I1900" s="5" t="s">
        <v>4486</v>
      </c>
      <c r="J1900" s="5" t="s">
        <v>250</v>
      </c>
      <c r="K1900" s="5" t="s">
        <v>468</v>
      </c>
      <c r="L1900" s="5" t="s">
        <v>190</v>
      </c>
      <c r="M1900" s="5" t="s">
        <v>469</v>
      </c>
      <c r="N1900" s="5" t="s">
        <v>286</v>
      </c>
      <c r="O1900" s="5" t="s">
        <v>470</v>
      </c>
      <c r="P1900" s="18" t="str">
        <f aca="false">IF(J1900="S0","—",IF(K1900="","",IF(L1900="E0","QM",INDEX(10_ASIL_Matrix!$D$4:$F$15,MATCH(J1900&amp;"-"&amp;L1900,10_ASIL_Matrix!$C$4:$C$15,0),MATCH(N1900,10_ASIL_Matrix!$D$3:$F$3,0)))))</f>
        <v>B</v>
      </c>
      <c r="Q1900" s="5" t="s">
        <v>448</v>
      </c>
    </row>
    <row r="1901" customFormat="false" ht="35.05" hidden="false" customHeight="false" outlineLevel="0" collapsed="false">
      <c r="A1901" s="6" t="s">
        <v>4487</v>
      </c>
      <c r="B1901" s="6" t="s">
        <v>108</v>
      </c>
      <c r="C1901" s="6" t="s">
        <v>109</v>
      </c>
      <c r="D1901" s="6" t="s">
        <v>140</v>
      </c>
      <c r="E1901" s="6" t="s">
        <v>141</v>
      </c>
      <c r="F1901" s="6" t="s">
        <v>189</v>
      </c>
      <c r="G1901" s="6" t="s">
        <v>466</v>
      </c>
      <c r="H1901" s="6" t="s">
        <v>224</v>
      </c>
      <c r="I1901" s="6" t="s">
        <v>4488</v>
      </c>
      <c r="J1901" s="6" t="s">
        <v>250</v>
      </c>
      <c r="K1901" s="6" t="s">
        <v>468</v>
      </c>
      <c r="L1901" s="6" t="s">
        <v>190</v>
      </c>
      <c r="M1901" s="6" t="s">
        <v>473</v>
      </c>
      <c r="N1901" s="6" t="s">
        <v>286</v>
      </c>
      <c r="O1901" s="6" t="s">
        <v>470</v>
      </c>
      <c r="P1901" s="18" t="str">
        <f aca="false">IF(J1901="S0","—",IF(K1901="","",IF(L1901="E0","QM",INDEX(10_ASIL_Matrix!$D$4:$F$15,MATCH(J1901&amp;"-"&amp;L1901,10_ASIL_Matrix!$C$4:$C$15,0),MATCH(N1901,10_ASIL_Matrix!$D$3:$F$3,0)))))</f>
        <v>B</v>
      </c>
      <c r="Q1901" s="6" t="s">
        <v>448</v>
      </c>
    </row>
    <row r="1902" customFormat="false" ht="35.05" hidden="false" customHeight="false" outlineLevel="0" collapsed="false">
      <c r="A1902" s="5" t="s">
        <v>4489</v>
      </c>
      <c r="B1902" s="5" t="s">
        <v>108</v>
      </c>
      <c r="C1902" s="5" t="s">
        <v>109</v>
      </c>
      <c r="D1902" s="5" t="s">
        <v>140</v>
      </c>
      <c r="E1902" s="5" t="s">
        <v>141</v>
      </c>
      <c r="F1902" s="5" t="s">
        <v>189</v>
      </c>
      <c r="G1902" s="5" t="s">
        <v>466</v>
      </c>
      <c r="H1902" s="5" t="s">
        <v>226</v>
      </c>
      <c r="I1902" s="5" t="s">
        <v>4490</v>
      </c>
      <c r="J1902" s="5" t="s">
        <v>250</v>
      </c>
      <c r="K1902" s="5" t="s">
        <v>468</v>
      </c>
      <c r="L1902" s="5" t="s">
        <v>190</v>
      </c>
      <c r="M1902" s="5" t="s">
        <v>476</v>
      </c>
      <c r="N1902" s="5" t="s">
        <v>286</v>
      </c>
      <c r="O1902" s="5" t="s">
        <v>470</v>
      </c>
      <c r="P1902" s="18" t="str">
        <f aca="false">IF(J1902="S0","—",IF(K1902="","",IF(L1902="E0","QM",INDEX(10_ASIL_Matrix!$D$4:$F$15,MATCH(J1902&amp;"-"&amp;L1902,10_ASIL_Matrix!$C$4:$C$15,0),MATCH(N1902,10_ASIL_Matrix!$D$3:$F$3,0)))))</f>
        <v>B</v>
      </c>
      <c r="Q1902" s="5" t="s">
        <v>448</v>
      </c>
    </row>
    <row r="1903" customFormat="false" ht="35.05" hidden="false" customHeight="false" outlineLevel="0" collapsed="false">
      <c r="A1903" s="6" t="s">
        <v>4491</v>
      </c>
      <c r="B1903" s="6" t="s">
        <v>108</v>
      </c>
      <c r="C1903" s="6" t="s">
        <v>109</v>
      </c>
      <c r="D1903" s="6" t="s">
        <v>140</v>
      </c>
      <c r="E1903" s="6" t="s">
        <v>141</v>
      </c>
      <c r="F1903" s="6" t="s">
        <v>189</v>
      </c>
      <c r="G1903" s="6" t="s">
        <v>466</v>
      </c>
      <c r="H1903" s="6" t="s">
        <v>228</v>
      </c>
      <c r="I1903" s="6" t="s">
        <v>4492</v>
      </c>
      <c r="J1903" s="6" t="s">
        <v>250</v>
      </c>
      <c r="K1903" s="6" t="s">
        <v>468</v>
      </c>
      <c r="L1903" s="6" t="s">
        <v>205</v>
      </c>
      <c r="M1903" s="6" t="s">
        <v>479</v>
      </c>
      <c r="N1903" s="6" t="s">
        <v>286</v>
      </c>
      <c r="O1903" s="6" t="s">
        <v>470</v>
      </c>
      <c r="P1903" s="19" t="str">
        <f aca="false">IF(J1903="S0","—",IF(K1903="","",IF(L1903="E0","QM",INDEX(10_ASIL_Matrix!$D$4:$F$15,MATCH(J1903&amp;"-"&amp;L1903,10_ASIL_Matrix!$C$4:$C$15,0),MATCH(N1903,10_ASIL_Matrix!$D$3:$F$3,0)))))</f>
        <v>A</v>
      </c>
      <c r="Q1903" s="6" t="s">
        <v>448</v>
      </c>
    </row>
    <row r="1904" customFormat="false" ht="46.25" hidden="false" customHeight="false" outlineLevel="0" collapsed="false">
      <c r="A1904" s="5" t="s">
        <v>4493</v>
      </c>
      <c r="B1904" s="5" t="s">
        <v>108</v>
      </c>
      <c r="C1904" s="5" t="s">
        <v>109</v>
      </c>
      <c r="D1904" s="5" t="s">
        <v>140</v>
      </c>
      <c r="E1904" s="5" t="s">
        <v>141</v>
      </c>
      <c r="F1904" s="5" t="s">
        <v>189</v>
      </c>
      <c r="G1904" s="5" t="s">
        <v>466</v>
      </c>
      <c r="H1904" s="5" t="s">
        <v>230</v>
      </c>
      <c r="I1904" s="5" t="s">
        <v>4494</v>
      </c>
      <c r="J1904" s="5" t="s">
        <v>250</v>
      </c>
      <c r="K1904" s="5" t="s">
        <v>468</v>
      </c>
      <c r="L1904" s="5" t="s">
        <v>205</v>
      </c>
      <c r="M1904" s="5" t="s">
        <v>482</v>
      </c>
      <c r="N1904" s="5" t="s">
        <v>290</v>
      </c>
      <c r="O1904" s="5" t="s">
        <v>483</v>
      </c>
      <c r="P1904" s="18" t="str">
        <f aca="false">IF(J1904="S0","—",IF(K1904="","",IF(L1904="E0","QM",INDEX(10_ASIL_Matrix!$D$4:$F$15,MATCH(J1904&amp;"-"&amp;L1904,10_ASIL_Matrix!$C$4:$C$15,0),MATCH(N1904,10_ASIL_Matrix!$D$3:$F$3,0)))))</f>
        <v>B</v>
      </c>
      <c r="Q1904" s="5" t="s">
        <v>448</v>
      </c>
    </row>
    <row r="1905" customFormat="false" ht="46.25" hidden="false" customHeight="false" outlineLevel="0" collapsed="false">
      <c r="A1905" s="6" t="s">
        <v>4495</v>
      </c>
      <c r="B1905" s="6" t="s">
        <v>108</v>
      </c>
      <c r="C1905" s="6" t="s">
        <v>109</v>
      </c>
      <c r="D1905" s="6" t="s">
        <v>140</v>
      </c>
      <c r="E1905" s="6" t="s">
        <v>141</v>
      </c>
      <c r="F1905" s="6" t="s">
        <v>189</v>
      </c>
      <c r="G1905" s="6" t="s">
        <v>466</v>
      </c>
      <c r="H1905" s="6" t="s">
        <v>232</v>
      </c>
      <c r="I1905" s="6" t="s">
        <v>4496</v>
      </c>
      <c r="J1905" s="6" t="s">
        <v>250</v>
      </c>
      <c r="K1905" s="6" t="s">
        <v>468</v>
      </c>
      <c r="L1905" s="6" t="s">
        <v>233</v>
      </c>
      <c r="M1905" s="6" t="s">
        <v>486</v>
      </c>
      <c r="N1905" s="6" t="s">
        <v>286</v>
      </c>
      <c r="O1905" s="6" t="s">
        <v>470</v>
      </c>
      <c r="P1905" s="6" t="str">
        <f aca="false">IF(J1905="S0","—",IF(K1905="","",IF(L1905="E0","QM",INDEX(10_ASIL_Matrix!$D$4:$F$15,MATCH(J1905&amp;"-"&amp;L1905,10_ASIL_Matrix!$C$4:$C$15,0),MATCH(N1905,10_ASIL_Matrix!$D$3:$F$3,0)))))</f>
        <v>QM</v>
      </c>
      <c r="Q1905" s="6" t="s">
        <v>448</v>
      </c>
    </row>
    <row r="1906" customFormat="false" ht="35.05" hidden="false" customHeight="false" outlineLevel="0" collapsed="false">
      <c r="A1906" s="5" t="s">
        <v>4497</v>
      </c>
      <c r="B1906" s="5" t="s">
        <v>108</v>
      </c>
      <c r="C1906" s="5" t="s">
        <v>109</v>
      </c>
      <c r="D1906" s="5" t="s">
        <v>140</v>
      </c>
      <c r="E1906" s="5" t="s">
        <v>141</v>
      </c>
      <c r="F1906" s="5" t="s">
        <v>192</v>
      </c>
      <c r="G1906" s="5" t="s">
        <v>488</v>
      </c>
      <c r="H1906" s="5" t="s">
        <v>222</v>
      </c>
      <c r="I1906" s="5" t="s">
        <v>4498</v>
      </c>
      <c r="J1906" s="5" t="s">
        <v>250</v>
      </c>
      <c r="K1906" s="5" t="s">
        <v>490</v>
      </c>
      <c r="L1906" s="5" t="s">
        <v>187</v>
      </c>
      <c r="M1906" s="5" t="s">
        <v>491</v>
      </c>
      <c r="N1906" s="5" t="s">
        <v>282</v>
      </c>
      <c r="O1906" s="5" t="s">
        <v>447</v>
      </c>
      <c r="P1906" s="18" t="str">
        <f aca="false">IF(J1906="S0","—",IF(K1906="","",IF(L1906="E0","QM",INDEX(10_ASIL_Matrix!$D$4:$F$15,MATCH(J1906&amp;"-"&amp;L1906,10_ASIL_Matrix!$C$4:$C$15,0),MATCH(N1906,10_ASIL_Matrix!$D$3:$F$3,0)))))</f>
        <v>B</v>
      </c>
      <c r="Q1906" s="5" t="s">
        <v>448</v>
      </c>
    </row>
    <row r="1907" customFormat="false" ht="35.05" hidden="false" customHeight="false" outlineLevel="0" collapsed="false">
      <c r="A1907" s="6" t="s">
        <v>4499</v>
      </c>
      <c r="B1907" s="6" t="s">
        <v>108</v>
      </c>
      <c r="C1907" s="6" t="s">
        <v>109</v>
      </c>
      <c r="D1907" s="6" t="s">
        <v>140</v>
      </c>
      <c r="E1907" s="6" t="s">
        <v>141</v>
      </c>
      <c r="F1907" s="6" t="s">
        <v>192</v>
      </c>
      <c r="G1907" s="6" t="s">
        <v>488</v>
      </c>
      <c r="H1907" s="6" t="s">
        <v>224</v>
      </c>
      <c r="I1907" s="6" t="s">
        <v>4500</v>
      </c>
      <c r="J1907" s="6" t="s">
        <v>250</v>
      </c>
      <c r="K1907" s="6" t="s">
        <v>490</v>
      </c>
      <c r="L1907" s="6" t="s">
        <v>190</v>
      </c>
      <c r="M1907" s="6" t="s">
        <v>494</v>
      </c>
      <c r="N1907" s="6" t="s">
        <v>282</v>
      </c>
      <c r="O1907" s="6" t="s">
        <v>447</v>
      </c>
      <c r="P1907" s="19" t="str">
        <f aca="false">IF(J1907="S0","—",IF(K1907="","",IF(L1907="E0","QM",INDEX(10_ASIL_Matrix!$D$4:$F$15,MATCH(J1907&amp;"-"&amp;L1907,10_ASIL_Matrix!$C$4:$C$15,0),MATCH(N1907,10_ASIL_Matrix!$D$3:$F$3,0)))))</f>
        <v>A</v>
      </c>
      <c r="Q1907" s="6" t="s">
        <v>448</v>
      </c>
    </row>
    <row r="1908" customFormat="false" ht="35.05" hidden="false" customHeight="false" outlineLevel="0" collapsed="false">
      <c r="A1908" s="5" t="s">
        <v>4501</v>
      </c>
      <c r="B1908" s="5" t="s">
        <v>108</v>
      </c>
      <c r="C1908" s="5" t="s">
        <v>109</v>
      </c>
      <c r="D1908" s="5" t="s">
        <v>140</v>
      </c>
      <c r="E1908" s="5" t="s">
        <v>141</v>
      </c>
      <c r="F1908" s="5" t="s">
        <v>192</v>
      </c>
      <c r="G1908" s="5" t="s">
        <v>488</v>
      </c>
      <c r="H1908" s="5" t="s">
        <v>226</v>
      </c>
      <c r="I1908" s="5" t="s">
        <v>4502</v>
      </c>
      <c r="J1908" s="5" t="s">
        <v>250</v>
      </c>
      <c r="K1908" s="5" t="s">
        <v>490</v>
      </c>
      <c r="L1908" s="5" t="s">
        <v>190</v>
      </c>
      <c r="M1908" s="5" t="s">
        <v>497</v>
      </c>
      <c r="N1908" s="5" t="s">
        <v>282</v>
      </c>
      <c r="O1908" s="5" t="s">
        <v>447</v>
      </c>
      <c r="P1908" s="19" t="str">
        <f aca="false">IF(J1908="S0","—",IF(K1908="","",IF(L1908="E0","QM",INDEX(10_ASIL_Matrix!$D$4:$F$15,MATCH(J1908&amp;"-"&amp;L1908,10_ASIL_Matrix!$C$4:$C$15,0),MATCH(N1908,10_ASIL_Matrix!$D$3:$F$3,0)))))</f>
        <v>A</v>
      </c>
      <c r="Q1908" s="5" t="s">
        <v>448</v>
      </c>
    </row>
    <row r="1909" customFormat="false" ht="35.05" hidden="false" customHeight="false" outlineLevel="0" collapsed="false">
      <c r="A1909" s="6" t="s">
        <v>4503</v>
      </c>
      <c r="B1909" s="6" t="s">
        <v>108</v>
      </c>
      <c r="C1909" s="6" t="s">
        <v>109</v>
      </c>
      <c r="D1909" s="6" t="s">
        <v>140</v>
      </c>
      <c r="E1909" s="6" t="s">
        <v>141</v>
      </c>
      <c r="F1909" s="6" t="s">
        <v>192</v>
      </c>
      <c r="G1909" s="6" t="s">
        <v>488</v>
      </c>
      <c r="H1909" s="6" t="s">
        <v>228</v>
      </c>
      <c r="I1909" s="6" t="s">
        <v>4504</v>
      </c>
      <c r="J1909" s="6" t="s">
        <v>250</v>
      </c>
      <c r="K1909" s="6" t="s">
        <v>490</v>
      </c>
      <c r="L1909" s="6" t="s">
        <v>205</v>
      </c>
      <c r="M1909" s="6" t="s">
        <v>500</v>
      </c>
      <c r="N1909" s="6" t="s">
        <v>282</v>
      </c>
      <c r="O1909" s="6" t="s">
        <v>447</v>
      </c>
      <c r="P1909" s="6" t="str">
        <f aca="false">IF(J1909="S0","—",IF(K1909="","",IF(L1909="E0","QM",INDEX(10_ASIL_Matrix!$D$4:$F$15,MATCH(J1909&amp;"-"&amp;L1909,10_ASIL_Matrix!$C$4:$C$15,0),MATCH(N1909,10_ASIL_Matrix!$D$3:$F$3,0)))))</f>
        <v>QM</v>
      </c>
      <c r="Q1909" s="6" t="s">
        <v>448</v>
      </c>
    </row>
    <row r="1910" customFormat="false" ht="35.05" hidden="false" customHeight="false" outlineLevel="0" collapsed="false">
      <c r="A1910" s="5" t="s">
        <v>4505</v>
      </c>
      <c r="B1910" s="5" t="s">
        <v>108</v>
      </c>
      <c r="C1910" s="5" t="s">
        <v>109</v>
      </c>
      <c r="D1910" s="5" t="s">
        <v>140</v>
      </c>
      <c r="E1910" s="5" t="s">
        <v>141</v>
      </c>
      <c r="F1910" s="5" t="s">
        <v>192</v>
      </c>
      <c r="G1910" s="5" t="s">
        <v>488</v>
      </c>
      <c r="H1910" s="5" t="s">
        <v>230</v>
      </c>
      <c r="I1910" s="5" t="s">
        <v>4506</v>
      </c>
      <c r="J1910" s="5" t="s">
        <v>250</v>
      </c>
      <c r="K1910" s="5" t="s">
        <v>490</v>
      </c>
      <c r="L1910" s="5" t="s">
        <v>205</v>
      </c>
      <c r="M1910" s="5" t="s">
        <v>503</v>
      </c>
      <c r="N1910" s="5" t="s">
        <v>286</v>
      </c>
      <c r="O1910" s="5" t="s">
        <v>461</v>
      </c>
      <c r="P1910" s="19" t="str">
        <f aca="false">IF(J1910="S0","—",IF(K1910="","",IF(L1910="E0","QM",INDEX(10_ASIL_Matrix!$D$4:$F$15,MATCH(J1910&amp;"-"&amp;L1910,10_ASIL_Matrix!$C$4:$C$15,0),MATCH(N1910,10_ASIL_Matrix!$D$3:$F$3,0)))))</f>
        <v>A</v>
      </c>
      <c r="Q1910" s="5" t="s">
        <v>448</v>
      </c>
    </row>
    <row r="1911" customFormat="false" ht="46.25" hidden="false" customHeight="false" outlineLevel="0" collapsed="false">
      <c r="A1911" s="6" t="s">
        <v>4507</v>
      </c>
      <c r="B1911" s="6" t="s">
        <v>108</v>
      </c>
      <c r="C1911" s="6" t="s">
        <v>109</v>
      </c>
      <c r="D1911" s="6" t="s">
        <v>140</v>
      </c>
      <c r="E1911" s="6" t="s">
        <v>141</v>
      </c>
      <c r="F1911" s="6" t="s">
        <v>192</v>
      </c>
      <c r="G1911" s="6" t="s">
        <v>488</v>
      </c>
      <c r="H1911" s="6" t="s">
        <v>232</v>
      </c>
      <c r="I1911" s="6" t="s">
        <v>4508</v>
      </c>
      <c r="J1911" s="6" t="s">
        <v>250</v>
      </c>
      <c r="K1911" s="6" t="s">
        <v>490</v>
      </c>
      <c r="L1911" s="6" t="s">
        <v>233</v>
      </c>
      <c r="M1911" s="6" t="s">
        <v>506</v>
      </c>
      <c r="N1911" s="6" t="s">
        <v>282</v>
      </c>
      <c r="O1911" s="6" t="s">
        <v>447</v>
      </c>
      <c r="P1911" s="6" t="str">
        <f aca="false">IF(J1911="S0","—",IF(K1911="","",IF(L1911="E0","QM",INDEX(10_ASIL_Matrix!$D$4:$F$15,MATCH(J1911&amp;"-"&amp;L1911,10_ASIL_Matrix!$C$4:$C$15,0),MATCH(N1911,10_ASIL_Matrix!$D$3:$F$3,0)))))</f>
        <v>QM</v>
      </c>
      <c r="Q1911" s="6" t="s">
        <v>448</v>
      </c>
    </row>
    <row r="1912" customFormat="false" ht="35.05" hidden="false" customHeight="false" outlineLevel="0" collapsed="false">
      <c r="A1912" s="5" t="s">
        <v>4509</v>
      </c>
      <c r="B1912" s="5" t="s">
        <v>108</v>
      </c>
      <c r="C1912" s="5" t="s">
        <v>109</v>
      </c>
      <c r="D1912" s="5" t="s">
        <v>140</v>
      </c>
      <c r="E1912" s="5" t="s">
        <v>141</v>
      </c>
      <c r="F1912" s="5" t="s">
        <v>194</v>
      </c>
      <c r="G1912" s="5" t="s">
        <v>508</v>
      </c>
      <c r="H1912" s="5" t="s">
        <v>222</v>
      </c>
      <c r="I1912" s="5" t="s">
        <v>4510</v>
      </c>
      <c r="J1912" s="5" t="s">
        <v>250</v>
      </c>
      <c r="K1912" s="5" t="s">
        <v>510</v>
      </c>
      <c r="L1912" s="5" t="s">
        <v>190</v>
      </c>
      <c r="M1912" s="5" t="s">
        <v>511</v>
      </c>
      <c r="N1912" s="5" t="s">
        <v>282</v>
      </c>
      <c r="O1912" s="5" t="s">
        <v>447</v>
      </c>
      <c r="P1912" s="19" t="str">
        <f aca="false">IF(J1912="S0","—",IF(K1912="","",IF(L1912="E0","QM",INDEX(10_ASIL_Matrix!$D$4:$F$15,MATCH(J1912&amp;"-"&amp;L1912,10_ASIL_Matrix!$C$4:$C$15,0),MATCH(N1912,10_ASIL_Matrix!$D$3:$F$3,0)))))</f>
        <v>A</v>
      </c>
      <c r="Q1912" s="5" t="s">
        <v>448</v>
      </c>
    </row>
    <row r="1913" customFormat="false" ht="35.05" hidden="false" customHeight="false" outlineLevel="0" collapsed="false">
      <c r="A1913" s="6" t="s">
        <v>4511</v>
      </c>
      <c r="B1913" s="6" t="s">
        <v>108</v>
      </c>
      <c r="C1913" s="6" t="s">
        <v>109</v>
      </c>
      <c r="D1913" s="6" t="s">
        <v>140</v>
      </c>
      <c r="E1913" s="6" t="s">
        <v>141</v>
      </c>
      <c r="F1913" s="6" t="s">
        <v>194</v>
      </c>
      <c r="G1913" s="6" t="s">
        <v>508</v>
      </c>
      <c r="H1913" s="6" t="s">
        <v>224</v>
      </c>
      <c r="I1913" s="6" t="s">
        <v>4512</v>
      </c>
      <c r="J1913" s="6" t="s">
        <v>250</v>
      </c>
      <c r="K1913" s="6" t="s">
        <v>510</v>
      </c>
      <c r="L1913" s="6" t="s">
        <v>190</v>
      </c>
      <c r="M1913" s="6" t="s">
        <v>514</v>
      </c>
      <c r="N1913" s="6" t="s">
        <v>282</v>
      </c>
      <c r="O1913" s="6" t="s">
        <v>447</v>
      </c>
      <c r="P1913" s="19" t="str">
        <f aca="false">IF(J1913="S0","—",IF(K1913="","",IF(L1913="E0","QM",INDEX(10_ASIL_Matrix!$D$4:$F$15,MATCH(J1913&amp;"-"&amp;L1913,10_ASIL_Matrix!$C$4:$C$15,0),MATCH(N1913,10_ASIL_Matrix!$D$3:$F$3,0)))))</f>
        <v>A</v>
      </c>
      <c r="Q1913" s="6" t="s">
        <v>448</v>
      </c>
    </row>
    <row r="1914" customFormat="false" ht="35.05" hidden="false" customHeight="false" outlineLevel="0" collapsed="false">
      <c r="A1914" s="5" t="s">
        <v>4513</v>
      </c>
      <c r="B1914" s="5" t="s">
        <v>108</v>
      </c>
      <c r="C1914" s="5" t="s">
        <v>109</v>
      </c>
      <c r="D1914" s="5" t="s">
        <v>140</v>
      </c>
      <c r="E1914" s="5" t="s">
        <v>141</v>
      </c>
      <c r="F1914" s="5" t="s">
        <v>194</v>
      </c>
      <c r="G1914" s="5" t="s">
        <v>508</v>
      </c>
      <c r="H1914" s="5" t="s">
        <v>226</v>
      </c>
      <c r="I1914" s="5" t="s">
        <v>4514</v>
      </c>
      <c r="J1914" s="5" t="s">
        <v>250</v>
      </c>
      <c r="K1914" s="5" t="s">
        <v>510</v>
      </c>
      <c r="L1914" s="5" t="s">
        <v>190</v>
      </c>
      <c r="M1914" s="5" t="s">
        <v>517</v>
      </c>
      <c r="N1914" s="5" t="s">
        <v>282</v>
      </c>
      <c r="O1914" s="5" t="s">
        <v>447</v>
      </c>
      <c r="P1914" s="19" t="str">
        <f aca="false">IF(J1914="S0","—",IF(K1914="","",IF(L1914="E0","QM",INDEX(10_ASIL_Matrix!$D$4:$F$15,MATCH(J1914&amp;"-"&amp;L1914,10_ASIL_Matrix!$C$4:$C$15,0),MATCH(N1914,10_ASIL_Matrix!$D$3:$F$3,0)))))</f>
        <v>A</v>
      </c>
      <c r="Q1914" s="5" t="s">
        <v>448</v>
      </c>
    </row>
    <row r="1915" customFormat="false" ht="35.05" hidden="false" customHeight="false" outlineLevel="0" collapsed="false">
      <c r="A1915" s="6" t="s">
        <v>4515</v>
      </c>
      <c r="B1915" s="6" t="s">
        <v>108</v>
      </c>
      <c r="C1915" s="6" t="s">
        <v>109</v>
      </c>
      <c r="D1915" s="6" t="s">
        <v>140</v>
      </c>
      <c r="E1915" s="6" t="s">
        <v>141</v>
      </c>
      <c r="F1915" s="6" t="s">
        <v>194</v>
      </c>
      <c r="G1915" s="6" t="s">
        <v>508</v>
      </c>
      <c r="H1915" s="6" t="s">
        <v>228</v>
      </c>
      <c r="I1915" s="6" t="s">
        <v>4516</v>
      </c>
      <c r="J1915" s="6" t="s">
        <v>250</v>
      </c>
      <c r="K1915" s="6" t="s">
        <v>510</v>
      </c>
      <c r="L1915" s="6" t="s">
        <v>205</v>
      </c>
      <c r="M1915" s="6" t="s">
        <v>520</v>
      </c>
      <c r="N1915" s="6" t="s">
        <v>282</v>
      </c>
      <c r="O1915" s="6" t="s">
        <v>447</v>
      </c>
      <c r="P1915" s="6" t="str">
        <f aca="false">IF(J1915="S0","—",IF(K1915="","",IF(L1915="E0","QM",INDEX(10_ASIL_Matrix!$D$4:$F$15,MATCH(J1915&amp;"-"&amp;L1915,10_ASIL_Matrix!$C$4:$C$15,0),MATCH(N1915,10_ASIL_Matrix!$D$3:$F$3,0)))))</f>
        <v>QM</v>
      </c>
      <c r="Q1915" s="6" t="s">
        <v>448</v>
      </c>
    </row>
    <row r="1916" customFormat="false" ht="35.05" hidden="false" customHeight="false" outlineLevel="0" collapsed="false">
      <c r="A1916" s="5" t="s">
        <v>4517</v>
      </c>
      <c r="B1916" s="5" t="s">
        <v>108</v>
      </c>
      <c r="C1916" s="5" t="s">
        <v>109</v>
      </c>
      <c r="D1916" s="5" t="s">
        <v>140</v>
      </c>
      <c r="E1916" s="5" t="s">
        <v>141</v>
      </c>
      <c r="F1916" s="5" t="s">
        <v>194</v>
      </c>
      <c r="G1916" s="5" t="s">
        <v>508</v>
      </c>
      <c r="H1916" s="5" t="s">
        <v>230</v>
      </c>
      <c r="I1916" s="5" t="s">
        <v>4518</v>
      </c>
      <c r="J1916" s="5" t="s">
        <v>250</v>
      </c>
      <c r="K1916" s="5" t="s">
        <v>510</v>
      </c>
      <c r="L1916" s="5" t="s">
        <v>205</v>
      </c>
      <c r="M1916" s="5" t="s">
        <v>523</v>
      </c>
      <c r="N1916" s="5" t="s">
        <v>286</v>
      </c>
      <c r="O1916" s="5" t="s">
        <v>461</v>
      </c>
      <c r="P1916" s="19" t="str">
        <f aca="false">IF(J1916="S0","—",IF(K1916="","",IF(L1916="E0","QM",INDEX(10_ASIL_Matrix!$D$4:$F$15,MATCH(J1916&amp;"-"&amp;L1916,10_ASIL_Matrix!$C$4:$C$15,0),MATCH(N1916,10_ASIL_Matrix!$D$3:$F$3,0)))))</f>
        <v>A</v>
      </c>
      <c r="Q1916" s="5" t="s">
        <v>448</v>
      </c>
    </row>
    <row r="1917" customFormat="false" ht="46.25" hidden="false" customHeight="false" outlineLevel="0" collapsed="false">
      <c r="A1917" s="6" t="s">
        <v>4519</v>
      </c>
      <c r="B1917" s="6" t="s">
        <v>108</v>
      </c>
      <c r="C1917" s="6" t="s">
        <v>109</v>
      </c>
      <c r="D1917" s="6" t="s">
        <v>140</v>
      </c>
      <c r="E1917" s="6" t="s">
        <v>141</v>
      </c>
      <c r="F1917" s="6" t="s">
        <v>194</v>
      </c>
      <c r="G1917" s="6" t="s">
        <v>508</v>
      </c>
      <c r="H1917" s="6" t="s">
        <v>232</v>
      </c>
      <c r="I1917" s="6" t="s">
        <v>4520</v>
      </c>
      <c r="J1917" s="6" t="s">
        <v>250</v>
      </c>
      <c r="K1917" s="6" t="s">
        <v>510</v>
      </c>
      <c r="L1917" s="6" t="s">
        <v>233</v>
      </c>
      <c r="M1917" s="6" t="s">
        <v>526</v>
      </c>
      <c r="N1917" s="6" t="s">
        <v>282</v>
      </c>
      <c r="O1917" s="6" t="s">
        <v>447</v>
      </c>
      <c r="P1917" s="6" t="str">
        <f aca="false">IF(J1917="S0","—",IF(K1917="","",IF(L1917="E0","QM",INDEX(10_ASIL_Matrix!$D$4:$F$15,MATCH(J1917&amp;"-"&amp;L1917,10_ASIL_Matrix!$C$4:$C$15,0),MATCH(N1917,10_ASIL_Matrix!$D$3:$F$3,0)))))</f>
        <v>QM</v>
      </c>
      <c r="Q1917" s="6" t="s">
        <v>448</v>
      </c>
    </row>
    <row r="1918" customFormat="false" ht="35.05" hidden="false" customHeight="false" outlineLevel="0" collapsed="false">
      <c r="A1918" s="5" t="s">
        <v>4521</v>
      </c>
      <c r="B1918" s="5" t="s">
        <v>108</v>
      </c>
      <c r="C1918" s="5" t="s">
        <v>109</v>
      </c>
      <c r="D1918" s="5" t="s">
        <v>140</v>
      </c>
      <c r="E1918" s="5" t="s">
        <v>141</v>
      </c>
      <c r="F1918" s="5" t="s">
        <v>196</v>
      </c>
      <c r="G1918" s="5" t="s">
        <v>528</v>
      </c>
      <c r="H1918" s="5" t="s">
        <v>222</v>
      </c>
      <c r="I1918" s="5" t="s">
        <v>4522</v>
      </c>
      <c r="J1918" s="5" t="s">
        <v>250</v>
      </c>
      <c r="K1918" s="5" t="s">
        <v>530</v>
      </c>
      <c r="L1918" s="5" t="s">
        <v>187</v>
      </c>
      <c r="M1918" s="5" t="s">
        <v>531</v>
      </c>
      <c r="N1918" s="5" t="s">
        <v>282</v>
      </c>
      <c r="O1918" s="5" t="s">
        <v>447</v>
      </c>
      <c r="P1918" s="18" t="str">
        <f aca="false">IF(J1918="S0","—",IF(K1918="","",IF(L1918="E0","QM",INDEX(10_ASIL_Matrix!$D$4:$F$15,MATCH(J1918&amp;"-"&amp;L1918,10_ASIL_Matrix!$C$4:$C$15,0),MATCH(N1918,10_ASIL_Matrix!$D$3:$F$3,0)))))</f>
        <v>B</v>
      </c>
      <c r="Q1918" s="5" t="s">
        <v>448</v>
      </c>
    </row>
    <row r="1919" customFormat="false" ht="35.05" hidden="false" customHeight="false" outlineLevel="0" collapsed="false">
      <c r="A1919" s="6" t="s">
        <v>4523</v>
      </c>
      <c r="B1919" s="6" t="s">
        <v>108</v>
      </c>
      <c r="C1919" s="6" t="s">
        <v>109</v>
      </c>
      <c r="D1919" s="6" t="s">
        <v>140</v>
      </c>
      <c r="E1919" s="6" t="s">
        <v>141</v>
      </c>
      <c r="F1919" s="6" t="s">
        <v>196</v>
      </c>
      <c r="G1919" s="6" t="s">
        <v>528</v>
      </c>
      <c r="H1919" s="6" t="s">
        <v>224</v>
      </c>
      <c r="I1919" s="6" t="s">
        <v>4524</v>
      </c>
      <c r="J1919" s="6" t="s">
        <v>250</v>
      </c>
      <c r="K1919" s="6" t="s">
        <v>530</v>
      </c>
      <c r="L1919" s="6" t="s">
        <v>190</v>
      </c>
      <c r="M1919" s="6" t="s">
        <v>534</v>
      </c>
      <c r="N1919" s="6" t="s">
        <v>282</v>
      </c>
      <c r="O1919" s="6" t="s">
        <v>447</v>
      </c>
      <c r="P1919" s="19" t="str">
        <f aca="false">IF(J1919="S0","—",IF(K1919="","",IF(L1919="E0","QM",INDEX(10_ASIL_Matrix!$D$4:$F$15,MATCH(J1919&amp;"-"&amp;L1919,10_ASIL_Matrix!$C$4:$C$15,0),MATCH(N1919,10_ASIL_Matrix!$D$3:$F$3,0)))))</f>
        <v>A</v>
      </c>
      <c r="Q1919" s="6" t="s">
        <v>448</v>
      </c>
    </row>
    <row r="1920" customFormat="false" ht="35.05" hidden="false" customHeight="false" outlineLevel="0" collapsed="false">
      <c r="A1920" s="5" t="s">
        <v>4525</v>
      </c>
      <c r="B1920" s="5" t="s">
        <v>108</v>
      </c>
      <c r="C1920" s="5" t="s">
        <v>109</v>
      </c>
      <c r="D1920" s="5" t="s">
        <v>140</v>
      </c>
      <c r="E1920" s="5" t="s">
        <v>141</v>
      </c>
      <c r="F1920" s="5" t="s">
        <v>196</v>
      </c>
      <c r="G1920" s="5" t="s">
        <v>528</v>
      </c>
      <c r="H1920" s="5" t="s">
        <v>226</v>
      </c>
      <c r="I1920" s="5" t="s">
        <v>4526</v>
      </c>
      <c r="J1920" s="5" t="s">
        <v>250</v>
      </c>
      <c r="K1920" s="5" t="s">
        <v>530</v>
      </c>
      <c r="L1920" s="5" t="s">
        <v>190</v>
      </c>
      <c r="M1920" s="5" t="s">
        <v>537</v>
      </c>
      <c r="N1920" s="5" t="s">
        <v>282</v>
      </c>
      <c r="O1920" s="5" t="s">
        <v>447</v>
      </c>
      <c r="P1920" s="19" t="str">
        <f aca="false">IF(J1920="S0","—",IF(K1920="","",IF(L1920="E0","QM",INDEX(10_ASIL_Matrix!$D$4:$F$15,MATCH(J1920&amp;"-"&amp;L1920,10_ASIL_Matrix!$C$4:$C$15,0),MATCH(N1920,10_ASIL_Matrix!$D$3:$F$3,0)))))</f>
        <v>A</v>
      </c>
      <c r="Q1920" s="5" t="s">
        <v>448</v>
      </c>
    </row>
    <row r="1921" customFormat="false" ht="35.05" hidden="false" customHeight="false" outlineLevel="0" collapsed="false">
      <c r="A1921" s="6" t="s">
        <v>4527</v>
      </c>
      <c r="B1921" s="6" t="s">
        <v>108</v>
      </c>
      <c r="C1921" s="6" t="s">
        <v>109</v>
      </c>
      <c r="D1921" s="6" t="s">
        <v>140</v>
      </c>
      <c r="E1921" s="6" t="s">
        <v>141</v>
      </c>
      <c r="F1921" s="6" t="s">
        <v>196</v>
      </c>
      <c r="G1921" s="6" t="s">
        <v>528</v>
      </c>
      <c r="H1921" s="6" t="s">
        <v>228</v>
      </c>
      <c r="I1921" s="6" t="s">
        <v>4528</v>
      </c>
      <c r="J1921" s="6" t="s">
        <v>250</v>
      </c>
      <c r="K1921" s="6" t="s">
        <v>530</v>
      </c>
      <c r="L1921" s="6" t="s">
        <v>205</v>
      </c>
      <c r="M1921" s="6" t="s">
        <v>540</v>
      </c>
      <c r="N1921" s="6" t="s">
        <v>282</v>
      </c>
      <c r="O1921" s="6" t="s">
        <v>447</v>
      </c>
      <c r="P1921" s="6" t="str">
        <f aca="false">IF(J1921="S0","—",IF(K1921="","",IF(L1921="E0","QM",INDEX(10_ASIL_Matrix!$D$4:$F$15,MATCH(J1921&amp;"-"&amp;L1921,10_ASIL_Matrix!$C$4:$C$15,0),MATCH(N1921,10_ASIL_Matrix!$D$3:$F$3,0)))))</f>
        <v>QM</v>
      </c>
      <c r="Q1921" s="6" t="s">
        <v>448</v>
      </c>
    </row>
    <row r="1922" customFormat="false" ht="35.05" hidden="false" customHeight="false" outlineLevel="0" collapsed="false">
      <c r="A1922" s="5" t="s">
        <v>4529</v>
      </c>
      <c r="B1922" s="5" t="s">
        <v>108</v>
      </c>
      <c r="C1922" s="5" t="s">
        <v>109</v>
      </c>
      <c r="D1922" s="5" t="s">
        <v>140</v>
      </c>
      <c r="E1922" s="5" t="s">
        <v>141</v>
      </c>
      <c r="F1922" s="5" t="s">
        <v>196</v>
      </c>
      <c r="G1922" s="5" t="s">
        <v>528</v>
      </c>
      <c r="H1922" s="5" t="s">
        <v>230</v>
      </c>
      <c r="I1922" s="5" t="s">
        <v>4530</v>
      </c>
      <c r="J1922" s="5" t="s">
        <v>250</v>
      </c>
      <c r="K1922" s="5" t="s">
        <v>530</v>
      </c>
      <c r="L1922" s="5" t="s">
        <v>205</v>
      </c>
      <c r="M1922" s="5" t="s">
        <v>543</v>
      </c>
      <c r="N1922" s="5" t="s">
        <v>286</v>
      </c>
      <c r="O1922" s="5" t="s">
        <v>461</v>
      </c>
      <c r="P1922" s="19" t="str">
        <f aca="false">IF(J1922="S0","—",IF(K1922="","",IF(L1922="E0","QM",INDEX(10_ASIL_Matrix!$D$4:$F$15,MATCH(J1922&amp;"-"&amp;L1922,10_ASIL_Matrix!$C$4:$C$15,0),MATCH(N1922,10_ASIL_Matrix!$D$3:$F$3,0)))))</f>
        <v>A</v>
      </c>
      <c r="Q1922" s="5" t="s">
        <v>448</v>
      </c>
    </row>
    <row r="1923" customFormat="false" ht="46.25" hidden="false" customHeight="false" outlineLevel="0" collapsed="false">
      <c r="A1923" s="6" t="s">
        <v>4531</v>
      </c>
      <c r="B1923" s="6" t="s">
        <v>108</v>
      </c>
      <c r="C1923" s="6" t="s">
        <v>109</v>
      </c>
      <c r="D1923" s="6" t="s">
        <v>140</v>
      </c>
      <c r="E1923" s="6" t="s">
        <v>141</v>
      </c>
      <c r="F1923" s="6" t="s">
        <v>196</v>
      </c>
      <c r="G1923" s="6" t="s">
        <v>528</v>
      </c>
      <c r="H1923" s="6" t="s">
        <v>232</v>
      </c>
      <c r="I1923" s="6" t="s">
        <v>4532</v>
      </c>
      <c r="J1923" s="6" t="s">
        <v>250</v>
      </c>
      <c r="K1923" s="6" t="s">
        <v>530</v>
      </c>
      <c r="L1923" s="6" t="s">
        <v>233</v>
      </c>
      <c r="M1923" s="6" t="s">
        <v>546</v>
      </c>
      <c r="N1923" s="6" t="s">
        <v>282</v>
      </c>
      <c r="O1923" s="6" t="s">
        <v>447</v>
      </c>
      <c r="P1923" s="6" t="str">
        <f aca="false">IF(J1923="S0","—",IF(K1923="","",IF(L1923="E0","QM",INDEX(10_ASIL_Matrix!$D$4:$F$15,MATCH(J1923&amp;"-"&amp;L1923,10_ASIL_Matrix!$C$4:$C$15,0),MATCH(N1923,10_ASIL_Matrix!$D$3:$F$3,0)))))</f>
        <v>QM</v>
      </c>
      <c r="Q1923" s="6" t="s">
        <v>448</v>
      </c>
    </row>
    <row r="1924" customFormat="false" ht="35.05" hidden="false" customHeight="false" outlineLevel="0" collapsed="false">
      <c r="A1924" s="5" t="s">
        <v>4533</v>
      </c>
      <c r="B1924" s="5" t="s">
        <v>108</v>
      </c>
      <c r="C1924" s="5" t="s">
        <v>109</v>
      </c>
      <c r="D1924" s="5" t="s">
        <v>140</v>
      </c>
      <c r="E1924" s="5" t="s">
        <v>141</v>
      </c>
      <c r="F1924" s="5" t="s">
        <v>198</v>
      </c>
      <c r="G1924" s="5" t="s">
        <v>548</v>
      </c>
      <c r="H1924" s="5" t="s">
        <v>222</v>
      </c>
      <c r="I1924" s="5" t="s">
        <v>4534</v>
      </c>
      <c r="J1924" s="5" t="s">
        <v>242</v>
      </c>
      <c r="K1924" s="5" t="s">
        <v>550</v>
      </c>
      <c r="L1924" s="5" t="s">
        <v>190</v>
      </c>
      <c r="M1924" s="5" t="s">
        <v>551</v>
      </c>
      <c r="N1924" s="5" t="s">
        <v>282</v>
      </c>
      <c r="O1924" s="5" t="s">
        <v>552</v>
      </c>
      <c r="P1924" s="5" t="str">
        <f aca="false">IF(J1924="S0","—",IF(K1924="","",IF(L1924="E0","QM",INDEX(10_ASIL_Matrix!$D$4:$F$15,MATCH(J1924&amp;"-"&amp;L1924,10_ASIL_Matrix!$C$4:$C$15,0),MATCH(N1924,10_ASIL_Matrix!$D$3:$F$3,0)))))</f>
        <v>QM</v>
      </c>
      <c r="Q1924" s="5" t="s">
        <v>448</v>
      </c>
    </row>
    <row r="1925" customFormat="false" ht="35.05" hidden="false" customHeight="false" outlineLevel="0" collapsed="false">
      <c r="A1925" s="6" t="s">
        <v>4535</v>
      </c>
      <c r="B1925" s="6" t="s">
        <v>108</v>
      </c>
      <c r="C1925" s="6" t="s">
        <v>109</v>
      </c>
      <c r="D1925" s="6" t="s">
        <v>140</v>
      </c>
      <c r="E1925" s="6" t="s">
        <v>141</v>
      </c>
      <c r="F1925" s="6" t="s">
        <v>198</v>
      </c>
      <c r="G1925" s="6" t="s">
        <v>548</v>
      </c>
      <c r="H1925" s="6" t="s">
        <v>224</v>
      </c>
      <c r="I1925" s="6" t="s">
        <v>4536</v>
      </c>
      <c r="J1925" s="6" t="s">
        <v>242</v>
      </c>
      <c r="K1925" s="6" t="s">
        <v>550</v>
      </c>
      <c r="L1925" s="6" t="s">
        <v>190</v>
      </c>
      <c r="M1925" s="6" t="s">
        <v>555</v>
      </c>
      <c r="N1925" s="6" t="s">
        <v>282</v>
      </c>
      <c r="O1925" s="6" t="s">
        <v>552</v>
      </c>
      <c r="P1925" s="6" t="str">
        <f aca="false">IF(J1925="S0","—",IF(K1925="","",IF(L1925="E0","QM",INDEX(10_ASIL_Matrix!$D$4:$F$15,MATCH(J1925&amp;"-"&amp;L1925,10_ASIL_Matrix!$C$4:$C$15,0),MATCH(N1925,10_ASIL_Matrix!$D$3:$F$3,0)))))</f>
        <v>QM</v>
      </c>
      <c r="Q1925" s="6" t="s">
        <v>448</v>
      </c>
    </row>
    <row r="1926" customFormat="false" ht="35.05" hidden="false" customHeight="false" outlineLevel="0" collapsed="false">
      <c r="A1926" s="5" t="s">
        <v>4537</v>
      </c>
      <c r="B1926" s="5" t="s">
        <v>108</v>
      </c>
      <c r="C1926" s="5" t="s">
        <v>109</v>
      </c>
      <c r="D1926" s="5" t="s">
        <v>140</v>
      </c>
      <c r="E1926" s="5" t="s">
        <v>141</v>
      </c>
      <c r="F1926" s="5" t="s">
        <v>198</v>
      </c>
      <c r="G1926" s="5" t="s">
        <v>548</v>
      </c>
      <c r="H1926" s="5" t="s">
        <v>226</v>
      </c>
      <c r="I1926" s="5" t="s">
        <v>4538</v>
      </c>
      <c r="J1926" s="5" t="s">
        <v>242</v>
      </c>
      <c r="K1926" s="5" t="s">
        <v>550</v>
      </c>
      <c r="L1926" s="5" t="s">
        <v>190</v>
      </c>
      <c r="M1926" s="5" t="s">
        <v>558</v>
      </c>
      <c r="N1926" s="5" t="s">
        <v>282</v>
      </c>
      <c r="O1926" s="5" t="s">
        <v>552</v>
      </c>
      <c r="P1926" s="5" t="str">
        <f aca="false">IF(J1926="S0","—",IF(K1926="","",IF(L1926="E0","QM",INDEX(10_ASIL_Matrix!$D$4:$F$15,MATCH(J1926&amp;"-"&amp;L1926,10_ASIL_Matrix!$C$4:$C$15,0),MATCH(N1926,10_ASIL_Matrix!$D$3:$F$3,0)))))</f>
        <v>QM</v>
      </c>
      <c r="Q1926" s="5" t="s">
        <v>448</v>
      </c>
    </row>
    <row r="1927" customFormat="false" ht="46.25" hidden="false" customHeight="false" outlineLevel="0" collapsed="false">
      <c r="A1927" s="6" t="s">
        <v>4539</v>
      </c>
      <c r="B1927" s="6" t="s">
        <v>108</v>
      </c>
      <c r="C1927" s="6" t="s">
        <v>109</v>
      </c>
      <c r="D1927" s="6" t="s">
        <v>140</v>
      </c>
      <c r="E1927" s="6" t="s">
        <v>141</v>
      </c>
      <c r="F1927" s="6" t="s">
        <v>198</v>
      </c>
      <c r="G1927" s="6" t="s">
        <v>548</v>
      </c>
      <c r="H1927" s="6" t="s">
        <v>228</v>
      </c>
      <c r="I1927" s="6" t="s">
        <v>4540</v>
      </c>
      <c r="J1927" s="6" t="s">
        <v>242</v>
      </c>
      <c r="K1927" s="6" t="s">
        <v>550</v>
      </c>
      <c r="L1927" s="6" t="s">
        <v>205</v>
      </c>
      <c r="M1927" s="6" t="s">
        <v>561</v>
      </c>
      <c r="N1927" s="6" t="s">
        <v>282</v>
      </c>
      <c r="O1927" s="6" t="s">
        <v>552</v>
      </c>
      <c r="P1927" s="6" t="str">
        <f aca="false">IF(J1927="S0","—",IF(K1927="","",IF(L1927="E0","QM",INDEX(10_ASIL_Matrix!$D$4:$F$15,MATCH(J1927&amp;"-"&amp;L1927,10_ASIL_Matrix!$C$4:$C$15,0),MATCH(N1927,10_ASIL_Matrix!$D$3:$F$3,0)))))</f>
        <v>QM</v>
      </c>
      <c r="Q1927" s="6" t="s">
        <v>448</v>
      </c>
    </row>
    <row r="1928" customFormat="false" ht="35.05" hidden="false" customHeight="false" outlineLevel="0" collapsed="false">
      <c r="A1928" s="5" t="s">
        <v>4541</v>
      </c>
      <c r="B1928" s="5" t="s">
        <v>108</v>
      </c>
      <c r="C1928" s="5" t="s">
        <v>109</v>
      </c>
      <c r="D1928" s="5" t="s">
        <v>140</v>
      </c>
      <c r="E1928" s="5" t="s">
        <v>141</v>
      </c>
      <c r="F1928" s="5" t="s">
        <v>198</v>
      </c>
      <c r="G1928" s="5" t="s">
        <v>548</v>
      </c>
      <c r="H1928" s="5" t="s">
        <v>230</v>
      </c>
      <c r="I1928" s="5" t="s">
        <v>4542</v>
      </c>
      <c r="J1928" s="5" t="s">
        <v>242</v>
      </c>
      <c r="K1928" s="5" t="s">
        <v>550</v>
      </c>
      <c r="L1928" s="5" t="s">
        <v>205</v>
      </c>
      <c r="M1928" s="5" t="s">
        <v>564</v>
      </c>
      <c r="N1928" s="5" t="s">
        <v>286</v>
      </c>
      <c r="O1928" s="5" t="s">
        <v>565</v>
      </c>
      <c r="P1928" s="5" t="str">
        <f aca="false">IF(J1928="S0","—",IF(K1928="","",IF(L1928="E0","QM",INDEX(10_ASIL_Matrix!$D$4:$F$15,MATCH(J1928&amp;"-"&amp;L1928,10_ASIL_Matrix!$C$4:$C$15,0),MATCH(N1928,10_ASIL_Matrix!$D$3:$F$3,0)))))</f>
        <v>QM</v>
      </c>
      <c r="Q1928" s="5" t="s">
        <v>448</v>
      </c>
    </row>
    <row r="1929" customFormat="false" ht="46.25" hidden="false" customHeight="false" outlineLevel="0" collapsed="false">
      <c r="A1929" s="6" t="s">
        <v>4543</v>
      </c>
      <c r="B1929" s="6" t="s">
        <v>108</v>
      </c>
      <c r="C1929" s="6" t="s">
        <v>109</v>
      </c>
      <c r="D1929" s="6" t="s">
        <v>140</v>
      </c>
      <c r="E1929" s="6" t="s">
        <v>141</v>
      </c>
      <c r="F1929" s="6" t="s">
        <v>198</v>
      </c>
      <c r="G1929" s="6" t="s">
        <v>548</v>
      </c>
      <c r="H1929" s="6" t="s">
        <v>232</v>
      </c>
      <c r="I1929" s="6" t="s">
        <v>4544</v>
      </c>
      <c r="J1929" s="6" t="s">
        <v>242</v>
      </c>
      <c r="K1929" s="6" t="s">
        <v>550</v>
      </c>
      <c r="L1929" s="6" t="s">
        <v>233</v>
      </c>
      <c r="M1929" s="6" t="s">
        <v>568</v>
      </c>
      <c r="N1929" s="6" t="s">
        <v>282</v>
      </c>
      <c r="O1929" s="6" t="s">
        <v>552</v>
      </c>
      <c r="P1929" s="6" t="str">
        <f aca="false">IF(J1929="S0","—",IF(K1929="","",IF(L1929="E0","QM",INDEX(10_ASIL_Matrix!$D$4:$F$15,MATCH(J1929&amp;"-"&amp;L1929,10_ASIL_Matrix!$C$4:$C$15,0),MATCH(N1929,10_ASIL_Matrix!$D$3:$F$3,0)))))</f>
        <v>QM</v>
      </c>
      <c r="Q1929" s="6" t="s">
        <v>448</v>
      </c>
    </row>
    <row r="1930" customFormat="false" ht="35.05" hidden="false" customHeight="false" outlineLevel="0" collapsed="false">
      <c r="A1930" s="5" t="s">
        <v>4545</v>
      </c>
      <c r="B1930" s="5" t="s">
        <v>108</v>
      </c>
      <c r="C1930" s="5" t="s">
        <v>109</v>
      </c>
      <c r="D1930" s="5" t="s">
        <v>140</v>
      </c>
      <c r="E1930" s="5" t="s">
        <v>141</v>
      </c>
      <c r="F1930" s="5" t="s">
        <v>200</v>
      </c>
      <c r="G1930" s="5" t="s">
        <v>570</v>
      </c>
      <c r="H1930" s="5" t="s">
        <v>222</v>
      </c>
      <c r="I1930" s="5" t="s">
        <v>4546</v>
      </c>
      <c r="J1930" s="5" t="s">
        <v>250</v>
      </c>
      <c r="K1930" s="5" t="s">
        <v>572</v>
      </c>
      <c r="L1930" s="5" t="s">
        <v>190</v>
      </c>
      <c r="M1930" s="5" t="s">
        <v>573</v>
      </c>
      <c r="N1930" s="5" t="s">
        <v>282</v>
      </c>
      <c r="O1930" s="5" t="s">
        <v>447</v>
      </c>
      <c r="P1930" s="19" t="str">
        <f aca="false">IF(J1930="S0","—",IF(K1930="","",IF(L1930="E0","QM",INDEX(10_ASIL_Matrix!$D$4:$F$15,MATCH(J1930&amp;"-"&amp;L1930,10_ASIL_Matrix!$C$4:$C$15,0),MATCH(N1930,10_ASIL_Matrix!$D$3:$F$3,0)))))</f>
        <v>A</v>
      </c>
      <c r="Q1930" s="5" t="s">
        <v>448</v>
      </c>
    </row>
    <row r="1931" customFormat="false" ht="35.05" hidden="false" customHeight="false" outlineLevel="0" collapsed="false">
      <c r="A1931" s="6" t="s">
        <v>4547</v>
      </c>
      <c r="B1931" s="6" t="s">
        <v>108</v>
      </c>
      <c r="C1931" s="6" t="s">
        <v>109</v>
      </c>
      <c r="D1931" s="6" t="s">
        <v>140</v>
      </c>
      <c r="E1931" s="6" t="s">
        <v>141</v>
      </c>
      <c r="F1931" s="6" t="s">
        <v>200</v>
      </c>
      <c r="G1931" s="6" t="s">
        <v>570</v>
      </c>
      <c r="H1931" s="6" t="s">
        <v>224</v>
      </c>
      <c r="I1931" s="6" t="s">
        <v>4548</v>
      </c>
      <c r="J1931" s="6" t="s">
        <v>250</v>
      </c>
      <c r="K1931" s="6" t="s">
        <v>572</v>
      </c>
      <c r="L1931" s="6" t="s">
        <v>190</v>
      </c>
      <c r="M1931" s="6" t="s">
        <v>576</v>
      </c>
      <c r="N1931" s="6" t="s">
        <v>282</v>
      </c>
      <c r="O1931" s="6" t="s">
        <v>447</v>
      </c>
      <c r="P1931" s="19" t="str">
        <f aca="false">IF(J1931="S0","—",IF(K1931="","",IF(L1931="E0","QM",INDEX(10_ASIL_Matrix!$D$4:$F$15,MATCH(J1931&amp;"-"&amp;L1931,10_ASIL_Matrix!$C$4:$C$15,0),MATCH(N1931,10_ASIL_Matrix!$D$3:$F$3,0)))))</f>
        <v>A</v>
      </c>
      <c r="Q1931" s="6" t="s">
        <v>448</v>
      </c>
    </row>
    <row r="1932" customFormat="false" ht="35.05" hidden="false" customHeight="false" outlineLevel="0" collapsed="false">
      <c r="A1932" s="5" t="s">
        <v>4549</v>
      </c>
      <c r="B1932" s="5" t="s">
        <v>108</v>
      </c>
      <c r="C1932" s="5" t="s">
        <v>109</v>
      </c>
      <c r="D1932" s="5" t="s">
        <v>140</v>
      </c>
      <c r="E1932" s="5" t="s">
        <v>141</v>
      </c>
      <c r="F1932" s="5" t="s">
        <v>200</v>
      </c>
      <c r="G1932" s="5" t="s">
        <v>570</v>
      </c>
      <c r="H1932" s="5" t="s">
        <v>226</v>
      </c>
      <c r="I1932" s="5" t="s">
        <v>4550</v>
      </c>
      <c r="J1932" s="5" t="s">
        <v>250</v>
      </c>
      <c r="K1932" s="5" t="s">
        <v>572</v>
      </c>
      <c r="L1932" s="5" t="s">
        <v>190</v>
      </c>
      <c r="M1932" s="5" t="s">
        <v>579</v>
      </c>
      <c r="N1932" s="5" t="s">
        <v>282</v>
      </c>
      <c r="O1932" s="5" t="s">
        <v>447</v>
      </c>
      <c r="P1932" s="19" t="str">
        <f aca="false">IF(J1932="S0","—",IF(K1932="","",IF(L1932="E0","QM",INDEX(10_ASIL_Matrix!$D$4:$F$15,MATCH(J1932&amp;"-"&amp;L1932,10_ASIL_Matrix!$C$4:$C$15,0),MATCH(N1932,10_ASIL_Matrix!$D$3:$F$3,0)))))</f>
        <v>A</v>
      </c>
      <c r="Q1932" s="5" t="s">
        <v>448</v>
      </c>
    </row>
    <row r="1933" customFormat="false" ht="35.05" hidden="false" customHeight="false" outlineLevel="0" collapsed="false">
      <c r="A1933" s="6" t="s">
        <v>4551</v>
      </c>
      <c r="B1933" s="6" t="s">
        <v>108</v>
      </c>
      <c r="C1933" s="6" t="s">
        <v>109</v>
      </c>
      <c r="D1933" s="6" t="s">
        <v>140</v>
      </c>
      <c r="E1933" s="6" t="s">
        <v>141</v>
      </c>
      <c r="F1933" s="6" t="s">
        <v>200</v>
      </c>
      <c r="G1933" s="6" t="s">
        <v>570</v>
      </c>
      <c r="H1933" s="6" t="s">
        <v>228</v>
      </c>
      <c r="I1933" s="6" t="s">
        <v>4552</v>
      </c>
      <c r="J1933" s="6" t="s">
        <v>250</v>
      </c>
      <c r="K1933" s="6" t="s">
        <v>572</v>
      </c>
      <c r="L1933" s="6" t="s">
        <v>205</v>
      </c>
      <c r="M1933" s="6" t="s">
        <v>582</v>
      </c>
      <c r="N1933" s="6" t="s">
        <v>282</v>
      </c>
      <c r="O1933" s="6" t="s">
        <v>447</v>
      </c>
      <c r="P1933" s="6" t="str">
        <f aca="false">IF(J1933="S0","—",IF(K1933="","",IF(L1933="E0","QM",INDEX(10_ASIL_Matrix!$D$4:$F$15,MATCH(J1933&amp;"-"&amp;L1933,10_ASIL_Matrix!$C$4:$C$15,0),MATCH(N1933,10_ASIL_Matrix!$D$3:$F$3,0)))))</f>
        <v>QM</v>
      </c>
      <c r="Q1933" s="6" t="s">
        <v>448</v>
      </c>
    </row>
    <row r="1934" customFormat="false" ht="35.05" hidden="false" customHeight="false" outlineLevel="0" collapsed="false">
      <c r="A1934" s="5" t="s">
        <v>4553</v>
      </c>
      <c r="B1934" s="5" t="s">
        <v>108</v>
      </c>
      <c r="C1934" s="5" t="s">
        <v>109</v>
      </c>
      <c r="D1934" s="5" t="s">
        <v>140</v>
      </c>
      <c r="E1934" s="5" t="s">
        <v>141</v>
      </c>
      <c r="F1934" s="5" t="s">
        <v>200</v>
      </c>
      <c r="G1934" s="5" t="s">
        <v>570</v>
      </c>
      <c r="H1934" s="5" t="s">
        <v>230</v>
      </c>
      <c r="I1934" s="5" t="s">
        <v>4554</v>
      </c>
      <c r="J1934" s="5" t="s">
        <v>250</v>
      </c>
      <c r="K1934" s="5" t="s">
        <v>572</v>
      </c>
      <c r="L1934" s="5" t="s">
        <v>205</v>
      </c>
      <c r="M1934" s="5" t="s">
        <v>585</v>
      </c>
      <c r="N1934" s="5" t="s">
        <v>286</v>
      </c>
      <c r="O1934" s="5" t="s">
        <v>461</v>
      </c>
      <c r="P1934" s="19" t="str">
        <f aca="false">IF(J1934="S0","—",IF(K1934="","",IF(L1934="E0","QM",INDEX(10_ASIL_Matrix!$D$4:$F$15,MATCH(J1934&amp;"-"&amp;L1934,10_ASIL_Matrix!$C$4:$C$15,0),MATCH(N1934,10_ASIL_Matrix!$D$3:$F$3,0)))))</f>
        <v>A</v>
      </c>
      <c r="Q1934" s="5" t="s">
        <v>448</v>
      </c>
    </row>
    <row r="1935" customFormat="false" ht="46.25" hidden="false" customHeight="false" outlineLevel="0" collapsed="false">
      <c r="A1935" s="6" t="s">
        <v>4555</v>
      </c>
      <c r="B1935" s="6" t="s">
        <v>108</v>
      </c>
      <c r="C1935" s="6" t="s">
        <v>109</v>
      </c>
      <c r="D1935" s="6" t="s">
        <v>140</v>
      </c>
      <c r="E1935" s="6" t="s">
        <v>141</v>
      </c>
      <c r="F1935" s="6" t="s">
        <v>200</v>
      </c>
      <c r="G1935" s="6" t="s">
        <v>570</v>
      </c>
      <c r="H1935" s="6" t="s">
        <v>232</v>
      </c>
      <c r="I1935" s="6" t="s">
        <v>4556</v>
      </c>
      <c r="J1935" s="6" t="s">
        <v>250</v>
      </c>
      <c r="K1935" s="6" t="s">
        <v>572</v>
      </c>
      <c r="L1935" s="6" t="s">
        <v>233</v>
      </c>
      <c r="M1935" s="6" t="s">
        <v>588</v>
      </c>
      <c r="N1935" s="6" t="s">
        <v>282</v>
      </c>
      <c r="O1935" s="6" t="s">
        <v>447</v>
      </c>
      <c r="P1935" s="6" t="str">
        <f aca="false">IF(J1935="S0","—",IF(K1935="","",IF(L1935="E0","QM",INDEX(10_ASIL_Matrix!$D$4:$F$15,MATCH(J1935&amp;"-"&amp;L1935,10_ASIL_Matrix!$C$4:$C$15,0),MATCH(N1935,10_ASIL_Matrix!$D$3:$F$3,0)))))</f>
        <v>QM</v>
      </c>
      <c r="Q1935" s="6" t="s">
        <v>448</v>
      </c>
    </row>
    <row r="1936" customFormat="false" ht="35.05" hidden="false" customHeight="false" outlineLevel="0" collapsed="false">
      <c r="A1936" s="5" t="s">
        <v>4557</v>
      </c>
      <c r="B1936" s="5" t="s">
        <v>108</v>
      </c>
      <c r="C1936" s="5" t="s">
        <v>109</v>
      </c>
      <c r="D1936" s="5" t="s">
        <v>140</v>
      </c>
      <c r="E1936" s="5" t="s">
        <v>141</v>
      </c>
      <c r="F1936" s="5" t="s">
        <v>202</v>
      </c>
      <c r="G1936" s="5" t="s">
        <v>590</v>
      </c>
      <c r="H1936" s="5" t="s">
        <v>222</v>
      </c>
      <c r="I1936" s="5" t="s">
        <v>4558</v>
      </c>
      <c r="J1936" s="5" t="s">
        <v>250</v>
      </c>
      <c r="K1936" s="5" t="s">
        <v>572</v>
      </c>
      <c r="L1936" s="5" t="s">
        <v>187</v>
      </c>
      <c r="M1936" s="5" t="s">
        <v>592</v>
      </c>
      <c r="N1936" s="5" t="s">
        <v>282</v>
      </c>
      <c r="O1936" s="5" t="s">
        <v>447</v>
      </c>
      <c r="P1936" s="18" t="str">
        <f aca="false">IF(J1936="S0","—",IF(K1936="","",IF(L1936="E0","QM",INDEX(10_ASIL_Matrix!$D$4:$F$15,MATCH(J1936&amp;"-"&amp;L1936,10_ASIL_Matrix!$C$4:$C$15,0),MATCH(N1936,10_ASIL_Matrix!$D$3:$F$3,0)))))</f>
        <v>B</v>
      </c>
      <c r="Q1936" s="5" t="s">
        <v>448</v>
      </c>
    </row>
    <row r="1937" customFormat="false" ht="35.05" hidden="false" customHeight="false" outlineLevel="0" collapsed="false">
      <c r="A1937" s="6" t="s">
        <v>4559</v>
      </c>
      <c r="B1937" s="6" t="s">
        <v>108</v>
      </c>
      <c r="C1937" s="6" t="s">
        <v>109</v>
      </c>
      <c r="D1937" s="6" t="s">
        <v>140</v>
      </c>
      <c r="E1937" s="6" t="s">
        <v>141</v>
      </c>
      <c r="F1937" s="6" t="s">
        <v>202</v>
      </c>
      <c r="G1937" s="6" t="s">
        <v>590</v>
      </c>
      <c r="H1937" s="6" t="s">
        <v>224</v>
      </c>
      <c r="I1937" s="6" t="s">
        <v>4560</v>
      </c>
      <c r="J1937" s="6" t="s">
        <v>250</v>
      </c>
      <c r="K1937" s="6" t="s">
        <v>572</v>
      </c>
      <c r="L1937" s="6" t="s">
        <v>190</v>
      </c>
      <c r="M1937" s="6" t="s">
        <v>595</v>
      </c>
      <c r="N1937" s="6" t="s">
        <v>282</v>
      </c>
      <c r="O1937" s="6" t="s">
        <v>447</v>
      </c>
      <c r="P1937" s="19" t="str">
        <f aca="false">IF(J1937="S0","—",IF(K1937="","",IF(L1937="E0","QM",INDEX(10_ASIL_Matrix!$D$4:$F$15,MATCH(J1937&amp;"-"&amp;L1937,10_ASIL_Matrix!$C$4:$C$15,0),MATCH(N1937,10_ASIL_Matrix!$D$3:$F$3,0)))))</f>
        <v>A</v>
      </c>
      <c r="Q1937" s="6" t="s">
        <v>448</v>
      </c>
    </row>
    <row r="1938" customFormat="false" ht="35.05" hidden="false" customHeight="false" outlineLevel="0" collapsed="false">
      <c r="A1938" s="5" t="s">
        <v>4561</v>
      </c>
      <c r="B1938" s="5" t="s">
        <v>108</v>
      </c>
      <c r="C1938" s="5" t="s">
        <v>109</v>
      </c>
      <c r="D1938" s="5" t="s">
        <v>140</v>
      </c>
      <c r="E1938" s="5" t="s">
        <v>141</v>
      </c>
      <c r="F1938" s="5" t="s">
        <v>202</v>
      </c>
      <c r="G1938" s="5" t="s">
        <v>590</v>
      </c>
      <c r="H1938" s="5" t="s">
        <v>226</v>
      </c>
      <c r="I1938" s="5" t="s">
        <v>4562</v>
      </c>
      <c r="J1938" s="5" t="s">
        <v>250</v>
      </c>
      <c r="K1938" s="5" t="s">
        <v>572</v>
      </c>
      <c r="L1938" s="5" t="s">
        <v>190</v>
      </c>
      <c r="M1938" s="5" t="s">
        <v>598</v>
      </c>
      <c r="N1938" s="5" t="s">
        <v>282</v>
      </c>
      <c r="O1938" s="5" t="s">
        <v>447</v>
      </c>
      <c r="P1938" s="19" t="str">
        <f aca="false">IF(J1938="S0","—",IF(K1938="","",IF(L1938="E0","QM",INDEX(10_ASIL_Matrix!$D$4:$F$15,MATCH(J1938&amp;"-"&amp;L1938,10_ASIL_Matrix!$C$4:$C$15,0),MATCH(N1938,10_ASIL_Matrix!$D$3:$F$3,0)))))</f>
        <v>A</v>
      </c>
      <c r="Q1938" s="5" t="s">
        <v>448</v>
      </c>
    </row>
    <row r="1939" customFormat="false" ht="35.05" hidden="false" customHeight="false" outlineLevel="0" collapsed="false">
      <c r="A1939" s="6" t="s">
        <v>4563</v>
      </c>
      <c r="B1939" s="6" t="s">
        <v>108</v>
      </c>
      <c r="C1939" s="6" t="s">
        <v>109</v>
      </c>
      <c r="D1939" s="6" t="s">
        <v>140</v>
      </c>
      <c r="E1939" s="6" t="s">
        <v>141</v>
      </c>
      <c r="F1939" s="6" t="s">
        <v>202</v>
      </c>
      <c r="G1939" s="6" t="s">
        <v>590</v>
      </c>
      <c r="H1939" s="6" t="s">
        <v>228</v>
      </c>
      <c r="I1939" s="6" t="s">
        <v>4564</v>
      </c>
      <c r="J1939" s="6" t="s">
        <v>250</v>
      </c>
      <c r="K1939" s="6" t="s">
        <v>572</v>
      </c>
      <c r="L1939" s="6" t="s">
        <v>205</v>
      </c>
      <c r="M1939" s="6" t="s">
        <v>601</v>
      </c>
      <c r="N1939" s="6" t="s">
        <v>282</v>
      </c>
      <c r="O1939" s="6" t="s">
        <v>447</v>
      </c>
      <c r="P1939" s="6" t="str">
        <f aca="false">IF(J1939="S0","—",IF(K1939="","",IF(L1939="E0","QM",INDEX(10_ASIL_Matrix!$D$4:$F$15,MATCH(J1939&amp;"-"&amp;L1939,10_ASIL_Matrix!$C$4:$C$15,0),MATCH(N1939,10_ASIL_Matrix!$D$3:$F$3,0)))))</f>
        <v>QM</v>
      </c>
      <c r="Q1939" s="6" t="s">
        <v>448</v>
      </c>
    </row>
    <row r="1940" customFormat="false" ht="35.05" hidden="false" customHeight="false" outlineLevel="0" collapsed="false">
      <c r="A1940" s="5" t="s">
        <v>4565</v>
      </c>
      <c r="B1940" s="5" t="s">
        <v>108</v>
      </c>
      <c r="C1940" s="5" t="s">
        <v>109</v>
      </c>
      <c r="D1940" s="5" t="s">
        <v>140</v>
      </c>
      <c r="E1940" s="5" t="s">
        <v>141</v>
      </c>
      <c r="F1940" s="5" t="s">
        <v>202</v>
      </c>
      <c r="G1940" s="5" t="s">
        <v>590</v>
      </c>
      <c r="H1940" s="5" t="s">
        <v>230</v>
      </c>
      <c r="I1940" s="5" t="s">
        <v>4566</v>
      </c>
      <c r="J1940" s="5" t="s">
        <v>250</v>
      </c>
      <c r="K1940" s="5" t="s">
        <v>572</v>
      </c>
      <c r="L1940" s="5" t="s">
        <v>205</v>
      </c>
      <c r="M1940" s="5" t="s">
        <v>604</v>
      </c>
      <c r="N1940" s="5" t="s">
        <v>286</v>
      </c>
      <c r="O1940" s="5" t="s">
        <v>461</v>
      </c>
      <c r="P1940" s="19" t="str">
        <f aca="false">IF(J1940="S0","—",IF(K1940="","",IF(L1940="E0","QM",INDEX(10_ASIL_Matrix!$D$4:$F$15,MATCH(J1940&amp;"-"&amp;L1940,10_ASIL_Matrix!$C$4:$C$15,0),MATCH(N1940,10_ASIL_Matrix!$D$3:$F$3,0)))))</f>
        <v>A</v>
      </c>
      <c r="Q1940" s="5" t="s">
        <v>448</v>
      </c>
    </row>
    <row r="1941" customFormat="false" ht="46.25" hidden="false" customHeight="false" outlineLevel="0" collapsed="false">
      <c r="A1941" s="6" t="s">
        <v>4567</v>
      </c>
      <c r="B1941" s="6" t="s">
        <v>108</v>
      </c>
      <c r="C1941" s="6" t="s">
        <v>109</v>
      </c>
      <c r="D1941" s="6" t="s">
        <v>140</v>
      </c>
      <c r="E1941" s="6" t="s">
        <v>141</v>
      </c>
      <c r="F1941" s="6" t="s">
        <v>202</v>
      </c>
      <c r="G1941" s="6" t="s">
        <v>590</v>
      </c>
      <c r="H1941" s="6" t="s">
        <v>232</v>
      </c>
      <c r="I1941" s="6" t="s">
        <v>4568</v>
      </c>
      <c r="J1941" s="6" t="s">
        <v>250</v>
      </c>
      <c r="K1941" s="6" t="s">
        <v>572</v>
      </c>
      <c r="L1941" s="6" t="s">
        <v>233</v>
      </c>
      <c r="M1941" s="6" t="s">
        <v>607</v>
      </c>
      <c r="N1941" s="6" t="s">
        <v>282</v>
      </c>
      <c r="O1941" s="6" t="s">
        <v>447</v>
      </c>
      <c r="P1941" s="6" t="str">
        <f aca="false">IF(J1941="S0","—",IF(K1941="","",IF(L1941="E0","QM",INDEX(10_ASIL_Matrix!$D$4:$F$15,MATCH(J1941&amp;"-"&amp;L1941,10_ASIL_Matrix!$C$4:$C$15,0),MATCH(N1941,10_ASIL_Matrix!$D$3:$F$3,0)))))</f>
        <v>QM</v>
      </c>
      <c r="Q1941" s="6" t="s">
        <v>448</v>
      </c>
    </row>
    <row r="1942" customFormat="false" ht="35.05" hidden="false" customHeight="false" outlineLevel="0" collapsed="false">
      <c r="A1942" s="5" t="s">
        <v>4569</v>
      </c>
      <c r="B1942" s="5" t="s">
        <v>108</v>
      </c>
      <c r="C1942" s="5" t="s">
        <v>109</v>
      </c>
      <c r="D1942" s="5" t="s">
        <v>140</v>
      </c>
      <c r="E1942" s="5" t="s">
        <v>141</v>
      </c>
      <c r="F1942" s="5" t="s">
        <v>204</v>
      </c>
      <c r="G1942" s="5" t="s">
        <v>609</v>
      </c>
      <c r="H1942" s="5" t="s">
        <v>222</v>
      </c>
      <c r="I1942" s="5" t="s">
        <v>4570</v>
      </c>
      <c r="J1942" s="5" t="s">
        <v>250</v>
      </c>
      <c r="K1942" s="5" t="s">
        <v>611</v>
      </c>
      <c r="L1942" s="5" t="s">
        <v>205</v>
      </c>
      <c r="M1942" s="5" t="s">
        <v>612</v>
      </c>
      <c r="N1942" s="5" t="s">
        <v>282</v>
      </c>
      <c r="O1942" s="5" t="s">
        <v>613</v>
      </c>
      <c r="P1942" s="5" t="str">
        <f aca="false">IF(J1942="S0","—",IF(K1942="","",IF(L1942="E0","QM",INDEX(10_ASIL_Matrix!$D$4:$F$15,MATCH(J1942&amp;"-"&amp;L1942,10_ASIL_Matrix!$C$4:$C$15,0),MATCH(N1942,10_ASIL_Matrix!$D$3:$F$3,0)))))</f>
        <v>QM</v>
      </c>
      <c r="Q1942" s="5" t="s">
        <v>448</v>
      </c>
    </row>
    <row r="1943" customFormat="false" ht="35.05" hidden="false" customHeight="false" outlineLevel="0" collapsed="false">
      <c r="A1943" s="6" t="s">
        <v>4571</v>
      </c>
      <c r="B1943" s="6" t="s">
        <v>108</v>
      </c>
      <c r="C1943" s="6" t="s">
        <v>109</v>
      </c>
      <c r="D1943" s="6" t="s">
        <v>140</v>
      </c>
      <c r="E1943" s="6" t="s">
        <v>141</v>
      </c>
      <c r="F1943" s="6" t="s">
        <v>204</v>
      </c>
      <c r="G1943" s="6" t="s">
        <v>609</v>
      </c>
      <c r="H1943" s="6" t="s">
        <v>224</v>
      </c>
      <c r="I1943" s="6" t="s">
        <v>4572</v>
      </c>
      <c r="J1943" s="6" t="s">
        <v>250</v>
      </c>
      <c r="K1943" s="6" t="s">
        <v>611</v>
      </c>
      <c r="L1943" s="6" t="s">
        <v>205</v>
      </c>
      <c r="M1943" s="6" t="s">
        <v>616</v>
      </c>
      <c r="N1943" s="6" t="s">
        <v>282</v>
      </c>
      <c r="O1943" s="6" t="s">
        <v>613</v>
      </c>
      <c r="P1943" s="6" t="str">
        <f aca="false">IF(J1943="S0","—",IF(K1943="","",IF(L1943="E0","QM",INDEX(10_ASIL_Matrix!$D$4:$F$15,MATCH(J1943&amp;"-"&amp;L1943,10_ASIL_Matrix!$C$4:$C$15,0),MATCH(N1943,10_ASIL_Matrix!$D$3:$F$3,0)))))</f>
        <v>QM</v>
      </c>
      <c r="Q1943" s="6" t="s">
        <v>448</v>
      </c>
    </row>
    <row r="1944" customFormat="false" ht="35.05" hidden="false" customHeight="false" outlineLevel="0" collapsed="false">
      <c r="A1944" s="5" t="s">
        <v>4573</v>
      </c>
      <c r="B1944" s="5" t="s">
        <v>108</v>
      </c>
      <c r="C1944" s="5" t="s">
        <v>109</v>
      </c>
      <c r="D1944" s="5" t="s">
        <v>140</v>
      </c>
      <c r="E1944" s="5" t="s">
        <v>141</v>
      </c>
      <c r="F1944" s="5" t="s">
        <v>204</v>
      </c>
      <c r="G1944" s="5" t="s">
        <v>609</v>
      </c>
      <c r="H1944" s="5" t="s">
        <v>226</v>
      </c>
      <c r="I1944" s="5" t="s">
        <v>4574</v>
      </c>
      <c r="J1944" s="5" t="s">
        <v>250</v>
      </c>
      <c r="K1944" s="5" t="s">
        <v>611</v>
      </c>
      <c r="L1944" s="5" t="s">
        <v>205</v>
      </c>
      <c r="M1944" s="5" t="s">
        <v>619</v>
      </c>
      <c r="N1944" s="5" t="s">
        <v>282</v>
      </c>
      <c r="O1944" s="5" t="s">
        <v>613</v>
      </c>
      <c r="P1944" s="5" t="str">
        <f aca="false">IF(J1944="S0","—",IF(K1944="","",IF(L1944="E0","QM",INDEX(10_ASIL_Matrix!$D$4:$F$15,MATCH(J1944&amp;"-"&amp;L1944,10_ASIL_Matrix!$C$4:$C$15,0),MATCH(N1944,10_ASIL_Matrix!$D$3:$F$3,0)))))</f>
        <v>QM</v>
      </c>
      <c r="Q1944" s="5" t="s">
        <v>448</v>
      </c>
    </row>
    <row r="1945" customFormat="false" ht="35.05" hidden="false" customHeight="false" outlineLevel="0" collapsed="false">
      <c r="A1945" s="6" t="s">
        <v>4575</v>
      </c>
      <c r="B1945" s="6" t="s">
        <v>108</v>
      </c>
      <c r="C1945" s="6" t="s">
        <v>109</v>
      </c>
      <c r="D1945" s="6" t="s">
        <v>140</v>
      </c>
      <c r="E1945" s="6" t="s">
        <v>141</v>
      </c>
      <c r="F1945" s="6" t="s">
        <v>204</v>
      </c>
      <c r="G1945" s="6" t="s">
        <v>609</v>
      </c>
      <c r="H1945" s="6" t="s">
        <v>228</v>
      </c>
      <c r="I1945" s="6" t="s">
        <v>4576</v>
      </c>
      <c r="J1945" s="6" t="s">
        <v>250</v>
      </c>
      <c r="K1945" s="6" t="s">
        <v>611</v>
      </c>
      <c r="L1945" s="6" t="s">
        <v>205</v>
      </c>
      <c r="M1945" s="6" t="s">
        <v>622</v>
      </c>
      <c r="N1945" s="6" t="s">
        <v>282</v>
      </c>
      <c r="O1945" s="6" t="s">
        <v>613</v>
      </c>
      <c r="P1945" s="6" t="str">
        <f aca="false">IF(J1945="S0","—",IF(K1945="","",IF(L1945="E0","QM",INDEX(10_ASIL_Matrix!$D$4:$F$15,MATCH(J1945&amp;"-"&amp;L1945,10_ASIL_Matrix!$C$4:$C$15,0),MATCH(N1945,10_ASIL_Matrix!$D$3:$F$3,0)))))</f>
        <v>QM</v>
      </c>
      <c r="Q1945" s="6" t="s">
        <v>448</v>
      </c>
    </row>
    <row r="1946" customFormat="false" ht="35.05" hidden="false" customHeight="false" outlineLevel="0" collapsed="false">
      <c r="A1946" s="5" t="s">
        <v>4577</v>
      </c>
      <c r="B1946" s="5" t="s">
        <v>108</v>
      </c>
      <c r="C1946" s="5" t="s">
        <v>109</v>
      </c>
      <c r="D1946" s="5" t="s">
        <v>140</v>
      </c>
      <c r="E1946" s="5" t="s">
        <v>141</v>
      </c>
      <c r="F1946" s="5" t="s">
        <v>204</v>
      </c>
      <c r="G1946" s="5" t="s">
        <v>609</v>
      </c>
      <c r="H1946" s="5" t="s">
        <v>230</v>
      </c>
      <c r="I1946" s="5" t="s">
        <v>4578</v>
      </c>
      <c r="J1946" s="5" t="s">
        <v>250</v>
      </c>
      <c r="K1946" s="5" t="s">
        <v>611</v>
      </c>
      <c r="L1946" s="5" t="s">
        <v>205</v>
      </c>
      <c r="M1946" s="5" t="s">
        <v>625</v>
      </c>
      <c r="N1946" s="5" t="s">
        <v>286</v>
      </c>
      <c r="O1946" s="5" t="s">
        <v>626</v>
      </c>
      <c r="P1946" s="19" t="str">
        <f aca="false">IF(J1946="S0","—",IF(K1946="","",IF(L1946="E0","QM",INDEX(10_ASIL_Matrix!$D$4:$F$15,MATCH(J1946&amp;"-"&amp;L1946,10_ASIL_Matrix!$C$4:$C$15,0),MATCH(N1946,10_ASIL_Matrix!$D$3:$F$3,0)))))</f>
        <v>A</v>
      </c>
      <c r="Q1946" s="5" t="s">
        <v>448</v>
      </c>
    </row>
    <row r="1947" customFormat="false" ht="46.25" hidden="false" customHeight="false" outlineLevel="0" collapsed="false">
      <c r="A1947" s="6" t="s">
        <v>4579</v>
      </c>
      <c r="B1947" s="6" t="s">
        <v>108</v>
      </c>
      <c r="C1947" s="6" t="s">
        <v>109</v>
      </c>
      <c r="D1947" s="6" t="s">
        <v>140</v>
      </c>
      <c r="E1947" s="6" t="s">
        <v>141</v>
      </c>
      <c r="F1947" s="6" t="s">
        <v>204</v>
      </c>
      <c r="G1947" s="6" t="s">
        <v>609</v>
      </c>
      <c r="H1947" s="6" t="s">
        <v>232</v>
      </c>
      <c r="I1947" s="6" t="s">
        <v>4580</v>
      </c>
      <c r="J1947" s="6" t="s">
        <v>250</v>
      </c>
      <c r="K1947" s="6" t="s">
        <v>611</v>
      </c>
      <c r="L1947" s="6" t="s">
        <v>233</v>
      </c>
      <c r="M1947" s="6" t="s">
        <v>629</v>
      </c>
      <c r="N1947" s="6" t="s">
        <v>282</v>
      </c>
      <c r="O1947" s="6" t="s">
        <v>613</v>
      </c>
      <c r="P1947" s="6" t="str">
        <f aca="false">IF(J1947="S0","—",IF(K1947="","",IF(L1947="E0","QM",INDEX(10_ASIL_Matrix!$D$4:$F$15,MATCH(J1947&amp;"-"&amp;L1947,10_ASIL_Matrix!$C$4:$C$15,0),MATCH(N1947,10_ASIL_Matrix!$D$3:$F$3,0)))))</f>
        <v>QM</v>
      </c>
      <c r="Q1947" s="6" t="s">
        <v>448</v>
      </c>
    </row>
    <row r="1948" customFormat="false" ht="35.05" hidden="false" customHeight="false" outlineLevel="0" collapsed="false">
      <c r="A1948" s="5" t="s">
        <v>4581</v>
      </c>
      <c r="B1948" s="5" t="s">
        <v>108</v>
      </c>
      <c r="C1948" s="5" t="s">
        <v>109</v>
      </c>
      <c r="D1948" s="5" t="s">
        <v>140</v>
      </c>
      <c r="E1948" s="5" t="s">
        <v>141</v>
      </c>
      <c r="F1948" s="5" t="s">
        <v>207</v>
      </c>
      <c r="G1948" s="5" t="s">
        <v>609</v>
      </c>
      <c r="H1948" s="5" t="s">
        <v>222</v>
      </c>
      <c r="I1948" s="5" t="s">
        <v>4582</v>
      </c>
      <c r="J1948" s="5" t="s">
        <v>238</v>
      </c>
      <c r="K1948" s="5" t="s">
        <v>632</v>
      </c>
      <c r="L1948" s="5" t="s">
        <v>190</v>
      </c>
      <c r="M1948" s="5" t="s">
        <v>633</v>
      </c>
      <c r="N1948" s="5" t="s">
        <v>278</v>
      </c>
      <c r="O1948" s="5" t="s">
        <v>634</v>
      </c>
      <c r="P1948" s="5" t="str">
        <f aca="false">IF(J1948="S0","—",IF(K1948="","",IF(L1948="E0","QM",INDEX(10_ASIL_Matrix!$D$4:$F$15,MATCH(J1948&amp;"-"&amp;L1948,10_ASIL_Matrix!$C$4:$C$15,0),MATCH(N1948,10_ASIL_Matrix!$D$3:$F$3,0)))))</f>
        <v>—</v>
      </c>
      <c r="Q1948" s="5" t="s">
        <v>448</v>
      </c>
    </row>
    <row r="1949" customFormat="false" ht="35.05" hidden="false" customHeight="false" outlineLevel="0" collapsed="false">
      <c r="A1949" s="6" t="s">
        <v>4583</v>
      </c>
      <c r="B1949" s="6" t="s">
        <v>108</v>
      </c>
      <c r="C1949" s="6" t="s">
        <v>109</v>
      </c>
      <c r="D1949" s="6" t="s">
        <v>140</v>
      </c>
      <c r="E1949" s="6" t="s">
        <v>141</v>
      </c>
      <c r="F1949" s="6" t="s">
        <v>207</v>
      </c>
      <c r="G1949" s="6" t="s">
        <v>609</v>
      </c>
      <c r="H1949" s="6" t="s">
        <v>224</v>
      </c>
      <c r="I1949" s="6" t="s">
        <v>4584</v>
      </c>
      <c r="J1949" s="6" t="s">
        <v>238</v>
      </c>
      <c r="K1949" s="6" t="s">
        <v>632</v>
      </c>
      <c r="L1949" s="6" t="s">
        <v>190</v>
      </c>
      <c r="M1949" s="6" t="s">
        <v>637</v>
      </c>
      <c r="N1949" s="6" t="s">
        <v>278</v>
      </c>
      <c r="O1949" s="6" t="s">
        <v>634</v>
      </c>
      <c r="P1949" s="6" t="str">
        <f aca="false">IF(J1949="S0","—",IF(K1949="","",IF(L1949="E0","QM",INDEX(10_ASIL_Matrix!$D$4:$F$15,MATCH(J1949&amp;"-"&amp;L1949,10_ASIL_Matrix!$C$4:$C$15,0),MATCH(N1949,10_ASIL_Matrix!$D$3:$F$3,0)))))</f>
        <v>—</v>
      </c>
      <c r="Q1949" s="6" t="s">
        <v>448</v>
      </c>
    </row>
    <row r="1950" customFormat="false" ht="35.05" hidden="false" customHeight="false" outlineLevel="0" collapsed="false">
      <c r="A1950" s="5" t="s">
        <v>4585</v>
      </c>
      <c r="B1950" s="5" t="s">
        <v>108</v>
      </c>
      <c r="C1950" s="5" t="s">
        <v>109</v>
      </c>
      <c r="D1950" s="5" t="s">
        <v>140</v>
      </c>
      <c r="E1950" s="5" t="s">
        <v>141</v>
      </c>
      <c r="F1950" s="5" t="s">
        <v>207</v>
      </c>
      <c r="G1950" s="5" t="s">
        <v>609</v>
      </c>
      <c r="H1950" s="5" t="s">
        <v>226</v>
      </c>
      <c r="I1950" s="5" t="s">
        <v>4586</v>
      </c>
      <c r="J1950" s="5" t="s">
        <v>238</v>
      </c>
      <c r="K1950" s="5" t="s">
        <v>632</v>
      </c>
      <c r="L1950" s="5" t="s">
        <v>190</v>
      </c>
      <c r="M1950" s="5" t="s">
        <v>640</v>
      </c>
      <c r="N1950" s="5" t="s">
        <v>278</v>
      </c>
      <c r="O1950" s="5" t="s">
        <v>634</v>
      </c>
      <c r="P1950" s="5" t="str">
        <f aca="false">IF(J1950="S0","—",IF(K1950="","",IF(L1950="E0","QM",INDEX(10_ASIL_Matrix!$D$4:$F$15,MATCH(J1950&amp;"-"&amp;L1950,10_ASIL_Matrix!$C$4:$C$15,0),MATCH(N1950,10_ASIL_Matrix!$D$3:$F$3,0)))))</f>
        <v>—</v>
      </c>
      <c r="Q1950" s="5" t="s">
        <v>448</v>
      </c>
    </row>
    <row r="1951" customFormat="false" ht="46.25" hidden="false" customHeight="false" outlineLevel="0" collapsed="false">
      <c r="A1951" s="6" t="s">
        <v>4587</v>
      </c>
      <c r="B1951" s="6" t="s">
        <v>108</v>
      </c>
      <c r="C1951" s="6" t="s">
        <v>109</v>
      </c>
      <c r="D1951" s="6" t="s">
        <v>140</v>
      </c>
      <c r="E1951" s="6" t="s">
        <v>141</v>
      </c>
      <c r="F1951" s="6" t="s">
        <v>207</v>
      </c>
      <c r="G1951" s="6" t="s">
        <v>609</v>
      </c>
      <c r="H1951" s="6" t="s">
        <v>228</v>
      </c>
      <c r="I1951" s="6" t="s">
        <v>4588</v>
      </c>
      <c r="J1951" s="6" t="s">
        <v>238</v>
      </c>
      <c r="K1951" s="6" t="s">
        <v>632</v>
      </c>
      <c r="L1951" s="6" t="s">
        <v>205</v>
      </c>
      <c r="M1951" s="6" t="s">
        <v>643</v>
      </c>
      <c r="N1951" s="6" t="s">
        <v>278</v>
      </c>
      <c r="O1951" s="6" t="s">
        <v>634</v>
      </c>
      <c r="P1951" s="6" t="str">
        <f aca="false">IF(J1951="S0","—",IF(K1951="","",IF(L1951="E0","QM",INDEX(10_ASIL_Matrix!$D$4:$F$15,MATCH(J1951&amp;"-"&amp;L1951,10_ASIL_Matrix!$C$4:$C$15,0),MATCH(N1951,10_ASIL_Matrix!$D$3:$F$3,0)))))</f>
        <v>—</v>
      </c>
      <c r="Q1951" s="6" t="s">
        <v>448</v>
      </c>
    </row>
    <row r="1952" customFormat="false" ht="35.05" hidden="false" customHeight="false" outlineLevel="0" collapsed="false">
      <c r="A1952" s="5" t="s">
        <v>4589</v>
      </c>
      <c r="B1952" s="5" t="s">
        <v>108</v>
      </c>
      <c r="C1952" s="5" t="s">
        <v>109</v>
      </c>
      <c r="D1952" s="5" t="s">
        <v>140</v>
      </c>
      <c r="E1952" s="5" t="s">
        <v>141</v>
      </c>
      <c r="F1952" s="5" t="s">
        <v>207</v>
      </c>
      <c r="G1952" s="5" t="s">
        <v>609</v>
      </c>
      <c r="H1952" s="5" t="s">
        <v>230</v>
      </c>
      <c r="I1952" s="5" t="s">
        <v>4590</v>
      </c>
      <c r="J1952" s="5" t="s">
        <v>238</v>
      </c>
      <c r="K1952" s="5" t="s">
        <v>632</v>
      </c>
      <c r="L1952" s="5" t="s">
        <v>205</v>
      </c>
      <c r="M1952" s="5" t="s">
        <v>646</v>
      </c>
      <c r="N1952" s="5" t="s">
        <v>278</v>
      </c>
      <c r="O1952" s="5" t="s">
        <v>634</v>
      </c>
      <c r="P1952" s="5" t="str">
        <f aca="false">IF(J1952="S0","—",IF(K1952="","",IF(L1952="E0","QM",INDEX(10_ASIL_Matrix!$D$4:$F$15,MATCH(J1952&amp;"-"&amp;L1952,10_ASIL_Matrix!$C$4:$C$15,0),MATCH(N1952,10_ASIL_Matrix!$D$3:$F$3,0)))))</f>
        <v>—</v>
      </c>
      <c r="Q1952" s="5" t="s">
        <v>448</v>
      </c>
    </row>
    <row r="1953" customFormat="false" ht="46.25" hidden="false" customHeight="false" outlineLevel="0" collapsed="false">
      <c r="A1953" s="6" t="s">
        <v>4591</v>
      </c>
      <c r="B1953" s="6" t="s">
        <v>108</v>
      </c>
      <c r="C1953" s="6" t="s">
        <v>109</v>
      </c>
      <c r="D1953" s="6" t="s">
        <v>140</v>
      </c>
      <c r="E1953" s="6" t="s">
        <v>141</v>
      </c>
      <c r="F1953" s="6" t="s">
        <v>207</v>
      </c>
      <c r="G1953" s="6" t="s">
        <v>609</v>
      </c>
      <c r="H1953" s="6" t="s">
        <v>232</v>
      </c>
      <c r="I1953" s="6" t="s">
        <v>4592</v>
      </c>
      <c r="J1953" s="6" t="s">
        <v>238</v>
      </c>
      <c r="K1953" s="6" t="s">
        <v>632</v>
      </c>
      <c r="L1953" s="6" t="s">
        <v>233</v>
      </c>
      <c r="M1953" s="6" t="s">
        <v>649</v>
      </c>
      <c r="N1953" s="6" t="s">
        <v>278</v>
      </c>
      <c r="O1953" s="6" t="s">
        <v>634</v>
      </c>
      <c r="P1953" s="6" t="str">
        <f aca="false">IF(J1953="S0","—",IF(K1953="","",IF(L1953="E0","QM",INDEX(10_ASIL_Matrix!$D$4:$F$15,MATCH(J1953&amp;"-"&amp;L1953,10_ASIL_Matrix!$C$4:$C$15,0),MATCH(N1953,10_ASIL_Matrix!$D$3:$F$3,0)))))</f>
        <v>—</v>
      </c>
      <c r="Q1953" s="6" t="s">
        <v>448</v>
      </c>
    </row>
    <row r="1954" customFormat="false" ht="35.05" hidden="false" customHeight="false" outlineLevel="0" collapsed="false">
      <c r="A1954" s="5" t="s">
        <v>4593</v>
      </c>
      <c r="B1954" s="5" t="s">
        <v>108</v>
      </c>
      <c r="C1954" s="5" t="s">
        <v>109</v>
      </c>
      <c r="D1954" s="5" t="s">
        <v>140</v>
      </c>
      <c r="E1954" s="5" t="s">
        <v>141</v>
      </c>
      <c r="F1954" s="5" t="s">
        <v>209</v>
      </c>
      <c r="G1954" s="5" t="s">
        <v>570</v>
      </c>
      <c r="H1954" s="5" t="s">
        <v>222</v>
      </c>
      <c r="I1954" s="5" t="s">
        <v>4594</v>
      </c>
      <c r="J1954" s="5" t="s">
        <v>250</v>
      </c>
      <c r="K1954" s="5" t="s">
        <v>652</v>
      </c>
      <c r="L1954" s="5" t="s">
        <v>190</v>
      </c>
      <c r="M1954" s="5" t="s">
        <v>653</v>
      </c>
      <c r="N1954" s="5" t="s">
        <v>286</v>
      </c>
      <c r="O1954" s="5" t="s">
        <v>470</v>
      </c>
      <c r="P1954" s="18" t="str">
        <f aca="false">IF(J1954="S0","—",IF(K1954="","",IF(L1954="E0","QM",INDEX(10_ASIL_Matrix!$D$4:$F$15,MATCH(J1954&amp;"-"&amp;L1954,10_ASIL_Matrix!$C$4:$C$15,0),MATCH(N1954,10_ASIL_Matrix!$D$3:$F$3,0)))))</f>
        <v>B</v>
      </c>
      <c r="Q1954" s="5" t="s">
        <v>448</v>
      </c>
    </row>
    <row r="1955" customFormat="false" ht="35.05" hidden="false" customHeight="false" outlineLevel="0" collapsed="false">
      <c r="A1955" s="6" t="s">
        <v>4595</v>
      </c>
      <c r="B1955" s="6" t="s">
        <v>108</v>
      </c>
      <c r="C1955" s="6" t="s">
        <v>109</v>
      </c>
      <c r="D1955" s="6" t="s">
        <v>140</v>
      </c>
      <c r="E1955" s="6" t="s">
        <v>141</v>
      </c>
      <c r="F1955" s="6" t="s">
        <v>209</v>
      </c>
      <c r="G1955" s="6" t="s">
        <v>570</v>
      </c>
      <c r="H1955" s="6" t="s">
        <v>224</v>
      </c>
      <c r="I1955" s="6" t="s">
        <v>4596</v>
      </c>
      <c r="J1955" s="6" t="s">
        <v>250</v>
      </c>
      <c r="K1955" s="6" t="s">
        <v>652</v>
      </c>
      <c r="L1955" s="6" t="s">
        <v>190</v>
      </c>
      <c r="M1955" s="6" t="s">
        <v>656</v>
      </c>
      <c r="N1955" s="6" t="s">
        <v>286</v>
      </c>
      <c r="O1955" s="6" t="s">
        <v>470</v>
      </c>
      <c r="P1955" s="18" t="str">
        <f aca="false">IF(J1955="S0","—",IF(K1955="","",IF(L1955="E0","QM",INDEX(10_ASIL_Matrix!$D$4:$F$15,MATCH(J1955&amp;"-"&amp;L1955,10_ASIL_Matrix!$C$4:$C$15,0),MATCH(N1955,10_ASIL_Matrix!$D$3:$F$3,0)))))</f>
        <v>B</v>
      </c>
      <c r="Q1955" s="6" t="s">
        <v>448</v>
      </c>
    </row>
    <row r="1956" customFormat="false" ht="35.05" hidden="false" customHeight="false" outlineLevel="0" collapsed="false">
      <c r="A1956" s="5" t="s">
        <v>4597</v>
      </c>
      <c r="B1956" s="5" t="s">
        <v>108</v>
      </c>
      <c r="C1956" s="5" t="s">
        <v>109</v>
      </c>
      <c r="D1956" s="5" t="s">
        <v>140</v>
      </c>
      <c r="E1956" s="5" t="s">
        <v>141</v>
      </c>
      <c r="F1956" s="5" t="s">
        <v>209</v>
      </c>
      <c r="G1956" s="5" t="s">
        <v>570</v>
      </c>
      <c r="H1956" s="5" t="s">
        <v>226</v>
      </c>
      <c r="I1956" s="5" t="s">
        <v>4598</v>
      </c>
      <c r="J1956" s="5" t="s">
        <v>250</v>
      </c>
      <c r="K1956" s="5" t="s">
        <v>652</v>
      </c>
      <c r="L1956" s="5" t="s">
        <v>190</v>
      </c>
      <c r="M1956" s="5" t="s">
        <v>659</v>
      </c>
      <c r="N1956" s="5" t="s">
        <v>286</v>
      </c>
      <c r="O1956" s="5" t="s">
        <v>470</v>
      </c>
      <c r="P1956" s="18" t="str">
        <f aca="false">IF(J1956="S0","—",IF(K1956="","",IF(L1956="E0","QM",INDEX(10_ASIL_Matrix!$D$4:$F$15,MATCH(J1956&amp;"-"&amp;L1956,10_ASIL_Matrix!$C$4:$C$15,0),MATCH(N1956,10_ASIL_Matrix!$D$3:$F$3,0)))))</f>
        <v>B</v>
      </c>
      <c r="Q1956" s="5" t="s">
        <v>448</v>
      </c>
    </row>
    <row r="1957" customFormat="false" ht="35.05" hidden="false" customHeight="false" outlineLevel="0" collapsed="false">
      <c r="A1957" s="6" t="s">
        <v>4599</v>
      </c>
      <c r="B1957" s="6" t="s">
        <v>108</v>
      </c>
      <c r="C1957" s="6" t="s">
        <v>109</v>
      </c>
      <c r="D1957" s="6" t="s">
        <v>140</v>
      </c>
      <c r="E1957" s="6" t="s">
        <v>141</v>
      </c>
      <c r="F1957" s="6" t="s">
        <v>209</v>
      </c>
      <c r="G1957" s="6" t="s">
        <v>570</v>
      </c>
      <c r="H1957" s="6" t="s">
        <v>228</v>
      </c>
      <c r="I1957" s="6" t="s">
        <v>4600</v>
      </c>
      <c r="J1957" s="6" t="s">
        <v>250</v>
      </c>
      <c r="K1957" s="6" t="s">
        <v>652</v>
      </c>
      <c r="L1957" s="6" t="s">
        <v>205</v>
      </c>
      <c r="M1957" s="6" t="s">
        <v>662</v>
      </c>
      <c r="N1957" s="6" t="s">
        <v>286</v>
      </c>
      <c r="O1957" s="6" t="s">
        <v>470</v>
      </c>
      <c r="P1957" s="19" t="str">
        <f aca="false">IF(J1957="S0","—",IF(K1957="","",IF(L1957="E0","QM",INDEX(10_ASIL_Matrix!$D$4:$F$15,MATCH(J1957&amp;"-"&amp;L1957,10_ASIL_Matrix!$C$4:$C$15,0),MATCH(N1957,10_ASIL_Matrix!$D$3:$F$3,0)))))</f>
        <v>A</v>
      </c>
      <c r="Q1957" s="6" t="s">
        <v>448</v>
      </c>
    </row>
    <row r="1958" customFormat="false" ht="46.25" hidden="false" customHeight="false" outlineLevel="0" collapsed="false">
      <c r="A1958" s="5" t="s">
        <v>4601</v>
      </c>
      <c r="B1958" s="5" t="s">
        <v>108</v>
      </c>
      <c r="C1958" s="5" t="s">
        <v>109</v>
      </c>
      <c r="D1958" s="5" t="s">
        <v>140</v>
      </c>
      <c r="E1958" s="5" t="s">
        <v>141</v>
      </c>
      <c r="F1958" s="5" t="s">
        <v>209</v>
      </c>
      <c r="G1958" s="5" t="s">
        <v>570</v>
      </c>
      <c r="H1958" s="5" t="s">
        <v>230</v>
      </c>
      <c r="I1958" s="5" t="s">
        <v>4602</v>
      </c>
      <c r="J1958" s="5" t="s">
        <v>250</v>
      </c>
      <c r="K1958" s="5" t="s">
        <v>652</v>
      </c>
      <c r="L1958" s="5" t="s">
        <v>205</v>
      </c>
      <c r="M1958" s="5" t="s">
        <v>665</v>
      </c>
      <c r="N1958" s="5" t="s">
        <v>290</v>
      </c>
      <c r="O1958" s="5" t="s">
        <v>483</v>
      </c>
      <c r="P1958" s="18" t="str">
        <f aca="false">IF(J1958="S0","—",IF(K1958="","",IF(L1958="E0","QM",INDEX(10_ASIL_Matrix!$D$4:$F$15,MATCH(J1958&amp;"-"&amp;L1958,10_ASIL_Matrix!$C$4:$C$15,0),MATCH(N1958,10_ASIL_Matrix!$D$3:$F$3,0)))))</f>
        <v>B</v>
      </c>
      <c r="Q1958" s="5" t="s">
        <v>448</v>
      </c>
    </row>
    <row r="1959" customFormat="false" ht="46.25" hidden="false" customHeight="false" outlineLevel="0" collapsed="false">
      <c r="A1959" s="6" t="s">
        <v>4603</v>
      </c>
      <c r="B1959" s="6" t="s">
        <v>108</v>
      </c>
      <c r="C1959" s="6" t="s">
        <v>109</v>
      </c>
      <c r="D1959" s="6" t="s">
        <v>140</v>
      </c>
      <c r="E1959" s="6" t="s">
        <v>141</v>
      </c>
      <c r="F1959" s="6" t="s">
        <v>209</v>
      </c>
      <c r="G1959" s="6" t="s">
        <v>570</v>
      </c>
      <c r="H1959" s="6" t="s">
        <v>232</v>
      </c>
      <c r="I1959" s="6" t="s">
        <v>4604</v>
      </c>
      <c r="J1959" s="6" t="s">
        <v>250</v>
      </c>
      <c r="K1959" s="6" t="s">
        <v>652</v>
      </c>
      <c r="L1959" s="6" t="s">
        <v>233</v>
      </c>
      <c r="M1959" s="6" t="s">
        <v>668</v>
      </c>
      <c r="N1959" s="6" t="s">
        <v>286</v>
      </c>
      <c r="O1959" s="6" t="s">
        <v>470</v>
      </c>
      <c r="P1959" s="6" t="str">
        <f aca="false">IF(J1959="S0","—",IF(K1959="","",IF(L1959="E0","QM",INDEX(10_ASIL_Matrix!$D$4:$F$15,MATCH(J1959&amp;"-"&amp;L1959,10_ASIL_Matrix!$C$4:$C$15,0),MATCH(N1959,10_ASIL_Matrix!$D$3:$F$3,0)))))</f>
        <v>QM</v>
      </c>
      <c r="Q1959" s="6" t="s">
        <v>448</v>
      </c>
    </row>
    <row r="1960" customFormat="false" ht="35.05" hidden="false" customHeight="false" outlineLevel="0" collapsed="false">
      <c r="A1960" s="5" t="s">
        <v>4605</v>
      </c>
      <c r="B1960" s="5" t="s">
        <v>108</v>
      </c>
      <c r="C1960" s="5" t="s">
        <v>109</v>
      </c>
      <c r="D1960" s="5" t="s">
        <v>140</v>
      </c>
      <c r="E1960" s="5" t="s">
        <v>141</v>
      </c>
      <c r="F1960" s="5" t="s">
        <v>211</v>
      </c>
      <c r="G1960" s="5" t="s">
        <v>609</v>
      </c>
      <c r="H1960" s="5" t="s">
        <v>222</v>
      </c>
      <c r="I1960" s="5" t="s">
        <v>4606</v>
      </c>
      <c r="J1960" s="5" t="s">
        <v>238</v>
      </c>
      <c r="K1960" s="5" t="s">
        <v>883</v>
      </c>
      <c r="L1960" s="5" t="s">
        <v>187</v>
      </c>
      <c r="M1960" s="5" t="s">
        <v>672</v>
      </c>
      <c r="N1960" s="5" t="s">
        <v>278</v>
      </c>
      <c r="O1960" s="5" t="s">
        <v>634</v>
      </c>
      <c r="P1960" s="5" t="str">
        <f aca="false">IF(J1960="S0","—",IF(K1960="","",IF(L1960="E0","QM",INDEX(10_ASIL_Matrix!$D$4:$F$15,MATCH(J1960&amp;"-"&amp;L1960,10_ASIL_Matrix!$C$4:$C$15,0),MATCH(N1960,10_ASIL_Matrix!$D$3:$F$3,0)))))</f>
        <v>—</v>
      </c>
      <c r="Q1960" s="5" t="s">
        <v>448</v>
      </c>
    </row>
    <row r="1961" customFormat="false" ht="35.05" hidden="false" customHeight="false" outlineLevel="0" collapsed="false">
      <c r="A1961" s="6" t="s">
        <v>4607</v>
      </c>
      <c r="B1961" s="6" t="s">
        <v>108</v>
      </c>
      <c r="C1961" s="6" t="s">
        <v>109</v>
      </c>
      <c r="D1961" s="6" t="s">
        <v>140</v>
      </c>
      <c r="E1961" s="6" t="s">
        <v>141</v>
      </c>
      <c r="F1961" s="6" t="s">
        <v>211</v>
      </c>
      <c r="G1961" s="6" t="s">
        <v>609</v>
      </c>
      <c r="H1961" s="6" t="s">
        <v>224</v>
      </c>
      <c r="I1961" s="6" t="s">
        <v>4608</v>
      </c>
      <c r="J1961" s="6" t="s">
        <v>238</v>
      </c>
      <c r="K1961" s="6" t="s">
        <v>883</v>
      </c>
      <c r="L1961" s="6" t="s">
        <v>190</v>
      </c>
      <c r="M1961" s="6" t="s">
        <v>675</v>
      </c>
      <c r="N1961" s="6" t="s">
        <v>278</v>
      </c>
      <c r="O1961" s="6" t="s">
        <v>634</v>
      </c>
      <c r="P1961" s="6" t="str">
        <f aca="false">IF(J1961="S0","—",IF(K1961="","",IF(L1961="E0","QM",INDEX(10_ASIL_Matrix!$D$4:$F$15,MATCH(J1961&amp;"-"&amp;L1961,10_ASIL_Matrix!$C$4:$C$15,0),MATCH(N1961,10_ASIL_Matrix!$D$3:$F$3,0)))))</f>
        <v>—</v>
      </c>
      <c r="Q1961" s="6" t="s">
        <v>448</v>
      </c>
    </row>
    <row r="1962" customFormat="false" ht="35.05" hidden="false" customHeight="false" outlineLevel="0" collapsed="false">
      <c r="A1962" s="5" t="s">
        <v>4609</v>
      </c>
      <c r="B1962" s="5" t="s">
        <v>108</v>
      </c>
      <c r="C1962" s="5" t="s">
        <v>109</v>
      </c>
      <c r="D1962" s="5" t="s">
        <v>140</v>
      </c>
      <c r="E1962" s="5" t="s">
        <v>141</v>
      </c>
      <c r="F1962" s="5" t="s">
        <v>211</v>
      </c>
      <c r="G1962" s="5" t="s">
        <v>609</v>
      </c>
      <c r="H1962" s="5" t="s">
        <v>226</v>
      </c>
      <c r="I1962" s="5" t="s">
        <v>4610</v>
      </c>
      <c r="J1962" s="5" t="s">
        <v>238</v>
      </c>
      <c r="K1962" s="5" t="s">
        <v>883</v>
      </c>
      <c r="L1962" s="5" t="s">
        <v>190</v>
      </c>
      <c r="M1962" s="5" t="s">
        <v>678</v>
      </c>
      <c r="N1962" s="5" t="s">
        <v>278</v>
      </c>
      <c r="O1962" s="5" t="s">
        <v>634</v>
      </c>
      <c r="P1962" s="5" t="str">
        <f aca="false">IF(J1962="S0","—",IF(K1962="","",IF(L1962="E0","QM",INDEX(10_ASIL_Matrix!$D$4:$F$15,MATCH(J1962&amp;"-"&amp;L1962,10_ASIL_Matrix!$C$4:$C$15,0),MATCH(N1962,10_ASIL_Matrix!$D$3:$F$3,0)))))</f>
        <v>—</v>
      </c>
      <c r="Q1962" s="5" t="s">
        <v>448</v>
      </c>
    </row>
    <row r="1963" customFormat="false" ht="35.05" hidden="false" customHeight="false" outlineLevel="0" collapsed="false">
      <c r="A1963" s="6" t="s">
        <v>4611</v>
      </c>
      <c r="B1963" s="6" t="s">
        <v>108</v>
      </c>
      <c r="C1963" s="6" t="s">
        <v>109</v>
      </c>
      <c r="D1963" s="6" t="s">
        <v>140</v>
      </c>
      <c r="E1963" s="6" t="s">
        <v>141</v>
      </c>
      <c r="F1963" s="6" t="s">
        <v>211</v>
      </c>
      <c r="G1963" s="6" t="s">
        <v>609</v>
      </c>
      <c r="H1963" s="6" t="s">
        <v>228</v>
      </c>
      <c r="I1963" s="6" t="s">
        <v>4612</v>
      </c>
      <c r="J1963" s="6" t="s">
        <v>238</v>
      </c>
      <c r="K1963" s="6" t="s">
        <v>883</v>
      </c>
      <c r="L1963" s="6" t="s">
        <v>205</v>
      </c>
      <c r="M1963" s="6" t="s">
        <v>681</v>
      </c>
      <c r="N1963" s="6" t="s">
        <v>278</v>
      </c>
      <c r="O1963" s="6" t="s">
        <v>634</v>
      </c>
      <c r="P1963" s="6" t="str">
        <f aca="false">IF(J1963="S0","—",IF(K1963="","",IF(L1963="E0","QM",INDEX(10_ASIL_Matrix!$D$4:$F$15,MATCH(J1963&amp;"-"&amp;L1963,10_ASIL_Matrix!$C$4:$C$15,0),MATCH(N1963,10_ASIL_Matrix!$D$3:$F$3,0)))))</f>
        <v>—</v>
      </c>
      <c r="Q1963" s="6" t="s">
        <v>448</v>
      </c>
    </row>
    <row r="1964" customFormat="false" ht="35.05" hidden="false" customHeight="false" outlineLevel="0" collapsed="false">
      <c r="A1964" s="5" t="s">
        <v>4613</v>
      </c>
      <c r="B1964" s="5" t="s">
        <v>108</v>
      </c>
      <c r="C1964" s="5" t="s">
        <v>109</v>
      </c>
      <c r="D1964" s="5" t="s">
        <v>140</v>
      </c>
      <c r="E1964" s="5" t="s">
        <v>141</v>
      </c>
      <c r="F1964" s="5" t="s">
        <v>211</v>
      </c>
      <c r="G1964" s="5" t="s">
        <v>609</v>
      </c>
      <c r="H1964" s="5" t="s">
        <v>230</v>
      </c>
      <c r="I1964" s="5" t="s">
        <v>4614</v>
      </c>
      <c r="J1964" s="5" t="s">
        <v>238</v>
      </c>
      <c r="K1964" s="5" t="s">
        <v>883</v>
      </c>
      <c r="L1964" s="5" t="s">
        <v>205</v>
      </c>
      <c r="M1964" s="5" t="s">
        <v>684</v>
      </c>
      <c r="N1964" s="5" t="s">
        <v>278</v>
      </c>
      <c r="O1964" s="5" t="s">
        <v>634</v>
      </c>
      <c r="P1964" s="5" t="str">
        <f aca="false">IF(J1964="S0","—",IF(K1964="","",IF(L1964="E0","QM",INDEX(10_ASIL_Matrix!$D$4:$F$15,MATCH(J1964&amp;"-"&amp;L1964,10_ASIL_Matrix!$C$4:$C$15,0),MATCH(N1964,10_ASIL_Matrix!$D$3:$F$3,0)))))</f>
        <v>—</v>
      </c>
      <c r="Q1964" s="5" t="s">
        <v>448</v>
      </c>
    </row>
    <row r="1965" customFormat="false" ht="46.25" hidden="false" customHeight="false" outlineLevel="0" collapsed="false">
      <c r="A1965" s="6" t="s">
        <v>4615</v>
      </c>
      <c r="B1965" s="6" t="s">
        <v>108</v>
      </c>
      <c r="C1965" s="6" t="s">
        <v>109</v>
      </c>
      <c r="D1965" s="6" t="s">
        <v>140</v>
      </c>
      <c r="E1965" s="6" t="s">
        <v>141</v>
      </c>
      <c r="F1965" s="6" t="s">
        <v>211</v>
      </c>
      <c r="G1965" s="6" t="s">
        <v>609</v>
      </c>
      <c r="H1965" s="6" t="s">
        <v>232</v>
      </c>
      <c r="I1965" s="6" t="s">
        <v>4616</v>
      </c>
      <c r="J1965" s="6" t="s">
        <v>238</v>
      </c>
      <c r="K1965" s="6" t="s">
        <v>883</v>
      </c>
      <c r="L1965" s="6" t="s">
        <v>233</v>
      </c>
      <c r="M1965" s="6" t="s">
        <v>687</v>
      </c>
      <c r="N1965" s="6" t="s">
        <v>278</v>
      </c>
      <c r="O1965" s="6" t="s">
        <v>634</v>
      </c>
      <c r="P1965" s="6" t="str">
        <f aca="false">IF(J1965="S0","—",IF(K1965="","",IF(L1965="E0","QM",INDEX(10_ASIL_Matrix!$D$4:$F$15,MATCH(J1965&amp;"-"&amp;L1965,10_ASIL_Matrix!$C$4:$C$15,0),MATCH(N1965,10_ASIL_Matrix!$D$3:$F$3,0)))))</f>
        <v>—</v>
      </c>
      <c r="Q1965" s="6" t="s">
        <v>448</v>
      </c>
    </row>
    <row r="1966" customFormat="false" ht="46.25" hidden="false" customHeight="false" outlineLevel="0" collapsed="false">
      <c r="A1966" s="5" t="s">
        <v>4617</v>
      </c>
      <c r="B1966" s="5" t="s">
        <v>108</v>
      </c>
      <c r="C1966" s="5" t="s">
        <v>109</v>
      </c>
      <c r="D1966" s="5" t="s">
        <v>140</v>
      </c>
      <c r="E1966" s="5" t="s">
        <v>141</v>
      </c>
      <c r="F1966" s="5" t="s">
        <v>213</v>
      </c>
      <c r="G1966" s="5" t="s">
        <v>689</v>
      </c>
      <c r="H1966" s="5" t="s">
        <v>222</v>
      </c>
      <c r="I1966" s="5" t="s">
        <v>4618</v>
      </c>
      <c r="J1966" s="5" t="s">
        <v>250</v>
      </c>
      <c r="K1966" s="5" t="s">
        <v>691</v>
      </c>
      <c r="L1966" s="5" t="s">
        <v>205</v>
      </c>
      <c r="M1966" s="5" t="s">
        <v>692</v>
      </c>
      <c r="N1966" s="5" t="s">
        <v>290</v>
      </c>
      <c r="O1966" s="5" t="s">
        <v>693</v>
      </c>
      <c r="P1966" s="18" t="str">
        <f aca="false">IF(J1966="S0","—",IF(K1966="","",IF(L1966="E0","QM",INDEX(10_ASIL_Matrix!$D$4:$F$15,MATCH(J1966&amp;"-"&amp;L1966,10_ASIL_Matrix!$C$4:$C$15,0),MATCH(N1966,10_ASIL_Matrix!$D$3:$F$3,0)))))</f>
        <v>B</v>
      </c>
      <c r="Q1966" s="5" t="s">
        <v>448</v>
      </c>
    </row>
    <row r="1967" customFormat="false" ht="46.25" hidden="false" customHeight="false" outlineLevel="0" collapsed="false">
      <c r="A1967" s="6" t="s">
        <v>4619</v>
      </c>
      <c r="B1967" s="6" t="s">
        <v>108</v>
      </c>
      <c r="C1967" s="6" t="s">
        <v>109</v>
      </c>
      <c r="D1967" s="6" t="s">
        <v>140</v>
      </c>
      <c r="E1967" s="6" t="s">
        <v>141</v>
      </c>
      <c r="F1967" s="6" t="s">
        <v>213</v>
      </c>
      <c r="G1967" s="6" t="s">
        <v>689</v>
      </c>
      <c r="H1967" s="6" t="s">
        <v>224</v>
      </c>
      <c r="I1967" s="6" t="s">
        <v>4620</v>
      </c>
      <c r="J1967" s="6" t="s">
        <v>250</v>
      </c>
      <c r="K1967" s="6" t="s">
        <v>691</v>
      </c>
      <c r="L1967" s="6" t="s">
        <v>205</v>
      </c>
      <c r="M1967" s="6" t="s">
        <v>696</v>
      </c>
      <c r="N1967" s="6" t="s">
        <v>290</v>
      </c>
      <c r="O1967" s="6" t="s">
        <v>693</v>
      </c>
      <c r="P1967" s="18" t="str">
        <f aca="false">IF(J1967="S0","—",IF(K1967="","",IF(L1967="E0","QM",INDEX(10_ASIL_Matrix!$D$4:$F$15,MATCH(J1967&amp;"-"&amp;L1967,10_ASIL_Matrix!$C$4:$C$15,0),MATCH(N1967,10_ASIL_Matrix!$D$3:$F$3,0)))))</f>
        <v>B</v>
      </c>
      <c r="Q1967" s="6" t="s">
        <v>448</v>
      </c>
    </row>
    <row r="1968" customFormat="false" ht="46.25" hidden="false" customHeight="false" outlineLevel="0" collapsed="false">
      <c r="A1968" s="5" t="s">
        <v>4621</v>
      </c>
      <c r="B1968" s="5" t="s">
        <v>108</v>
      </c>
      <c r="C1968" s="5" t="s">
        <v>109</v>
      </c>
      <c r="D1968" s="5" t="s">
        <v>140</v>
      </c>
      <c r="E1968" s="5" t="s">
        <v>141</v>
      </c>
      <c r="F1968" s="5" t="s">
        <v>213</v>
      </c>
      <c r="G1968" s="5" t="s">
        <v>689</v>
      </c>
      <c r="H1968" s="5" t="s">
        <v>226</v>
      </c>
      <c r="I1968" s="5" t="s">
        <v>4622</v>
      </c>
      <c r="J1968" s="5" t="s">
        <v>250</v>
      </c>
      <c r="K1968" s="5" t="s">
        <v>691</v>
      </c>
      <c r="L1968" s="5" t="s">
        <v>205</v>
      </c>
      <c r="M1968" s="5" t="s">
        <v>699</v>
      </c>
      <c r="N1968" s="5" t="s">
        <v>290</v>
      </c>
      <c r="O1968" s="5" t="s">
        <v>693</v>
      </c>
      <c r="P1968" s="18" t="str">
        <f aca="false">IF(J1968="S0","—",IF(K1968="","",IF(L1968="E0","QM",INDEX(10_ASIL_Matrix!$D$4:$F$15,MATCH(J1968&amp;"-"&amp;L1968,10_ASIL_Matrix!$C$4:$C$15,0),MATCH(N1968,10_ASIL_Matrix!$D$3:$F$3,0)))))</f>
        <v>B</v>
      </c>
      <c r="Q1968" s="5" t="s">
        <v>448</v>
      </c>
    </row>
    <row r="1969" customFormat="false" ht="46.25" hidden="false" customHeight="false" outlineLevel="0" collapsed="false">
      <c r="A1969" s="6" t="s">
        <v>4623</v>
      </c>
      <c r="B1969" s="6" t="s">
        <v>108</v>
      </c>
      <c r="C1969" s="6" t="s">
        <v>109</v>
      </c>
      <c r="D1969" s="6" t="s">
        <v>140</v>
      </c>
      <c r="E1969" s="6" t="s">
        <v>141</v>
      </c>
      <c r="F1969" s="6" t="s">
        <v>213</v>
      </c>
      <c r="G1969" s="6" t="s">
        <v>689</v>
      </c>
      <c r="H1969" s="6" t="s">
        <v>228</v>
      </c>
      <c r="I1969" s="6" t="s">
        <v>4624</v>
      </c>
      <c r="J1969" s="6" t="s">
        <v>250</v>
      </c>
      <c r="K1969" s="6" t="s">
        <v>691</v>
      </c>
      <c r="L1969" s="6" t="s">
        <v>205</v>
      </c>
      <c r="M1969" s="6" t="s">
        <v>702</v>
      </c>
      <c r="N1969" s="6" t="s">
        <v>290</v>
      </c>
      <c r="O1969" s="6" t="s">
        <v>693</v>
      </c>
      <c r="P1969" s="18" t="str">
        <f aca="false">IF(J1969="S0","—",IF(K1969="","",IF(L1969="E0","QM",INDEX(10_ASIL_Matrix!$D$4:$F$15,MATCH(J1969&amp;"-"&amp;L1969,10_ASIL_Matrix!$C$4:$C$15,0),MATCH(N1969,10_ASIL_Matrix!$D$3:$F$3,0)))))</f>
        <v>B</v>
      </c>
      <c r="Q1969" s="6" t="s">
        <v>448</v>
      </c>
    </row>
    <row r="1970" customFormat="false" ht="46.25" hidden="false" customHeight="false" outlineLevel="0" collapsed="false">
      <c r="A1970" s="5" t="s">
        <v>4625</v>
      </c>
      <c r="B1970" s="5" t="s">
        <v>108</v>
      </c>
      <c r="C1970" s="5" t="s">
        <v>109</v>
      </c>
      <c r="D1970" s="5" t="s">
        <v>140</v>
      </c>
      <c r="E1970" s="5" t="s">
        <v>141</v>
      </c>
      <c r="F1970" s="5" t="s">
        <v>213</v>
      </c>
      <c r="G1970" s="5" t="s">
        <v>689</v>
      </c>
      <c r="H1970" s="5" t="s">
        <v>230</v>
      </c>
      <c r="I1970" s="5" t="s">
        <v>4626</v>
      </c>
      <c r="J1970" s="5" t="s">
        <v>250</v>
      </c>
      <c r="K1970" s="5" t="s">
        <v>691</v>
      </c>
      <c r="L1970" s="5" t="s">
        <v>205</v>
      </c>
      <c r="M1970" s="5" t="s">
        <v>705</v>
      </c>
      <c r="N1970" s="5" t="s">
        <v>290</v>
      </c>
      <c r="O1970" s="5" t="s">
        <v>706</v>
      </c>
      <c r="P1970" s="18" t="str">
        <f aca="false">IF(J1970="S0","—",IF(K1970="","",IF(L1970="E0","QM",INDEX(10_ASIL_Matrix!$D$4:$F$15,MATCH(J1970&amp;"-"&amp;L1970,10_ASIL_Matrix!$C$4:$C$15,0),MATCH(N1970,10_ASIL_Matrix!$D$3:$F$3,0)))))</f>
        <v>B</v>
      </c>
      <c r="Q1970" s="5" t="s">
        <v>448</v>
      </c>
    </row>
    <row r="1971" customFormat="false" ht="46.25" hidden="false" customHeight="false" outlineLevel="0" collapsed="false">
      <c r="A1971" s="6" t="s">
        <v>4627</v>
      </c>
      <c r="B1971" s="6" t="s">
        <v>108</v>
      </c>
      <c r="C1971" s="6" t="s">
        <v>109</v>
      </c>
      <c r="D1971" s="6" t="s">
        <v>140</v>
      </c>
      <c r="E1971" s="6" t="s">
        <v>141</v>
      </c>
      <c r="F1971" s="6" t="s">
        <v>213</v>
      </c>
      <c r="G1971" s="6" t="s">
        <v>689</v>
      </c>
      <c r="H1971" s="6" t="s">
        <v>232</v>
      </c>
      <c r="I1971" s="6" t="s">
        <v>4628</v>
      </c>
      <c r="J1971" s="6" t="s">
        <v>250</v>
      </c>
      <c r="K1971" s="6" t="s">
        <v>691</v>
      </c>
      <c r="L1971" s="6" t="s">
        <v>233</v>
      </c>
      <c r="M1971" s="6" t="s">
        <v>709</v>
      </c>
      <c r="N1971" s="6" t="s">
        <v>290</v>
      </c>
      <c r="O1971" s="6" t="s">
        <v>693</v>
      </c>
      <c r="P1971" s="19" t="str">
        <f aca="false">IF(J1971="S0","—",IF(K1971="","",IF(L1971="E0","QM",INDEX(10_ASIL_Matrix!$D$4:$F$15,MATCH(J1971&amp;"-"&amp;L1971,10_ASIL_Matrix!$C$4:$C$15,0),MATCH(N1971,10_ASIL_Matrix!$D$3:$F$3,0)))))</f>
        <v>A</v>
      </c>
      <c r="Q1971" s="6" t="s">
        <v>448</v>
      </c>
    </row>
    <row r="1972" customFormat="false" ht="35.05" hidden="false" customHeight="false" outlineLevel="0" collapsed="false">
      <c r="A1972" s="5" t="s">
        <v>4629</v>
      </c>
      <c r="B1972" s="5" t="s">
        <v>108</v>
      </c>
      <c r="C1972" s="5" t="s">
        <v>109</v>
      </c>
      <c r="D1972" s="5" t="s">
        <v>140</v>
      </c>
      <c r="E1972" s="5" t="s">
        <v>141</v>
      </c>
      <c r="F1972" s="5" t="s">
        <v>215</v>
      </c>
      <c r="G1972" s="5" t="s">
        <v>711</v>
      </c>
      <c r="H1972" s="5" t="s">
        <v>222</v>
      </c>
      <c r="I1972" s="5" t="s">
        <v>4630</v>
      </c>
      <c r="J1972" s="5" t="s">
        <v>250</v>
      </c>
      <c r="K1972" s="5" t="s">
        <v>713</v>
      </c>
      <c r="L1972" s="5" t="s">
        <v>190</v>
      </c>
      <c r="M1972" s="5" t="s">
        <v>714</v>
      </c>
      <c r="N1972" s="5" t="s">
        <v>282</v>
      </c>
      <c r="O1972" s="5" t="s">
        <v>447</v>
      </c>
      <c r="P1972" s="19" t="str">
        <f aca="false">IF(J1972="S0","—",IF(K1972="","",IF(L1972="E0","QM",INDEX(10_ASIL_Matrix!$D$4:$F$15,MATCH(J1972&amp;"-"&amp;L1972,10_ASIL_Matrix!$C$4:$C$15,0),MATCH(N1972,10_ASIL_Matrix!$D$3:$F$3,0)))))</f>
        <v>A</v>
      </c>
      <c r="Q1972" s="5" t="s">
        <v>448</v>
      </c>
    </row>
    <row r="1973" customFormat="false" ht="35.05" hidden="false" customHeight="false" outlineLevel="0" collapsed="false">
      <c r="A1973" s="6" t="s">
        <v>4631</v>
      </c>
      <c r="B1973" s="6" t="s">
        <v>108</v>
      </c>
      <c r="C1973" s="6" t="s">
        <v>109</v>
      </c>
      <c r="D1973" s="6" t="s">
        <v>140</v>
      </c>
      <c r="E1973" s="6" t="s">
        <v>141</v>
      </c>
      <c r="F1973" s="6" t="s">
        <v>215</v>
      </c>
      <c r="G1973" s="6" t="s">
        <v>711</v>
      </c>
      <c r="H1973" s="6" t="s">
        <v>224</v>
      </c>
      <c r="I1973" s="6" t="s">
        <v>4632</v>
      </c>
      <c r="J1973" s="6" t="s">
        <v>250</v>
      </c>
      <c r="K1973" s="6" t="s">
        <v>713</v>
      </c>
      <c r="L1973" s="6" t="s">
        <v>190</v>
      </c>
      <c r="M1973" s="6" t="s">
        <v>717</v>
      </c>
      <c r="N1973" s="6" t="s">
        <v>282</v>
      </c>
      <c r="O1973" s="6" t="s">
        <v>447</v>
      </c>
      <c r="P1973" s="19" t="str">
        <f aca="false">IF(J1973="S0","—",IF(K1973="","",IF(L1973="E0","QM",INDEX(10_ASIL_Matrix!$D$4:$F$15,MATCH(J1973&amp;"-"&amp;L1973,10_ASIL_Matrix!$C$4:$C$15,0),MATCH(N1973,10_ASIL_Matrix!$D$3:$F$3,0)))))</f>
        <v>A</v>
      </c>
      <c r="Q1973" s="6" t="s">
        <v>448</v>
      </c>
    </row>
    <row r="1974" customFormat="false" ht="35.05" hidden="false" customHeight="false" outlineLevel="0" collapsed="false">
      <c r="A1974" s="5" t="s">
        <v>4633</v>
      </c>
      <c r="B1974" s="5" t="s">
        <v>108</v>
      </c>
      <c r="C1974" s="5" t="s">
        <v>109</v>
      </c>
      <c r="D1974" s="5" t="s">
        <v>140</v>
      </c>
      <c r="E1974" s="5" t="s">
        <v>141</v>
      </c>
      <c r="F1974" s="5" t="s">
        <v>215</v>
      </c>
      <c r="G1974" s="5" t="s">
        <v>711</v>
      </c>
      <c r="H1974" s="5" t="s">
        <v>226</v>
      </c>
      <c r="I1974" s="5" t="s">
        <v>4634</v>
      </c>
      <c r="J1974" s="5" t="s">
        <v>250</v>
      </c>
      <c r="K1974" s="5" t="s">
        <v>713</v>
      </c>
      <c r="L1974" s="5" t="s">
        <v>190</v>
      </c>
      <c r="M1974" s="5" t="s">
        <v>720</v>
      </c>
      <c r="N1974" s="5" t="s">
        <v>282</v>
      </c>
      <c r="O1974" s="5" t="s">
        <v>447</v>
      </c>
      <c r="P1974" s="19" t="str">
        <f aca="false">IF(J1974="S0","—",IF(K1974="","",IF(L1974="E0","QM",INDEX(10_ASIL_Matrix!$D$4:$F$15,MATCH(J1974&amp;"-"&amp;L1974,10_ASIL_Matrix!$C$4:$C$15,0),MATCH(N1974,10_ASIL_Matrix!$D$3:$F$3,0)))))</f>
        <v>A</v>
      </c>
      <c r="Q1974" s="5" t="s">
        <v>448</v>
      </c>
    </row>
    <row r="1975" customFormat="false" ht="35.05" hidden="false" customHeight="false" outlineLevel="0" collapsed="false">
      <c r="A1975" s="6" t="s">
        <v>4635</v>
      </c>
      <c r="B1975" s="6" t="s">
        <v>108</v>
      </c>
      <c r="C1975" s="6" t="s">
        <v>109</v>
      </c>
      <c r="D1975" s="6" t="s">
        <v>140</v>
      </c>
      <c r="E1975" s="6" t="s">
        <v>141</v>
      </c>
      <c r="F1975" s="6" t="s">
        <v>215</v>
      </c>
      <c r="G1975" s="6" t="s">
        <v>711</v>
      </c>
      <c r="H1975" s="6" t="s">
        <v>228</v>
      </c>
      <c r="I1975" s="6" t="s">
        <v>4636</v>
      </c>
      <c r="J1975" s="6" t="s">
        <v>250</v>
      </c>
      <c r="K1975" s="6" t="s">
        <v>713</v>
      </c>
      <c r="L1975" s="6" t="s">
        <v>205</v>
      </c>
      <c r="M1975" s="6" t="s">
        <v>723</v>
      </c>
      <c r="N1975" s="6" t="s">
        <v>282</v>
      </c>
      <c r="O1975" s="6" t="s">
        <v>447</v>
      </c>
      <c r="P1975" s="6" t="str">
        <f aca="false">IF(J1975="S0","—",IF(K1975="","",IF(L1975="E0","QM",INDEX(10_ASIL_Matrix!$D$4:$F$15,MATCH(J1975&amp;"-"&amp;L1975,10_ASIL_Matrix!$C$4:$C$15,0),MATCH(N1975,10_ASIL_Matrix!$D$3:$F$3,0)))))</f>
        <v>QM</v>
      </c>
      <c r="Q1975" s="6" t="s">
        <v>448</v>
      </c>
    </row>
    <row r="1976" customFormat="false" ht="35.05" hidden="false" customHeight="false" outlineLevel="0" collapsed="false">
      <c r="A1976" s="5" t="s">
        <v>4637</v>
      </c>
      <c r="B1976" s="5" t="s">
        <v>108</v>
      </c>
      <c r="C1976" s="5" t="s">
        <v>109</v>
      </c>
      <c r="D1976" s="5" t="s">
        <v>140</v>
      </c>
      <c r="E1976" s="5" t="s">
        <v>141</v>
      </c>
      <c r="F1976" s="5" t="s">
        <v>215</v>
      </c>
      <c r="G1976" s="5" t="s">
        <v>711</v>
      </c>
      <c r="H1976" s="5" t="s">
        <v>230</v>
      </c>
      <c r="I1976" s="5" t="s">
        <v>4638</v>
      </c>
      <c r="J1976" s="5" t="s">
        <v>250</v>
      </c>
      <c r="K1976" s="5" t="s">
        <v>713</v>
      </c>
      <c r="L1976" s="5" t="s">
        <v>205</v>
      </c>
      <c r="M1976" s="5" t="s">
        <v>726</v>
      </c>
      <c r="N1976" s="5" t="s">
        <v>286</v>
      </c>
      <c r="O1976" s="5" t="s">
        <v>461</v>
      </c>
      <c r="P1976" s="19" t="str">
        <f aca="false">IF(J1976="S0","—",IF(K1976="","",IF(L1976="E0","QM",INDEX(10_ASIL_Matrix!$D$4:$F$15,MATCH(J1976&amp;"-"&amp;L1976,10_ASIL_Matrix!$C$4:$C$15,0),MATCH(N1976,10_ASIL_Matrix!$D$3:$F$3,0)))))</f>
        <v>A</v>
      </c>
      <c r="Q1976" s="5" t="s">
        <v>448</v>
      </c>
    </row>
    <row r="1977" customFormat="false" ht="46.25" hidden="false" customHeight="false" outlineLevel="0" collapsed="false">
      <c r="A1977" s="6" t="s">
        <v>4639</v>
      </c>
      <c r="B1977" s="6" t="s">
        <v>108</v>
      </c>
      <c r="C1977" s="6" t="s">
        <v>109</v>
      </c>
      <c r="D1977" s="6" t="s">
        <v>140</v>
      </c>
      <c r="E1977" s="6" t="s">
        <v>141</v>
      </c>
      <c r="F1977" s="6" t="s">
        <v>215</v>
      </c>
      <c r="G1977" s="6" t="s">
        <v>711</v>
      </c>
      <c r="H1977" s="6" t="s">
        <v>232</v>
      </c>
      <c r="I1977" s="6" t="s">
        <v>4640</v>
      </c>
      <c r="J1977" s="6" t="s">
        <v>250</v>
      </c>
      <c r="K1977" s="6" t="s">
        <v>713</v>
      </c>
      <c r="L1977" s="6" t="s">
        <v>233</v>
      </c>
      <c r="M1977" s="6" t="s">
        <v>729</v>
      </c>
      <c r="N1977" s="6" t="s">
        <v>282</v>
      </c>
      <c r="O1977" s="6" t="s">
        <v>447</v>
      </c>
      <c r="P1977" s="6" t="str">
        <f aca="false">IF(J1977="S0","—",IF(K1977="","",IF(L1977="E0","QM",INDEX(10_ASIL_Matrix!$D$4:$F$15,MATCH(J1977&amp;"-"&amp;L1977,10_ASIL_Matrix!$C$4:$C$15,0),MATCH(N1977,10_ASIL_Matrix!$D$3:$F$3,0)))))</f>
        <v>QM</v>
      </c>
      <c r="Q1977" s="6" t="s">
        <v>448</v>
      </c>
    </row>
    <row r="1978" customFormat="false" ht="35.05" hidden="false" customHeight="false" outlineLevel="0" collapsed="false">
      <c r="A1978" s="5" t="s">
        <v>4641</v>
      </c>
      <c r="B1978" s="5" t="s">
        <v>108</v>
      </c>
      <c r="C1978" s="5" t="s">
        <v>109</v>
      </c>
      <c r="D1978" s="5" t="s">
        <v>140</v>
      </c>
      <c r="E1978" s="5" t="s">
        <v>141</v>
      </c>
      <c r="F1978" s="5" t="s">
        <v>217</v>
      </c>
      <c r="G1978" s="5" t="s">
        <v>488</v>
      </c>
      <c r="H1978" s="5" t="s">
        <v>222</v>
      </c>
      <c r="I1978" s="5" t="s">
        <v>4642</v>
      </c>
      <c r="J1978" s="5" t="s">
        <v>250</v>
      </c>
      <c r="K1978" s="5" t="s">
        <v>732</v>
      </c>
      <c r="L1978" s="5" t="s">
        <v>190</v>
      </c>
      <c r="M1978" s="5" t="s">
        <v>733</v>
      </c>
      <c r="N1978" s="5" t="s">
        <v>286</v>
      </c>
      <c r="O1978" s="5" t="s">
        <v>470</v>
      </c>
      <c r="P1978" s="18" t="str">
        <f aca="false">IF(J1978="S0","—",IF(K1978="","",IF(L1978="E0","QM",INDEX(10_ASIL_Matrix!$D$4:$F$15,MATCH(J1978&amp;"-"&amp;L1978,10_ASIL_Matrix!$C$4:$C$15,0),MATCH(N1978,10_ASIL_Matrix!$D$3:$F$3,0)))))</f>
        <v>B</v>
      </c>
      <c r="Q1978" s="5" t="s">
        <v>448</v>
      </c>
    </row>
    <row r="1979" customFormat="false" ht="35.05" hidden="false" customHeight="false" outlineLevel="0" collapsed="false">
      <c r="A1979" s="6" t="s">
        <v>4643</v>
      </c>
      <c r="B1979" s="6" t="s">
        <v>108</v>
      </c>
      <c r="C1979" s="6" t="s">
        <v>109</v>
      </c>
      <c r="D1979" s="6" t="s">
        <v>140</v>
      </c>
      <c r="E1979" s="6" t="s">
        <v>141</v>
      </c>
      <c r="F1979" s="6" t="s">
        <v>217</v>
      </c>
      <c r="G1979" s="6" t="s">
        <v>488</v>
      </c>
      <c r="H1979" s="6" t="s">
        <v>224</v>
      </c>
      <c r="I1979" s="6" t="s">
        <v>4644</v>
      </c>
      <c r="J1979" s="6" t="s">
        <v>250</v>
      </c>
      <c r="K1979" s="6" t="s">
        <v>732</v>
      </c>
      <c r="L1979" s="6" t="s">
        <v>190</v>
      </c>
      <c r="M1979" s="6" t="s">
        <v>736</v>
      </c>
      <c r="N1979" s="6" t="s">
        <v>286</v>
      </c>
      <c r="O1979" s="6" t="s">
        <v>470</v>
      </c>
      <c r="P1979" s="18" t="str">
        <f aca="false">IF(J1979="S0","—",IF(K1979="","",IF(L1979="E0","QM",INDEX(10_ASIL_Matrix!$D$4:$F$15,MATCH(J1979&amp;"-"&amp;L1979,10_ASIL_Matrix!$C$4:$C$15,0),MATCH(N1979,10_ASIL_Matrix!$D$3:$F$3,0)))))</f>
        <v>B</v>
      </c>
      <c r="Q1979" s="6" t="s">
        <v>448</v>
      </c>
    </row>
    <row r="1980" customFormat="false" ht="35.05" hidden="false" customHeight="false" outlineLevel="0" collapsed="false">
      <c r="A1980" s="5" t="s">
        <v>4645</v>
      </c>
      <c r="B1980" s="5" t="s">
        <v>108</v>
      </c>
      <c r="C1980" s="5" t="s">
        <v>109</v>
      </c>
      <c r="D1980" s="5" t="s">
        <v>140</v>
      </c>
      <c r="E1980" s="5" t="s">
        <v>141</v>
      </c>
      <c r="F1980" s="5" t="s">
        <v>217</v>
      </c>
      <c r="G1980" s="5" t="s">
        <v>488</v>
      </c>
      <c r="H1980" s="5" t="s">
        <v>226</v>
      </c>
      <c r="I1980" s="5" t="s">
        <v>4646</v>
      </c>
      <c r="J1980" s="5" t="s">
        <v>250</v>
      </c>
      <c r="K1980" s="5" t="s">
        <v>732</v>
      </c>
      <c r="L1980" s="5" t="s">
        <v>190</v>
      </c>
      <c r="M1980" s="5" t="s">
        <v>739</v>
      </c>
      <c r="N1980" s="5" t="s">
        <v>286</v>
      </c>
      <c r="O1980" s="5" t="s">
        <v>470</v>
      </c>
      <c r="P1980" s="18" t="str">
        <f aca="false">IF(J1980="S0","—",IF(K1980="","",IF(L1980="E0","QM",INDEX(10_ASIL_Matrix!$D$4:$F$15,MATCH(J1980&amp;"-"&amp;L1980,10_ASIL_Matrix!$C$4:$C$15,0),MATCH(N1980,10_ASIL_Matrix!$D$3:$F$3,0)))))</f>
        <v>B</v>
      </c>
      <c r="Q1980" s="5" t="s">
        <v>448</v>
      </c>
    </row>
    <row r="1981" customFormat="false" ht="35.05" hidden="false" customHeight="false" outlineLevel="0" collapsed="false">
      <c r="A1981" s="6" t="s">
        <v>4647</v>
      </c>
      <c r="B1981" s="6" t="s">
        <v>108</v>
      </c>
      <c r="C1981" s="6" t="s">
        <v>109</v>
      </c>
      <c r="D1981" s="6" t="s">
        <v>140</v>
      </c>
      <c r="E1981" s="6" t="s">
        <v>141</v>
      </c>
      <c r="F1981" s="6" t="s">
        <v>217</v>
      </c>
      <c r="G1981" s="6" t="s">
        <v>488</v>
      </c>
      <c r="H1981" s="6" t="s">
        <v>228</v>
      </c>
      <c r="I1981" s="6" t="s">
        <v>4648</v>
      </c>
      <c r="J1981" s="6" t="s">
        <v>250</v>
      </c>
      <c r="K1981" s="6" t="s">
        <v>732</v>
      </c>
      <c r="L1981" s="6" t="s">
        <v>205</v>
      </c>
      <c r="M1981" s="6" t="s">
        <v>742</v>
      </c>
      <c r="N1981" s="6" t="s">
        <v>286</v>
      </c>
      <c r="O1981" s="6" t="s">
        <v>470</v>
      </c>
      <c r="P1981" s="19" t="str">
        <f aca="false">IF(J1981="S0","—",IF(K1981="","",IF(L1981="E0","QM",INDEX(10_ASIL_Matrix!$D$4:$F$15,MATCH(J1981&amp;"-"&amp;L1981,10_ASIL_Matrix!$C$4:$C$15,0),MATCH(N1981,10_ASIL_Matrix!$D$3:$F$3,0)))))</f>
        <v>A</v>
      </c>
      <c r="Q1981" s="6" t="s">
        <v>448</v>
      </c>
    </row>
    <row r="1982" customFormat="false" ht="46.25" hidden="false" customHeight="false" outlineLevel="0" collapsed="false">
      <c r="A1982" s="5" t="s">
        <v>4649</v>
      </c>
      <c r="B1982" s="5" t="s">
        <v>108</v>
      </c>
      <c r="C1982" s="5" t="s">
        <v>109</v>
      </c>
      <c r="D1982" s="5" t="s">
        <v>140</v>
      </c>
      <c r="E1982" s="5" t="s">
        <v>141</v>
      </c>
      <c r="F1982" s="5" t="s">
        <v>217</v>
      </c>
      <c r="G1982" s="5" t="s">
        <v>488</v>
      </c>
      <c r="H1982" s="5" t="s">
        <v>230</v>
      </c>
      <c r="I1982" s="5" t="s">
        <v>4650</v>
      </c>
      <c r="J1982" s="5" t="s">
        <v>250</v>
      </c>
      <c r="K1982" s="5" t="s">
        <v>732</v>
      </c>
      <c r="L1982" s="5" t="s">
        <v>205</v>
      </c>
      <c r="M1982" s="5" t="s">
        <v>745</v>
      </c>
      <c r="N1982" s="5" t="s">
        <v>290</v>
      </c>
      <c r="O1982" s="5" t="s">
        <v>483</v>
      </c>
      <c r="P1982" s="18" t="str">
        <f aca="false">IF(J1982="S0","—",IF(K1982="","",IF(L1982="E0","QM",INDEX(10_ASIL_Matrix!$D$4:$F$15,MATCH(J1982&amp;"-"&amp;L1982,10_ASIL_Matrix!$C$4:$C$15,0),MATCH(N1982,10_ASIL_Matrix!$D$3:$F$3,0)))))</f>
        <v>B</v>
      </c>
      <c r="Q1982" s="5" t="s">
        <v>448</v>
      </c>
    </row>
    <row r="1983" customFormat="false" ht="46.25" hidden="false" customHeight="false" outlineLevel="0" collapsed="false">
      <c r="A1983" s="6" t="s">
        <v>4651</v>
      </c>
      <c r="B1983" s="6" t="s">
        <v>108</v>
      </c>
      <c r="C1983" s="6" t="s">
        <v>109</v>
      </c>
      <c r="D1983" s="6" t="s">
        <v>140</v>
      </c>
      <c r="E1983" s="6" t="s">
        <v>141</v>
      </c>
      <c r="F1983" s="6" t="s">
        <v>217</v>
      </c>
      <c r="G1983" s="6" t="s">
        <v>488</v>
      </c>
      <c r="H1983" s="6" t="s">
        <v>232</v>
      </c>
      <c r="I1983" s="6" t="s">
        <v>4652</v>
      </c>
      <c r="J1983" s="6" t="s">
        <v>250</v>
      </c>
      <c r="K1983" s="6" t="s">
        <v>732</v>
      </c>
      <c r="L1983" s="6" t="s">
        <v>233</v>
      </c>
      <c r="M1983" s="6" t="s">
        <v>748</v>
      </c>
      <c r="N1983" s="6" t="s">
        <v>286</v>
      </c>
      <c r="O1983" s="6" t="s">
        <v>470</v>
      </c>
      <c r="P1983" s="6" t="str">
        <f aca="false">IF(J1983="S0","—",IF(K1983="","",IF(L1983="E0","QM",INDEX(10_ASIL_Matrix!$D$4:$F$15,MATCH(J1983&amp;"-"&amp;L1983,10_ASIL_Matrix!$C$4:$C$15,0),MATCH(N1983,10_ASIL_Matrix!$D$3:$F$3,0)))))</f>
        <v>QM</v>
      </c>
      <c r="Q1983" s="6" t="s">
        <v>448</v>
      </c>
    </row>
    <row r="1984" customFormat="false" ht="46.25" hidden="false" customHeight="false" outlineLevel="0" collapsed="false">
      <c r="A1984" s="5" t="s">
        <v>4653</v>
      </c>
      <c r="B1984" s="5" t="s">
        <v>108</v>
      </c>
      <c r="C1984" s="5" t="s">
        <v>109</v>
      </c>
      <c r="D1984" s="5" t="s">
        <v>143</v>
      </c>
      <c r="E1984" s="5" t="s">
        <v>144</v>
      </c>
      <c r="F1984" s="5" t="s">
        <v>186</v>
      </c>
      <c r="G1984" s="5" t="s">
        <v>443</v>
      </c>
      <c r="H1984" s="5" t="s">
        <v>222</v>
      </c>
      <c r="I1984" s="5" t="s">
        <v>4654</v>
      </c>
      <c r="J1984" s="5" t="s">
        <v>250</v>
      </c>
      <c r="K1984" s="5" t="s">
        <v>932</v>
      </c>
      <c r="L1984" s="5" t="s">
        <v>187</v>
      </c>
      <c r="M1984" s="5" t="s">
        <v>446</v>
      </c>
      <c r="N1984" s="5" t="s">
        <v>286</v>
      </c>
      <c r="O1984" s="5" t="s">
        <v>933</v>
      </c>
      <c r="P1984" s="20" t="str">
        <f aca="false">IF(J1984="S0","—",IF(K1984="","",IF(L1984="E0","QM",INDEX(10_ASIL_Matrix!$D$4:$F$15,MATCH(J1984&amp;"-"&amp;L1984,10_ASIL_Matrix!$C$4:$C$15,0),MATCH(N1984,10_ASIL_Matrix!$D$3:$F$3,0)))))</f>
        <v>C</v>
      </c>
      <c r="Q1984" s="5" t="s">
        <v>448</v>
      </c>
    </row>
    <row r="1985" customFormat="false" ht="46.25" hidden="false" customHeight="false" outlineLevel="0" collapsed="false">
      <c r="A1985" s="6" t="s">
        <v>4655</v>
      </c>
      <c r="B1985" s="6" t="s">
        <v>108</v>
      </c>
      <c r="C1985" s="6" t="s">
        <v>109</v>
      </c>
      <c r="D1985" s="6" t="s">
        <v>143</v>
      </c>
      <c r="E1985" s="6" t="s">
        <v>144</v>
      </c>
      <c r="F1985" s="6" t="s">
        <v>186</v>
      </c>
      <c r="G1985" s="6" t="s">
        <v>443</v>
      </c>
      <c r="H1985" s="6" t="s">
        <v>224</v>
      </c>
      <c r="I1985" s="6" t="s">
        <v>4656</v>
      </c>
      <c r="J1985" s="6" t="s">
        <v>250</v>
      </c>
      <c r="K1985" s="6" t="s">
        <v>932</v>
      </c>
      <c r="L1985" s="6" t="s">
        <v>190</v>
      </c>
      <c r="M1985" s="6" t="s">
        <v>451</v>
      </c>
      <c r="N1985" s="6" t="s">
        <v>286</v>
      </c>
      <c r="O1985" s="6" t="s">
        <v>933</v>
      </c>
      <c r="P1985" s="18" t="str">
        <f aca="false">IF(J1985="S0","—",IF(K1985="","",IF(L1985="E0","QM",INDEX(10_ASIL_Matrix!$D$4:$F$15,MATCH(J1985&amp;"-"&amp;L1985,10_ASIL_Matrix!$C$4:$C$15,0),MATCH(N1985,10_ASIL_Matrix!$D$3:$F$3,0)))))</f>
        <v>B</v>
      </c>
      <c r="Q1985" s="6" t="s">
        <v>448</v>
      </c>
    </row>
    <row r="1986" customFormat="false" ht="46.25" hidden="false" customHeight="false" outlineLevel="0" collapsed="false">
      <c r="A1986" s="5" t="s">
        <v>4657</v>
      </c>
      <c r="B1986" s="5" t="s">
        <v>108</v>
      </c>
      <c r="C1986" s="5" t="s">
        <v>109</v>
      </c>
      <c r="D1986" s="5" t="s">
        <v>143</v>
      </c>
      <c r="E1986" s="5" t="s">
        <v>144</v>
      </c>
      <c r="F1986" s="5" t="s">
        <v>186</v>
      </c>
      <c r="G1986" s="5" t="s">
        <v>443</v>
      </c>
      <c r="H1986" s="5" t="s">
        <v>226</v>
      </c>
      <c r="I1986" s="5" t="s">
        <v>4658</v>
      </c>
      <c r="J1986" s="5" t="s">
        <v>250</v>
      </c>
      <c r="K1986" s="5" t="s">
        <v>932</v>
      </c>
      <c r="L1986" s="5" t="s">
        <v>190</v>
      </c>
      <c r="M1986" s="5" t="s">
        <v>454</v>
      </c>
      <c r="N1986" s="5" t="s">
        <v>286</v>
      </c>
      <c r="O1986" s="5" t="s">
        <v>933</v>
      </c>
      <c r="P1986" s="18" t="str">
        <f aca="false">IF(J1986="S0","—",IF(K1986="","",IF(L1986="E0","QM",INDEX(10_ASIL_Matrix!$D$4:$F$15,MATCH(J1986&amp;"-"&amp;L1986,10_ASIL_Matrix!$C$4:$C$15,0),MATCH(N1986,10_ASIL_Matrix!$D$3:$F$3,0)))))</f>
        <v>B</v>
      </c>
      <c r="Q1986" s="5" t="s">
        <v>448</v>
      </c>
    </row>
    <row r="1987" customFormat="false" ht="46.25" hidden="false" customHeight="false" outlineLevel="0" collapsed="false">
      <c r="A1987" s="6" t="s">
        <v>4659</v>
      </c>
      <c r="B1987" s="6" t="s">
        <v>108</v>
      </c>
      <c r="C1987" s="6" t="s">
        <v>109</v>
      </c>
      <c r="D1987" s="6" t="s">
        <v>143</v>
      </c>
      <c r="E1987" s="6" t="s">
        <v>144</v>
      </c>
      <c r="F1987" s="6" t="s">
        <v>186</v>
      </c>
      <c r="G1987" s="6" t="s">
        <v>443</v>
      </c>
      <c r="H1987" s="6" t="s">
        <v>228</v>
      </c>
      <c r="I1987" s="6" t="s">
        <v>4660</v>
      </c>
      <c r="J1987" s="6" t="s">
        <v>250</v>
      </c>
      <c r="K1987" s="6" t="s">
        <v>932</v>
      </c>
      <c r="L1987" s="6" t="s">
        <v>205</v>
      </c>
      <c r="M1987" s="6" t="s">
        <v>457</v>
      </c>
      <c r="N1987" s="6" t="s">
        <v>286</v>
      </c>
      <c r="O1987" s="6" t="s">
        <v>933</v>
      </c>
      <c r="P1987" s="19" t="str">
        <f aca="false">IF(J1987="S0","—",IF(K1987="","",IF(L1987="E0","QM",INDEX(10_ASIL_Matrix!$D$4:$F$15,MATCH(J1987&amp;"-"&amp;L1987,10_ASIL_Matrix!$C$4:$C$15,0),MATCH(N1987,10_ASIL_Matrix!$D$3:$F$3,0)))))</f>
        <v>A</v>
      </c>
      <c r="Q1987" s="6" t="s">
        <v>448</v>
      </c>
    </row>
    <row r="1988" customFormat="false" ht="57.45" hidden="false" customHeight="false" outlineLevel="0" collapsed="false">
      <c r="A1988" s="5" t="s">
        <v>4661</v>
      </c>
      <c r="B1988" s="5" t="s">
        <v>108</v>
      </c>
      <c r="C1988" s="5" t="s">
        <v>109</v>
      </c>
      <c r="D1988" s="5" t="s">
        <v>143</v>
      </c>
      <c r="E1988" s="5" t="s">
        <v>144</v>
      </c>
      <c r="F1988" s="5" t="s">
        <v>186</v>
      </c>
      <c r="G1988" s="5" t="s">
        <v>443</v>
      </c>
      <c r="H1988" s="5" t="s">
        <v>230</v>
      </c>
      <c r="I1988" s="5" t="s">
        <v>4662</v>
      </c>
      <c r="J1988" s="5" t="s">
        <v>250</v>
      </c>
      <c r="K1988" s="5" t="s">
        <v>932</v>
      </c>
      <c r="L1988" s="5" t="s">
        <v>205</v>
      </c>
      <c r="M1988" s="5" t="s">
        <v>460</v>
      </c>
      <c r="N1988" s="5" t="s">
        <v>290</v>
      </c>
      <c r="O1988" s="5" t="s">
        <v>942</v>
      </c>
      <c r="P1988" s="18" t="str">
        <f aca="false">IF(J1988="S0","—",IF(K1988="","",IF(L1988="E0","QM",INDEX(10_ASIL_Matrix!$D$4:$F$15,MATCH(J1988&amp;"-"&amp;L1988,10_ASIL_Matrix!$C$4:$C$15,0),MATCH(N1988,10_ASIL_Matrix!$D$3:$F$3,0)))))</f>
        <v>B</v>
      </c>
      <c r="Q1988" s="5" t="s">
        <v>448</v>
      </c>
    </row>
    <row r="1989" customFormat="false" ht="46.25" hidden="false" customHeight="false" outlineLevel="0" collapsed="false">
      <c r="A1989" s="6" t="s">
        <v>4663</v>
      </c>
      <c r="B1989" s="6" t="s">
        <v>108</v>
      </c>
      <c r="C1989" s="6" t="s">
        <v>109</v>
      </c>
      <c r="D1989" s="6" t="s">
        <v>143</v>
      </c>
      <c r="E1989" s="6" t="s">
        <v>144</v>
      </c>
      <c r="F1989" s="6" t="s">
        <v>186</v>
      </c>
      <c r="G1989" s="6" t="s">
        <v>443</v>
      </c>
      <c r="H1989" s="6" t="s">
        <v>232</v>
      </c>
      <c r="I1989" s="6" t="s">
        <v>4664</v>
      </c>
      <c r="J1989" s="6" t="s">
        <v>250</v>
      </c>
      <c r="K1989" s="6" t="s">
        <v>932</v>
      </c>
      <c r="L1989" s="6" t="s">
        <v>233</v>
      </c>
      <c r="M1989" s="6" t="s">
        <v>464</v>
      </c>
      <c r="N1989" s="6" t="s">
        <v>286</v>
      </c>
      <c r="O1989" s="6" t="s">
        <v>933</v>
      </c>
      <c r="P1989" s="6" t="str">
        <f aca="false">IF(J1989="S0","—",IF(K1989="","",IF(L1989="E0","QM",INDEX(10_ASIL_Matrix!$D$4:$F$15,MATCH(J1989&amp;"-"&amp;L1989,10_ASIL_Matrix!$C$4:$C$15,0),MATCH(N1989,10_ASIL_Matrix!$D$3:$F$3,0)))))</f>
        <v>QM</v>
      </c>
      <c r="Q1989" s="6" t="s">
        <v>448</v>
      </c>
    </row>
    <row r="1990" customFormat="false" ht="46.25" hidden="false" customHeight="false" outlineLevel="0" collapsed="false">
      <c r="A1990" s="5" t="s">
        <v>4665</v>
      </c>
      <c r="B1990" s="5" t="s">
        <v>108</v>
      </c>
      <c r="C1990" s="5" t="s">
        <v>109</v>
      </c>
      <c r="D1990" s="5" t="s">
        <v>143</v>
      </c>
      <c r="E1990" s="5" t="s">
        <v>144</v>
      </c>
      <c r="F1990" s="5" t="s">
        <v>189</v>
      </c>
      <c r="G1990" s="5" t="s">
        <v>466</v>
      </c>
      <c r="H1990" s="5" t="s">
        <v>222</v>
      </c>
      <c r="I1990" s="5" t="s">
        <v>4666</v>
      </c>
      <c r="J1990" s="5" t="s">
        <v>250</v>
      </c>
      <c r="K1990" s="5" t="s">
        <v>947</v>
      </c>
      <c r="L1990" s="5" t="s">
        <v>190</v>
      </c>
      <c r="M1990" s="5" t="s">
        <v>469</v>
      </c>
      <c r="N1990" s="5" t="s">
        <v>286</v>
      </c>
      <c r="O1990" s="5" t="s">
        <v>933</v>
      </c>
      <c r="P1990" s="18" t="str">
        <f aca="false">IF(J1990="S0","—",IF(K1990="","",IF(L1990="E0","QM",INDEX(10_ASIL_Matrix!$D$4:$F$15,MATCH(J1990&amp;"-"&amp;L1990,10_ASIL_Matrix!$C$4:$C$15,0),MATCH(N1990,10_ASIL_Matrix!$D$3:$F$3,0)))))</f>
        <v>B</v>
      </c>
      <c r="Q1990" s="5" t="s">
        <v>448</v>
      </c>
    </row>
    <row r="1991" customFormat="false" ht="46.25" hidden="false" customHeight="false" outlineLevel="0" collapsed="false">
      <c r="A1991" s="6" t="s">
        <v>4667</v>
      </c>
      <c r="B1991" s="6" t="s">
        <v>108</v>
      </c>
      <c r="C1991" s="6" t="s">
        <v>109</v>
      </c>
      <c r="D1991" s="6" t="s">
        <v>143</v>
      </c>
      <c r="E1991" s="6" t="s">
        <v>144</v>
      </c>
      <c r="F1991" s="6" t="s">
        <v>189</v>
      </c>
      <c r="G1991" s="6" t="s">
        <v>466</v>
      </c>
      <c r="H1991" s="6" t="s">
        <v>224</v>
      </c>
      <c r="I1991" s="6" t="s">
        <v>4668</v>
      </c>
      <c r="J1991" s="6" t="s">
        <v>250</v>
      </c>
      <c r="K1991" s="6" t="s">
        <v>947</v>
      </c>
      <c r="L1991" s="6" t="s">
        <v>190</v>
      </c>
      <c r="M1991" s="6" t="s">
        <v>473</v>
      </c>
      <c r="N1991" s="6" t="s">
        <v>286</v>
      </c>
      <c r="O1991" s="6" t="s">
        <v>933</v>
      </c>
      <c r="P1991" s="18" t="str">
        <f aca="false">IF(J1991="S0","—",IF(K1991="","",IF(L1991="E0","QM",INDEX(10_ASIL_Matrix!$D$4:$F$15,MATCH(J1991&amp;"-"&amp;L1991,10_ASIL_Matrix!$C$4:$C$15,0),MATCH(N1991,10_ASIL_Matrix!$D$3:$F$3,0)))))</f>
        <v>B</v>
      </c>
      <c r="Q1991" s="6" t="s">
        <v>448</v>
      </c>
    </row>
    <row r="1992" customFormat="false" ht="46.25" hidden="false" customHeight="false" outlineLevel="0" collapsed="false">
      <c r="A1992" s="5" t="s">
        <v>4669</v>
      </c>
      <c r="B1992" s="5" t="s">
        <v>108</v>
      </c>
      <c r="C1992" s="5" t="s">
        <v>109</v>
      </c>
      <c r="D1992" s="5" t="s">
        <v>143</v>
      </c>
      <c r="E1992" s="5" t="s">
        <v>144</v>
      </c>
      <c r="F1992" s="5" t="s">
        <v>189</v>
      </c>
      <c r="G1992" s="5" t="s">
        <v>466</v>
      </c>
      <c r="H1992" s="5" t="s">
        <v>226</v>
      </c>
      <c r="I1992" s="5" t="s">
        <v>4670</v>
      </c>
      <c r="J1992" s="5" t="s">
        <v>250</v>
      </c>
      <c r="K1992" s="5" t="s">
        <v>947</v>
      </c>
      <c r="L1992" s="5" t="s">
        <v>190</v>
      </c>
      <c r="M1992" s="5" t="s">
        <v>476</v>
      </c>
      <c r="N1992" s="5" t="s">
        <v>286</v>
      </c>
      <c r="O1992" s="5" t="s">
        <v>933</v>
      </c>
      <c r="P1992" s="18" t="str">
        <f aca="false">IF(J1992="S0","—",IF(K1992="","",IF(L1992="E0","QM",INDEX(10_ASIL_Matrix!$D$4:$F$15,MATCH(J1992&amp;"-"&amp;L1992,10_ASIL_Matrix!$C$4:$C$15,0),MATCH(N1992,10_ASIL_Matrix!$D$3:$F$3,0)))))</f>
        <v>B</v>
      </c>
      <c r="Q1992" s="5" t="s">
        <v>448</v>
      </c>
    </row>
    <row r="1993" customFormat="false" ht="46.25" hidden="false" customHeight="false" outlineLevel="0" collapsed="false">
      <c r="A1993" s="6" t="s">
        <v>4671</v>
      </c>
      <c r="B1993" s="6" t="s">
        <v>108</v>
      </c>
      <c r="C1993" s="6" t="s">
        <v>109</v>
      </c>
      <c r="D1993" s="6" t="s">
        <v>143</v>
      </c>
      <c r="E1993" s="6" t="s">
        <v>144</v>
      </c>
      <c r="F1993" s="6" t="s">
        <v>189</v>
      </c>
      <c r="G1993" s="6" t="s">
        <v>466</v>
      </c>
      <c r="H1993" s="6" t="s">
        <v>228</v>
      </c>
      <c r="I1993" s="6" t="s">
        <v>4672</v>
      </c>
      <c r="J1993" s="6" t="s">
        <v>250</v>
      </c>
      <c r="K1993" s="6" t="s">
        <v>947</v>
      </c>
      <c r="L1993" s="6" t="s">
        <v>205</v>
      </c>
      <c r="M1993" s="6" t="s">
        <v>479</v>
      </c>
      <c r="N1993" s="6" t="s">
        <v>286</v>
      </c>
      <c r="O1993" s="6" t="s">
        <v>933</v>
      </c>
      <c r="P1993" s="19" t="str">
        <f aca="false">IF(J1993="S0","—",IF(K1993="","",IF(L1993="E0","QM",INDEX(10_ASIL_Matrix!$D$4:$F$15,MATCH(J1993&amp;"-"&amp;L1993,10_ASIL_Matrix!$C$4:$C$15,0),MATCH(N1993,10_ASIL_Matrix!$D$3:$F$3,0)))))</f>
        <v>A</v>
      </c>
      <c r="Q1993" s="6" t="s">
        <v>448</v>
      </c>
    </row>
    <row r="1994" customFormat="false" ht="57.45" hidden="false" customHeight="false" outlineLevel="0" collapsed="false">
      <c r="A1994" s="5" t="s">
        <v>4673</v>
      </c>
      <c r="B1994" s="5" t="s">
        <v>108</v>
      </c>
      <c r="C1994" s="5" t="s">
        <v>109</v>
      </c>
      <c r="D1994" s="5" t="s">
        <v>143</v>
      </c>
      <c r="E1994" s="5" t="s">
        <v>144</v>
      </c>
      <c r="F1994" s="5" t="s">
        <v>189</v>
      </c>
      <c r="G1994" s="5" t="s">
        <v>466</v>
      </c>
      <c r="H1994" s="5" t="s">
        <v>230</v>
      </c>
      <c r="I1994" s="5" t="s">
        <v>4674</v>
      </c>
      <c r="J1994" s="5" t="s">
        <v>250</v>
      </c>
      <c r="K1994" s="5" t="s">
        <v>947</v>
      </c>
      <c r="L1994" s="5" t="s">
        <v>205</v>
      </c>
      <c r="M1994" s="5" t="s">
        <v>482</v>
      </c>
      <c r="N1994" s="5" t="s">
        <v>290</v>
      </c>
      <c r="O1994" s="5" t="s">
        <v>942</v>
      </c>
      <c r="P1994" s="18" t="str">
        <f aca="false">IF(J1994="S0","—",IF(K1994="","",IF(L1994="E0","QM",INDEX(10_ASIL_Matrix!$D$4:$F$15,MATCH(J1994&amp;"-"&amp;L1994,10_ASIL_Matrix!$C$4:$C$15,0),MATCH(N1994,10_ASIL_Matrix!$D$3:$F$3,0)))))</f>
        <v>B</v>
      </c>
      <c r="Q1994" s="5" t="s">
        <v>448</v>
      </c>
    </row>
    <row r="1995" customFormat="false" ht="46.25" hidden="false" customHeight="false" outlineLevel="0" collapsed="false">
      <c r="A1995" s="6" t="s">
        <v>4675</v>
      </c>
      <c r="B1995" s="6" t="s">
        <v>108</v>
      </c>
      <c r="C1995" s="6" t="s">
        <v>109</v>
      </c>
      <c r="D1995" s="6" t="s">
        <v>143</v>
      </c>
      <c r="E1995" s="6" t="s">
        <v>144</v>
      </c>
      <c r="F1995" s="6" t="s">
        <v>189</v>
      </c>
      <c r="G1995" s="6" t="s">
        <v>466</v>
      </c>
      <c r="H1995" s="6" t="s">
        <v>232</v>
      </c>
      <c r="I1995" s="6" t="s">
        <v>4676</v>
      </c>
      <c r="J1995" s="6" t="s">
        <v>250</v>
      </c>
      <c r="K1995" s="6" t="s">
        <v>947</v>
      </c>
      <c r="L1995" s="6" t="s">
        <v>233</v>
      </c>
      <c r="M1995" s="6" t="s">
        <v>486</v>
      </c>
      <c r="N1995" s="6" t="s">
        <v>286</v>
      </c>
      <c r="O1995" s="6" t="s">
        <v>933</v>
      </c>
      <c r="P1995" s="6" t="str">
        <f aca="false">IF(J1995="S0","—",IF(K1995="","",IF(L1995="E0","QM",INDEX(10_ASIL_Matrix!$D$4:$F$15,MATCH(J1995&amp;"-"&amp;L1995,10_ASIL_Matrix!$C$4:$C$15,0),MATCH(N1995,10_ASIL_Matrix!$D$3:$F$3,0)))))</f>
        <v>QM</v>
      </c>
      <c r="Q1995" s="6" t="s">
        <v>448</v>
      </c>
    </row>
    <row r="1996" customFormat="false" ht="46.25" hidden="false" customHeight="false" outlineLevel="0" collapsed="false">
      <c r="A1996" s="5" t="s">
        <v>4677</v>
      </c>
      <c r="B1996" s="5" t="s">
        <v>108</v>
      </c>
      <c r="C1996" s="5" t="s">
        <v>109</v>
      </c>
      <c r="D1996" s="5" t="s">
        <v>143</v>
      </c>
      <c r="E1996" s="5" t="s">
        <v>144</v>
      </c>
      <c r="F1996" s="5" t="s">
        <v>192</v>
      </c>
      <c r="G1996" s="5" t="s">
        <v>488</v>
      </c>
      <c r="H1996" s="5" t="s">
        <v>222</v>
      </c>
      <c r="I1996" s="5" t="s">
        <v>4678</v>
      </c>
      <c r="J1996" s="5" t="s">
        <v>250</v>
      </c>
      <c r="K1996" s="5" t="s">
        <v>960</v>
      </c>
      <c r="L1996" s="5" t="s">
        <v>187</v>
      </c>
      <c r="M1996" s="5" t="s">
        <v>491</v>
      </c>
      <c r="N1996" s="5" t="s">
        <v>286</v>
      </c>
      <c r="O1996" s="5" t="s">
        <v>933</v>
      </c>
      <c r="P1996" s="20" t="str">
        <f aca="false">IF(J1996="S0","—",IF(K1996="","",IF(L1996="E0","QM",INDEX(10_ASIL_Matrix!$D$4:$F$15,MATCH(J1996&amp;"-"&amp;L1996,10_ASIL_Matrix!$C$4:$C$15,0),MATCH(N1996,10_ASIL_Matrix!$D$3:$F$3,0)))))</f>
        <v>C</v>
      </c>
      <c r="Q1996" s="5" t="s">
        <v>448</v>
      </c>
    </row>
    <row r="1997" customFormat="false" ht="46.25" hidden="false" customHeight="false" outlineLevel="0" collapsed="false">
      <c r="A1997" s="6" t="s">
        <v>4679</v>
      </c>
      <c r="B1997" s="6" t="s">
        <v>108</v>
      </c>
      <c r="C1997" s="6" t="s">
        <v>109</v>
      </c>
      <c r="D1997" s="6" t="s">
        <v>143</v>
      </c>
      <c r="E1997" s="6" t="s">
        <v>144</v>
      </c>
      <c r="F1997" s="6" t="s">
        <v>192</v>
      </c>
      <c r="G1997" s="6" t="s">
        <v>488</v>
      </c>
      <c r="H1997" s="6" t="s">
        <v>224</v>
      </c>
      <c r="I1997" s="6" t="s">
        <v>4680</v>
      </c>
      <c r="J1997" s="6" t="s">
        <v>250</v>
      </c>
      <c r="K1997" s="6" t="s">
        <v>960</v>
      </c>
      <c r="L1997" s="6" t="s">
        <v>190</v>
      </c>
      <c r="M1997" s="6" t="s">
        <v>494</v>
      </c>
      <c r="N1997" s="6" t="s">
        <v>286</v>
      </c>
      <c r="O1997" s="6" t="s">
        <v>933</v>
      </c>
      <c r="P1997" s="18" t="str">
        <f aca="false">IF(J1997="S0","—",IF(K1997="","",IF(L1997="E0","QM",INDEX(10_ASIL_Matrix!$D$4:$F$15,MATCH(J1997&amp;"-"&amp;L1997,10_ASIL_Matrix!$C$4:$C$15,0),MATCH(N1997,10_ASIL_Matrix!$D$3:$F$3,0)))))</f>
        <v>B</v>
      </c>
      <c r="Q1997" s="6" t="s">
        <v>448</v>
      </c>
    </row>
    <row r="1998" customFormat="false" ht="46.25" hidden="false" customHeight="false" outlineLevel="0" collapsed="false">
      <c r="A1998" s="5" t="s">
        <v>4681</v>
      </c>
      <c r="B1998" s="5" t="s">
        <v>108</v>
      </c>
      <c r="C1998" s="5" t="s">
        <v>109</v>
      </c>
      <c r="D1998" s="5" t="s">
        <v>143</v>
      </c>
      <c r="E1998" s="5" t="s">
        <v>144</v>
      </c>
      <c r="F1998" s="5" t="s">
        <v>192</v>
      </c>
      <c r="G1998" s="5" t="s">
        <v>488</v>
      </c>
      <c r="H1998" s="5" t="s">
        <v>226</v>
      </c>
      <c r="I1998" s="5" t="s">
        <v>4682</v>
      </c>
      <c r="J1998" s="5" t="s">
        <v>250</v>
      </c>
      <c r="K1998" s="5" t="s">
        <v>960</v>
      </c>
      <c r="L1998" s="5" t="s">
        <v>190</v>
      </c>
      <c r="M1998" s="5" t="s">
        <v>497</v>
      </c>
      <c r="N1998" s="5" t="s">
        <v>286</v>
      </c>
      <c r="O1998" s="5" t="s">
        <v>933</v>
      </c>
      <c r="P1998" s="18" t="str">
        <f aca="false">IF(J1998="S0","—",IF(K1998="","",IF(L1998="E0","QM",INDEX(10_ASIL_Matrix!$D$4:$F$15,MATCH(J1998&amp;"-"&amp;L1998,10_ASIL_Matrix!$C$4:$C$15,0),MATCH(N1998,10_ASIL_Matrix!$D$3:$F$3,0)))))</f>
        <v>B</v>
      </c>
      <c r="Q1998" s="5" t="s">
        <v>448</v>
      </c>
    </row>
    <row r="1999" customFormat="false" ht="46.25" hidden="false" customHeight="false" outlineLevel="0" collapsed="false">
      <c r="A1999" s="6" t="s">
        <v>4683</v>
      </c>
      <c r="B1999" s="6" t="s">
        <v>108</v>
      </c>
      <c r="C1999" s="6" t="s">
        <v>109</v>
      </c>
      <c r="D1999" s="6" t="s">
        <v>143</v>
      </c>
      <c r="E1999" s="6" t="s">
        <v>144</v>
      </c>
      <c r="F1999" s="6" t="s">
        <v>192</v>
      </c>
      <c r="G1999" s="6" t="s">
        <v>488</v>
      </c>
      <c r="H1999" s="6" t="s">
        <v>228</v>
      </c>
      <c r="I1999" s="6" t="s">
        <v>4684</v>
      </c>
      <c r="J1999" s="6" t="s">
        <v>250</v>
      </c>
      <c r="K1999" s="6" t="s">
        <v>960</v>
      </c>
      <c r="L1999" s="6" t="s">
        <v>205</v>
      </c>
      <c r="M1999" s="6" t="s">
        <v>500</v>
      </c>
      <c r="N1999" s="6" t="s">
        <v>286</v>
      </c>
      <c r="O1999" s="6" t="s">
        <v>933</v>
      </c>
      <c r="P1999" s="19" t="str">
        <f aca="false">IF(J1999="S0","—",IF(K1999="","",IF(L1999="E0","QM",INDEX(10_ASIL_Matrix!$D$4:$F$15,MATCH(J1999&amp;"-"&amp;L1999,10_ASIL_Matrix!$C$4:$C$15,0),MATCH(N1999,10_ASIL_Matrix!$D$3:$F$3,0)))))</f>
        <v>A</v>
      </c>
      <c r="Q1999" s="6" t="s">
        <v>448</v>
      </c>
    </row>
    <row r="2000" customFormat="false" ht="57.45" hidden="false" customHeight="false" outlineLevel="0" collapsed="false">
      <c r="A2000" s="5" t="s">
        <v>4685</v>
      </c>
      <c r="B2000" s="5" t="s">
        <v>108</v>
      </c>
      <c r="C2000" s="5" t="s">
        <v>109</v>
      </c>
      <c r="D2000" s="5" t="s">
        <v>143</v>
      </c>
      <c r="E2000" s="5" t="s">
        <v>144</v>
      </c>
      <c r="F2000" s="5" t="s">
        <v>192</v>
      </c>
      <c r="G2000" s="5" t="s">
        <v>488</v>
      </c>
      <c r="H2000" s="5" t="s">
        <v>230</v>
      </c>
      <c r="I2000" s="5" t="s">
        <v>4686</v>
      </c>
      <c r="J2000" s="5" t="s">
        <v>250</v>
      </c>
      <c r="K2000" s="5" t="s">
        <v>960</v>
      </c>
      <c r="L2000" s="5" t="s">
        <v>205</v>
      </c>
      <c r="M2000" s="5" t="s">
        <v>503</v>
      </c>
      <c r="N2000" s="5" t="s">
        <v>290</v>
      </c>
      <c r="O2000" s="5" t="s">
        <v>942</v>
      </c>
      <c r="P2000" s="18" t="str">
        <f aca="false">IF(J2000="S0","—",IF(K2000="","",IF(L2000="E0","QM",INDEX(10_ASIL_Matrix!$D$4:$F$15,MATCH(J2000&amp;"-"&amp;L2000,10_ASIL_Matrix!$C$4:$C$15,0),MATCH(N2000,10_ASIL_Matrix!$D$3:$F$3,0)))))</f>
        <v>B</v>
      </c>
      <c r="Q2000" s="5" t="s">
        <v>448</v>
      </c>
    </row>
    <row r="2001" customFormat="false" ht="46.25" hidden="false" customHeight="false" outlineLevel="0" collapsed="false">
      <c r="A2001" s="6" t="s">
        <v>4687</v>
      </c>
      <c r="B2001" s="6" t="s">
        <v>108</v>
      </c>
      <c r="C2001" s="6" t="s">
        <v>109</v>
      </c>
      <c r="D2001" s="6" t="s">
        <v>143</v>
      </c>
      <c r="E2001" s="6" t="s">
        <v>144</v>
      </c>
      <c r="F2001" s="6" t="s">
        <v>192</v>
      </c>
      <c r="G2001" s="6" t="s">
        <v>488</v>
      </c>
      <c r="H2001" s="6" t="s">
        <v>232</v>
      </c>
      <c r="I2001" s="6" t="s">
        <v>4688</v>
      </c>
      <c r="J2001" s="6" t="s">
        <v>250</v>
      </c>
      <c r="K2001" s="6" t="s">
        <v>960</v>
      </c>
      <c r="L2001" s="6" t="s">
        <v>233</v>
      </c>
      <c r="M2001" s="6" t="s">
        <v>506</v>
      </c>
      <c r="N2001" s="6" t="s">
        <v>286</v>
      </c>
      <c r="O2001" s="6" t="s">
        <v>933</v>
      </c>
      <c r="P2001" s="6" t="str">
        <f aca="false">IF(J2001="S0","—",IF(K2001="","",IF(L2001="E0","QM",INDEX(10_ASIL_Matrix!$D$4:$F$15,MATCH(J2001&amp;"-"&amp;L2001,10_ASIL_Matrix!$C$4:$C$15,0),MATCH(N2001,10_ASIL_Matrix!$D$3:$F$3,0)))))</f>
        <v>QM</v>
      </c>
      <c r="Q2001" s="6" t="s">
        <v>448</v>
      </c>
    </row>
    <row r="2002" customFormat="false" ht="46.25" hidden="false" customHeight="false" outlineLevel="0" collapsed="false">
      <c r="A2002" s="5" t="s">
        <v>4689</v>
      </c>
      <c r="B2002" s="5" t="s">
        <v>108</v>
      </c>
      <c r="C2002" s="5" t="s">
        <v>109</v>
      </c>
      <c r="D2002" s="5" t="s">
        <v>143</v>
      </c>
      <c r="E2002" s="5" t="s">
        <v>144</v>
      </c>
      <c r="F2002" s="5" t="s">
        <v>194</v>
      </c>
      <c r="G2002" s="5" t="s">
        <v>508</v>
      </c>
      <c r="H2002" s="5" t="s">
        <v>222</v>
      </c>
      <c r="I2002" s="5" t="s">
        <v>4690</v>
      </c>
      <c r="J2002" s="5" t="s">
        <v>250</v>
      </c>
      <c r="K2002" s="5" t="s">
        <v>973</v>
      </c>
      <c r="L2002" s="5" t="s">
        <v>190</v>
      </c>
      <c r="M2002" s="5" t="s">
        <v>511</v>
      </c>
      <c r="N2002" s="5" t="s">
        <v>286</v>
      </c>
      <c r="O2002" s="5" t="s">
        <v>933</v>
      </c>
      <c r="P2002" s="18" t="str">
        <f aca="false">IF(J2002="S0","—",IF(K2002="","",IF(L2002="E0","QM",INDEX(10_ASIL_Matrix!$D$4:$F$15,MATCH(J2002&amp;"-"&amp;L2002,10_ASIL_Matrix!$C$4:$C$15,0),MATCH(N2002,10_ASIL_Matrix!$D$3:$F$3,0)))))</f>
        <v>B</v>
      </c>
      <c r="Q2002" s="5" t="s">
        <v>448</v>
      </c>
    </row>
    <row r="2003" customFormat="false" ht="46.25" hidden="false" customHeight="false" outlineLevel="0" collapsed="false">
      <c r="A2003" s="6" t="s">
        <v>4691</v>
      </c>
      <c r="B2003" s="6" t="s">
        <v>108</v>
      </c>
      <c r="C2003" s="6" t="s">
        <v>109</v>
      </c>
      <c r="D2003" s="6" t="s">
        <v>143</v>
      </c>
      <c r="E2003" s="6" t="s">
        <v>144</v>
      </c>
      <c r="F2003" s="6" t="s">
        <v>194</v>
      </c>
      <c r="G2003" s="6" t="s">
        <v>508</v>
      </c>
      <c r="H2003" s="6" t="s">
        <v>224</v>
      </c>
      <c r="I2003" s="6" t="s">
        <v>4692</v>
      </c>
      <c r="J2003" s="6" t="s">
        <v>250</v>
      </c>
      <c r="K2003" s="6" t="s">
        <v>973</v>
      </c>
      <c r="L2003" s="6" t="s">
        <v>190</v>
      </c>
      <c r="M2003" s="6" t="s">
        <v>514</v>
      </c>
      <c r="N2003" s="6" t="s">
        <v>286</v>
      </c>
      <c r="O2003" s="6" t="s">
        <v>933</v>
      </c>
      <c r="P2003" s="18" t="str">
        <f aca="false">IF(J2003="S0","—",IF(K2003="","",IF(L2003="E0","QM",INDEX(10_ASIL_Matrix!$D$4:$F$15,MATCH(J2003&amp;"-"&amp;L2003,10_ASIL_Matrix!$C$4:$C$15,0),MATCH(N2003,10_ASIL_Matrix!$D$3:$F$3,0)))))</f>
        <v>B</v>
      </c>
      <c r="Q2003" s="6" t="s">
        <v>448</v>
      </c>
    </row>
    <row r="2004" customFormat="false" ht="46.25" hidden="false" customHeight="false" outlineLevel="0" collapsed="false">
      <c r="A2004" s="5" t="s">
        <v>4693</v>
      </c>
      <c r="B2004" s="5" t="s">
        <v>108</v>
      </c>
      <c r="C2004" s="5" t="s">
        <v>109</v>
      </c>
      <c r="D2004" s="5" t="s">
        <v>143</v>
      </c>
      <c r="E2004" s="5" t="s">
        <v>144</v>
      </c>
      <c r="F2004" s="5" t="s">
        <v>194</v>
      </c>
      <c r="G2004" s="5" t="s">
        <v>508</v>
      </c>
      <c r="H2004" s="5" t="s">
        <v>226</v>
      </c>
      <c r="I2004" s="5" t="s">
        <v>4694</v>
      </c>
      <c r="J2004" s="5" t="s">
        <v>250</v>
      </c>
      <c r="K2004" s="5" t="s">
        <v>973</v>
      </c>
      <c r="L2004" s="5" t="s">
        <v>190</v>
      </c>
      <c r="M2004" s="5" t="s">
        <v>517</v>
      </c>
      <c r="N2004" s="5" t="s">
        <v>286</v>
      </c>
      <c r="O2004" s="5" t="s">
        <v>933</v>
      </c>
      <c r="P2004" s="18" t="str">
        <f aca="false">IF(J2004="S0","—",IF(K2004="","",IF(L2004="E0","QM",INDEX(10_ASIL_Matrix!$D$4:$F$15,MATCH(J2004&amp;"-"&amp;L2004,10_ASIL_Matrix!$C$4:$C$15,0),MATCH(N2004,10_ASIL_Matrix!$D$3:$F$3,0)))))</f>
        <v>B</v>
      </c>
      <c r="Q2004" s="5" t="s">
        <v>448</v>
      </c>
    </row>
    <row r="2005" customFormat="false" ht="46.25" hidden="false" customHeight="false" outlineLevel="0" collapsed="false">
      <c r="A2005" s="6" t="s">
        <v>4695</v>
      </c>
      <c r="B2005" s="6" t="s">
        <v>108</v>
      </c>
      <c r="C2005" s="6" t="s">
        <v>109</v>
      </c>
      <c r="D2005" s="6" t="s">
        <v>143</v>
      </c>
      <c r="E2005" s="6" t="s">
        <v>144</v>
      </c>
      <c r="F2005" s="6" t="s">
        <v>194</v>
      </c>
      <c r="G2005" s="6" t="s">
        <v>508</v>
      </c>
      <c r="H2005" s="6" t="s">
        <v>228</v>
      </c>
      <c r="I2005" s="6" t="s">
        <v>4696</v>
      </c>
      <c r="J2005" s="6" t="s">
        <v>250</v>
      </c>
      <c r="K2005" s="6" t="s">
        <v>973</v>
      </c>
      <c r="L2005" s="6" t="s">
        <v>205</v>
      </c>
      <c r="M2005" s="6" t="s">
        <v>520</v>
      </c>
      <c r="N2005" s="6" t="s">
        <v>286</v>
      </c>
      <c r="O2005" s="6" t="s">
        <v>933</v>
      </c>
      <c r="P2005" s="19" t="str">
        <f aca="false">IF(J2005="S0","—",IF(K2005="","",IF(L2005="E0","QM",INDEX(10_ASIL_Matrix!$D$4:$F$15,MATCH(J2005&amp;"-"&amp;L2005,10_ASIL_Matrix!$C$4:$C$15,0),MATCH(N2005,10_ASIL_Matrix!$D$3:$F$3,0)))))</f>
        <v>A</v>
      </c>
      <c r="Q2005" s="6" t="s">
        <v>448</v>
      </c>
    </row>
    <row r="2006" customFormat="false" ht="57.45" hidden="false" customHeight="false" outlineLevel="0" collapsed="false">
      <c r="A2006" s="5" t="s">
        <v>4697</v>
      </c>
      <c r="B2006" s="5" t="s">
        <v>108</v>
      </c>
      <c r="C2006" s="5" t="s">
        <v>109</v>
      </c>
      <c r="D2006" s="5" t="s">
        <v>143</v>
      </c>
      <c r="E2006" s="5" t="s">
        <v>144</v>
      </c>
      <c r="F2006" s="5" t="s">
        <v>194</v>
      </c>
      <c r="G2006" s="5" t="s">
        <v>508</v>
      </c>
      <c r="H2006" s="5" t="s">
        <v>230</v>
      </c>
      <c r="I2006" s="5" t="s">
        <v>4698</v>
      </c>
      <c r="J2006" s="5" t="s">
        <v>250</v>
      </c>
      <c r="K2006" s="5" t="s">
        <v>973</v>
      </c>
      <c r="L2006" s="5" t="s">
        <v>205</v>
      </c>
      <c r="M2006" s="5" t="s">
        <v>523</v>
      </c>
      <c r="N2006" s="5" t="s">
        <v>290</v>
      </c>
      <c r="O2006" s="5" t="s">
        <v>942</v>
      </c>
      <c r="P2006" s="18" t="str">
        <f aca="false">IF(J2006="S0","—",IF(K2006="","",IF(L2006="E0","QM",INDEX(10_ASIL_Matrix!$D$4:$F$15,MATCH(J2006&amp;"-"&amp;L2006,10_ASIL_Matrix!$C$4:$C$15,0),MATCH(N2006,10_ASIL_Matrix!$D$3:$F$3,0)))))</f>
        <v>B</v>
      </c>
      <c r="Q2006" s="5" t="s">
        <v>448</v>
      </c>
    </row>
    <row r="2007" customFormat="false" ht="46.25" hidden="false" customHeight="false" outlineLevel="0" collapsed="false">
      <c r="A2007" s="6" t="s">
        <v>4699</v>
      </c>
      <c r="B2007" s="6" t="s">
        <v>108</v>
      </c>
      <c r="C2007" s="6" t="s">
        <v>109</v>
      </c>
      <c r="D2007" s="6" t="s">
        <v>143</v>
      </c>
      <c r="E2007" s="6" t="s">
        <v>144</v>
      </c>
      <c r="F2007" s="6" t="s">
        <v>194</v>
      </c>
      <c r="G2007" s="6" t="s">
        <v>508</v>
      </c>
      <c r="H2007" s="6" t="s">
        <v>232</v>
      </c>
      <c r="I2007" s="6" t="s">
        <v>4700</v>
      </c>
      <c r="J2007" s="6" t="s">
        <v>250</v>
      </c>
      <c r="K2007" s="6" t="s">
        <v>973</v>
      </c>
      <c r="L2007" s="6" t="s">
        <v>233</v>
      </c>
      <c r="M2007" s="6" t="s">
        <v>526</v>
      </c>
      <c r="N2007" s="6" t="s">
        <v>286</v>
      </c>
      <c r="O2007" s="6" t="s">
        <v>933</v>
      </c>
      <c r="P2007" s="6" t="str">
        <f aca="false">IF(J2007="S0","—",IF(K2007="","",IF(L2007="E0","QM",INDEX(10_ASIL_Matrix!$D$4:$F$15,MATCH(J2007&amp;"-"&amp;L2007,10_ASIL_Matrix!$C$4:$C$15,0),MATCH(N2007,10_ASIL_Matrix!$D$3:$F$3,0)))))</f>
        <v>QM</v>
      </c>
      <c r="Q2007" s="6" t="s">
        <v>448</v>
      </c>
    </row>
    <row r="2008" customFormat="false" ht="46.25" hidden="false" customHeight="false" outlineLevel="0" collapsed="false">
      <c r="A2008" s="5" t="s">
        <v>4701</v>
      </c>
      <c r="B2008" s="5" t="s">
        <v>108</v>
      </c>
      <c r="C2008" s="5" t="s">
        <v>109</v>
      </c>
      <c r="D2008" s="5" t="s">
        <v>143</v>
      </c>
      <c r="E2008" s="5" t="s">
        <v>144</v>
      </c>
      <c r="F2008" s="5" t="s">
        <v>196</v>
      </c>
      <c r="G2008" s="5" t="s">
        <v>528</v>
      </c>
      <c r="H2008" s="5" t="s">
        <v>222</v>
      </c>
      <c r="I2008" s="5" t="s">
        <v>4702</v>
      </c>
      <c r="J2008" s="5" t="s">
        <v>250</v>
      </c>
      <c r="K2008" s="5" t="s">
        <v>986</v>
      </c>
      <c r="L2008" s="5" t="s">
        <v>187</v>
      </c>
      <c r="M2008" s="5" t="s">
        <v>531</v>
      </c>
      <c r="N2008" s="5" t="s">
        <v>286</v>
      </c>
      <c r="O2008" s="5" t="s">
        <v>933</v>
      </c>
      <c r="P2008" s="20" t="str">
        <f aca="false">IF(J2008="S0","—",IF(K2008="","",IF(L2008="E0","QM",INDEX(10_ASIL_Matrix!$D$4:$F$15,MATCH(J2008&amp;"-"&amp;L2008,10_ASIL_Matrix!$C$4:$C$15,0),MATCH(N2008,10_ASIL_Matrix!$D$3:$F$3,0)))))</f>
        <v>C</v>
      </c>
      <c r="Q2008" s="5" t="s">
        <v>448</v>
      </c>
    </row>
    <row r="2009" customFormat="false" ht="46.25" hidden="false" customHeight="false" outlineLevel="0" collapsed="false">
      <c r="A2009" s="6" t="s">
        <v>4703</v>
      </c>
      <c r="B2009" s="6" t="s">
        <v>108</v>
      </c>
      <c r="C2009" s="6" t="s">
        <v>109</v>
      </c>
      <c r="D2009" s="6" t="s">
        <v>143</v>
      </c>
      <c r="E2009" s="6" t="s">
        <v>144</v>
      </c>
      <c r="F2009" s="6" t="s">
        <v>196</v>
      </c>
      <c r="G2009" s="6" t="s">
        <v>528</v>
      </c>
      <c r="H2009" s="6" t="s">
        <v>224</v>
      </c>
      <c r="I2009" s="6" t="s">
        <v>4704</v>
      </c>
      <c r="J2009" s="6" t="s">
        <v>250</v>
      </c>
      <c r="K2009" s="6" t="s">
        <v>986</v>
      </c>
      <c r="L2009" s="6" t="s">
        <v>190</v>
      </c>
      <c r="M2009" s="6" t="s">
        <v>534</v>
      </c>
      <c r="N2009" s="6" t="s">
        <v>286</v>
      </c>
      <c r="O2009" s="6" t="s">
        <v>933</v>
      </c>
      <c r="P2009" s="18" t="str">
        <f aca="false">IF(J2009="S0","—",IF(K2009="","",IF(L2009="E0","QM",INDEX(10_ASIL_Matrix!$D$4:$F$15,MATCH(J2009&amp;"-"&amp;L2009,10_ASIL_Matrix!$C$4:$C$15,0),MATCH(N2009,10_ASIL_Matrix!$D$3:$F$3,0)))))</f>
        <v>B</v>
      </c>
      <c r="Q2009" s="6" t="s">
        <v>448</v>
      </c>
    </row>
    <row r="2010" customFormat="false" ht="46.25" hidden="false" customHeight="false" outlineLevel="0" collapsed="false">
      <c r="A2010" s="5" t="s">
        <v>4705</v>
      </c>
      <c r="B2010" s="5" t="s">
        <v>108</v>
      </c>
      <c r="C2010" s="5" t="s">
        <v>109</v>
      </c>
      <c r="D2010" s="5" t="s">
        <v>143</v>
      </c>
      <c r="E2010" s="5" t="s">
        <v>144</v>
      </c>
      <c r="F2010" s="5" t="s">
        <v>196</v>
      </c>
      <c r="G2010" s="5" t="s">
        <v>528</v>
      </c>
      <c r="H2010" s="5" t="s">
        <v>226</v>
      </c>
      <c r="I2010" s="5" t="s">
        <v>4706</v>
      </c>
      <c r="J2010" s="5" t="s">
        <v>250</v>
      </c>
      <c r="K2010" s="5" t="s">
        <v>986</v>
      </c>
      <c r="L2010" s="5" t="s">
        <v>190</v>
      </c>
      <c r="M2010" s="5" t="s">
        <v>537</v>
      </c>
      <c r="N2010" s="5" t="s">
        <v>286</v>
      </c>
      <c r="O2010" s="5" t="s">
        <v>933</v>
      </c>
      <c r="P2010" s="18" t="str">
        <f aca="false">IF(J2010="S0","—",IF(K2010="","",IF(L2010="E0","QM",INDEX(10_ASIL_Matrix!$D$4:$F$15,MATCH(J2010&amp;"-"&amp;L2010,10_ASIL_Matrix!$C$4:$C$15,0),MATCH(N2010,10_ASIL_Matrix!$D$3:$F$3,0)))))</f>
        <v>B</v>
      </c>
      <c r="Q2010" s="5" t="s">
        <v>448</v>
      </c>
    </row>
    <row r="2011" customFormat="false" ht="46.25" hidden="false" customHeight="false" outlineLevel="0" collapsed="false">
      <c r="A2011" s="6" t="s">
        <v>4707</v>
      </c>
      <c r="B2011" s="6" t="s">
        <v>108</v>
      </c>
      <c r="C2011" s="6" t="s">
        <v>109</v>
      </c>
      <c r="D2011" s="6" t="s">
        <v>143</v>
      </c>
      <c r="E2011" s="6" t="s">
        <v>144</v>
      </c>
      <c r="F2011" s="6" t="s">
        <v>196</v>
      </c>
      <c r="G2011" s="6" t="s">
        <v>528</v>
      </c>
      <c r="H2011" s="6" t="s">
        <v>228</v>
      </c>
      <c r="I2011" s="6" t="s">
        <v>4708</v>
      </c>
      <c r="J2011" s="6" t="s">
        <v>250</v>
      </c>
      <c r="K2011" s="6" t="s">
        <v>986</v>
      </c>
      <c r="L2011" s="6" t="s">
        <v>205</v>
      </c>
      <c r="M2011" s="6" t="s">
        <v>540</v>
      </c>
      <c r="N2011" s="6" t="s">
        <v>286</v>
      </c>
      <c r="O2011" s="6" t="s">
        <v>933</v>
      </c>
      <c r="P2011" s="19" t="str">
        <f aca="false">IF(J2011="S0","—",IF(K2011="","",IF(L2011="E0","QM",INDEX(10_ASIL_Matrix!$D$4:$F$15,MATCH(J2011&amp;"-"&amp;L2011,10_ASIL_Matrix!$C$4:$C$15,0),MATCH(N2011,10_ASIL_Matrix!$D$3:$F$3,0)))))</f>
        <v>A</v>
      </c>
      <c r="Q2011" s="6" t="s">
        <v>448</v>
      </c>
    </row>
    <row r="2012" customFormat="false" ht="57.45" hidden="false" customHeight="false" outlineLevel="0" collapsed="false">
      <c r="A2012" s="5" t="s">
        <v>4709</v>
      </c>
      <c r="B2012" s="5" t="s">
        <v>108</v>
      </c>
      <c r="C2012" s="5" t="s">
        <v>109</v>
      </c>
      <c r="D2012" s="5" t="s">
        <v>143</v>
      </c>
      <c r="E2012" s="5" t="s">
        <v>144</v>
      </c>
      <c r="F2012" s="5" t="s">
        <v>196</v>
      </c>
      <c r="G2012" s="5" t="s">
        <v>528</v>
      </c>
      <c r="H2012" s="5" t="s">
        <v>230</v>
      </c>
      <c r="I2012" s="5" t="s">
        <v>4710</v>
      </c>
      <c r="J2012" s="5" t="s">
        <v>250</v>
      </c>
      <c r="K2012" s="5" t="s">
        <v>986</v>
      </c>
      <c r="L2012" s="5" t="s">
        <v>205</v>
      </c>
      <c r="M2012" s="5" t="s">
        <v>543</v>
      </c>
      <c r="N2012" s="5" t="s">
        <v>290</v>
      </c>
      <c r="O2012" s="5" t="s">
        <v>942</v>
      </c>
      <c r="P2012" s="18" t="str">
        <f aca="false">IF(J2012="S0","—",IF(K2012="","",IF(L2012="E0","QM",INDEX(10_ASIL_Matrix!$D$4:$F$15,MATCH(J2012&amp;"-"&amp;L2012,10_ASIL_Matrix!$C$4:$C$15,0),MATCH(N2012,10_ASIL_Matrix!$D$3:$F$3,0)))))</f>
        <v>B</v>
      </c>
      <c r="Q2012" s="5" t="s">
        <v>448</v>
      </c>
    </row>
    <row r="2013" customFormat="false" ht="46.25" hidden="false" customHeight="false" outlineLevel="0" collapsed="false">
      <c r="A2013" s="6" t="s">
        <v>4711</v>
      </c>
      <c r="B2013" s="6" t="s">
        <v>108</v>
      </c>
      <c r="C2013" s="6" t="s">
        <v>109</v>
      </c>
      <c r="D2013" s="6" t="s">
        <v>143</v>
      </c>
      <c r="E2013" s="6" t="s">
        <v>144</v>
      </c>
      <c r="F2013" s="6" t="s">
        <v>196</v>
      </c>
      <c r="G2013" s="6" t="s">
        <v>528</v>
      </c>
      <c r="H2013" s="6" t="s">
        <v>232</v>
      </c>
      <c r="I2013" s="6" t="s">
        <v>4712</v>
      </c>
      <c r="J2013" s="6" t="s">
        <v>250</v>
      </c>
      <c r="K2013" s="6" t="s">
        <v>986</v>
      </c>
      <c r="L2013" s="6" t="s">
        <v>233</v>
      </c>
      <c r="M2013" s="6" t="s">
        <v>546</v>
      </c>
      <c r="N2013" s="6" t="s">
        <v>286</v>
      </c>
      <c r="O2013" s="6" t="s">
        <v>933</v>
      </c>
      <c r="P2013" s="6" t="str">
        <f aca="false">IF(J2013="S0","—",IF(K2013="","",IF(L2013="E0","QM",INDEX(10_ASIL_Matrix!$D$4:$F$15,MATCH(J2013&amp;"-"&amp;L2013,10_ASIL_Matrix!$C$4:$C$15,0),MATCH(N2013,10_ASIL_Matrix!$D$3:$F$3,0)))))</f>
        <v>QM</v>
      </c>
      <c r="Q2013" s="6" t="s">
        <v>448</v>
      </c>
    </row>
    <row r="2014" customFormat="false" ht="35.05" hidden="false" customHeight="false" outlineLevel="0" collapsed="false">
      <c r="A2014" s="5" t="s">
        <v>4713</v>
      </c>
      <c r="B2014" s="5" t="s">
        <v>108</v>
      </c>
      <c r="C2014" s="5" t="s">
        <v>109</v>
      </c>
      <c r="D2014" s="5" t="s">
        <v>143</v>
      </c>
      <c r="E2014" s="5" t="s">
        <v>144</v>
      </c>
      <c r="F2014" s="5" t="s">
        <v>198</v>
      </c>
      <c r="G2014" s="5" t="s">
        <v>548</v>
      </c>
      <c r="H2014" s="5" t="s">
        <v>222</v>
      </c>
      <c r="I2014" s="5" t="s">
        <v>4714</v>
      </c>
      <c r="J2014" s="5" t="s">
        <v>242</v>
      </c>
      <c r="K2014" s="5" t="s">
        <v>999</v>
      </c>
      <c r="L2014" s="5" t="s">
        <v>190</v>
      </c>
      <c r="M2014" s="5" t="s">
        <v>551</v>
      </c>
      <c r="N2014" s="5" t="s">
        <v>282</v>
      </c>
      <c r="O2014" s="5" t="s">
        <v>1000</v>
      </c>
      <c r="P2014" s="5" t="str">
        <f aca="false">IF(J2014="S0","—",IF(K2014="","",IF(L2014="E0","QM",INDEX(10_ASIL_Matrix!$D$4:$F$15,MATCH(J2014&amp;"-"&amp;L2014,10_ASIL_Matrix!$C$4:$C$15,0),MATCH(N2014,10_ASIL_Matrix!$D$3:$F$3,0)))))</f>
        <v>QM</v>
      </c>
      <c r="Q2014" s="5" t="s">
        <v>448</v>
      </c>
    </row>
    <row r="2015" customFormat="false" ht="35.05" hidden="false" customHeight="false" outlineLevel="0" collapsed="false">
      <c r="A2015" s="6" t="s">
        <v>4715</v>
      </c>
      <c r="B2015" s="6" t="s">
        <v>108</v>
      </c>
      <c r="C2015" s="6" t="s">
        <v>109</v>
      </c>
      <c r="D2015" s="6" t="s">
        <v>143</v>
      </c>
      <c r="E2015" s="6" t="s">
        <v>144</v>
      </c>
      <c r="F2015" s="6" t="s">
        <v>198</v>
      </c>
      <c r="G2015" s="6" t="s">
        <v>548</v>
      </c>
      <c r="H2015" s="6" t="s">
        <v>224</v>
      </c>
      <c r="I2015" s="6" t="s">
        <v>4716</v>
      </c>
      <c r="J2015" s="6" t="s">
        <v>242</v>
      </c>
      <c r="K2015" s="6" t="s">
        <v>999</v>
      </c>
      <c r="L2015" s="6" t="s">
        <v>190</v>
      </c>
      <c r="M2015" s="6" t="s">
        <v>555</v>
      </c>
      <c r="N2015" s="6" t="s">
        <v>282</v>
      </c>
      <c r="O2015" s="6" t="s">
        <v>1000</v>
      </c>
      <c r="P2015" s="6" t="str">
        <f aca="false">IF(J2015="S0","—",IF(K2015="","",IF(L2015="E0","QM",INDEX(10_ASIL_Matrix!$D$4:$F$15,MATCH(J2015&amp;"-"&amp;L2015,10_ASIL_Matrix!$C$4:$C$15,0),MATCH(N2015,10_ASIL_Matrix!$D$3:$F$3,0)))))</f>
        <v>QM</v>
      </c>
      <c r="Q2015" s="6" t="s">
        <v>448</v>
      </c>
    </row>
    <row r="2016" customFormat="false" ht="35.05" hidden="false" customHeight="false" outlineLevel="0" collapsed="false">
      <c r="A2016" s="5" t="s">
        <v>4717</v>
      </c>
      <c r="B2016" s="5" t="s">
        <v>108</v>
      </c>
      <c r="C2016" s="5" t="s">
        <v>109</v>
      </c>
      <c r="D2016" s="5" t="s">
        <v>143</v>
      </c>
      <c r="E2016" s="5" t="s">
        <v>144</v>
      </c>
      <c r="F2016" s="5" t="s">
        <v>198</v>
      </c>
      <c r="G2016" s="5" t="s">
        <v>548</v>
      </c>
      <c r="H2016" s="5" t="s">
        <v>226</v>
      </c>
      <c r="I2016" s="5" t="s">
        <v>4718</v>
      </c>
      <c r="J2016" s="5" t="s">
        <v>242</v>
      </c>
      <c r="K2016" s="5" t="s">
        <v>999</v>
      </c>
      <c r="L2016" s="5" t="s">
        <v>190</v>
      </c>
      <c r="M2016" s="5" t="s">
        <v>558</v>
      </c>
      <c r="N2016" s="5" t="s">
        <v>282</v>
      </c>
      <c r="O2016" s="5" t="s">
        <v>1000</v>
      </c>
      <c r="P2016" s="5" t="str">
        <f aca="false">IF(J2016="S0","—",IF(K2016="","",IF(L2016="E0","QM",INDEX(10_ASIL_Matrix!$D$4:$F$15,MATCH(J2016&amp;"-"&amp;L2016,10_ASIL_Matrix!$C$4:$C$15,0),MATCH(N2016,10_ASIL_Matrix!$D$3:$F$3,0)))))</f>
        <v>QM</v>
      </c>
      <c r="Q2016" s="5" t="s">
        <v>448</v>
      </c>
    </row>
    <row r="2017" customFormat="false" ht="46.25" hidden="false" customHeight="false" outlineLevel="0" collapsed="false">
      <c r="A2017" s="6" t="s">
        <v>4719</v>
      </c>
      <c r="B2017" s="6" t="s">
        <v>108</v>
      </c>
      <c r="C2017" s="6" t="s">
        <v>109</v>
      </c>
      <c r="D2017" s="6" t="s">
        <v>143</v>
      </c>
      <c r="E2017" s="6" t="s">
        <v>144</v>
      </c>
      <c r="F2017" s="6" t="s">
        <v>198</v>
      </c>
      <c r="G2017" s="6" t="s">
        <v>548</v>
      </c>
      <c r="H2017" s="6" t="s">
        <v>228</v>
      </c>
      <c r="I2017" s="6" t="s">
        <v>4720</v>
      </c>
      <c r="J2017" s="6" t="s">
        <v>242</v>
      </c>
      <c r="K2017" s="6" t="s">
        <v>999</v>
      </c>
      <c r="L2017" s="6" t="s">
        <v>205</v>
      </c>
      <c r="M2017" s="6" t="s">
        <v>561</v>
      </c>
      <c r="N2017" s="6" t="s">
        <v>282</v>
      </c>
      <c r="O2017" s="6" t="s">
        <v>1000</v>
      </c>
      <c r="P2017" s="6" t="str">
        <f aca="false">IF(J2017="S0","—",IF(K2017="","",IF(L2017="E0","QM",INDEX(10_ASIL_Matrix!$D$4:$F$15,MATCH(J2017&amp;"-"&amp;L2017,10_ASIL_Matrix!$C$4:$C$15,0),MATCH(N2017,10_ASIL_Matrix!$D$3:$F$3,0)))))</f>
        <v>QM</v>
      </c>
      <c r="Q2017" s="6" t="s">
        <v>448</v>
      </c>
    </row>
    <row r="2018" customFormat="false" ht="35.05" hidden="false" customHeight="false" outlineLevel="0" collapsed="false">
      <c r="A2018" s="5" t="s">
        <v>4721</v>
      </c>
      <c r="B2018" s="5" t="s">
        <v>108</v>
      </c>
      <c r="C2018" s="5" t="s">
        <v>109</v>
      </c>
      <c r="D2018" s="5" t="s">
        <v>143</v>
      </c>
      <c r="E2018" s="5" t="s">
        <v>144</v>
      </c>
      <c r="F2018" s="5" t="s">
        <v>198</v>
      </c>
      <c r="G2018" s="5" t="s">
        <v>548</v>
      </c>
      <c r="H2018" s="5" t="s">
        <v>230</v>
      </c>
      <c r="I2018" s="5" t="s">
        <v>4722</v>
      </c>
      <c r="J2018" s="5" t="s">
        <v>242</v>
      </c>
      <c r="K2018" s="5" t="s">
        <v>999</v>
      </c>
      <c r="L2018" s="5" t="s">
        <v>205</v>
      </c>
      <c r="M2018" s="5" t="s">
        <v>564</v>
      </c>
      <c r="N2018" s="5" t="s">
        <v>286</v>
      </c>
      <c r="O2018" s="5" t="s">
        <v>1009</v>
      </c>
      <c r="P2018" s="5" t="str">
        <f aca="false">IF(J2018="S0","—",IF(K2018="","",IF(L2018="E0","QM",INDEX(10_ASIL_Matrix!$D$4:$F$15,MATCH(J2018&amp;"-"&amp;L2018,10_ASIL_Matrix!$C$4:$C$15,0),MATCH(N2018,10_ASIL_Matrix!$D$3:$F$3,0)))))</f>
        <v>QM</v>
      </c>
      <c r="Q2018" s="5" t="s">
        <v>448</v>
      </c>
    </row>
    <row r="2019" customFormat="false" ht="46.25" hidden="false" customHeight="false" outlineLevel="0" collapsed="false">
      <c r="A2019" s="6" t="s">
        <v>4723</v>
      </c>
      <c r="B2019" s="6" t="s">
        <v>108</v>
      </c>
      <c r="C2019" s="6" t="s">
        <v>109</v>
      </c>
      <c r="D2019" s="6" t="s">
        <v>143</v>
      </c>
      <c r="E2019" s="6" t="s">
        <v>144</v>
      </c>
      <c r="F2019" s="6" t="s">
        <v>198</v>
      </c>
      <c r="G2019" s="6" t="s">
        <v>548</v>
      </c>
      <c r="H2019" s="6" t="s">
        <v>232</v>
      </c>
      <c r="I2019" s="6" t="s">
        <v>4724</v>
      </c>
      <c r="J2019" s="6" t="s">
        <v>242</v>
      </c>
      <c r="K2019" s="6" t="s">
        <v>999</v>
      </c>
      <c r="L2019" s="6" t="s">
        <v>233</v>
      </c>
      <c r="M2019" s="6" t="s">
        <v>568</v>
      </c>
      <c r="N2019" s="6" t="s">
        <v>282</v>
      </c>
      <c r="O2019" s="6" t="s">
        <v>1000</v>
      </c>
      <c r="P2019" s="6" t="str">
        <f aca="false">IF(J2019="S0","—",IF(K2019="","",IF(L2019="E0","QM",INDEX(10_ASIL_Matrix!$D$4:$F$15,MATCH(J2019&amp;"-"&amp;L2019,10_ASIL_Matrix!$C$4:$C$15,0),MATCH(N2019,10_ASIL_Matrix!$D$3:$F$3,0)))))</f>
        <v>QM</v>
      </c>
      <c r="Q2019" s="6" t="s">
        <v>448</v>
      </c>
    </row>
    <row r="2020" customFormat="false" ht="46.25" hidden="false" customHeight="false" outlineLevel="0" collapsed="false">
      <c r="A2020" s="5" t="s">
        <v>4725</v>
      </c>
      <c r="B2020" s="5" t="s">
        <v>108</v>
      </c>
      <c r="C2020" s="5" t="s">
        <v>109</v>
      </c>
      <c r="D2020" s="5" t="s">
        <v>143</v>
      </c>
      <c r="E2020" s="5" t="s">
        <v>144</v>
      </c>
      <c r="F2020" s="5" t="s">
        <v>200</v>
      </c>
      <c r="G2020" s="5" t="s">
        <v>570</v>
      </c>
      <c r="H2020" s="5" t="s">
        <v>222</v>
      </c>
      <c r="I2020" s="5" t="s">
        <v>4726</v>
      </c>
      <c r="J2020" s="5" t="s">
        <v>250</v>
      </c>
      <c r="K2020" s="5" t="s">
        <v>1014</v>
      </c>
      <c r="L2020" s="5" t="s">
        <v>190</v>
      </c>
      <c r="M2020" s="5" t="s">
        <v>573</v>
      </c>
      <c r="N2020" s="5" t="s">
        <v>286</v>
      </c>
      <c r="O2020" s="5" t="s">
        <v>933</v>
      </c>
      <c r="P2020" s="18" t="str">
        <f aca="false">IF(J2020="S0","—",IF(K2020="","",IF(L2020="E0","QM",INDEX(10_ASIL_Matrix!$D$4:$F$15,MATCH(J2020&amp;"-"&amp;L2020,10_ASIL_Matrix!$C$4:$C$15,0),MATCH(N2020,10_ASIL_Matrix!$D$3:$F$3,0)))))</f>
        <v>B</v>
      </c>
      <c r="Q2020" s="5" t="s">
        <v>448</v>
      </c>
    </row>
    <row r="2021" customFormat="false" ht="46.25" hidden="false" customHeight="false" outlineLevel="0" collapsed="false">
      <c r="A2021" s="6" t="s">
        <v>4727</v>
      </c>
      <c r="B2021" s="6" t="s">
        <v>108</v>
      </c>
      <c r="C2021" s="6" t="s">
        <v>109</v>
      </c>
      <c r="D2021" s="6" t="s">
        <v>143</v>
      </c>
      <c r="E2021" s="6" t="s">
        <v>144</v>
      </c>
      <c r="F2021" s="6" t="s">
        <v>200</v>
      </c>
      <c r="G2021" s="6" t="s">
        <v>570</v>
      </c>
      <c r="H2021" s="6" t="s">
        <v>224</v>
      </c>
      <c r="I2021" s="6" t="s">
        <v>4728</v>
      </c>
      <c r="J2021" s="6" t="s">
        <v>250</v>
      </c>
      <c r="K2021" s="6" t="s">
        <v>1014</v>
      </c>
      <c r="L2021" s="6" t="s">
        <v>190</v>
      </c>
      <c r="M2021" s="6" t="s">
        <v>576</v>
      </c>
      <c r="N2021" s="6" t="s">
        <v>286</v>
      </c>
      <c r="O2021" s="6" t="s">
        <v>933</v>
      </c>
      <c r="P2021" s="18" t="str">
        <f aca="false">IF(J2021="S0","—",IF(K2021="","",IF(L2021="E0","QM",INDEX(10_ASIL_Matrix!$D$4:$F$15,MATCH(J2021&amp;"-"&amp;L2021,10_ASIL_Matrix!$C$4:$C$15,0),MATCH(N2021,10_ASIL_Matrix!$D$3:$F$3,0)))))</f>
        <v>B</v>
      </c>
      <c r="Q2021" s="6" t="s">
        <v>448</v>
      </c>
    </row>
    <row r="2022" customFormat="false" ht="46.25" hidden="false" customHeight="false" outlineLevel="0" collapsed="false">
      <c r="A2022" s="5" t="s">
        <v>4729</v>
      </c>
      <c r="B2022" s="5" t="s">
        <v>108</v>
      </c>
      <c r="C2022" s="5" t="s">
        <v>109</v>
      </c>
      <c r="D2022" s="5" t="s">
        <v>143</v>
      </c>
      <c r="E2022" s="5" t="s">
        <v>144</v>
      </c>
      <c r="F2022" s="5" t="s">
        <v>200</v>
      </c>
      <c r="G2022" s="5" t="s">
        <v>570</v>
      </c>
      <c r="H2022" s="5" t="s">
        <v>226</v>
      </c>
      <c r="I2022" s="5" t="s">
        <v>4730</v>
      </c>
      <c r="J2022" s="5" t="s">
        <v>250</v>
      </c>
      <c r="K2022" s="5" t="s">
        <v>1014</v>
      </c>
      <c r="L2022" s="5" t="s">
        <v>190</v>
      </c>
      <c r="M2022" s="5" t="s">
        <v>579</v>
      </c>
      <c r="N2022" s="5" t="s">
        <v>286</v>
      </c>
      <c r="O2022" s="5" t="s">
        <v>933</v>
      </c>
      <c r="P2022" s="18" t="str">
        <f aca="false">IF(J2022="S0","—",IF(K2022="","",IF(L2022="E0","QM",INDEX(10_ASIL_Matrix!$D$4:$F$15,MATCH(J2022&amp;"-"&amp;L2022,10_ASIL_Matrix!$C$4:$C$15,0),MATCH(N2022,10_ASIL_Matrix!$D$3:$F$3,0)))))</f>
        <v>B</v>
      </c>
      <c r="Q2022" s="5" t="s">
        <v>448</v>
      </c>
    </row>
    <row r="2023" customFormat="false" ht="46.25" hidden="false" customHeight="false" outlineLevel="0" collapsed="false">
      <c r="A2023" s="6" t="s">
        <v>4731</v>
      </c>
      <c r="B2023" s="6" t="s">
        <v>108</v>
      </c>
      <c r="C2023" s="6" t="s">
        <v>109</v>
      </c>
      <c r="D2023" s="6" t="s">
        <v>143</v>
      </c>
      <c r="E2023" s="6" t="s">
        <v>144</v>
      </c>
      <c r="F2023" s="6" t="s">
        <v>200</v>
      </c>
      <c r="G2023" s="6" t="s">
        <v>570</v>
      </c>
      <c r="H2023" s="6" t="s">
        <v>228</v>
      </c>
      <c r="I2023" s="6" t="s">
        <v>4732</v>
      </c>
      <c r="J2023" s="6" t="s">
        <v>250</v>
      </c>
      <c r="K2023" s="6" t="s">
        <v>1014</v>
      </c>
      <c r="L2023" s="6" t="s">
        <v>205</v>
      </c>
      <c r="M2023" s="6" t="s">
        <v>582</v>
      </c>
      <c r="N2023" s="6" t="s">
        <v>286</v>
      </c>
      <c r="O2023" s="6" t="s">
        <v>933</v>
      </c>
      <c r="P2023" s="19" t="str">
        <f aca="false">IF(J2023="S0","—",IF(K2023="","",IF(L2023="E0","QM",INDEX(10_ASIL_Matrix!$D$4:$F$15,MATCH(J2023&amp;"-"&amp;L2023,10_ASIL_Matrix!$C$4:$C$15,0),MATCH(N2023,10_ASIL_Matrix!$D$3:$F$3,0)))))</f>
        <v>A</v>
      </c>
      <c r="Q2023" s="6" t="s">
        <v>448</v>
      </c>
    </row>
    <row r="2024" customFormat="false" ht="57.45" hidden="false" customHeight="false" outlineLevel="0" collapsed="false">
      <c r="A2024" s="5" t="s">
        <v>4733</v>
      </c>
      <c r="B2024" s="5" t="s">
        <v>108</v>
      </c>
      <c r="C2024" s="5" t="s">
        <v>109</v>
      </c>
      <c r="D2024" s="5" t="s">
        <v>143</v>
      </c>
      <c r="E2024" s="5" t="s">
        <v>144</v>
      </c>
      <c r="F2024" s="5" t="s">
        <v>200</v>
      </c>
      <c r="G2024" s="5" t="s">
        <v>570</v>
      </c>
      <c r="H2024" s="5" t="s">
        <v>230</v>
      </c>
      <c r="I2024" s="5" t="s">
        <v>4734</v>
      </c>
      <c r="J2024" s="5" t="s">
        <v>250</v>
      </c>
      <c r="K2024" s="5" t="s">
        <v>1014</v>
      </c>
      <c r="L2024" s="5" t="s">
        <v>205</v>
      </c>
      <c r="M2024" s="5" t="s">
        <v>585</v>
      </c>
      <c r="N2024" s="5" t="s">
        <v>290</v>
      </c>
      <c r="O2024" s="5" t="s">
        <v>942</v>
      </c>
      <c r="P2024" s="18" t="str">
        <f aca="false">IF(J2024="S0","—",IF(K2024="","",IF(L2024="E0","QM",INDEX(10_ASIL_Matrix!$D$4:$F$15,MATCH(J2024&amp;"-"&amp;L2024,10_ASIL_Matrix!$C$4:$C$15,0),MATCH(N2024,10_ASIL_Matrix!$D$3:$F$3,0)))))</f>
        <v>B</v>
      </c>
      <c r="Q2024" s="5" t="s">
        <v>448</v>
      </c>
    </row>
    <row r="2025" customFormat="false" ht="46.25" hidden="false" customHeight="false" outlineLevel="0" collapsed="false">
      <c r="A2025" s="6" t="s">
        <v>4735</v>
      </c>
      <c r="B2025" s="6" t="s">
        <v>108</v>
      </c>
      <c r="C2025" s="6" t="s">
        <v>109</v>
      </c>
      <c r="D2025" s="6" t="s">
        <v>143</v>
      </c>
      <c r="E2025" s="6" t="s">
        <v>144</v>
      </c>
      <c r="F2025" s="6" t="s">
        <v>200</v>
      </c>
      <c r="G2025" s="6" t="s">
        <v>570</v>
      </c>
      <c r="H2025" s="6" t="s">
        <v>232</v>
      </c>
      <c r="I2025" s="6" t="s">
        <v>4736</v>
      </c>
      <c r="J2025" s="6" t="s">
        <v>250</v>
      </c>
      <c r="K2025" s="6" t="s">
        <v>1014</v>
      </c>
      <c r="L2025" s="6" t="s">
        <v>233</v>
      </c>
      <c r="M2025" s="6" t="s">
        <v>588</v>
      </c>
      <c r="N2025" s="6" t="s">
        <v>286</v>
      </c>
      <c r="O2025" s="6" t="s">
        <v>933</v>
      </c>
      <c r="P2025" s="6" t="str">
        <f aca="false">IF(J2025="S0","—",IF(K2025="","",IF(L2025="E0","QM",INDEX(10_ASIL_Matrix!$D$4:$F$15,MATCH(J2025&amp;"-"&amp;L2025,10_ASIL_Matrix!$C$4:$C$15,0),MATCH(N2025,10_ASIL_Matrix!$D$3:$F$3,0)))))</f>
        <v>QM</v>
      </c>
      <c r="Q2025" s="6" t="s">
        <v>448</v>
      </c>
    </row>
    <row r="2026" customFormat="false" ht="46.25" hidden="false" customHeight="false" outlineLevel="0" collapsed="false">
      <c r="A2026" s="5" t="s">
        <v>4737</v>
      </c>
      <c r="B2026" s="5" t="s">
        <v>108</v>
      </c>
      <c r="C2026" s="5" t="s">
        <v>109</v>
      </c>
      <c r="D2026" s="5" t="s">
        <v>143</v>
      </c>
      <c r="E2026" s="5" t="s">
        <v>144</v>
      </c>
      <c r="F2026" s="5" t="s">
        <v>202</v>
      </c>
      <c r="G2026" s="5" t="s">
        <v>590</v>
      </c>
      <c r="H2026" s="5" t="s">
        <v>222</v>
      </c>
      <c r="I2026" s="5" t="s">
        <v>4738</v>
      </c>
      <c r="J2026" s="5" t="s">
        <v>250</v>
      </c>
      <c r="K2026" s="5" t="s">
        <v>1027</v>
      </c>
      <c r="L2026" s="5" t="s">
        <v>187</v>
      </c>
      <c r="M2026" s="5" t="s">
        <v>592</v>
      </c>
      <c r="N2026" s="5" t="s">
        <v>286</v>
      </c>
      <c r="O2026" s="5" t="s">
        <v>933</v>
      </c>
      <c r="P2026" s="20" t="str">
        <f aca="false">IF(J2026="S0","—",IF(K2026="","",IF(L2026="E0","QM",INDEX(10_ASIL_Matrix!$D$4:$F$15,MATCH(J2026&amp;"-"&amp;L2026,10_ASIL_Matrix!$C$4:$C$15,0),MATCH(N2026,10_ASIL_Matrix!$D$3:$F$3,0)))))</f>
        <v>C</v>
      </c>
      <c r="Q2026" s="5" t="s">
        <v>448</v>
      </c>
    </row>
    <row r="2027" customFormat="false" ht="46.25" hidden="false" customHeight="false" outlineLevel="0" collapsed="false">
      <c r="A2027" s="6" t="s">
        <v>4739</v>
      </c>
      <c r="B2027" s="6" t="s">
        <v>108</v>
      </c>
      <c r="C2027" s="6" t="s">
        <v>109</v>
      </c>
      <c r="D2027" s="6" t="s">
        <v>143</v>
      </c>
      <c r="E2027" s="6" t="s">
        <v>144</v>
      </c>
      <c r="F2027" s="6" t="s">
        <v>202</v>
      </c>
      <c r="G2027" s="6" t="s">
        <v>590</v>
      </c>
      <c r="H2027" s="6" t="s">
        <v>224</v>
      </c>
      <c r="I2027" s="6" t="s">
        <v>4740</v>
      </c>
      <c r="J2027" s="6" t="s">
        <v>250</v>
      </c>
      <c r="K2027" s="6" t="s">
        <v>1027</v>
      </c>
      <c r="L2027" s="6" t="s">
        <v>190</v>
      </c>
      <c r="M2027" s="6" t="s">
        <v>595</v>
      </c>
      <c r="N2027" s="6" t="s">
        <v>286</v>
      </c>
      <c r="O2027" s="6" t="s">
        <v>933</v>
      </c>
      <c r="P2027" s="18" t="str">
        <f aca="false">IF(J2027="S0","—",IF(K2027="","",IF(L2027="E0","QM",INDEX(10_ASIL_Matrix!$D$4:$F$15,MATCH(J2027&amp;"-"&amp;L2027,10_ASIL_Matrix!$C$4:$C$15,0),MATCH(N2027,10_ASIL_Matrix!$D$3:$F$3,0)))))</f>
        <v>B</v>
      </c>
      <c r="Q2027" s="6" t="s">
        <v>448</v>
      </c>
    </row>
    <row r="2028" customFormat="false" ht="46.25" hidden="false" customHeight="false" outlineLevel="0" collapsed="false">
      <c r="A2028" s="5" t="s">
        <v>4741</v>
      </c>
      <c r="B2028" s="5" t="s">
        <v>108</v>
      </c>
      <c r="C2028" s="5" t="s">
        <v>109</v>
      </c>
      <c r="D2028" s="5" t="s">
        <v>143</v>
      </c>
      <c r="E2028" s="5" t="s">
        <v>144</v>
      </c>
      <c r="F2028" s="5" t="s">
        <v>202</v>
      </c>
      <c r="G2028" s="5" t="s">
        <v>590</v>
      </c>
      <c r="H2028" s="5" t="s">
        <v>226</v>
      </c>
      <c r="I2028" s="5" t="s">
        <v>4742</v>
      </c>
      <c r="J2028" s="5" t="s">
        <v>250</v>
      </c>
      <c r="K2028" s="5" t="s">
        <v>1027</v>
      </c>
      <c r="L2028" s="5" t="s">
        <v>190</v>
      </c>
      <c r="M2028" s="5" t="s">
        <v>598</v>
      </c>
      <c r="N2028" s="5" t="s">
        <v>286</v>
      </c>
      <c r="O2028" s="5" t="s">
        <v>933</v>
      </c>
      <c r="P2028" s="18" t="str">
        <f aca="false">IF(J2028="S0","—",IF(K2028="","",IF(L2028="E0","QM",INDEX(10_ASIL_Matrix!$D$4:$F$15,MATCH(J2028&amp;"-"&amp;L2028,10_ASIL_Matrix!$C$4:$C$15,0),MATCH(N2028,10_ASIL_Matrix!$D$3:$F$3,0)))))</f>
        <v>B</v>
      </c>
      <c r="Q2028" s="5" t="s">
        <v>448</v>
      </c>
    </row>
    <row r="2029" customFormat="false" ht="46.25" hidden="false" customHeight="false" outlineLevel="0" collapsed="false">
      <c r="A2029" s="6" t="s">
        <v>4743</v>
      </c>
      <c r="B2029" s="6" t="s">
        <v>108</v>
      </c>
      <c r="C2029" s="6" t="s">
        <v>109</v>
      </c>
      <c r="D2029" s="6" t="s">
        <v>143</v>
      </c>
      <c r="E2029" s="6" t="s">
        <v>144</v>
      </c>
      <c r="F2029" s="6" t="s">
        <v>202</v>
      </c>
      <c r="G2029" s="6" t="s">
        <v>590</v>
      </c>
      <c r="H2029" s="6" t="s">
        <v>228</v>
      </c>
      <c r="I2029" s="6" t="s">
        <v>4744</v>
      </c>
      <c r="J2029" s="6" t="s">
        <v>250</v>
      </c>
      <c r="K2029" s="6" t="s">
        <v>1027</v>
      </c>
      <c r="L2029" s="6" t="s">
        <v>205</v>
      </c>
      <c r="M2029" s="6" t="s">
        <v>601</v>
      </c>
      <c r="N2029" s="6" t="s">
        <v>286</v>
      </c>
      <c r="O2029" s="6" t="s">
        <v>933</v>
      </c>
      <c r="P2029" s="19" t="str">
        <f aca="false">IF(J2029="S0","—",IF(K2029="","",IF(L2029="E0","QM",INDEX(10_ASIL_Matrix!$D$4:$F$15,MATCH(J2029&amp;"-"&amp;L2029,10_ASIL_Matrix!$C$4:$C$15,0),MATCH(N2029,10_ASIL_Matrix!$D$3:$F$3,0)))))</f>
        <v>A</v>
      </c>
      <c r="Q2029" s="6" t="s">
        <v>448</v>
      </c>
    </row>
    <row r="2030" customFormat="false" ht="57.45" hidden="false" customHeight="false" outlineLevel="0" collapsed="false">
      <c r="A2030" s="5" t="s">
        <v>4745</v>
      </c>
      <c r="B2030" s="5" t="s">
        <v>108</v>
      </c>
      <c r="C2030" s="5" t="s">
        <v>109</v>
      </c>
      <c r="D2030" s="5" t="s">
        <v>143</v>
      </c>
      <c r="E2030" s="5" t="s">
        <v>144</v>
      </c>
      <c r="F2030" s="5" t="s">
        <v>202</v>
      </c>
      <c r="G2030" s="5" t="s">
        <v>590</v>
      </c>
      <c r="H2030" s="5" t="s">
        <v>230</v>
      </c>
      <c r="I2030" s="5" t="s">
        <v>4746</v>
      </c>
      <c r="J2030" s="5" t="s">
        <v>250</v>
      </c>
      <c r="K2030" s="5" t="s">
        <v>1027</v>
      </c>
      <c r="L2030" s="5" t="s">
        <v>205</v>
      </c>
      <c r="M2030" s="5" t="s">
        <v>604</v>
      </c>
      <c r="N2030" s="5" t="s">
        <v>290</v>
      </c>
      <c r="O2030" s="5" t="s">
        <v>942</v>
      </c>
      <c r="P2030" s="18" t="str">
        <f aca="false">IF(J2030="S0","—",IF(K2030="","",IF(L2030="E0","QM",INDEX(10_ASIL_Matrix!$D$4:$F$15,MATCH(J2030&amp;"-"&amp;L2030,10_ASIL_Matrix!$C$4:$C$15,0),MATCH(N2030,10_ASIL_Matrix!$D$3:$F$3,0)))))</f>
        <v>B</v>
      </c>
      <c r="Q2030" s="5" t="s">
        <v>448</v>
      </c>
    </row>
    <row r="2031" customFormat="false" ht="46.25" hidden="false" customHeight="false" outlineLevel="0" collapsed="false">
      <c r="A2031" s="6" t="s">
        <v>4747</v>
      </c>
      <c r="B2031" s="6" t="s">
        <v>108</v>
      </c>
      <c r="C2031" s="6" t="s">
        <v>109</v>
      </c>
      <c r="D2031" s="6" t="s">
        <v>143</v>
      </c>
      <c r="E2031" s="6" t="s">
        <v>144</v>
      </c>
      <c r="F2031" s="6" t="s">
        <v>202</v>
      </c>
      <c r="G2031" s="6" t="s">
        <v>590</v>
      </c>
      <c r="H2031" s="6" t="s">
        <v>232</v>
      </c>
      <c r="I2031" s="6" t="s">
        <v>4748</v>
      </c>
      <c r="J2031" s="6" t="s">
        <v>250</v>
      </c>
      <c r="K2031" s="6" t="s">
        <v>1027</v>
      </c>
      <c r="L2031" s="6" t="s">
        <v>233</v>
      </c>
      <c r="M2031" s="6" t="s">
        <v>607</v>
      </c>
      <c r="N2031" s="6" t="s">
        <v>286</v>
      </c>
      <c r="O2031" s="6" t="s">
        <v>933</v>
      </c>
      <c r="P2031" s="6" t="str">
        <f aca="false">IF(J2031="S0","—",IF(K2031="","",IF(L2031="E0","QM",INDEX(10_ASIL_Matrix!$D$4:$F$15,MATCH(J2031&amp;"-"&amp;L2031,10_ASIL_Matrix!$C$4:$C$15,0),MATCH(N2031,10_ASIL_Matrix!$D$3:$F$3,0)))))</f>
        <v>QM</v>
      </c>
      <c r="Q2031" s="6" t="s">
        <v>448</v>
      </c>
    </row>
    <row r="2032" customFormat="false" ht="46.25" hidden="false" customHeight="false" outlineLevel="0" collapsed="false">
      <c r="A2032" s="5" t="s">
        <v>4749</v>
      </c>
      <c r="B2032" s="5" t="s">
        <v>108</v>
      </c>
      <c r="C2032" s="5" t="s">
        <v>109</v>
      </c>
      <c r="D2032" s="5" t="s">
        <v>143</v>
      </c>
      <c r="E2032" s="5" t="s">
        <v>144</v>
      </c>
      <c r="F2032" s="5" t="s">
        <v>204</v>
      </c>
      <c r="G2032" s="5" t="s">
        <v>609</v>
      </c>
      <c r="H2032" s="5" t="s">
        <v>222</v>
      </c>
      <c r="I2032" s="5" t="s">
        <v>4750</v>
      </c>
      <c r="J2032" s="5" t="s">
        <v>250</v>
      </c>
      <c r="K2032" s="5" t="s">
        <v>1040</v>
      </c>
      <c r="L2032" s="5" t="s">
        <v>205</v>
      </c>
      <c r="M2032" s="5" t="s">
        <v>612</v>
      </c>
      <c r="N2032" s="5" t="s">
        <v>286</v>
      </c>
      <c r="O2032" s="5" t="s">
        <v>933</v>
      </c>
      <c r="P2032" s="19" t="str">
        <f aca="false">IF(J2032="S0","—",IF(K2032="","",IF(L2032="E0","QM",INDEX(10_ASIL_Matrix!$D$4:$F$15,MATCH(J2032&amp;"-"&amp;L2032,10_ASIL_Matrix!$C$4:$C$15,0),MATCH(N2032,10_ASIL_Matrix!$D$3:$F$3,0)))))</f>
        <v>A</v>
      </c>
      <c r="Q2032" s="5" t="s">
        <v>448</v>
      </c>
    </row>
    <row r="2033" customFormat="false" ht="46.25" hidden="false" customHeight="false" outlineLevel="0" collapsed="false">
      <c r="A2033" s="6" t="s">
        <v>4751</v>
      </c>
      <c r="B2033" s="6" t="s">
        <v>108</v>
      </c>
      <c r="C2033" s="6" t="s">
        <v>109</v>
      </c>
      <c r="D2033" s="6" t="s">
        <v>143</v>
      </c>
      <c r="E2033" s="6" t="s">
        <v>144</v>
      </c>
      <c r="F2033" s="6" t="s">
        <v>204</v>
      </c>
      <c r="G2033" s="6" t="s">
        <v>609</v>
      </c>
      <c r="H2033" s="6" t="s">
        <v>224</v>
      </c>
      <c r="I2033" s="6" t="s">
        <v>4752</v>
      </c>
      <c r="J2033" s="6" t="s">
        <v>250</v>
      </c>
      <c r="K2033" s="6" t="s">
        <v>1040</v>
      </c>
      <c r="L2033" s="6" t="s">
        <v>205</v>
      </c>
      <c r="M2033" s="6" t="s">
        <v>616</v>
      </c>
      <c r="N2033" s="6" t="s">
        <v>286</v>
      </c>
      <c r="O2033" s="6" t="s">
        <v>933</v>
      </c>
      <c r="P2033" s="19" t="str">
        <f aca="false">IF(J2033="S0","—",IF(K2033="","",IF(L2033="E0","QM",INDEX(10_ASIL_Matrix!$D$4:$F$15,MATCH(J2033&amp;"-"&amp;L2033,10_ASIL_Matrix!$C$4:$C$15,0),MATCH(N2033,10_ASIL_Matrix!$D$3:$F$3,0)))))</f>
        <v>A</v>
      </c>
      <c r="Q2033" s="6" t="s">
        <v>448</v>
      </c>
    </row>
    <row r="2034" customFormat="false" ht="46.25" hidden="false" customHeight="false" outlineLevel="0" collapsed="false">
      <c r="A2034" s="5" t="s">
        <v>4753</v>
      </c>
      <c r="B2034" s="5" t="s">
        <v>108</v>
      </c>
      <c r="C2034" s="5" t="s">
        <v>109</v>
      </c>
      <c r="D2034" s="5" t="s">
        <v>143</v>
      </c>
      <c r="E2034" s="5" t="s">
        <v>144</v>
      </c>
      <c r="F2034" s="5" t="s">
        <v>204</v>
      </c>
      <c r="G2034" s="5" t="s">
        <v>609</v>
      </c>
      <c r="H2034" s="5" t="s">
        <v>226</v>
      </c>
      <c r="I2034" s="5" t="s">
        <v>4754</v>
      </c>
      <c r="J2034" s="5" t="s">
        <v>250</v>
      </c>
      <c r="K2034" s="5" t="s">
        <v>1040</v>
      </c>
      <c r="L2034" s="5" t="s">
        <v>205</v>
      </c>
      <c r="M2034" s="5" t="s">
        <v>619</v>
      </c>
      <c r="N2034" s="5" t="s">
        <v>286</v>
      </c>
      <c r="O2034" s="5" t="s">
        <v>933</v>
      </c>
      <c r="P2034" s="19" t="str">
        <f aca="false">IF(J2034="S0","—",IF(K2034="","",IF(L2034="E0","QM",INDEX(10_ASIL_Matrix!$D$4:$F$15,MATCH(J2034&amp;"-"&amp;L2034,10_ASIL_Matrix!$C$4:$C$15,0),MATCH(N2034,10_ASIL_Matrix!$D$3:$F$3,0)))))</f>
        <v>A</v>
      </c>
      <c r="Q2034" s="5" t="s">
        <v>448</v>
      </c>
    </row>
    <row r="2035" customFormat="false" ht="46.25" hidden="false" customHeight="false" outlineLevel="0" collapsed="false">
      <c r="A2035" s="6" t="s">
        <v>4755</v>
      </c>
      <c r="B2035" s="6" t="s">
        <v>108</v>
      </c>
      <c r="C2035" s="6" t="s">
        <v>109</v>
      </c>
      <c r="D2035" s="6" t="s">
        <v>143</v>
      </c>
      <c r="E2035" s="6" t="s">
        <v>144</v>
      </c>
      <c r="F2035" s="6" t="s">
        <v>204</v>
      </c>
      <c r="G2035" s="6" t="s">
        <v>609</v>
      </c>
      <c r="H2035" s="6" t="s">
        <v>228</v>
      </c>
      <c r="I2035" s="6" t="s">
        <v>4756</v>
      </c>
      <c r="J2035" s="6" t="s">
        <v>250</v>
      </c>
      <c r="K2035" s="6" t="s">
        <v>1040</v>
      </c>
      <c r="L2035" s="6" t="s">
        <v>205</v>
      </c>
      <c r="M2035" s="6" t="s">
        <v>622</v>
      </c>
      <c r="N2035" s="6" t="s">
        <v>286</v>
      </c>
      <c r="O2035" s="6" t="s">
        <v>933</v>
      </c>
      <c r="P2035" s="19" t="str">
        <f aca="false">IF(J2035="S0","—",IF(K2035="","",IF(L2035="E0","QM",INDEX(10_ASIL_Matrix!$D$4:$F$15,MATCH(J2035&amp;"-"&amp;L2035,10_ASIL_Matrix!$C$4:$C$15,0),MATCH(N2035,10_ASIL_Matrix!$D$3:$F$3,0)))))</f>
        <v>A</v>
      </c>
      <c r="Q2035" s="6" t="s">
        <v>448</v>
      </c>
    </row>
    <row r="2036" customFormat="false" ht="57.45" hidden="false" customHeight="false" outlineLevel="0" collapsed="false">
      <c r="A2036" s="5" t="s">
        <v>4757</v>
      </c>
      <c r="B2036" s="5" t="s">
        <v>108</v>
      </c>
      <c r="C2036" s="5" t="s">
        <v>109</v>
      </c>
      <c r="D2036" s="5" t="s">
        <v>143</v>
      </c>
      <c r="E2036" s="5" t="s">
        <v>144</v>
      </c>
      <c r="F2036" s="5" t="s">
        <v>204</v>
      </c>
      <c r="G2036" s="5" t="s">
        <v>609</v>
      </c>
      <c r="H2036" s="5" t="s">
        <v>230</v>
      </c>
      <c r="I2036" s="5" t="s">
        <v>4758</v>
      </c>
      <c r="J2036" s="5" t="s">
        <v>250</v>
      </c>
      <c r="K2036" s="5" t="s">
        <v>1040</v>
      </c>
      <c r="L2036" s="5" t="s">
        <v>205</v>
      </c>
      <c r="M2036" s="5" t="s">
        <v>625</v>
      </c>
      <c r="N2036" s="5" t="s">
        <v>290</v>
      </c>
      <c r="O2036" s="5" t="s">
        <v>942</v>
      </c>
      <c r="P2036" s="18" t="str">
        <f aca="false">IF(J2036="S0","—",IF(K2036="","",IF(L2036="E0","QM",INDEX(10_ASIL_Matrix!$D$4:$F$15,MATCH(J2036&amp;"-"&amp;L2036,10_ASIL_Matrix!$C$4:$C$15,0),MATCH(N2036,10_ASIL_Matrix!$D$3:$F$3,0)))))</f>
        <v>B</v>
      </c>
      <c r="Q2036" s="5" t="s">
        <v>448</v>
      </c>
    </row>
    <row r="2037" customFormat="false" ht="46.25" hidden="false" customHeight="false" outlineLevel="0" collapsed="false">
      <c r="A2037" s="6" t="s">
        <v>4759</v>
      </c>
      <c r="B2037" s="6" t="s">
        <v>108</v>
      </c>
      <c r="C2037" s="6" t="s">
        <v>109</v>
      </c>
      <c r="D2037" s="6" t="s">
        <v>143</v>
      </c>
      <c r="E2037" s="6" t="s">
        <v>144</v>
      </c>
      <c r="F2037" s="6" t="s">
        <v>204</v>
      </c>
      <c r="G2037" s="6" t="s">
        <v>609</v>
      </c>
      <c r="H2037" s="6" t="s">
        <v>232</v>
      </c>
      <c r="I2037" s="6" t="s">
        <v>4760</v>
      </c>
      <c r="J2037" s="6" t="s">
        <v>250</v>
      </c>
      <c r="K2037" s="6" t="s">
        <v>1040</v>
      </c>
      <c r="L2037" s="6" t="s">
        <v>233</v>
      </c>
      <c r="M2037" s="6" t="s">
        <v>629</v>
      </c>
      <c r="N2037" s="6" t="s">
        <v>286</v>
      </c>
      <c r="O2037" s="6" t="s">
        <v>933</v>
      </c>
      <c r="P2037" s="6" t="str">
        <f aca="false">IF(J2037="S0","—",IF(K2037="","",IF(L2037="E0","QM",INDEX(10_ASIL_Matrix!$D$4:$F$15,MATCH(J2037&amp;"-"&amp;L2037,10_ASIL_Matrix!$C$4:$C$15,0),MATCH(N2037,10_ASIL_Matrix!$D$3:$F$3,0)))))</f>
        <v>QM</v>
      </c>
      <c r="Q2037" s="6" t="s">
        <v>448</v>
      </c>
    </row>
    <row r="2038" customFormat="false" ht="46.25" hidden="false" customHeight="false" outlineLevel="0" collapsed="false">
      <c r="A2038" s="5" t="s">
        <v>4761</v>
      </c>
      <c r="B2038" s="5" t="s">
        <v>108</v>
      </c>
      <c r="C2038" s="5" t="s">
        <v>109</v>
      </c>
      <c r="D2038" s="5" t="s">
        <v>143</v>
      </c>
      <c r="E2038" s="5" t="s">
        <v>144</v>
      </c>
      <c r="F2038" s="5" t="s">
        <v>207</v>
      </c>
      <c r="G2038" s="5" t="s">
        <v>609</v>
      </c>
      <c r="H2038" s="5" t="s">
        <v>222</v>
      </c>
      <c r="I2038" s="5" t="s">
        <v>4762</v>
      </c>
      <c r="J2038" s="5" t="s">
        <v>250</v>
      </c>
      <c r="K2038" s="5" t="s">
        <v>1053</v>
      </c>
      <c r="L2038" s="5" t="s">
        <v>190</v>
      </c>
      <c r="M2038" s="5" t="s">
        <v>633</v>
      </c>
      <c r="N2038" s="5" t="s">
        <v>286</v>
      </c>
      <c r="O2038" s="5" t="s">
        <v>933</v>
      </c>
      <c r="P2038" s="18" t="str">
        <f aca="false">IF(J2038="S0","—",IF(K2038="","",IF(L2038="E0","QM",INDEX(10_ASIL_Matrix!$D$4:$F$15,MATCH(J2038&amp;"-"&amp;L2038,10_ASIL_Matrix!$C$4:$C$15,0),MATCH(N2038,10_ASIL_Matrix!$D$3:$F$3,0)))))</f>
        <v>B</v>
      </c>
      <c r="Q2038" s="5" t="s">
        <v>448</v>
      </c>
    </row>
    <row r="2039" customFormat="false" ht="46.25" hidden="false" customHeight="false" outlineLevel="0" collapsed="false">
      <c r="A2039" s="6" t="s">
        <v>4763</v>
      </c>
      <c r="B2039" s="6" t="s">
        <v>108</v>
      </c>
      <c r="C2039" s="6" t="s">
        <v>109</v>
      </c>
      <c r="D2039" s="6" t="s">
        <v>143</v>
      </c>
      <c r="E2039" s="6" t="s">
        <v>144</v>
      </c>
      <c r="F2039" s="6" t="s">
        <v>207</v>
      </c>
      <c r="G2039" s="6" t="s">
        <v>609</v>
      </c>
      <c r="H2039" s="6" t="s">
        <v>224</v>
      </c>
      <c r="I2039" s="6" t="s">
        <v>4764</v>
      </c>
      <c r="J2039" s="6" t="s">
        <v>250</v>
      </c>
      <c r="K2039" s="6" t="s">
        <v>1053</v>
      </c>
      <c r="L2039" s="6" t="s">
        <v>190</v>
      </c>
      <c r="M2039" s="6" t="s">
        <v>637</v>
      </c>
      <c r="N2039" s="6" t="s">
        <v>286</v>
      </c>
      <c r="O2039" s="6" t="s">
        <v>933</v>
      </c>
      <c r="P2039" s="18" t="str">
        <f aca="false">IF(J2039="S0","—",IF(K2039="","",IF(L2039="E0","QM",INDEX(10_ASIL_Matrix!$D$4:$F$15,MATCH(J2039&amp;"-"&amp;L2039,10_ASIL_Matrix!$C$4:$C$15,0),MATCH(N2039,10_ASIL_Matrix!$D$3:$F$3,0)))))</f>
        <v>B</v>
      </c>
      <c r="Q2039" s="6" t="s">
        <v>448</v>
      </c>
    </row>
    <row r="2040" customFormat="false" ht="46.25" hidden="false" customHeight="false" outlineLevel="0" collapsed="false">
      <c r="A2040" s="5" t="s">
        <v>4765</v>
      </c>
      <c r="B2040" s="5" t="s">
        <v>108</v>
      </c>
      <c r="C2040" s="5" t="s">
        <v>109</v>
      </c>
      <c r="D2040" s="5" t="s">
        <v>143</v>
      </c>
      <c r="E2040" s="5" t="s">
        <v>144</v>
      </c>
      <c r="F2040" s="5" t="s">
        <v>207</v>
      </c>
      <c r="G2040" s="5" t="s">
        <v>609</v>
      </c>
      <c r="H2040" s="5" t="s">
        <v>226</v>
      </c>
      <c r="I2040" s="5" t="s">
        <v>4766</v>
      </c>
      <c r="J2040" s="5" t="s">
        <v>250</v>
      </c>
      <c r="K2040" s="5" t="s">
        <v>1053</v>
      </c>
      <c r="L2040" s="5" t="s">
        <v>190</v>
      </c>
      <c r="M2040" s="5" t="s">
        <v>640</v>
      </c>
      <c r="N2040" s="5" t="s">
        <v>286</v>
      </c>
      <c r="O2040" s="5" t="s">
        <v>933</v>
      </c>
      <c r="P2040" s="18" t="str">
        <f aca="false">IF(J2040="S0","—",IF(K2040="","",IF(L2040="E0","QM",INDEX(10_ASIL_Matrix!$D$4:$F$15,MATCH(J2040&amp;"-"&amp;L2040,10_ASIL_Matrix!$C$4:$C$15,0),MATCH(N2040,10_ASIL_Matrix!$D$3:$F$3,0)))))</f>
        <v>B</v>
      </c>
      <c r="Q2040" s="5" t="s">
        <v>448</v>
      </c>
    </row>
    <row r="2041" customFormat="false" ht="46.25" hidden="false" customHeight="false" outlineLevel="0" collapsed="false">
      <c r="A2041" s="6" t="s">
        <v>4767</v>
      </c>
      <c r="B2041" s="6" t="s">
        <v>108</v>
      </c>
      <c r="C2041" s="6" t="s">
        <v>109</v>
      </c>
      <c r="D2041" s="6" t="s">
        <v>143</v>
      </c>
      <c r="E2041" s="6" t="s">
        <v>144</v>
      </c>
      <c r="F2041" s="6" t="s">
        <v>207</v>
      </c>
      <c r="G2041" s="6" t="s">
        <v>609</v>
      </c>
      <c r="H2041" s="6" t="s">
        <v>228</v>
      </c>
      <c r="I2041" s="6" t="s">
        <v>4768</v>
      </c>
      <c r="J2041" s="6" t="s">
        <v>250</v>
      </c>
      <c r="K2041" s="6" t="s">
        <v>1053</v>
      </c>
      <c r="L2041" s="6" t="s">
        <v>205</v>
      </c>
      <c r="M2041" s="6" t="s">
        <v>643</v>
      </c>
      <c r="N2041" s="6" t="s">
        <v>286</v>
      </c>
      <c r="O2041" s="6" t="s">
        <v>933</v>
      </c>
      <c r="P2041" s="19" t="str">
        <f aca="false">IF(J2041="S0","—",IF(K2041="","",IF(L2041="E0","QM",INDEX(10_ASIL_Matrix!$D$4:$F$15,MATCH(J2041&amp;"-"&amp;L2041,10_ASIL_Matrix!$C$4:$C$15,0),MATCH(N2041,10_ASIL_Matrix!$D$3:$F$3,0)))))</f>
        <v>A</v>
      </c>
      <c r="Q2041" s="6" t="s">
        <v>448</v>
      </c>
    </row>
    <row r="2042" customFormat="false" ht="57.45" hidden="false" customHeight="false" outlineLevel="0" collapsed="false">
      <c r="A2042" s="5" t="s">
        <v>4769</v>
      </c>
      <c r="B2042" s="5" t="s">
        <v>108</v>
      </c>
      <c r="C2042" s="5" t="s">
        <v>109</v>
      </c>
      <c r="D2042" s="5" t="s">
        <v>143</v>
      </c>
      <c r="E2042" s="5" t="s">
        <v>144</v>
      </c>
      <c r="F2042" s="5" t="s">
        <v>207</v>
      </c>
      <c r="G2042" s="5" t="s">
        <v>609</v>
      </c>
      <c r="H2042" s="5" t="s">
        <v>230</v>
      </c>
      <c r="I2042" s="5" t="s">
        <v>4770</v>
      </c>
      <c r="J2042" s="5" t="s">
        <v>250</v>
      </c>
      <c r="K2042" s="5" t="s">
        <v>1053</v>
      </c>
      <c r="L2042" s="5" t="s">
        <v>205</v>
      </c>
      <c r="M2042" s="5" t="s">
        <v>646</v>
      </c>
      <c r="N2042" s="5" t="s">
        <v>290</v>
      </c>
      <c r="O2042" s="5" t="s">
        <v>942</v>
      </c>
      <c r="P2042" s="18" t="str">
        <f aca="false">IF(J2042="S0","—",IF(K2042="","",IF(L2042="E0","QM",INDEX(10_ASIL_Matrix!$D$4:$F$15,MATCH(J2042&amp;"-"&amp;L2042,10_ASIL_Matrix!$C$4:$C$15,0),MATCH(N2042,10_ASIL_Matrix!$D$3:$F$3,0)))))</f>
        <v>B</v>
      </c>
      <c r="Q2042" s="5" t="s">
        <v>448</v>
      </c>
    </row>
    <row r="2043" customFormat="false" ht="46.25" hidden="false" customHeight="false" outlineLevel="0" collapsed="false">
      <c r="A2043" s="6" t="s">
        <v>4771</v>
      </c>
      <c r="B2043" s="6" t="s">
        <v>108</v>
      </c>
      <c r="C2043" s="6" t="s">
        <v>109</v>
      </c>
      <c r="D2043" s="6" t="s">
        <v>143</v>
      </c>
      <c r="E2043" s="6" t="s">
        <v>144</v>
      </c>
      <c r="F2043" s="6" t="s">
        <v>207</v>
      </c>
      <c r="G2043" s="6" t="s">
        <v>609</v>
      </c>
      <c r="H2043" s="6" t="s">
        <v>232</v>
      </c>
      <c r="I2043" s="6" t="s">
        <v>4772</v>
      </c>
      <c r="J2043" s="6" t="s">
        <v>250</v>
      </c>
      <c r="K2043" s="6" t="s">
        <v>1053</v>
      </c>
      <c r="L2043" s="6" t="s">
        <v>233</v>
      </c>
      <c r="M2043" s="6" t="s">
        <v>649</v>
      </c>
      <c r="N2043" s="6" t="s">
        <v>286</v>
      </c>
      <c r="O2043" s="6" t="s">
        <v>933</v>
      </c>
      <c r="P2043" s="6" t="str">
        <f aca="false">IF(J2043="S0","—",IF(K2043="","",IF(L2043="E0","QM",INDEX(10_ASIL_Matrix!$D$4:$F$15,MATCH(J2043&amp;"-"&amp;L2043,10_ASIL_Matrix!$C$4:$C$15,0),MATCH(N2043,10_ASIL_Matrix!$D$3:$F$3,0)))))</f>
        <v>QM</v>
      </c>
      <c r="Q2043" s="6" t="s">
        <v>448</v>
      </c>
    </row>
    <row r="2044" customFormat="false" ht="46.25" hidden="false" customHeight="false" outlineLevel="0" collapsed="false">
      <c r="A2044" s="5" t="s">
        <v>4773</v>
      </c>
      <c r="B2044" s="5" t="s">
        <v>108</v>
      </c>
      <c r="C2044" s="5" t="s">
        <v>109</v>
      </c>
      <c r="D2044" s="5" t="s">
        <v>143</v>
      </c>
      <c r="E2044" s="5" t="s">
        <v>144</v>
      </c>
      <c r="F2044" s="5" t="s">
        <v>209</v>
      </c>
      <c r="G2044" s="5" t="s">
        <v>570</v>
      </c>
      <c r="H2044" s="5" t="s">
        <v>222</v>
      </c>
      <c r="I2044" s="5" t="s">
        <v>4774</v>
      </c>
      <c r="J2044" s="5" t="s">
        <v>250</v>
      </c>
      <c r="K2044" s="5" t="s">
        <v>1066</v>
      </c>
      <c r="L2044" s="5" t="s">
        <v>190</v>
      </c>
      <c r="M2044" s="5" t="s">
        <v>653</v>
      </c>
      <c r="N2044" s="5" t="s">
        <v>286</v>
      </c>
      <c r="O2044" s="5" t="s">
        <v>933</v>
      </c>
      <c r="P2044" s="18" t="str">
        <f aca="false">IF(J2044="S0","—",IF(K2044="","",IF(L2044="E0","QM",INDEX(10_ASIL_Matrix!$D$4:$F$15,MATCH(J2044&amp;"-"&amp;L2044,10_ASIL_Matrix!$C$4:$C$15,0),MATCH(N2044,10_ASIL_Matrix!$D$3:$F$3,0)))))</f>
        <v>B</v>
      </c>
      <c r="Q2044" s="5" t="s">
        <v>448</v>
      </c>
    </row>
    <row r="2045" customFormat="false" ht="46.25" hidden="false" customHeight="false" outlineLevel="0" collapsed="false">
      <c r="A2045" s="6" t="s">
        <v>4775</v>
      </c>
      <c r="B2045" s="6" t="s">
        <v>108</v>
      </c>
      <c r="C2045" s="6" t="s">
        <v>109</v>
      </c>
      <c r="D2045" s="6" t="s">
        <v>143</v>
      </c>
      <c r="E2045" s="6" t="s">
        <v>144</v>
      </c>
      <c r="F2045" s="6" t="s">
        <v>209</v>
      </c>
      <c r="G2045" s="6" t="s">
        <v>570</v>
      </c>
      <c r="H2045" s="6" t="s">
        <v>224</v>
      </c>
      <c r="I2045" s="6" t="s">
        <v>4776</v>
      </c>
      <c r="J2045" s="6" t="s">
        <v>250</v>
      </c>
      <c r="K2045" s="6" t="s">
        <v>1066</v>
      </c>
      <c r="L2045" s="6" t="s">
        <v>190</v>
      </c>
      <c r="M2045" s="6" t="s">
        <v>656</v>
      </c>
      <c r="N2045" s="6" t="s">
        <v>286</v>
      </c>
      <c r="O2045" s="6" t="s">
        <v>933</v>
      </c>
      <c r="P2045" s="18" t="str">
        <f aca="false">IF(J2045="S0","—",IF(K2045="","",IF(L2045="E0","QM",INDEX(10_ASIL_Matrix!$D$4:$F$15,MATCH(J2045&amp;"-"&amp;L2045,10_ASIL_Matrix!$C$4:$C$15,0),MATCH(N2045,10_ASIL_Matrix!$D$3:$F$3,0)))))</f>
        <v>B</v>
      </c>
      <c r="Q2045" s="6" t="s">
        <v>448</v>
      </c>
    </row>
    <row r="2046" customFormat="false" ht="46.25" hidden="false" customHeight="false" outlineLevel="0" collapsed="false">
      <c r="A2046" s="5" t="s">
        <v>4777</v>
      </c>
      <c r="B2046" s="5" t="s">
        <v>108</v>
      </c>
      <c r="C2046" s="5" t="s">
        <v>109</v>
      </c>
      <c r="D2046" s="5" t="s">
        <v>143</v>
      </c>
      <c r="E2046" s="5" t="s">
        <v>144</v>
      </c>
      <c r="F2046" s="5" t="s">
        <v>209</v>
      </c>
      <c r="G2046" s="5" t="s">
        <v>570</v>
      </c>
      <c r="H2046" s="5" t="s">
        <v>226</v>
      </c>
      <c r="I2046" s="5" t="s">
        <v>4778</v>
      </c>
      <c r="J2046" s="5" t="s">
        <v>250</v>
      </c>
      <c r="K2046" s="5" t="s">
        <v>1066</v>
      </c>
      <c r="L2046" s="5" t="s">
        <v>190</v>
      </c>
      <c r="M2046" s="5" t="s">
        <v>659</v>
      </c>
      <c r="N2046" s="5" t="s">
        <v>286</v>
      </c>
      <c r="O2046" s="5" t="s">
        <v>933</v>
      </c>
      <c r="P2046" s="18" t="str">
        <f aca="false">IF(J2046="S0","—",IF(K2046="","",IF(L2046="E0","QM",INDEX(10_ASIL_Matrix!$D$4:$F$15,MATCH(J2046&amp;"-"&amp;L2046,10_ASIL_Matrix!$C$4:$C$15,0),MATCH(N2046,10_ASIL_Matrix!$D$3:$F$3,0)))))</f>
        <v>B</v>
      </c>
      <c r="Q2046" s="5" t="s">
        <v>448</v>
      </c>
    </row>
    <row r="2047" customFormat="false" ht="46.25" hidden="false" customHeight="false" outlineLevel="0" collapsed="false">
      <c r="A2047" s="6" t="s">
        <v>4779</v>
      </c>
      <c r="B2047" s="6" t="s">
        <v>108</v>
      </c>
      <c r="C2047" s="6" t="s">
        <v>109</v>
      </c>
      <c r="D2047" s="6" t="s">
        <v>143</v>
      </c>
      <c r="E2047" s="6" t="s">
        <v>144</v>
      </c>
      <c r="F2047" s="6" t="s">
        <v>209</v>
      </c>
      <c r="G2047" s="6" t="s">
        <v>570</v>
      </c>
      <c r="H2047" s="6" t="s">
        <v>228</v>
      </c>
      <c r="I2047" s="6" t="s">
        <v>4780</v>
      </c>
      <c r="J2047" s="6" t="s">
        <v>250</v>
      </c>
      <c r="K2047" s="6" t="s">
        <v>1066</v>
      </c>
      <c r="L2047" s="6" t="s">
        <v>205</v>
      </c>
      <c r="M2047" s="6" t="s">
        <v>662</v>
      </c>
      <c r="N2047" s="6" t="s">
        <v>286</v>
      </c>
      <c r="O2047" s="6" t="s">
        <v>933</v>
      </c>
      <c r="P2047" s="19" t="str">
        <f aca="false">IF(J2047="S0","—",IF(K2047="","",IF(L2047="E0","QM",INDEX(10_ASIL_Matrix!$D$4:$F$15,MATCH(J2047&amp;"-"&amp;L2047,10_ASIL_Matrix!$C$4:$C$15,0),MATCH(N2047,10_ASIL_Matrix!$D$3:$F$3,0)))))</f>
        <v>A</v>
      </c>
      <c r="Q2047" s="6" t="s">
        <v>448</v>
      </c>
    </row>
    <row r="2048" customFormat="false" ht="57.45" hidden="false" customHeight="false" outlineLevel="0" collapsed="false">
      <c r="A2048" s="5" t="s">
        <v>4781</v>
      </c>
      <c r="B2048" s="5" t="s">
        <v>108</v>
      </c>
      <c r="C2048" s="5" t="s">
        <v>109</v>
      </c>
      <c r="D2048" s="5" t="s">
        <v>143</v>
      </c>
      <c r="E2048" s="5" t="s">
        <v>144</v>
      </c>
      <c r="F2048" s="5" t="s">
        <v>209</v>
      </c>
      <c r="G2048" s="5" t="s">
        <v>570</v>
      </c>
      <c r="H2048" s="5" t="s">
        <v>230</v>
      </c>
      <c r="I2048" s="5" t="s">
        <v>4782</v>
      </c>
      <c r="J2048" s="5" t="s">
        <v>250</v>
      </c>
      <c r="K2048" s="5" t="s">
        <v>1066</v>
      </c>
      <c r="L2048" s="5" t="s">
        <v>205</v>
      </c>
      <c r="M2048" s="5" t="s">
        <v>665</v>
      </c>
      <c r="N2048" s="5" t="s">
        <v>290</v>
      </c>
      <c r="O2048" s="5" t="s">
        <v>942</v>
      </c>
      <c r="P2048" s="18" t="str">
        <f aca="false">IF(J2048="S0","—",IF(K2048="","",IF(L2048="E0","QM",INDEX(10_ASIL_Matrix!$D$4:$F$15,MATCH(J2048&amp;"-"&amp;L2048,10_ASIL_Matrix!$C$4:$C$15,0),MATCH(N2048,10_ASIL_Matrix!$D$3:$F$3,0)))))</f>
        <v>B</v>
      </c>
      <c r="Q2048" s="5" t="s">
        <v>448</v>
      </c>
    </row>
    <row r="2049" customFormat="false" ht="46.25" hidden="false" customHeight="false" outlineLevel="0" collapsed="false">
      <c r="A2049" s="6" t="s">
        <v>4783</v>
      </c>
      <c r="B2049" s="6" t="s">
        <v>108</v>
      </c>
      <c r="C2049" s="6" t="s">
        <v>109</v>
      </c>
      <c r="D2049" s="6" t="s">
        <v>143</v>
      </c>
      <c r="E2049" s="6" t="s">
        <v>144</v>
      </c>
      <c r="F2049" s="6" t="s">
        <v>209</v>
      </c>
      <c r="G2049" s="6" t="s">
        <v>570</v>
      </c>
      <c r="H2049" s="6" t="s">
        <v>232</v>
      </c>
      <c r="I2049" s="6" t="s">
        <v>4784</v>
      </c>
      <c r="J2049" s="6" t="s">
        <v>250</v>
      </c>
      <c r="K2049" s="6" t="s">
        <v>1066</v>
      </c>
      <c r="L2049" s="6" t="s">
        <v>233</v>
      </c>
      <c r="M2049" s="6" t="s">
        <v>668</v>
      </c>
      <c r="N2049" s="6" t="s">
        <v>286</v>
      </c>
      <c r="O2049" s="6" t="s">
        <v>933</v>
      </c>
      <c r="P2049" s="6" t="str">
        <f aca="false">IF(J2049="S0","—",IF(K2049="","",IF(L2049="E0","QM",INDEX(10_ASIL_Matrix!$D$4:$F$15,MATCH(J2049&amp;"-"&amp;L2049,10_ASIL_Matrix!$C$4:$C$15,0),MATCH(N2049,10_ASIL_Matrix!$D$3:$F$3,0)))))</f>
        <v>QM</v>
      </c>
      <c r="Q2049" s="6" t="s">
        <v>448</v>
      </c>
    </row>
    <row r="2050" customFormat="false" ht="35.05" hidden="false" customHeight="false" outlineLevel="0" collapsed="false">
      <c r="A2050" s="5" t="s">
        <v>4785</v>
      </c>
      <c r="B2050" s="5" t="s">
        <v>108</v>
      </c>
      <c r="C2050" s="5" t="s">
        <v>109</v>
      </c>
      <c r="D2050" s="5" t="s">
        <v>143</v>
      </c>
      <c r="E2050" s="5" t="s">
        <v>144</v>
      </c>
      <c r="F2050" s="5" t="s">
        <v>211</v>
      </c>
      <c r="G2050" s="5" t="s">
        <v>609</v>
      </c>
      <c r="H2050" s="5" t="s">
        <v>222</v>
      </c>
      <c r="I2050" s="5" t="s">
        <v>4786</v>
      </c>
      <c r="J2050" s="5" t="s">
        <v>250</v>
      </c>
      <c r="K2050" s="5" t="s">
        <v>1079</v>
      </c>
      <c r="L2050" s="5" t="s">
        <v>187</v>
      </c>
      <c r="M2050" s="5" t="s">
        <v>672</v>
      </c>
      <c r="N2050" s="5" t="s">
        <v>286</v>
      </c>
      <c r="O2050" s="5" t="s">
        <v>1080</v>
      </c>
      <c r="P2050" s="20" t="str">
        <f aca="false">IF(J2050="S0","—",IF(K2050="","",IF(L2050="E0","QM",INDEX(10_ASIL_Matrix!$D$4:$F$15,MATCH(J2050&amp;"-"&amp;L2050,10_ASIL_Matrix!$C$4:$C$15,0),MATCH(N2050,10_ASIL_Matrix!$D$3:$F$3,0)))))</f>
        <v>C</v>
      </c>
      <c r="Q2050" s="5" t="s">
        <v>448</v>
      </c>
    </row>
    <row r="2051" customFormat="false" ht="35.05" hidden="false" customHeight="false" outlineLevel="0" collapsed="false">
      <c r="A2051" s="6" t="s">
        <v>4787</v>
      </c>
      <c r="B2051" s="6" t="s">
        <v>108</v>
      </c>
      <c r="C2051" s="6" t="s">
        <v>109</v>
      </c>
      <c r="D2051" s="6" t="s">
        <v>143</v>
      </c>
      <c r="E2051" s="6" t="s">
        <v>144</v>
      </c>
      <c r="F2051" s="6" t="s">
        <v>211</v>
      </c>
      <c r="G2051" s="6" t="s">
        <v>609</v>
      </c>
      <c r="H2051" s="6" t="s">
        <v>224</v>
      </c>
      <c r="I2051" s="6" t="s">
        <v>4788</v>
      </c>
      <c r="J2051" s="6" t="s">
        <v>250</v>
      </c>
      <c r="K2051" s="6" t="s">
        <v>1079</v>
      </c>
      <c r="L2051" s="6" t="s">
        <v>190</v>
      </c>
      <c r="M2051" s="6" t="s">
        <v>675</v>
      </c>
      <c r="N2051" s="6" t="s">
        <v>286</v>
      </c>
      <c r="O2051" s="6" t="s">
        <v>1080</v>
      </c>
      <c r="P2051" s="18" t="str">
        <f aca="false">IF(J2051="S0","—",IF(K2051="","",IF(L2051="E0","QM",INDEX(10_ASIL_Matrix!$D$4:$F$15,MATCH(J2051&amp;"-"&amp;L2051,10_ASIL_Matrix!$C$4:$C$15,0),MATCH(N2051,10_ASIL_Matrix!$D$3:$F$3,0)))))</f>
        <v>B</v>
      </c>
      <c r="Q2051" s="6" t="s">
        <v>448</v>
      </c>
    </row>
    <row r="2052" customFormat="false" ht="35.05" hidden="false" customHeight="false" outlineLevel="0" collapsed="false">
      <c r="A2052" s="5" t="s">
        <v>4789</v>
      </c>
      <c r="B2052" s="5" t="s">
        <v>108</v>
      </c>
      <c r="C2052" s="5" t="s">
        <v>109</v>
      </c>
      <c r="D2052" s="5" t="s">
        <v>143</v>
      </c>
      <c r="E2052" s="5" t="s">
        <v>144</v>
      </c>
      <c r="F2052" s="5" t="s">
        <v>211</v>
      </c>
      <c r="G2052" s="5" t="s">
        <v>609</v>
      </c>
      <c r="H2052" s="5" t="s">
        <v>226</v>
      </c>
      <c r="I2052" s="5" t="s">
        <v>4790</v>
      </c>
      <c r="J2052" s="5" t="s">
        <v>250</v>
      </c>
      <c r="K2052" s="5" t="s">
        <v>1079</v>
      </c>
      <c r="L2052" s="5" t="s">
        <v>190</v>
      </c>
      <c r="M2052" s="5" t="s">
        <v>678</v>
      </c>
      <c r="N2052" s="5" t="s">
        <v>286</v>
      </c>
      <c r="O2052" s="5" t="s">
        <v>1080</v>
      </c>
      <c r="P2052" s="18" t="str">
        <f aca="false">IF(J2052="S0","—",IF(K2052="","",IF(L2052="E0","QM",INDEX(10_ASIL_Matrix!$D$4:$F$15,MATCH(J2052&amp;"-"&amp;L2052,10_ASIL_Matrix!$C$4:$C$15,0),MATCH(N2052,10_ASIL_Matrix!$D$3:$F$3,0)))))</f>
        <v>B</v>
      </c>
      <c r="Q2052" s="5" t="s">
        <v>448</v>
      </c>
    </row>
    <row r="2053" customFormat="false" ht="35.05" hidden="false" customHeight="false" outlineLevel="0" collapsed="false">
      <c r="A2053" s="6" t="s">
        <v>4791</v>
      </c>
      <c r="B2053" s="6" t="s">
        <v>108</v>
      </c>
      <c r="C2053" s="6" t="s">
        <v>109</v>
      </c>
      <c r="D2053" s="6" t="s">
        <v>143</v>
      </c>
      <c r="E2053" s="6" t="s">
        <v>144</v>
      </c>
      <c r="F2053" s="6" t="s">
        <v>211</v>
      </c>
      <c r="G2053" s="6" t="s">
        <v>609</v>
      </c>
      <c r="H2053" s="6" t="s">
        <v>228</v>
      </c>
      <c r="I2053" s="6" t="s">
        <v>4792</v>
      </c>
      <c r="J2053" s="6" t="s">
        <v>250</v>
      </c>
      <c r="K2053" s="6" t="s">
        <v>1079</v>
      </c>
      <c r="L2053" s="6" t="s">
        <v>205</v>
      </c>
      <c r="M2053" s="6" t="s">
        <v>681</v>
      </c>
      <c r="N2053" s="6" t="s">
        <v>286</v>
      </c>
      <c r="O2053" s="6" t="s">
        <v>1080</v>
      </c>
      <c r="P2053" s="19" t="str">
        <f aca="false">IF(J2053="S0","—",IF(K2053="","",IF(L2053="E0","QM",INDEX(10_ASIL_Matrix!$D$4:$F$15,MATCH(J2053&amp;"-"&amp;L2053,10_ASIL_Matrix!$C$4:$C$15,0),MATCH(N2053,10_ASIL_Matrix!$D$3:$F$3,0)))))</f>
        <v>A</v>
      </c>
      <c r="Q2053" s="6" t="s">
        <v>448</v>
      </c>
    </row>
    <row r="2054" customFormat="false" ht="35.05" hidden="false" customHeight="false" outlineLevel="0" collapsed="false">
      <c r="A2054" s="5" t="s">
        <v>4793</v>
      </c>
      <c r="B2054" s="5" t="s">
        <v>108</v>
      </c>
      <c r="C2054" s="5" t="s">
        <v>109</v>
      </c>
      <c r="D2054" s="5" t="s">
        <v>143</v>
      </c>
      <c r="E2054" s="5" t="s">
        <v>144</v>
      </c>
      <c r="F2054" s="5" t="s">
        <v>211</v>
      </c>
      <c r="G2054" s="5" t="s">
        <v>609</v>
      </c>
      <c r="H2054" s="5" t="s">
        <v>230</v>
      </c>
      <c r="I2054" s="5" t="s">
        <v>4794</v>
      </c>
      <c r="J2054" s="5" t="s">
        <v>250</v>
      </c>
      <c r="K2054" s="5" t="s">
        <v>1079</v>
      </c>
      <c r="L2054" s="5" t="s">
        <v>205</v>
      </c>
      <c r="M2054" s="5" t="s">
        <v>684</v>
      </c>
      <c r="N2054" s="5" t="s">
        <v>290</v>
      </c>
      <c r="O2054" s="5" t="s">
        <v>1089</v>
      </c>
      <c r="P2054" s="18" t="str">
        <f aca="false">IF(J2054="S0","—",IF(K2054="","",IF(L2054="E0","QM",INDEX(10_ASIL_Matrix!$D$4:$F$15,MATCH(J2054&amp;"-"&amp;L2054,10_ASIL_Matrix!$C$4:$C$15,0),MATCH(N2054,10_ASIL_Matrix!$D$3:$F$3,0)))))</f>
        <v>B</v>
      </c>
      <c r="Q2054" s="5" t="s">
        <v>448</v>
      </c>
    </row>
    <row r="2055" customFormat="false" ht="46.25" hidden="false" customHeight="false" outlineLevel="0" collapsed="false">
      <c r="A2055" s="6" t="s">
        <v>4795</v>
      </c>
      <c r="B2055" s="6" t="s">
        <v>108</v>
      </c>
      <c r="C2055" s="6" t="s">
        <v>109</v>
      </c>
      <c r="D2055" s="6" t="s">
        <v>143</v>
      </c>
      <c r="E2055" s="6" t="s">
        <v>144</v>
      </c>
      <c r="F2055" s="6" t="s">
        <v>211</v>
      </c>
      <c r="G2055" s="6" t="s">
        <v>609</v>
      </c>
      <c r="H2055" s="6" t="s">
        <v>232</v>
      </c>
      <c r="I2055" s="6" t="s">
        <v>4796</v>
      </c>
      <c r="J2055" s="6" t="s">
        <v>250</v>
      </c>
      <c r="K2055" s="6" t="s">
        <v>1079</v>
      </c>
      <c r="L2055" s="6" t="s">
        <v>233</v>
      </c>
      <c r="M2055" s="6" t="s">
        <v>687</v>
      </c>
      <c r="N2055" s="6" t="s">
        <v>286</v>
      </c>
      <c r="O2055" s="6" t="s">
        <v>1080</v>
      </c>
      <c r="P2055" s="6" t="str">
        <f aca="false">IF(J2055="S0","—",IF(K2055="","",IF(L2055="E0","QM",INDEX(10_ASIL_Matrix!$D$4:$F$15,MATCH(J2055&amp;"-"&amp;L2055,10_ASIL_Matrix!$C$4:$C$15,0),MATCH(N2055,10_ASIL_Matrix!$D$3:$F$3,0)))))</f>
        <v>QM</v>
      </c>
      <c r="Q2055" s="6" t="s">
        <v>448</v>
      </c>
    </row>
    <row r="2056" customFormat="false" ht="46.25" hidden="false" customHeight="false" outlineLevel="0" collapsed="false">
      <c r="A2056" s="5" t="s">
        <v>4797</v>
      </c>
      <c r="B2056" s="5" t="s">
        <v>108</v>
      </c>
      <c r="C2056" s="5" t="s">
        <v>109</v>
      </c>
      <c r="D2056" s="5" t="s">
        <v>143</v>
      </c>
      <c r="E2056" s="5" t="s">
        <v>144</v>
      </c>
      <c r="F2056" s="5" t="s">
        <v>213</v>
      </c>
      <c r="G2056" s="5" t="s">
        <v>689</v>
      </c>
      <c r="H2056" s="5" t="s">
        <v>222</v>
      </c>
      <c r="I2056" s="5" t="s">
        <v>4798</v>
      </c>
      <c r="J2056" s="5" t="s">
        <v>250</v>
      </c>
      <c r="K2056" s="5" t="s">
        <v>1094</v>
      </c>
      <c r="L2056" s="5" t="s">
        <v>205</v>
      </c>
      <c r="M2056" s="5" t="s">
        <v>692</v>
      </c>
      <c r="N2056" s="5" t="s">
        <v>286</v>
      </c>
      <c r="O2056" s="5" t="s">
        <v>933</v>
      </c>
      <c r="P2056" s="19" t="str">
        <f aca="false">IF(J2056="S0","—",IF(K2056="","",IF(L2056="E0","QM",INDEX(10_ASIL_Matrix!$D$4:$F$15,MATCH(J2056&amp;"-"&amp;L2056,10_ASIL_Matrix!$C$4:$C$15,0),MATCH(N2056,10_ASIL_Matrix!$D$3:$F$3,0)))))</f>
        <v>A</v>
      </c>
      <c r="Q2056" s="5" t="s">
        <v>448</v>
      </c>
    </row>
    <row r="2057" customFormat="false" ht="46.25" hidden="false" customHeight="false" outlineLevel="0" collapsed="false">
      <c r="A2057" s="6" t="s">
        <v>4799</v>
      </c>
      <c r="B2057" s="6" t="s">
        <v>108</v>
      </c>
      <c r="C2057" s="6" t="s">
        <v>109</v>
      </c>
      <c r="D2057" s="6" t="s">
        <v>143</v>
      </c>
      <c r="E2057" s="6" t="s">
        <v>144</v>
      </c>
      <c r="F2057" s="6" t="s">
        <v>213</v>
      </c>
      <c r="G2057" s="6" t="s">
        <v>689</v>
      </c>
      <c r="H2057" s="6" t="s">
        <v>224</v>
      </c>
      <c r="I2057" s="6" t="s">
        <v>4800</v>
      </c>
      <c r="J2057" s="6" t="s">
        <v>250</v>
      </c>
      <c r="K2057" s="6" t="s">
        <v>1094</v>
      </c>
      <c r="L2057" s="6" t="s">
        <v>205</v>
      </c>
      <c r="M2057" s="6" t="s">
        <v>696</v>
      </c>
      <c r="N2057" s="6" t="s">
        <v>286</v>
      </c>
      <c r="O2057" s="6" t="s">
        <v>933</v>
      </c>
      <c r="P2057" s="19" t="str">
        <f aca="false">IF(J2057="S0","—",IF(K2057="","",IF(L2057="E0","QM",INDEX(10_ASIL_Matrix!$D$4:$F$15,MATCH(J2057&amp;"-"&amp;L2057,10_ASIL_Matrix!$C$4:$C$15,0),MATCH(N2057,10_ASIL_Matrix!$D$3:$F$3,0)))))</f>
        <v>A</v>
      </c>
      <c r="Q2057" s="6" t="s">
        <v>448</v>
      </c>
    </row>
    <row r="2058" customFormat="false" ht="46.25" hidden="false" customHeight="false" outlineLevel="0" collapsed="false">
      <c r="A2058" s="5" t="s">
        <v>4801</v>
      </c>
      <c r="B2058" s="5" t="s">
        <v>108</v>
      </c>
      <c r="C2058" s="5" t="s">
        <v>109</v>
      </c>
      <c r="D2058" s="5" t="s">
        <v>143</v>
      </c>
      <c r="E2058" s="5" t="s">
        <v>144</v>
      </c>
      <c r="F2058" s="5" t="s">
        <v>213</v>
      </c>
      <c r="G2058" s="5" t="s">
        <v>689</v>
      </c>
      <c r="H2058" s="5" t="s">
        <v>226</v>
      </c>
      <c r="I2058" s="5" t="s">
        <v>4802</v>
      </c>
      <c r="J2058" s="5" t="s">
        <v>250</v>
      </c>
      <c r="K2058" s="5" t="s">
        <v>1094</v>
      </c>
      <c r="L2058" s="5" t="s">
        <v>205</v>
      </c>
      <c r="M2058" s="5" t="s">
        <v>699</v>
      </c>
      <c r="N2058" s="5" t="s">
        <v>286</v>
      </c>
      <c r="O2058" s="5" t="s">
        <v>933</v>
      </c>
      <c r="P2058" s="19" t="str">
        <f aca="false">IF(J2058="S0","—",IF(K2058="","",IF(L2058="E0","QM",INDEX(10_ASIL_Matrix!$D$4:$F$15,MATCH(J2058&amp;"-"&amp;L2058,10_ASIL_Matrix!$C$4:$C$15,0),MATCH(N2058,10_ASIL_Matrix!$D$3:$F$3,0)))))</f>
        <v>A</v>
      </c>
      <c r="Q2058" s="5" t="s">
        <v>448</v>
      </c>
    </row>
    <row r="2059" customFormat="false" ht="46.25" hidden="false" customHeight="false" outlineLevel="0" collapsed="false">
      <c r="A2059" s="6" t="s">
        <v>4803</v>
      </c>
      <c r="B2059" s="6" t="s">
        <v>108</v>
      </c>
      <c r="C2059" s="6" t="s">
        <v>109</v>
      </c>
      <c r="D2059" s="6" t="s">
        <v>143</v>
      </c>
      <c r="E2059" s="6" t="s">
        <v>144</v>
      </c>
      <c r="F2059" s="6" t="s">
        <v>213</v>
      </c>
      <c r="G2059" s="6" t="s">
        <v>689</v>
      </c>
      <c r="H2059" s="6" t="s">
        <v>228</v>
      </c>
      <c r="I2059" s="6" t="s">
        <v>4804</v>
      </c>
      <c r="J2059" s="6" t="s">
        <v>250</v>
      </c>
      <c r="K2059" s="6" t="s">
        <v>1094</v>
      </c>
      <c r="L2059" s="6" t="s">
        <v>205</v>
      </c>
      <c r="M2059" s="6" t="s">
        <v>702</v>
      </c>
      <c r="N2059" s="6" t="s">
        <v>286</v>
      </c>
      <c r="O2059" s="6" t="s">
        <v>933</v>
      </c>
      <c r="P2059" s="19" t="str">
        <f aca="false">IF(J2059="S0","—",IF(K2059="","",IF(L2059="E0","QM",INDEX(10_ASIL_Matrix!$D$4:$F$15,MATCH(J2059&amp;"-"&amp;L2059,10_ASIL_Matrix!$C$4:$C$15,0),MATCH(N2059,10_ASIL_Matrix!$D$3:$F$3,0)))))</f>
        <v>A</v>
      </c>
      <c r="Q2059" s="6" t="s">
        <v>448</v>
      </c>
    </row>
    <row r="2060" customFormat="false" ht="57.45" hidden="false" customHeight="false" outlineLevel="0" collapsed="false">
      <c r="A2060" s="5" t="s">
        <v>4805</v>
      </c>
      <c r="B2060" s="5" t="s">
        <v>108</v>
      </c>
      <c r="C2060" s="5" t="s">
        <v>109</v>
      </c>
      <c r="D2060" s="5" t="s">
        <v>143</v>
      </c>
      <c r="E2060" s="5" t="s">
        <v>144</v>
      </c>
      <c r="F2060" s="5" t="s">
        <v>213</v>
      </c>
      <c r="G2060" s="5" t="s">
        <v>689</v>
      </c>
      <c r="H2060" s="5" t="s">
        <v>230</v>
      </c>
      <c r="I2060" s="5" t="s">
        <v>4806</v>
      </c>
      <c r="J2060" s="5" t="s">
        <v>250</v>
      </c>
      <c r="K2060" s="5" t="s">
        <v>1094</v>
      </c>
      <c r="L2060" s="5" t="s">
        <v>205</v>
      </c>
      <c r="M2060" s="5" t="s">
        <v>705</v>
      </c>
      <c r="N2060" s="5" t="s">
        <v>290</v>
      </c>
      <c r="O2060" s="5" t="s">
        <v>942</v>
      </c>
      <c r="P2060" s="18" t="str">
        <f aca="false">IF(J2060="S0","—",IF(K2060="","",IF(L2060="E0","QM",INDEX(10_ASIL_Matrix!$D$4:$F$15,MATCH(J2060&amp;"-"&amp;L2060,10_ASIL_Matrix!$C$4:$C$15,0),MATCH(N2060,10_ASIL_Matrix!$D$3:$F$3,0)))))</f>
        <v>B</v>
      </c>
      <c r="Q2060" s="5" t="s">
        <v>448</v>
      </c>
    </row>
    <row r="2061" customFormat="false" ht="46.25" hidden="false" customHeight="false" outlineLevel="0" collapsed="false">
      <c r="A2061" s="6" t="s">
        <v>4807</v>
      </c>
      <c r="B2061" s="6" t="s">
        <v>108</v>
      </c>
      <c r="C2061" s="6" t="s">
        <v>109</v>
      </c>
      <c r="D2061" s="6" t="s">
        <v>143</v>
      </c>
      <c r="E2061" s="6" t="s">
        <v>144</v>
      </c>
      <c r="F2061" s="6" t="s">
        <v>213</v>
      </c>
      <c r="G2061" s="6" t="s">
        <v>689</v>
      </c>
      <c r="H2061" s="6" t="s">
        <v>232</v>
      </c>
      <c r="I2061" s="6" t="s">
        <v>4808</v>
      </c>
      <c r="J2061" s="6" t="s">
        <v>250</v>
      </c>
      <c r="K2061" s="6" t="s">
        <v>1094</v>
      </c>
      <c r="L2061" s="6" t="s">
        <v>233</v>
      </c>
      <c r="M2061" s="6" t="s">
        <v>709</v>
      </c>
      <c r="N2061" s="6" t="s">
        <v>286</v>
      </c>
      <c r="O2061" s="6" t="s">
        <v>933</v>
      </c>
      <c r="P2061" s="6" t="str">
        <f aca="false">IF(J2061="S0","—",IF(K2061="","",IF(L2061="E0","QM",INDEX(10_ASIL_Matrix!$D$4:$F$15,MATCH(J2061&amp;"-"&amp;L2061,10_ASIL_Matrix!$C$4:$C$15,0),MATCH(N2061,10_ASIL_Matrix!$D$3:$F$3,0)))))</f>
        <v>QM</v>
      </c>
      <c r="Q2061" s="6" t="s">
        <v>448</v>
      </c>
    </row>
    <row r="2062" customFormat="false" ht="46.25" hidden="false" customHeight="false" outlineLevel="0" collapsed="false">
      <c r="A2062" s="5" t="s">
        <v>4809</v>
      </c>
      <c r="B2062" s="5" t="s">
        <v>108</v>
      </c>
      <c r="C2062" s="5" t="s">
        <v>109</v>
      </c>
      <c r="D2062" s="5" t="s">
        <v>143</v>
      </c>
      <c r="E2062" s="5" t="s">
        <v>144</v>
      </c>
      <c r="F2062" s="5" t="s">
        <v>215</v>
      </c>
      <c r="G2062" s="5" t="s">
        <v>711</v>
      </c>
      <c r="H2062" s="5" t="s">
        <v>222</v>
      </c>
      <c r="I2062" s="5" t="s">
        <v>4810</v>
      </c>
      <c r="J2062" s="5" t="s">
        <v>250</v>
      </c>
      <c r="K2062" s="5" t="s">
        <v>1107</v>
      </c>
      <c r="L2062" s="5" t="s">
        <v>190</v>
      </c>
      <c r="M2062" s="5" t="s">
        <v>714</v>
      </c>
      <c r="N2062" s="5" t="s">
        <v>286</v>
      </c>
      <c r="O2062" s="5" t="s">
        <v>933</v>
      </c>
      <c r="P2062" s="18" t="str">
        <f aca="false">IF(J2062="S0","—",IF(K2062="","",IF(L2062="E0","QM",INDEX(10_ASIL_Matrix!$D$4:$F$15,MATCH(J2062&amp;"-"&amp;L2062,10_ASIL_Matrix!$C$4:$C$15,0),MATCH(N2062,10_ASIL_Matrix!$D$3:$F$3,0)))))</f>
        <v>B</v>
      </c>
      <c r="Q2062" s="5" t="s">
        <v>448</v>
      </c>
    </row>
    <row r="2063" customFormat="false" ht="46.25" hidden="false" customHeight="false" outlineLevel="0" collapsed="false">
      <c r="A2063" s="6" t="s">
        <v>4811</v>
      </c>
      <c r="B2063" s="6" t="s">
        <v>108</v>
      </c>
      <c r="C2063" s="6" t="s">
        <v>109</v>
      </c>
      <c r="D2063" s="6" t="s">
        <v>143</v>
      </c>
      <c r="E2063" s="6" t="s">
        <v>144</v>
      </c>
      <c r="F2063" s="6" t="s">
        <v>215</v>
      </c>
      <c r="G2063" s="6" t="s">
        <v>711</v>
      </c>
      <c r="H2063" s="6" t="s">
        <v>224</v>
      </c>
      <c r="I2063" s="6" t="s">
        <v>4812</v>
      </c>
      <c r="J2063" s="6" t="s">
        <v>250</v>
      </c>
      <c r="K2063" s="6" t="s">
        <v>1107</v>
      </c>
      <c r="L2063" s="6" t="s">
        <v>190</v>
      </c>
      <c r="M2063" s="6" t="s">
        <v>717</v>
      </c>
      <c r="N2063" s="6" t="s">
        <v>286</v>
      </c>
      <c r="O2063" s="6" t="s">
        <v>933</v>
      </c>
      <c r="P2063" s="18" t="str">
        <f aca="false">IF(J2063="S0","—",IF(K2063="","",IF(L2063="E0","QM",INDEX(10_ASIL_Matrix!$D$4:$F$15,MATCH(J2063&amp;"-"&amp;L2063,10_ASIL_Matrix!$C$4:$C$15,0),MATCH(N2063,10_ASIL_Matrix!$D$3:$F$3,0)))))</f>
        <v>B</v>
      </c>
      <c r="Q2063" s="6" t="s">
        <v>448</v>
      </c>
    </row>
    <row r="2064" customFormat="false" ht="46.25" hidden="false" customHeight="false" outlineLevel="0" collapsed="false">
      <c r="A2064" s="5" t="s">
        <v>4813</v>
      </c>
      <c r="B2064" s="5" t="s">
        <v>108</v>
      </c>
      <c r="C2064" s="5" t="s">
        <v>109</v>
      </c>
      <c r="D2064" s="5" t="s">
        <v>143</v>
      </c>
      <c r="E2064" s="5" t="s">
        <v>144</v>
      </c>
      <c r="F2064" s="5" t="s">
        <v>215</v>
      </c>
      <c r="G2064" s="5" t="s">
        <v>711</v>
      </c>
      <c r="H2064" s="5" t="s">
        <v>226</v>
      </c>
      <c r="I2064" s="5" t="s">
        <v>4814</v>
      </c>
      <c r="J2064" s="5" t="s">
        <v>250</v>
      </c>
      <c r="K2064" s="5" t="s">
        <v>1107</v>
      </c>
      <c r="L2064" s="5" t="s">
        <v>190</v>
      </c>
      <c r="M2064" s="5" t="s">
        <v>720</v>
      </c>
      <c r="N2064" s="5" t="s">
        <v>286</v>
      </c>
      <c r="O2064" s="5" t="s">
        <v>933</v>
      </c>
      <c r="P2064" s="18" t="str">
        <f aca="false">IF(J2064="S0","—",IF(K2064="","",IF(L2064="E0","QM",INDEX(10_ASIL_Matrix!$D$4:$F$15,MATCH(J2064&amp;"-"&amp;L2064,10_ASIL_Matrix!$C$4:$C$15,0),MATCH(N2064,10_ASIL_Matrix!$D$3:$F$3,0)))))</f>
        <v>B</v>
      </c>
      <c r="Q2064" s="5" t="s">
        <v>448</v>
      </c>
    </row>
    <row r="2065" customFormat="false" ht="46.25" hidden="false" customHeight="false" outlineLevel="0" collapsed="false">
      <c r="A2065" s="6" t="s">
        <v>4815</v>
      </c>
      <c r="B2065" s="6" t="s">
        <v>108</v>
      </c>
      <c r="C2065" s="6" t="s">
        <v>109</v>
      </c>
      <c r="D2065" s="6" t="s">
        <v>143</v>
      </c>
      <c r="E2065" s="6" t="s">
        <v>144</v>
      </c>
      <c r="F2065" s="6" t="s">
        <v>215</v>
      </c>
      <c r="G2065" s="6" t="s">
        <v>711</v>
      </c>
      <c r="H2065" s="6" t="s">
        <v>228</v>
      </c>
      <c r="I2065" s="6" t="s">
        <v>4816</v>
      </c>
      <c r="J2065" s="6" t="s">
        <v>250</v>
      </c>
      <c r="K2065" s="6" t="s">
        <v>1107</v>
      </c>
      <c r="L2065" s="6" t="s">
        <v>205</v>
      </c>
      <c r="M2065" s="6" t="s">
        <v>723</v>
      </c>
      <c r="N2065" s="6" t="s">
        <v>286</v>
      </c>
      <c r="O2065" s="6" t="s">
        <v>933</v>
      </c>
      <c r="P2065" s="19" t="str">
        <f aca="false">IF(J2065="S0","—",IF(K2065="","",IF(L2065="E0","QM",INDEX(10_ASIL_Matrix!$D$4:$F$15,MATCH(J2065&amp;"-"&amp;L2065,10_ASIL_Matrix!$C$4:$C$15,0),MATCH(N2065,10_ASIL_Matrix!$D$3:$F$3,0)))))</f>
        <v>A</v>
      </c>
      <c r="Q2065" s="6" t="s">
        <v>448</v>
      </c>
    </row>
    <row r="2066" customFormat="false" ht="57.45" hidden="false" customHeight="false" outlineLevel="0" collapsed="false">
      <c r="A2066" s="5" t="s">
        <v>4817</v>
      </c>
      <c r="B2066" s="5" t="s">
        <v>108</v>
      </c>
      <c r="C2066" s="5" t="s">
        <v>109</v>
      </c>
      <c r="D2066" s="5" t="s">
        <v>143</v>
      </c>
      <c r="E2066" s="5" t="s">
        <v>144</v>
      </c>
      <c r="F2066" s="5" t="s">
        <v>215</v>
      </c>
      <c r="G2066" s="5" t="s">
        <v>711</v>
      </c>
      <c r="H2066" s="5" t="s">
        <v>230</v>
      </c>
      <c r="I2066" s="5" t="s">
        <v>4818</v>
      </c>
      <c r="J2066" s="5" t="s">
        <v>250</v>
      </c>
      <c r="K2066" s="5" t="s">
        <v>1107</v>
      </c>
      <c r="L2066" s="5" t="s">
        <v>205</v>
      </c>
      <c r="M2066" s="5" t="s">
        <v>726</v>
      </c>
      <c r="N2066" s="5" t="s">
        <v>290</v>
      </c>
      <c r="O2066" s="5" t="s">
        <v>942</v>
      </c>
      <c r="P2066" s="18" t="str">
        <f aca="false">IF(J2066="S0","—",IF(K2066="","",IF(L2066="E0","QM",INDEX(10_ASIL_Matrix!$D$4:$F$15,MATCH(J2066&amp;"-"&amp;L2066,10_ASIL_Matrix!$C$4:$C$15,0),MATCH(N2066,10_ASIL_Matrix!$D$3:$F$3,0)))))</f>
        <v>B</v>
      </c>
      <c r="Q2066" s="5" t="s">
        <v>448</v>
      </c>
    </row>
    <row r="2067" customFormat="false" ht="46.25" hidden="false" customHeight="false" outlineLevel="0" collapsed="false">
      <c r="A2067" s="6" t="s">
        <v>4819</v>
      </c>
      <c r="B2067" s="6" t="s">
        <v>108</v>
      </c>
      <c r="C2067" s="6" t="s">
        <v>109</v>
      </c>
      <c r="D2067" s="6" t="s">
        <v>143</v>
      </c>
      <c r="E2067" s="6" t="s">
        <v>144</v>
      </c>
      <c r="F2067" s="6" t="s">
        <v>215</v>
      </c>
      <c r="G2067" s="6" t="s">
        <v>711</v>
      </c>
      <c r="H2067" s="6" t="s">
        <v>232</v>
      </c>
      <c r="I2067" s="6" t="s">
        <v>4820</v>
      </c>
      <c r="J2067" s="6" t="s">
        <v>250</v>
      </c>
      <c r="K2067" s="6" t="s">
        <v>1107</v>
      </c>
      <c r="L2067" s="6" t="s">
        <v>233</v>
      </c>
      <c r="M2067" s="6" t="s">
        <v>729</v>
      </c>
      <c r="N2067" s="6" t="s">
        <v>286</v>
      </c>
      <c r="O2067" s="6" t="s">
        <v>933</v>
      </c>
      <c r="P2067" s="6" t="str">
        <f aca="false">IF(J2067="S0","—",IF(K2067="","",IF(L2067="E0","QM",INDEX(10_ASIL_Matrix!$D$4:$F$15,MATCH(J2067&amp;"-"&amp;L2067,10_ASIL_Matrix!$C$4:$C$15,0),MATCH(N2067,10_ASIL_Matrix!$D$3:$F$3,0)))))</f>
        <v>QM</v>
      </c>
      <c r="Q2067" s="6" t="s">
        <v>448</v>
      </c>
    </row>
    <row r="2068" customFormat="false" ht="46.25" hidden="false" customHeight="false" outlineLevel="0" collapsed="false">
      <c r="A2068" s="5" t="s">
        <v>4821</v>
      </c>
      <c r="B2068" s="5" t="s">
        <v>108</v>
      </c>
      <c r="C2068" s="5" t="s">
        <v>109</v>
      </c>
      <c r="D2068" s="5" t="s">
        <v>143</v>
      </c>
      <c r="E2068" s="5" t="s">
        <v>144</v>
      </c>
      <c r="F2068" s="5" t="s">
        <v>217</v>
      </c>
      <c r="G2068" s="5" t="s">
        <v>488</v>
      </c>
      <c r="H2068" s="5" t="s">
        <v>222</v>
      </c>
      <c r="I2068" s="5" t="s">
        <v>4822</v>
      </c>
      <c r="J2068" s="5" t="s">
        <v>250</v>
      </c>
      <c r="K2068" s="5" t="s">
        <v>1120</v>
      </c>
      <c r="L2068" s="5" t="s">
        <v>190</v>
      </c>
      <c r="M2068" s="5" t="s">
        <v>733</v>
      </c>
      <c r="N2068" s="5" t="s">
        <v>286</v>
      </c>
      <c r="O2068" s="5" t="s">
        <v>933</v>
      </c>
      <c r="P2068" s="18" t="str">
        <f aca="false">IF(J2068="S0","—",IF(K2068="","",IF(L2068="E0","QM",INDEX(10_ASIL_Matrix!$D$4:$F$15,MATCH(J2068&amp;"-"&amp;L2068,10_ASIL_Matrix!$C$4:$C$15,0),MATCH(N2068,10_ASIL_Matrix!$D$3:$F$3,0)))))</f>
        <v>B</v>
      </c>
      <c r="Q2068" s="5" t="s">
        <v>448</v>
      </c>
    </row>
    <row r="2069" customFormat="false" ht="46.25" hidden="false" customHeight="false" outlineLevel="0" collapsed="false">
      <c r="A2069" s="6" t="s">
        <v>4823</v>
      </c>
      <c r="B2069" s="6" t="s">
        <v>108</v>
      </c>
      <c r="C2069" s="6" t="s">
        <v>109</v>
      </c>
      <c r="D2069" s="6" t="s">
        <v>143</v>
      </c>
      <c r="E2069" s="6" t="s">
        <v>144</v>
      </c>
      <c r="F2069" s="6" t="s">
        <v>217</v>
      </c>
      <c r="G2069" s="6" t="s">
        <v>488</v>
      </c>
      <c r="H2069" s="6" t="s">
        <v>224</v>
      </c>
      <c r="I2069" s="6" t="s">
        <v>4824</v>
      </c>
      <c r="J2069" s="6" t="s">
        <v>250</v>
      </c>
      <c r="K2069" s="6" t="s">
        <v>1120</v>
      </c>
      <c r="L2069" s="6" t="s">
        <v>190</v>
      </c>
      <c r="M2069" s="6" t="s">
        <v>736</v>
      </c>
      <c r="N2069" s="6" t="s">
        <v>286</v>
      </c>
      <c r="O2069" s="6" t="s">
        <v>933</v>
      </c>
      <c r="P2069" s="18" t="str">
        <f aca="false">IF(J2069="S0","—",IF(K2069="","",IF(L2069="E0","QM",INDEX(10_ASIL_Matrix!$D$4:$F$15,MATCH(J2069&amp;"-"&amp;L2069,10_ASIL_Matrix!$C$4:$C$15,0),MATCH(N2069,10_ASIL_Matrix!$D$3:$F$3,0)))))</f>
        <v>B</v>
      </c>
      <c r="Q2069" s="6" t="s">
        <v>448</v>
      </c>
    </row>
    <row r="2070" customFormat="false" ht="46.25" hidden="false" customHeight="false" outlineLevel="0" collapsed="false">
      <c r="A2070" s="5" t="s">
        <v>4825</v>
      </c>
      <c r="B2070" s="5" t="s">
        <v>108</v>
      </c>
      <c r="C2070" s="5" t="s">
        <v>109</v>
      </c>
      <c r="D2070" s="5" t="s">
        <v>143</v>
      </c>
      <c r="E2070" s="5" t="s">
        <v>144</v>
      </c>
      <c r="F2070" s="5" t="s">
        <v>217</v>
      </c>
      <c r="G2070" s="5" t="s">
        <v>488</v>
      </c>
      <c r="H2070" s="5" t="s">
        <v>226</v>
      </c>
      <c r="I2070" s="5" t="s">
        <v>4826</v>
      </c>
      <c r="J2070" s="5" t="s">
        <v>250</v>
      </c>
      <c r="K2070" s="5" t="s">
        <v>1120</v>
      </c>
      <c r="L2070" s="5" t="s">
        <v>190</v>
      </c>
      <c r="M2070" s="5" t="s">
        <v>739</v>
      </c>
      <c r="N2070" s="5" t="s">
        <v>286</v>
      </c>
      <c r="O2070" s="5" t="s">
        <v>933</v>
      </c>
      <c r="P2070" s="18" t="str">
        <f aca="false">IF(J2070="S0","—",IF(K2070="","",IF(L2070="E0","QM",INDEX(10_ASIL_Matrix!$D$4:$F$15,MATCH(J2070&amp;"-"&amp;L2070,10_ASIL_Matrix!$C$4:$C$15,0),MATCH(N2070,10_ASIL_Matrix!$D$3:$F$3,0)))))</f>
        <v>B</v>
      </c>
      <c r="Q2070" s="5" t="s">
        <v>448</v>
      </c>
    </row>
    <row r="2071" customFormat="false" ht="46.25" hidden="false" customHeight="false" outlineLevel="0" collapsed="false">
      <c r="A2071" s="6" t="s">
        <v>4827</v>
      </c>
      <c r="B2071" s="6" t="s">
        <v>108</v>
      </c>
      <c r="C2071" s="6" t="s">
        <v>109</v>
      </c>
      <c r="D2071" s="6" t="s">
        <v>143</v>
      </c>
      <c r="E2071" s="6" t="s">
        <v>144</v>
      </c>
      <c r="F2071" s="6" t="s">
        <v>217</v>
      </c>
      <c r="G2071" s="6" t="s">
        <v>488</v>
      </c>
      <c r="H2071" s="6" t="s">
        <v>228</v>
      </c>
      <c r="I2071" s="6" t="s">
        <v>4828</v>
      </c>
      <c r="J2071" s="6" t="s">
        <v>250</v>
      </c>
      <c r="K2071" s="6" t="s">
        <v>1120</v>
      </c>
      <c r="L2071" s="6" t="s">
        <v>205</v>
      </c>
      <c r="M2071" s="6" t="s">
        <v>742</v>
      </c>
      <c r="N2071" s="6" t="s">
        <v>286</v>
      </c>
      <c r="O2071" s="6" t="s">
        <v>933</v>
      </c>
      <c r="P2071" s="19" t="str">
        <f aca="false">IF(J2071="S0","—",IF(K2071="","",IF(L2071="E0","QM",INDEX(10_ASIL_Matrix!$D$4:$F$15,MATCH(J2071&amp;"-"&amp;L2071,10_ASIL_Matrix!$C$4:$C$15,0),MATCH(N2071,10_ASIL_Matrix!$D$3:$F$3,0)))))</f>
        <v>A</v>
      </c>
      <c r="Q2071" s="6" t="s">
        <v>448</v>
      </c>
    </row>
    <row r="2072" customFormat="false" ht="57.45" hidden="false" customHeight="false" outlineLevel="0" collapsed="false">
      <c r="A2072" s="5" t="s">
        <v>4829</v>
      </c>
      <c r="B2072" s="5" t="s">
        <v>108</v>
      </c>
      <c r="C2072" s="5" t="s">
        <v>109</v>
      </c>
      <c r="D2072" s="5" t="s">
        <v>143</v>
      </c>
      <c r="E2072" s="5" t="s">
        <v>144</v>
      </c>
      <c r="F2072" s="5" t="s">
        <v>217</v>
      </c>
      <c r="G2072" s="5" t="s">
        <v>488</v>
      </c>
      <c r="H2072" s="5" t="s">
        <v>230</v>
      </c>
      <c r="I2072" s="5" t="s">
        <v>4830</v>
      </c>
      <c r="J2072" s="5" t="s">
        <v>250</v>
      </c>
      <c r="K2072" s="5" t="s">
        <v>1120</v>
      </c>
      <c r="L2072" s="5" t="s">
        <v>205</v>
      </c>
      <c r="M2072" s="5" t="s">
        <v>745</v>
      </c>
      <c r="N2072" s="5" t="s">
        <v>290</v>
      </c>
      <c r="O2072" s="5" t="s">
        <v>942</v>
      </c>
      <c r="P2072" s="18" t="str">
        <f aca="false">IF(J2072="S0","—",IF(K2072="","",IF(L2072="E0","QM",INDEX(10_ASIL_Matrix!$D$4:$F$15,MATCH(J2072&amp;"-"&amp;L2072,10_ASIL_Matrix!$C$4:$C$15,0),MATCH(N2072,10_ASIL_Matrix!$D$3:$F$3,0)))))</f>
        <v>B</v>
      </c>
      <c r="Q2072" s="5" t="s">
        <v>448</v>
      </c>
    </row>
    <row r="2073" customFormat="false" ht="46.25" hidden="false" customHeight="false" outlineLevel="0" collapsed="false">
      <c r="A2073" s="6" t="s">
        <v>4831</v>
      </c>
      <c r="B2073" s="6" t="s">
        <v>108</v>
      </c>
      <c r="C2073" s="6" t="s">
        <v>109</v>
      </c>
      <c r="D2073" s="6" t="s">
        <v>143</v>
      </c>
      <c r="E2073" s="6" t="s">
        <v>144</v>
      </c>
      <c r="F2073" s="6" t="s">
        <v>217</v>
      </c>
      <c r="G2073" s="6" t="s">
        <v>488</v>
      </c>
      <c r="H2073" s="6" t="s">
        <v>232</v>
      </c>
      <c r="I2073" s="6" t="s">
        <v>4832</v>
      </c>
      <c r="J2073" s="6" t="s">
        <v>250</v>
      </c>
      <c r="K2073" s="6" t="s">
        <v>1120</v>
      </c>
      <c r="L2073" s="6" t="s">
        <v>233</v>
      </c>
      <c r="M2073" s="6" t="s">
        <v>748</v>
      </c>
      <c r="N2073" s="6" t="s">
        <v>286</v>
      </c>
      <c r="O2073" s="6" t="s">
        <v>933</v>
      </c>
      <c r="P2073" s="6" t="str">
        <f aca="false">IF(J2073="S0","—",IF(K2073="","",IF(L2073="E0","QM",INDEX(10_ASIL_Matrix!$D$4:$F$15,MATCH(J2073&amp;"-"&amp;L2073,10_ASIL_Matrix!$C$4:$C$15,0),MATCH(N2073,10_ASIL_Matrix!$D$3:$F$3,0)))))</f>
        <v>QM</v>
      </c>
      <c r="Q2073" s="6" t="s">
        <v>448</v>
      </c>
    </row>
    <row r="2074" customFormat="false" ht="35.05" hidden="false" customHeight="false" outlineLevel="0" collapsed="false">
      <c r="A2074" s="5" t="s">
        <v>4833</v>
      </c>
      <c r="B2074" s="5" t="s">
        <v>108</v>
      </c>
      <c r="C2074" s="5" t="s">
        <v>109</v>
      </c>
      <c r="D2074" s="5" t="s">
        <v>152</v>
      </c>
      <c r="E2074" s="5" t="s">
        <v>153</v>
      </c>
      <c r="F2074" s="5" t="s">
        <v>186</v>
      </c>
      <c r="G2074" s="5" t="s">
        <v>443</v>
      </c>
      <c r="H2074" s="5" t="s">
        <v>222</v>
      </c>
      <c r="I2074" s="5" t="s">
        <v>4834</v>
      </c>
      <c r="J2074" s="5" t="s">
        <v>238</v>
      </c>
      <c r="K2074" s="5" t="s">
        <v>4290</v>
      </c>
      <c r="L2074" s="5" t="s">
        <v>187</v>
      </c>
      <c r="M2074" s="5" t="s">
        <v>446</v>
      </c>
      <c r="N2074" s="5" t="s">
        <v>278</v>
      </c>
      <c r="O2074" s="5" t="s">
        <v>634</v>
      </c>
      <c r="P2074" s="5" t="str">
        <f aca="false">IF(J2074="S0","—",IF(K2074="","",IF(L2074="E0","QM",INDEX(10_ASIL_Matrix!$D$4:$F$15,MATCH(J2074&amp;"-"&amp;L2074,10_ASIL_Matrix!$C$4:$C$15,0),MATCH(N2074,10_ASIL_Matrix!$D$3:$F$3,0)))))</f>
        <v>—</v>
      </c>
      <c r="Q2074" s="5" t="s">
        <v>448</v>
      </c>
    </row>
    <row r="2075" customFormat="false" ht="35.05" hidden="false" customHeight="false" outlineLevel="0" collapsed="false">
      <c r="A2075" s="6" t="s">
        <v>4835</v>
      </c>
      <c r="B2075" s="6" t="s">
        <v>108</v>
      </c>
      <c r="C2075" s="6" t="s">
        <v>109</v>
      </c>
      <c r="D2075" s="6" t="s">
        <v>152</v>
      </c>
      <c r="E2075" s="6" t="s">
        <v>153</v>
      </c>
      <c r="F2075" s="6" t="s">
        <v>186</v>
      </c>
      <c r="G2075" s="6" t="s">
        <v>443</v>
      </c>
      <c r="H2075" s="6" t="s">
        <v>224</v>
      </c>
      <c r="I2075" s="6" t="s">
        <v>4836</v>
      </c>
      <c r="J2075" s="6" t="s">
        <v>238</v>
      </c>
      <c r="K2075" s="6" t="s">
        <v>4290</v>
      </c>
      <c r="L2075" s="6" t="s">
        <v>190</v>
      </c>
      <c r="M2075" s="6" t="s">
        <v>451</v>
      </c>
      <c r="N2075" s="6" t="s">
        <v>278</v>
      </c>
      <c r="O2075" s="6" t="s">
        <v>634</v>
      </c>
      <c r="P2075" s="6" t="str">
        <f aca="false">IF(J2075="S0","—",IF(K2075="","",IF(L2075="E0","QM",INDEX(10_ASIL_Matrix!$D$4:$F$15,MATCH(J2075&amp;"-"&amp;L2075,10_ASIL_Matrix!$C$4:$C$15,0),MATCH(N2075,10_ASIL_Matrix!$D$3:$F$3,0)))))</f>
        <v>—</v>
      </c>
      <c r="Q2075" s="6" t="s">
        <v>448</v>
      </c>
    </row>
    <row r="2076" customFormat="false" ht="35.05" hidden="false" customHeight="false" outlineLevel="0" collapsed="false">
      <c r="A2076" s="5" t="s">
        <v>4837</v>
      </c>
      <c r="B2076" s="5" t="s">
        <v>108</v>
      </c>
      <c r="C2076" s="5" t="s">
        <v>109</v>
      </c>
      <c r="D2076" s="5" t="s">
        <v>152</v>
      </c>
      <c r="E2076" s="5" t="s">
        <v>153</v>
      </c>
      <c r="F2076" s="5" t="s">
        <v>186</v>
      </c>
      <c r="G2076" s="5" t="s">
        <v>443</v>
      </c>
      <c r="H2076" s="5" t="s">
        <v>226</v>
      </c>
      <c r="I2076" s="5" t="s">
        <v>4838</v>
      </c>
      <c r="J2076" s="5" t="s">
        <v>238</v>
      </c>
      <c r="K2076" s="5" t="s">
        <v>4290</v>
      </c>
      <c r="L2076" s="5" t="s">
        <v>190</v>
      </c>
      <c r="M2076" s="5" t="s">
        <v>454</v>
      </c>
      <c r="N2076" s="5" t="s">
        <v>278</v>
      </c>
      <c r="O2076" s="5" t="s">
        <v>634</v>
      </c>
      <c r="P2076" s="5" t="str">
        <f aca="false">IF(J2076="S0","—",IF(K2076="","",IF(L2076="E0","QM",INDEX(10_ASIL_Matrix!$D$4:$F$15,MATCH(J2076&amp;"-"&amp;L2076,10_ASIL_Matrix!$C$4:$C$15,0),MATCH(N2076,10_ASIL_Matrix!$D$3:$F$3,0)))))</f>
        <v>—</v>
      </c>
      <c r="Q2076" s="5" t="s">
        <v>448</v>
      </c>
    </row>
    <row r="2077" customFormat="false" ht="35.05" hidden="false" customHeight="false" outlineLevel="0" collapsed="false">
      <c r="A2077" s="6" t="s">
        <v>4839</v>
      </c>
      <c r="B2077" s="6" t="s">
        <v>108</v>
      </c>
      <c r="C2077" s="6" t="s">
        <v>109</v>
      </c>
      <c r="D2077" s="6" t="s">
        <v>152</v>
      </c>
      <c r="E2077" s="6" t="s">
        <v>153</v>
      </c>
      <c r="F2077" s="6" t="s">
        <v>186</v>
      </c>
      <c r="G2077" s="6" t="s">
        <v>443</v>
      </c>
      <c r="H2077" s="6" t="s">
        <v>228</v>
      </c>
      <c r="I2077" s="6" t="s">
        <v>4840</v>
      </c>
      <c r="J2077" s="6" t="s">
        <v>238</v>
      </c>
      <c r="K2077" s="6" t="s">
        <v>4290</v>
      </c>
      <c r="L2077" s="6" t="s">
        <v>205</v>
      </c>
      <c r="M2077" s="6" t="s">
        <v>457</v>
      </c>
      <c r="N2077" s="6" t="s">
        <v>278</v>
      </c>
      <c r="O2077" s="6" t="s">
        <v>634</v>
      </c>
      <c r="P2077" s="6" t="str">
        <f aca="false">IF(J2077="S0","—",IF(K2077="","",IF(L2077="E0","QM",INDEX(10_ASIL_Matrix!$D$4:$F$15,MATCH(J2077&amp;"-"&amp;L2077,10_ASIL_Matrix!$C$4:$C$15,0),MATCH(N2077,10_ASIL_Matrix!$D$3:$F$3,0)))))</f>
        <v>—</v>
      </c>
      <c r="Q2077" s="6" t="s">
        <v>448</v>
      </c>
    </row>
    <row r="2078" customFormat="false" ht="35.05" hidden="false" customHeight="false" outlineLevel="0" collapsed="false">
      <c r="A2078" s="5" t="s">
        <v>4841</v>
      </c>
      <c r="B2078" s="5" t="s">
        <v>108</v>
      </c>
      <c r="C2078" s="5" t="s">
        <v>109</v>
      </c>
      <c r="D2078" s="5" t="s">
        <v>152</v>
      </c>
      <c r="E2078" s="5" t="s">
        <v>153</v>
      </c>
      <c r="F2078" s="5" t="s">
        <v>186</v>
      </c>
      <c r="G2078" s="5" t="s">
        <v>443</v>
      </c>
      <c r="H2078" s="5" t="s">
        <v>230</v>
      </c>
      <c r="I2078" s="5" t="s">
        <v>4842</v>
      </c>
      <c r="J2078" s="5" t="s">
        <v>238</v>
      </c>
      <c r="K2078" s="5" t="s">
        <v>4290</v>
      </c>
      <c r="L2078" s="5" t="s">
        <v>205</v>
      </c>
      <c r="M2078" s="5" t="s">
        <v>460</v>
      </c>
      <c r="N2078" s="5" t="s">
        <v>278</v>
      </c>
      <c r="O2078" s="5" t="s">
        <v>634</v>
      </c>
      <c r="P2078" s="5" t="str">
        <f aca="false">IF(J2078="S0","—",IF(K2078="","",IF(L2078="E0","QM",INDEX(10_ASIL_Matrix!$D$4:$F$15,MATCH(J2078&amp;"-"&amp;L2078,10_ASIL_Matrix!$C$4:$C$15,0),MATCH(N2078,10_ASIL_Matrix!$D$3:$F$3,0)))))</f>
        <v>—</v>
      </c>
      <c r="Q2078" s="5" t="s">
        <v>448</v>
      </c>
    </row>
    <row r="2079" customFormat="false" ht="46.25" hidden="false" customHeight="false" outlineLevel="0" collapsed="false">
      <c r="A2079" s="6" t="s">
        <v>4843</v>
      </c>
      <c r="B2079" s="6" t="s">
        <v>108</v>
      </c>
      <c r="C2079" s="6" t="s">
        <v>109</v>
      </c>
      <c r="D2079" s="6" t="s">
        <v>152</v>
      </c>
      <c r="E2079" s="6" t="s">
        <v>153</v>
      </c>
      <c r="F2079" s="6" t="s">
        <v>186</v>
      </c>
      <c r="G2079" s="6" t="s">
        <v>443</v>
      </c>
      <c r="H2079" s="6" t="s">
        <v>232</v>
      </c>
      <c r="I2079" s="6" t="s">
        <v>4844</v>
      </c>
      <c r="J2079" s="6" t="s">
        <v>238</v>
      </c>
      <c r="K2079" s="6" t="s">
        <v>4290</v>
      </c>
      <c r="L2079" s="6" t="s">
        <v>233</v>
      </c>
      <c r="M2079" s="6" t="s">
        <v>464</v>
      </c>
      <c r="N2079" s="6" t="s">
        <v>278</v>
      </c>
      <c r="O2079" s="6" t="s">
        <v>634</v>
      </c>
      <c r="P2079" s="6" t="str">
        <f aca="false">IF(J2079="S0","—",IF(K2079="","",IF(L2079="E0","QM",INDEX(10_ASIL_Matrix!$D$4:$F$15,MATCH(J2079&amp;"-"&amp;L2079,10_ASIL_Matrix!$C$4:$C$15,0),MATCH(N2079,10_ASIL_Matrix!$D$3:$F$3,0)))))</f>
        <v>—</v>
      </c>
      <c r="Q2079" s="6" t="s">
        <v>448</v>
      </c>
    </row>
    <row r="2080" customFormat="false" ht="35.05" hidden="false" customHeight="false" outlineLevel="0" collapsed="false">
      <c r="A2080" s="5" t="s">
        <v>4845</v>
      </c>
      <c r="B2080" s="5" t="s">
        <v>108</v>
      </c>
      <c r="C2080" s="5" t="s">
        <v>109</v>
      </c>
      <c r="D2080" s="5" t="s">
        <v>152</v>
      </c>
      <c r="E2080" s="5" t="s">
        <v>153</v>
      </c>
      <c r="F2080" s="5" t="s">
        <v>189</v>
      </c>
      <c r="G2080" s="5" t="s">
        <v>466</v>
      </c>
      <c r="H2080" s="5" t="s">
        <v>222</v>
      </c>
      <c r="I2080" s="5" t="s">
        <v>4846</v>
      </c>
      <c r="J2080" s="5" t="s">
        <v>238</v>
      </c>
      <c r="K2080" s="5" t="s">
        <v>4290</v>
      </c>
      <c r="L2080" s="5" t="s">
        <v>190</v>
      </c>
      <c r="M2080" s="5" t="s">
        <v>469</v>
      </c>
      <c r="N2080" s="5" t="s">
        <v>278</v>
      </c>
      <c r="O2080" s="5" t="s">
        <v>634</v>
      </c>
      <c r="P2080" s="5" t="str">
        <f aca="false">IF(J2080="S0","—",IF(K2080="","",IF(L2080="E0","QM",INDEX(10_ASIL_Matrix!$D$4:$F$15,MATCH(J2080&amp;"-"&amp;L2080,10_ASIL_Matrix!$C$4:$C$15,0),MATCH(N2080,10_ASIL_Matrix!$D$3:$F$3,0)))))</f>
        <v>—</v>
      </c>
      <c r="Q2080" s="5" t="s">
        <v>448</v>
      </c>
    </row>
    <row r="2081" customFormat="false" ht="35.05" hidden="false" customHeight="false" outlineLevel="0" collapsed="false">
      <c r="A2081" s="6" t="s">
        <v>4847</v>
      </c>
      <c r="B2081" s="6" t="s">
        <v>108</v>
      </c>
      <c r="C2081" s="6" t="s">
        <v>109</v>
      </c>
      <c r="D2081" s="6" t="s">
        <v>152</v>
      </c>
      <c r="E2081" s="6" t="s">
        <v>153</v>
      </c>
      <c r="F2081" s="6" t="s">
        <v>189</v>
      </c>
      <c r="G2081" s="6" t="s">
        <v>466</v>
      </c>
      <c r="H2081" s="6" t="s">
        <v>224</v>
      </c>
      <c r="I2081" s="6" t="s">
        <v>4848</v>
      </c>
      <c r="J2081" s="6" t="s">
        <v>238</v>
      </c>
      <c r="K2081" s="6" t="s">
        <v>4290</v>
      </c>
      <c r="L2081" s="6" t="s">
        <v>190</v>
      </c>
      <c r="M2081" s="6" t="s">
        <v>473</v>
      </c>
      <c r="N2081" s="6" t="s">
        <v>278</v>
      </c>
      <c r="O2081" s="6" t="s">
        <v>634</v>
      </c>
      <c r="P2081" s="6" t="str">
        <f aca="false">IF(J2081="S0","—",IF(K2081="","",IF(L2081="E0","QM",INDEX(10_ASIL_Matrix!$D$4:$F$15,MATCH(J2081&amp;"-"&amp;L2081,10_ASIL_Matrix!$C$4:$C$15,0),MATCH(N2081,10_ASIL_Matrix!$D$3:$F$3,0)))))</f>
        <v>—</v>
      </c>
      <c r="Q2081" s="6" t="s">
        <v>448</v>
      </c>
    </row>
    <row r="2082" customFormat="false" ht="35.05" hidden="false" customHeight="false" outlineLevel="0" collapsed="false">
      <c r="A2082" s="5" t="s">
        <v>4849</v>
      </c>
      <c r="B2082" s="5" t="s">
        <v>108</v>
      </c>
      <c r="C2082" s="5" t="s">
        <v>109</v>
      </c>
      <c r="D2082" s="5" t="s">
        <v>152</v>
      </c>
      <c r="E2082" s="5" t="s">
        <v>153</v>
      </c>
      <c r="F2082" s="5" t="s">
        <v>189</v>
      </c>
      <c r="G2082" s="5" t="s">
        <v>466</v>
      </c>
      <c r="H2082" s="5" t="s">
        <v>226</v>
      </c>
      <c r="I2082" s="5" t="s">
        <v>4850</v>
      </c>
      <c r="J2082" s="5" t="s">
        <v>238</v>
      </c>
      <c r="K2082" s="5" t="s">
        <v>4290</v>
      </c>
      <c r="L2082" s="5" t="s">
        <v>190</v>
      </c>
      <c r="M2082" s="5" t="s">
        <v>476</v>
      </c>
      <c r="N2082" s="5" t="s">
        <v>278</v>
      </c>
      <c r="O2082" s="5" t="s">
        <v>634</v>
      </c>
      <c r="P2082" s="5" t="str">
        <f aca="false">IF(J2082="S0","—",IF(K2082="","",IF(L2082="E0","QM",INDEX(10_ASIL_Matrix!$D$4:$F$15,MATCH(J2082&amp;"-"&amp;L2082,10_ASIL_Matrix!$C$4:$C$15,0),MATCH(N2082,10_ASIL_Matrix!$D$3:$F$3,0)))))</f>
        <v>—</v>
      </c>
      <c r="Q2082" s="5" t="s">
        <v>448</v>
      </c>
    </row>
    <row r="2083" customFormat="false" ht="35.05" hidden="false" customHeight="false" outlineLevel="0" collapsed="false">
      <c r="A2083" s="6" t="s">
        <v>4851</v>
      </c>
      <c r="B2083" s="6" t="s">
        <v>108</v>
      </c>
      <c r="C2083" s="6" t="s">
        <v>109</v>
      </c>
      <c r="D2083" s="6" t="s">
        <v>152</v>
      </c>
      <c r="E2083" s="6" t="s">
        <v>153</v>
      </c>
      <c r="F2083" s="6" t="s">
        <v>189</v>
      </c>
      <c r="G2083" s="6" t="s">
        <v>466</v>
      </c>
      <c r="H2083" s="6" t="s">
        <v>228</v>
      </c>
      <c r="I2083" s="6" t="s">
        <v>4852</v>
      </c>
      <c r="J2083" s="6" t="s">
        <v>238</v>
      </c>
      <c r="K2083" s="6" t="s">
        <v>4290</v>
      </c>
      <c r="L2083" s="6" t="s">
        <v>205</v>
      </c>
      <c r="M2083" s="6" t="s">
        <v>479</v>
      </c>
      <c r="N2083" s="6" t="s">
        <v>278</v>
      </c>
      <c r="O2083" s="6" t="s">
        <v>634</v>
      </c>
      <c r="P2083" s="6" t="str">
        <f aca="false">IF(J2083="S0","—",IF(K2083="","",IF(L2083="E0","QM",INDEX(10_ASIL_Matrix!$D$4:$F$15,MATCH(J2083&amp;"-"&amp;L2083,10_ASIL_Matrix!$C$4:$C$15,0),MATCH(N2083,10_ASIL_Matrix!$D$3:$F$3,0)))))</f>
        <v>—</v>
      </c>
      <c r="Q2083" s="6" t="s">
        <v>448</v>
      </c>
    </row>
    <row r="2084" customFormat="false" ht="35.05" hidden="false" customHeight="false" outlineLevel="0" collapsed="false">
      <c r="A2084" s="5" t="s">
        <v>4853</v>
      </c>
      <c r="B2084" s="5" t="s">
        <v>108</v>
      </c>
      <c r="C2084" s="5" t="s">
        <v>109</v>
      </c>
      <c r="D2084" s="5" t="s">
        <v>152</v>
      </c>
      <c r="E2084" s="5" t="s">
        <v>153</v>
      </c>
      <c r="F2084" s="5" t="s">
        <v>189</v>
      </c>
      <c r="G2084" s="5" t="s">
        <v>466</v>
      </c>
      <c r="H2084" s="5" t="s">
        <v>230</v>
      </c>
      <c r="I2084" s="5" t="s">
        <v>4854</v>
      </c>
      <c r="J2084" s="5" t="s">
        <v>238</v>
      </c>
      <c r="K2084" s="5" t="s">
        <v>4290</v>
      </c>
      <c r="L2084" s="5" t="s">
        <v>205</v>
      </c>
      <c r="M2084" s="5" t="s">
        <v>482</v>
      </c>
      <c r="N2084" s="5" t="s">
        <v>278</v>
      </c>
      <c r="O2084" s="5" t="s">
        <v>634</v>
      </c>
      <c r="P2084" s="5" t="str">
        <f aca="false">IF(J2084="S0","—",IF(K2084="","",IF(L2084="E0","QM",INDEX(10_ASIL_Matrix!$D$4:$F$15,MATCH(J2084&amp;"-"&amp;L2084,10_ASIL_Matrix!$C$4:$C$15,0),MATCH(N2084,10_ASIL_Matrix!$D$3:$F$3,0)))))</f>
        <v>—</v>
      </c>
      <c r="Q2084" s="5" t="s">
        <v>448</v>
      </c>
    </row>
    <row r="2085" customFormat="false" ht="46.25" hidden="false" customHeight="false" outlineLevel="0" collapsed="false">
      <c r="A2085" s="6" t="s">
        <v>4855</v>
      </c>
      <c r="B2085" s="6" t="s">
        <v>108</v>
      </c>
      <c r="C2085" s="6" t="s">
        <v>109</v>
      </c>
      <c r="D2085" s="6" t="s">
        <v>152</v>
      </c>
      <c r="E2085" s="6" t="s">
        <v>153</v>
      </c>
      <c r="F2085" s="6" t="s">
        <v>189</v>
      </c>
      <c r="G2085" s="6" t="s">
        <v>466</v>
      </c>
      <c r="H2085" s="6" t="s">
        <v>232</v>
      </c>
      <c r="I2085" s="6" t="s">
        <v>4856</v>
      </c>
      <c r="J2085" s="6" t="s">
        <v>238</v>
      </c>
      <c r="K2085" s="6" t="s">
        <v>4290</v>
      </c>
      <c r="L2085" s="6" t="s">
        <v>233</v>
      </c>
      <c r="M2085" s="6" t="s">
        <v>486</v>
      </c>
      <c r="N2085" s="6" t="s">
        <v>278</v>
      </c>
      <c r="O2085" s="6" t="s">
        <v>634</v>
      </c>
      <c r="P2085" s="6" t="str">
        <f aca="false">IF(J2085="S0","—",IF(K2085="","",IF(L2085="E0","QM",INDEX(10_ASIL_Matrix!$D$4:$F$15,MATCH(J2085&amp;"-"&amp;L2085,10_ASIL_Matrix!$C$4:$C$15,0),MATCH(N2085,10_ASIL_Matrix!$D$3:$F$3,0)))))</f>
        <v>—</v>
      </c>
      <c r="Q2085" s="6" t="s">
        <v>448</v>
      </c>
    </row>
    <row r="2086" customFormat="false" ht="35.05" hidden="false" customHeight="false" outlineLevel="0" collapsed="false">
      <c r="A2086" s="5" t="s">
        <v>4857</v>
      </c>
      <c r="B2086" s="5" t="s">
        <v>108</v>
      </c>
      <c r="C2086" s="5" t="s">
        <v>109</v>
      </c>
      <c r="D2086" s="5" t="s">
        <v>152</v>
      </c>
      <c r="E2086" s="5" t="s">
        <v>153</v>
      </c>
      <c r="F2086" s="5" t="s">
        <v>192</v>
      </c>
      <c r="G2086" s="5" t="s">
        <v>488</v>
      </c>
      <c r="H2086" s="5" t="s">
        <v>222</v>
      </c>
      <c r="I2086" s="5" t="s">
        <v>4858</v>
      </c>
      <c r="J2086" s="5" t="s">
        <v>238</v>
      </c>
      <c r="K2086" s="5" t="s">
        <v>4290</v>
      </c>
      <c r="L2086" s="5" t="s">
        <v>187</v>
      </c>
      <c r="M2086" s="5" t="s">
        <v>491</v>
      </c>
      <c r="N2086" s="5" t="s">
        <v>278</v>
      </c>
      <c r="O2086" s="5" t="s">
        <v>634</v>
      </c>
      <c r="P2086" s="5" t="str">
        <f aca="false">IF(J2086="S0","—",IF(K2086="","",IF(L2086="E0","QM",INDEX(10_ASIL_Matrix!$D$4:$F$15,MATCH(J2086&amp;"-"&amp;L2086,10_ASIL_Matrix!$C$4:$C$15,0),MATCH(N2086,10_ASIL_Matrix!$D$3:$F$3,0)))))</f>
        <v>—</v>
      </c>
      <c r="Q2086" s="5" t="s">
        <v>448</v>
      </c>
    </row>
    <row r="2087" customFormat="false" ht="35.05" hidden="false" customHeight="false" outlineLevel="0" collapsed="false">
      <c r="A2087" s="6" t="s">
        <v>4859</v>
      </c>
      <c r="B2087" s="6" t="s">
        <v>108</v>
      </c>
      <c r="C2087" s="6" t="s">
        <v>109</v>
      </c>
      <c r="D2087" s="6" t="s">
        <v>152</v>
      </c>
      <c r="E2087" s="6" t="s">
        <v>153</v>
      </c>
      <c r="F2087" s="6" t="s">
        <v>192</v>
      </c>
      <c r="G2087" s="6" t="s">
        <v>488</v>
      </c>
      <c r="H2087" s="6" t="s">
        <v>224</v>
      </c>
      <c r="I2087" s="6" t="s">
        <v>4860</v>
      </c>
      <c r="J2087" s="6" t="s">
        <v>238</v>
      </c>
      <c r="K2087" s="6" t="s">
        <v>4290</v>
      </c>
      <c r="L2087" s="6" t="s">
        <v>190</v>
      </c>
      <c r="M2087" s="6" t="s">
        <v>494</v>
      </c>
      <c r="N2087" s="6" t="s">
        <v>278</v>
      </c>
      <c r="O2087" s="6" t="s">
        <v>634</v>
      </c>
      <c r="P2087" s="6" t="str">
        <f aca="false">IF(J2087="S0","—",IF(K2087="","",IF(L2087="E0","QM",INDEX(10_ASIL_Matrix!$D$4:$F$15,MATCH(J2087&amp;"-"&amp;L2087,10_ASIL_Matrix!$C$4:$C$15,0),MATCH(N2087,10_ASIL_Matrix!$D$3:$F$3,0)))))</f>
        <v>—</v>
      </c>
      <c r="Q2087" s="6" t="s">
        <v>448</v>
      </c>
    </row>
    <row r="2088" customFormat="false" ht="35.05" hidden="false" customHeight="false" outlineLevel="0" collapsed="false">
      <c r="A2088" s="5" t="s">
        <v>4861</v>
      </c>
      <c r="B2088" s="5" t="s">
        <v>108</v>
      </c>
      <c r="C2088" s="5" t="s">
        <v>109</v>
      </c>
      <c r="D2088" s="5" t="s">
        <v>152</v>
      </c>
      <c r="E2088" s="5" t="s">
        <v>153</v>
      </c>
      <c r="F2088" s="5" t="s">
        <v>192</v>
      </c>
      <c r="G2088" s="5" t="s">
        <v>488</v>
      </c>
      <c r="H2088" s="5" t="s">
        <v>226</v>
      </c>
      <c r="I2088" s="5" t="s">
        <v>4862</v>
      </c>
      <c r="J2088" s="5" t="s">
        <v>238</v>
      </c>
      <c r="K2088" s="5" t="s">
        <v>4290</v>
      </c>
      <c r="L2088" s="5" t="s">
        <v>190</v>
      </c>
      <c r="M2088" s="5" t="s">
        <v>497</v>
      </c>
      <c r="N2088" s="5" t="s">
        <v>278</v>
      </c>
      <c r="O2088" s="5" t="s">
        <v>634</v>
      </c>
      <c r="P2088" s="5" t="str">
        <f aca="false">IF(J2088="S0","—",IF(K2088="","",IF(L2088="E0","QM",INDEX(10_ASIL_Matrix!$D$4:$F$15,MATCH(J2088&amp;"-"&amp;L2088,10_ASIL_Matrix!$C$4:$C$15,0),MATCH(N2088,10_ASIL_Matrix!$D$3:$F$3,0)))))</f>
        <v>—</v>
      </c>
      <c r="Q2088" s="5" t="s">
        <v>448</v>
      </c>
    </row>
    <row r="2089" customFormat="false" ht="35.05" hidden="false" customHeight="false" outlineLevel="0" collapsed="false">
      <c r="A2089" s="6" t="s">
        <v>4863</v>
      </c>
      <c r="B2089" s="6" t="s">
        <v>108</v>
      </c>
      <c r="C2089" s="6" t="s">
        <v>109</v>
      </c>
      <c r="D2089" s="6" t="s">
        <v>152</v>
      </c>
      <c r="E2089" s="6" t="s">
        <v>153</v>
      </c>
      <c r="F2089" s="6" t="s">
        <v>192</v>
      </c>
      <c r="G2089" s="6" t="s">
        <v>488</v>
      </c>
      <c r="H2089" s="6" t="s">
        <v>228</v>
      </c>
      <c r="I2089" s="6" t="s">
        <v>4864</v>
      </c>
      <c r="J2089" s="6" t="s">
        <v>238</v>
      </c>
      <c r="K2089" s="6" t="s">
        <v>4290</v>
      </c>
      <c r="L2089" s="6" t="s">
        <v>205</v>
      </c>
      <c r="M2089" s="6" t="s">
        <v>500</v>
      </c>
      <c r="N2089" s="6" t="s">
        <v>278</v>
      </c>
      <c r="O2089" s="6" t="s">
        <v>634</v>
      </c>
      <c r="P2089" s="6" t="str">
        <f aca="false">IF(J2089="S0","—",IF(K2089="","",IF(L2089="E0","QM",INDEX(10_ASIL_Matrix!$D$4:$F$15,MATCH(J2089&amp;"-"&amp;L2089,10_ASIL_Matrix!$C$4:$C$15,0),MATCH(N2089,10_ASIL_Matrix!$D$3:$F$3,0)))))</f>
        <v>—</v>
      </c>
      <c r="Q2089" s="6" t="s">
        <v>448</v>
      </c>
    </row>
    <row r="2090" customFormat="false" ht="35.05" hidden="false" customHeight="false" outlineLevel="0" collapsed="false">
      <c r="A2090" s="5" t="s">
        <v>4865</v>
      </c>
      <c r="B2090" s="5" t="s">
        <v>108</v>
      </c>
      <c r="C2090" s="5" t="s">
        <v>109</v>
      </c>
      <c r="D2090" s="5" t="s">
        <v>152</v>
      </c>
      <c r="E2090" s="5" t="s">
        <v>153</v>
      </c>
      <c r="F2090" s="5" t="s">
        <v>192</v>
      </c>
      <c r="G2090" s="5" t="s">
        <v>488</v>
      </c>
      <c r="H2090" s="5" t="s">
        <v>230</v>
      </c>
      <c r="I2090" s="5" t="s">
        <v>4866</v>
      </c>
      <c r="J2090" s="5" t="s">
        <v>238</v>
      </c>
      <c r="K2090" s="5" t="s">
        <v>4290</v>
      </c>
      <c r="L2090" s="5" t="s">
        <v>205</v>
      </c>
      <c r="M2090" s="5" t="s">
        <v>503</v>
      </c>
      <c r="N2090" s="5" t="s">
        <v>278</v>
      </c>
      <c r="O2090" s="5" t="s">
        <v>634</v>
      </c>
      <c r="P2090" s="5" t="str">
        <f aca="false">IF(J2090="S0","—",IF(K2090="","",IF(L2090="E0","QM",INDEX(10_ASIL_Matrix!$D$4:$F$15,MATCH(J2090&amp;"-"&amp;L2090,10_ASIL_Matrix!$C$4:$C$15,0),MATCH(N2090,10_ASIL_Matrix!$D$3:$F$3,0)))))</f>
        <v>—</v>
      </c>
      <c r="Q2090" s="5" t="s">
        <v>448</v>
      </c>
    </row>
    <row r="2091" customFormat="false" ht="46.25" hidden="false" customHeight="false" outlineLevel="0" collapsed="false">
      <c r="A2091" s="6" t="s">
        <v>4867</v>
      </c>
      <c r="B2091" s="6" t="s">
        <v>108</v>
      </c>
      <c r="C2091" s="6" t="s">
        <v>109</v>
      </c>
      <c r="D2091" s="6" t="s">
        <v>152</v>
      </c>
      <c r="E2091" s="6" t="s">
        <v>153</v>
      </c>
      <c r="F2091" s="6" t="s">
        <v>192</v>
      </c>
      <c r="G2091" s="6" t="s">
        <v>488</v>
      </c>
      <c r="H2091" s="6" t="s">
        <v>232</v>
      </c>
      <c r="I2091" s="6" t="s">
        <v>4868</v>
      </c>
      <c r="J2091" s="6" t="s">
        <v>238</v>
      </c>
      <c r="K2091" s="6" t="s">
        <v>4290</v>
      </c>
      <c r="L2091" s="6" t="s">
        <v>233</v>
      </c>
      <c r="M2091" s="6" t="s">
        <v>506</v>
      </c>
      <c r="N2091" s="6" t="s">
        <v>278</v>
      </c>
      <c r="O2091" s="6" t="s">
        <v>634</v>
      </c>
      <c r="P2091" s="6" t="str">
        <f aca="false">IF(J2091="S0","—",IF(K2091="","",IF(L2091="E0","QM",INDEX(10_ASIL_Matrix!$D$4:$F$15,MATCH(J2091&amp;"-"&amp;L2091,10_ASIL_Matrix!$C$4:$C$15,0),MATCH(N2091,10_ASIL_Matrix!$D$3:$F$3,0)))))</f>
        <v>—</v>
      </c>
      <c r="Q2091" s="6" t="s">
        <v>448</v>
      </c>
    </row>
    <row r="2092" customFormat="false" ht="35.05" hidden="false" customHeight="false" outlineLevel="0" collapsed="false">
      <c r="A2092" s="5" t="s">
        <v>4869</v>
      </c>
      <c r="B2092" s="5" t="s">
        <v>108</v>
      </c>
      <c r="C2092" s="5" t="s">
        <v>109</v>
      </c>
      <c r="D2092" s="5" t="s">
        <v>152</v>
      </c>
      <c r="E2092" s="5" t="s">
        <v>153</v>
      </c>
      <c r="F2092" s="5" t="s">
        <v>194</v>
      </c>
      <c r="G2092" s="5" t="s">
        <v>508</v>
      </c>
      <c r="H2092" s="5" t="s">
        <v>222</v>
      </c>
      <c r="I2092" s="5" t="s">
        <v>4870</v>
      </c>
      <c r="J2092" s="5" t="s">
        <v>238</v>
      </c>
      <c r="K2092" s="5" t="s">
        <v>4290</v>
      </c>
      <c r="L2092" s="5" t="s">
        <v>190</v>
      </c>
      <c r="M2092" s="5" t="s">
        <v>511</v>
      </c>
      <c r="N2092" s="5" t="s">
        <v>278</v>
      </c>
      <c r="O2092" s="5" t="s">
        <v>634</v>
      </c>
      <c r="P2092" s="5" t="str">
        <f aca="false">IF(J2092="S0","—",IF(K2092="","",IF(L2092="E0","QM",INDEX(10_ASIL_Matrix!$D$4:$F$15,MATCH(J2092&amp;"-"&amp;L2092,10_ASIL_Matrix!$C$4:$C$15,0),MATCH(N2092,10_ASIL_Matrix!$D$3:$F$3,0)))))</f>
        <v>—</v>
      </c>
      <c r="Q2092" s="5" t="s">
        <v>448</v>
      </c>
    </row>
    <row r="2093" customFormat="false" ht="35.05" hidden="false" customHeight="false" outlineLevel="0" collapsed="false">
      <c r="A2093" s="6" t="s">
        <v>4871</v>
      </c>
      <c r="B2093" s="6" t="s">
        <v>108</v>
      </c>
      <c r="C2093" s="6" t="s">
        <v>109</v>
      </c>
      <c r="D2093" s="6" t="s">
        <v>152</v>
      </c>
      <c r="E2093" s="6" t="s">
        <v>153</v>
      </c>
      <c r="F2093" s="6" t="s">
        <v>194</v>
      </c>
      <c r="G2093" s="6" t="s">
        <v>508</v>
      </c>
      <c r="H2093" s="6" t="s">
        <v>224</v>
      </c>
      <c r="I2093" s="6" t="s">
        <v>4872</v>
      </c>
      <c r="J2093" s="6" t="s">
        <v>238</v>
      </c>
      <c r="K2093" s="6" t="s">
        <v>4290</v>
      </c>
      <c r="L2093" s="6" t="s">
        <v>190</v>
      </c>
      <c r="M2093" s="6" t="s">
        <v>514</v>
      </c>
      <c r="N2093" s="6" t="s">
        <v>278</v>
      </c>
      <c r="O2093" s="6" t="s">
        <v>634</v>
      </c>
      <c r="P2093" s="6" t="str">
        <f aca="false">IF(J2093="S0","—",IF(K2093="","",IF(L2093="E0","QM",INDEX(10_ASIL_Matrix!$D$4:$F$15,MATCH(J2093&amp;"-"&amp;L2093,10_ASIL_Matrix!$C$4:$C$15,0),MATCH(N2093,10_ASIL_Matrix!$D$3:$F$3,0)))))</f>
        <v>—</v>
      </c>
      <c r="Q2093" s="6" t="s">
        <v>448</v>
      </c>
    </row>
    <row r="2094" customFormat="false" ht="35.05" hidden="false" customHeight="false" outlineLevel="0" collapsed="false">
      <c r="A2094" s="5" t="s">
        <v>4873</v>
      </c>
      <c r="B2094" s="5" t="s">
        <v>108</v>
      </c>
      <c r="C2094" s="5" t="s">
        <v>109</v>
      </c>
      <c r="D2094" s="5" t="s">
        <v>152</v>
      </c>
      <c r="E2094" s="5" t="s">
        <v>153</v>
      </c>
      <c r="F2094" s="5" t="s">
        <v>194</v>
      </c>
      <c r="G2094" s="5" t="s">
        <v>508</v>
      </c>
      <c r="H2094" s="5" t="s">
        <v>226</v>
      </c>
      <c r="I2094" s="5" t="s">
        <v>4874</v>
      </c>
      <c r="J2094" s="5" t="s">
        <v>238</v>
      </c>
      <c r="K2094" s="5" t="s">
        <v>4290</v>
      </c>
      <c r="L2094" s="5" t="s">
        <v>190</v>
      </c>
      <c r="M2094" s="5" t="s">
        <v>517</v>
      </c>
      <c r="N2094" s="5" t="s">
        <v>278</v>
      </c>
      <c r="O2094" s="5" t="s">
        <v>634</v>
      </c>
      <c r="P2094" s="5" t="str">
        <f aca="false">IF(J2094="S0","—",IF(K2094="","",IF(L2094="E0","QM",INDEX(10_ASIL_Matrix!$D$4:$F$15,MATCH(J2094&amp;"-"&amp;L2094,10_ASIL_Matrix!$C$4:$C$15,0),MATCH(N2094,10_ASIL_Matrix!$D$3:$F$3,0)))))</f>
        <v>—</v>
      </c>
      <c r="Q2094" s="5" t="s">
        <v>448</v>
      </c>
    </row>
    <row r="2095" customFormat="false" ht="35.05" hidden="false" customHeight="false" outlineLevel="0" collapsed="false">
      <c r="A2095" s="6" t="s">
        <v>4875</v>
      </c>
      <c r="B2095" s="6" t="s">
        <v>108</v>
      </c>
      <c r="C2095" s="6" t="s">
        <v>109</v>
      </c>
      <c r="D2095" s="6" t="s">
        <v>152</v>
      </c>
      <c r="E2095" s="6" t="s">
        <v>153</v>
      </c>
      <c r="F2095" s="6" t="s">
        <v>194</v>
      </c>
      <c r="G2095" s="6" t="s">
        <v>508</v>
      </c>
      <c r="H2095" s="6" t="s">
        <v>228</v>
      </c>
      <c r="I2095" s="6" t="s">
        <v>4876</v>
      </c>
      <c r="J2095" s="6" t="s">
        <v>238</v>
      </c>
      <c r="K2095" s="6" t="s">
        <v>4290</v>
      </c>
      <c r="L2095" s="6" t="s">
        <v>205</v>
      </c>
      <c r="M2095" s="6" t="s">
        <v>520</v>
      </c>
      <c r="N2095" s="6" t="s">
        <v>278</v>
      </c>
      <c r="O2095" s="6" t="s">
        <v>634</v>
      </c>
      <c r="P2095" s="6" t="str">
        <f aca="false">IF(J2095="S0","—",IF(K2095="","",IF(L2095="E0","QM",INDEX(10_ASIL_Matrix!$D$4:$F$15,MATCH(J2095&amp;"-"&amp;L2095,10_ASIL_Matrix!$C$4:$C$15,0),MATCH(N2095,10_ASIL_Matrix!$D$3:$F$3,0)))))</f>
        <v>—</v>
      </c>
      <c r="Q2095" s="6" t="s">
        <v>448</v>
      </c>
    </row>
    <row r="2096" customFormat="false" ht="35.05" hidden="false" customHeight="false" outlineLevel="0" collapsed="false">
      <c r="A2096" s="5" t="s">
        <v>4877</v>
      </c>
      <c r="B2096" s="5" t="s">
        <v>108</v>
      </c>
      <c r="C2096" s="5" t="s">
        <v>109</v>
      </c>
      <c r="D2096" s="5" t="s">
        <v>152</v>
      </c>
      <c r="E2096" s="5" t="s">
        <v>153</v>
      </c>
      <c r="F2096" s="5" t="s">
        <v>194</v>
      </c>
      <c r="G2096" s="5" t="s">
        <v>508</v>
      </c>
      <c r="H2096" s="5" t="s">
        <v>230</v>
      </c>
      <c r="I2096" s="5" t="s">
        <v>4878</v>
      </c>
      <c r="J2096" s="5" t="s">
        <v>238</v>
      </c>
      <c r="K2096" s="5" t="s">
        <v>4290</v>
      </c>
      <c r="L2096" s="5" t="s">
        <v>205</v>
      </c>
      <c r="M2096" s="5" t="s">
        <v>523</v>
      </c>
      <c r="N2096" s="5" t="s">
        <v>278</v>
      </c>
      <c r="O2096" s="5" t="s">
        <v>634</v>
      </c>
      <c r="P2096" s="5" t="str">
        <f aca="false">IF(J2096="S0","—",IF(K2096="","",IF(L2096="E0","QM",INDEX(10_ASIL_Matrix!$D$4:$F$15,MATCH(J2096&amp;"-"&amp;L2096,10_ASIL_Matrix!$C$4:$C$15,0),MATCH(N2096,10_ASIL_Matrix!$D$3:$F$3,0)))))</f>
        <v>—</v>
      </c>
      <c r="Q2096" s="5" t="s">
        <v>448</v>
      </c>
    </row>
    <row r="2097" customFormat="false" ht="46.25" hidden="false" customHeight="false" outlineLevel="0" collapsed="false">
      <c r="A2097" s="6" t="s">
        <v>4879</v>
      </c>
      <c r="B2097" s="6" t="s">
        <v>108</v>
      </c>
      <c r="C2097" s="6" t="s">
        <v>109</v>
      </c>
      <c r="D2097" s="6" t="s">
        <v>152</v>
      </c>
      <c r="E2097" s="6" t="s">
        <v>153</v>
      </c>
      <c r="F2097" s="6" t="s">
        <v>194</v>
      </c>
      <c r="G2097" s="6" t="s">
        <v>508</v>
      </c>
      <c r="H2097" s="6" t="s">
        <v>232</v>
      </c>
      <c r="I2097" s="6" t="s">
        <v>4880</v>
      </c>
      <c r="J2097" s="6" t="s">
        <v>238</v>
      </c>
      <c r="K2097" s="6" t="s">
        <v>4290</v>
      </c>
      <c r="L2097" s="6" t="s">
        <v>233</v>
      </c>
      <c r="M2097" s="6" t="s">
        <v>526</v>
      </c>
      <c r="N2097" s="6" t="s">
        <v>278</v>
      </c>
      <c r="O2097" s="6" t="s">
        <v>634</v>
      </c>
      <c r="P2097" s="6" t="str">
        <f aca="false">IF(J2097="S0","—",IF(K2097="","",IF(L2097="E0","QM",INDEX(10_ASIL_Matrix!$D$4:$F$15,MATCH(J2097&amp;"-"&amp;L2097,10_ASIL_Matrix!$C$4:$C$15,0),MATCH(N2097,10_ASIL_Matrix!$D$3:$F$3,0)))))</f>
        <v>—</v>
      </c>
      <c r="Q2097" s="6" t="s">
        <v>448</v>
      </c>
    </row>
    <row r="2098" customFormat="false" ht="35.05" hidden="false" customHeight="false" outlineLevel="0" collapsed="false">
      <c r="A2098" s="5" t="s">
        <v>4881</v>
      </c>
      <c r="B2098" s="5" t="s">
        <v>108</v>
      </c>
      <c r="C2098" s="5" t="s">
        <v>109</v>
      </c>
      <c r="D2098" s="5" t="s">
        <v>152</v>
      </c>
      <c r="E2098" s="5" t="s">
        <v>153</v>
      </c>
      <c r="F2098" s="5" t="s">
        <v>196</v>
      </c>
      <c r="G2098" s="5" t="s">
        <v>528</v>
      </c>
      <c r="H2098" s="5" t="s">
        <v>222</v>
      </c>
      <c r="I2098" s="5" t="s">
        <v>4882</v>
      </c>
      <c r="J2098" s="5" t="s">
        <v>238</v>
      </c>
      <c r="K2098" s="5" t="s">
        <v>4290</v>
      </c>
      <c r="L2098" s="5" t="s">
        <v>187</v>
      </c>
      <c r="M2098" s="5" t="s">
        <v>531</v>
      </c>
      <c r="N2098" s="5" t="s">
        <v>278</v>
      </c>
      <c r="O2098" s="5" t="s">
        <v>634</v>
      </c>
      <c r="P2098" s="5" t="str">
        <f aca="false">IF(J2098="S0","—",IF(K2098="","",IF(L2098="E0","QM",INDEX(10_ASIL_Matrix!$D$4:$F$15,MATCH(J2098&amp;"-"&amp;L2098,10_ASIL_Matrix!$C$4:$C$15,0),MATCH(N2098,10_ASIL_Matrix!$D$3:$F$3,0)))))</f>
        <v>—</v>
      </c>
      <c r="Q2098" s="5" t="s">
        <v>448</v>
      </c>
    </row>
    <row r="2099" customFormat="false" ht="35.05" hidden="false" customHeight="false" outlineLevel="0" collapsed="false">
      <c r="A2099" s="6" t="s">
        <v>4883</v>
      </c>
      <c r="B2099" s="6" t="s">
        <v>108</v>
      </c>
      <c r="C2099" s="6" t="s">
        <v>109</v>
      </c>
      <c r="D2099" s="6" t="s">
        <v>152</v>
      </c>
      <c r="E2099" s="6" t="s">
        <v>153</v>
      </c>
      <c r="F2099" s="6" t="s">
        <v>196</v>
      </c>
      <c r="G2099" s="6" t="s">
        <v>528</v>
      </c>
      <c r="H2099" s="6" t="s">
        <v>224</v>
      </c>
      <c r="I2099" s="6" t="s">
        <v>4884</v>
      </c>
      <c r="J2099" s="6" t="s">
        <v>238</v>
      </c>
      <c r="K2099" s="6" t="s">
        <v>4290</v>
      </c>
      <c r="L2099" s="6" t="s">
        <v>190</v>
      </c>
      <c r="M2099" s="6" t="s">
        <v>534</v>
      </c>
      <c r="N2099" s="6" t="s">
        <v>278</v>
      </c>
      <c r="O2099" s="6" t="s">
        <v>634</v>
      </c>
      <c r="P2099" s="6" t="str">
        <f aca="false">IF(J2099="S0","—",IF(K2099="","",IF(L2099="E0","QM",INDEX(10_ASIL_Matrix!$D$4:$F$15,MATCH(J2099&amp;"-"&amp;L2099,10_ASIL_Matrix!$C$4:$C$15,0),MATCH(N2099,10_ASIL_Matrix!$D$3:$F$3,0)))))</f>
        <v>—</v>
      </c>
      <c r="Q2099" s="6" t="s">
        <v>448</v>
      </c>
    </row>
    <row r="2100" customFormat="false" ht="35.05" hidden="false" customHeight="false" outlineLevel="0" collapsed="false">
      <c r="A2100" s="5" t="s">
        <v>4885</v>
      </c>
      <c r="B2100" s="5" t="s">
        <v>108</v>
      </c>
      <c r="C2100" s="5" t="s">
        <v>109</v>
      </c>
      <c r="D2100" s="5" t="s">
        <v>152</v>
      </c>
      <c r="E2100" s="5" t="s">
        <v>153</v>
      </c>
      <c r="F2100" s="5" t="s">
        <v>196</v>
      </c>
      <c r="G2100" s="5" t="s">
        <v>528</v>
      </c>
      <c r="H2100" s="5" t="s">
        <v>226</v>
      </c>
      <c r="I2100" s="5" t="s">
        <v>4886</v>
      </c>
      <c r="J2100" s="5" t="s">
        <v>238</v>
      </c>
      <c r="K2100" s="5" t="s">
        <v>4290</v>
      </c>
      <c r="L2100" s="5" t="s">
        <v>190</v>
      </c>
      <c r="M2100" s="5" t="s">
        <v>537</v>
      </c>
      <c r="N2100" s="5" t="s">
        <v>278</v>
      </c>
      <c r="O2100" s="5" t="s">
        <v>634</v>
      </c>
      <c r="P2100" s="5" t="str">
        <f aca="false">IF(J2100="S0","—",IF(K2100="","",IF(L2100="E0","QM",INDEX(10_ASIL_Matrix!$D$4:$F$15,MATCH(J2100&amp;"-"&amp;L2100,10_ASIL_Matrix!$C$4:$C$15,0),MATCH(N2100,10_ASIL_Matrix!$D$3:$F$3,0)))))</f>
        <v>—</v>
      </c>
      <c r="Q2100" s="5" t="s">
        <v>448</v>
      </c>
    </row>
    <row r="2101" customFormat="false" ht="35.05" hidden="false" customHeight="false" outlineLevel="0" collapsed="false">
      <c r="A2101" s="6" t="s">
        <v>4887</v>
      </c>
      <c r="B2101" s="6" t="s">
        <v>108</v>
      </c>
      <c r="C2101" s="6" t="s">
        <v>109</v>
      </c>
      <c r="D2101" s="6" t="s">
        <v>152</v>
      </c>
      <c r="E2101" s="6" t="s">
        <v>153</v>
      </c>
      <c r="F2101" s="6" t="s">
        <v>196</v>
      </c>
      <c r="G2101" s="6" t="s">
        <v>528</v>
      </c>
      <c r="H2101" s="6" t="s">
        <v>228</v>
      </c>
      <c r="I2101" s="6" t="s">
        <v>4888</v>
      </c>
      <c r="J2101" s="6" t="s">
        <v>238</v>
      </c>
      <c r="K2101" s="6" t="s">
        <v>4290</v>
      </c>
      <c r="L2101" s="6" t="s">
        <v>205</v>
      </c>
      <c r="M2101" s="6" t="s">
        <v>540</v>
      </c>
      <c r="N2101" s="6" t="s">
        <v>278</v>
      </c>
      <c r="O2101" s="6" t="s">
        <v>634</v>
      </c>
      <c r="P2101" s="6" t="str">
        <f aca="false">IF(J2101="S0","—",IF(K2101="","",IF(L2101="E0","QM",INDEX(10_ASIL_Matrix!$D$4:$F$15,MATCH(J2101&amp;"-"&amp;L2101,10_ASIL_Matrix!$C$4:$C$15,0),MATCH(N2101,10_ASIL_Matrix!$D$3:$F$3,0)))))</f>
        <v>—</v>
      </c>
      <c r="Q2101" s="6" t="s">
        <v>448</v>
      </c>
    </row>
    <row r="2102" customFormat="false" ht="35.05" hidden="false" customHeight="false" outlineLevel="0" collapsed="false">
      <c r="A2102" s="5" t="s">
        <v>4889</v>
      </c>
      <c r="B2102" s="5" t="s">
        <v>108</v>
      </c>
      <c r="C2102" s="5" t="s">
        <v>109</v>
      </c>
      <c r="D2102" s="5" t="s">
        <v>152</v>
      </c>
      <c r="E2102" s="5" t="s">
        <v>153</v>
      </c>
      <c r="F2102" s="5" t="s">
        <v>196</v>
      </c>
      <c r="G2102" s="5" t="s">
        <v>528</v>
      </c>
      <c r="H2102" s="5" t="s">
        <v>230</v>
      </c>
      <c r="I2102" s="5" t="s">
        <v>4890</v>
      </c>
      <c r="J2102" s="5" t="s">
        <v>238</v>
      </c>
      <c r="K2102" s="5" t="s">
        <v>4290</v>
      </c>
      <c r="L2102" s="5" t="s">
        <v>205</v>
      </c>
      <c r="M2102" s="5" t="s">
        <v>543</v>
      </c>
      <c r="N2102" s="5" t="s">
        <v>278</v>
      </c>
      <c r="O2102" s="5" t="s">
        <v>634</v>
      </c>
      <c r="P2102" s="5" t="str">
        <f aca="false">IF(J2102="S0","—",IF(K2102="","",IF(L2102="E0","QM",INDEX(10_ASIL_Matrix!$D$4:$F$15,MATCH(J2102&amp;"-"&amp;L2102,10_ASIL_Matrix!$C$4:$C$15,0),MATCH(N2102,10_ASIL_Matrix!$D$3:$F$3,0)))))</f>
        <v>—</v>
      </c>
      <c r="Q2102" s="5" t="s">
        <v>448</v>
      </c>
    </row>
    <row r="2103" customFormat="false" ht="46.25" hidden="false" customHeight="false" outlineLevel="0" collapsed="false">
      <c r="A2103" s="6" t="s">
        <v>4891</v>
      </c>
      <c r="B2103" s="6" t="s">
        <v>108</v>
      </c>
      <c r="C2103" s="6" t="s">
        <v>109</v>
      </c>
      <c r="D2103" s="6" t="s">
        <v>152</v>
      </c>
      <c r="E2103" s="6" t="s">
        <v>153</v>
      </c>
      <c r="F2103" s="6" t="s">
        <v>196</v>
      </c>
      <c r="G2103" s="6" t="s">
        <v>528</v>
      </c>
      <c r="H2103" s="6" t="s">
        <v>232</v>
      </c>
      <c r="I2103" s="6" t="s">
        <v>4892</v>
      </c>
      <c r="J2103" s="6" t="s">
        <v>238</v>
      </c>
      <c r="K2103" s="6" t="s">
        <v>4290</v>
      </c>
      <c r="L2103" s="6" t="s">
        <v>233</v>
      </c>
      <c r="M2103" s="6" t="s">
        <v>546</v>
      </c>
      <c r="N2103" s="6" t="s">
        <v>278</v>
      </c>
      <c r="O2103" s="6" t="s">
        <v>634</v>
      </c>
      <c r="P2103" s="6" t="str">
        <f aca="false">IF(J2103="S0","—",IF(K2103="","",IF(L2103="E0","QM",INDEX(10_ASIL_Matrix!$D$4:$F$15,MATCH(J2103&amp;"-"&amp;L2103,10_ASIL_Matrix!$C$4:$C$15,0),MATCH(N2103,10_ASIL_Matrix!$D$3:$F$3,0)))))</f>
        <v>—</v>
      </c>
      <c r="Q2103" s="6" t="s">
        <v>448</v>
      </c>
    </row>
    <row r="2104" customFormat="false" ht="35.05" hidden="false" customHeight="false" outlineLevel="0" collapsed="false">
      <c r="A2104" s="5" t="s">
        <v>4893</v>
      </c>
      <c r="B2104" s="5" t="s">
        <v>108</v>
      </c>
      <c r="C2104" s="5" t="s">
        <v>109</v>
      </c>
      <c r="D2104" s="5" t="s">
        <v>152</v>
      </c>
      <c r="E2104" s="5" t="s">
        <v>153</v>
      </c>
      <c r="F2104" s="5" t="s">
        <v>198</v>
      </c>
      <c r="G2104" s="5" t="s">
        <v>548</v>
      </c>
      <c r="H2104" s="5" t="s">
        <v>222</v>
      </c>
      <c r="I2104" s="5" t="s">
        <v>4894</v>
      </c>
      <c r="J2104" s="5" t="s">
        <v>238</v>
      </c>
      <c r="K2104" s="5" t="s">
        <v>4290</v>
      </c>
      <c r="L2104" s="5" t="s">
        <v>190</v>
      </c>
      <c r="M2104" s="5" t="s">
        <v>551</v>
      </c>
      <c r="N2104" s="5" t="s">
        <v>278</v>
      </c>
      <c r="O2104" s="5" t="s">
        <v>634</v>
      </c>
      <c r="P2104" s="5" t="str">
        <f aca="false">IF(J2104="S0","—",IF(K2104="","",IF(L2104="E0","QM",INDEX(10_ASIL_Matrix!$D$4:$F$15,MATCH(J2104&amp;"-"&amp;L2104,10_ASIL_Matrix!$C$4:$C$15,0),MATCH(N2104,10_ASIL_Matrix!$D$3:$F$3,0)))))</f>
        <v>—</v>
      </c>
      <c r="Q2104" s="5" t="s">
        <v>448</v>
      </c>
    </row>
    <row r="2105" customFormat="false" ht="35.05" hidden="false" customHeight="false" outlineLevel="0" collapsed="false">
      <c r="A2105" s="6" t="s">
        <v>4895</v>
      </c>
      <c r="B2105" s="6" t="s">
        <v>108</v>
      </c>
      <c r="C2105" s="6" t="s">
        <v>109</v>
      </c>
      <c r="D2105" s="6" t="s">
        <v>152</v>
      </c>
      <c r="E2105" s="6" t="s">
        <v>153</v>
      </c>
      <c r="F2105" s="6" t="s">
        <v>198</v>
      </c>
      <c r="G2105" s="6" t="s">
        <v>548</v>
      </c>
      <c r="H2105" s="6" t="s">
        <v>224</v>
      </c>
      <c r="I2105" s="6" t="s">
        <v>4896</v>
      </c>
      <c r="J2105" s="6" t="s">
        <v>238</v>
      </c>
      <c r="K2105" s="6" t="s">
        <v>4290</v>
      </c>
      <c r="L2105" s="6" t="s">
        <v>190</v>
      </c>
      <c r="M2105" s="6" t="s">
        <v>555</v>
      </c>
      <c r="N2105" s="6" t="s">
        <v>278</v>
      </c>
      <c r="O2105" s="6" t="s">
        <v>634</v>
      </c>
      <c r="P2105" s="6" t="str">
        <f aca="false">IF(J2105="S0","—",IF(K2105="","",IF(L2105="E0","QM",INDEX(10_ASIL_Matrix!$D$4:$F$15,MATCH(J2105&amp;"-"&amp;L2105,10_ASIL_Matrix!$C$4:$C$15,0),MATCH(N2105,10_ASIL_Matrix!$D$3:$F$3,0)))))</f>
        <v>—</v>
      </c>
      <c r="Q2105" s="6" t="s">
        <v>448</v>
      </c>
    </row>
    <row r="2106" customFormat="false" ht="35.05" hidden="false" customHeight="false" outlineLevel="0" collapsed="false">
      <c r="A2106" s="5" t="s">
        <v>4897</v>
      </c>
      <c r="B2106" s="5" t="s">
        <v>108</v>
      </c>
      <c r="C2106" s="5" t="s">
        <v>109</v>
      </c>
      <c r="D2106" s="5" t="s">
        <v>152</v>
      </c>
      <c r="E2106" s="5" t="s">
        <v>153</v>
      </c>
      <c r="F2106" s="5" t="s">
        <v>198</v>
      </c>
      <c r="G2106" s="5" t="s">
        <v>548</v>
      </c>
      <c r="H2106" s="5" t="s">
        <v>226</v>
      </c>
      <c r="I2106" s="5" t="s">
        <v>4898</v>
      </c>
      <c r="J2106" s="5" t="s">
        <v>238</v>
      </c>
      <c r="K2106" s="5" t="s">
        <v>4290</v>
      </c>
      <c r="L2106" s="5" t="s">
        <v>190</v>
      </c>
      <c r="M2106" s="5" t="s">
        <v>558</v>
      </c>
      <c r="N2106" s="5" t="s">
        <v>278</v>
      </c>
      <c r="O2106" s="5" t="s">
        <v>634</v>
      </c>
      <c r="P2106" s="5" t="str">
        <f aca="false">IF(J2106="S0","—",IF(K2106="","",IF(L2106="E0","QM",INDEX(10_ASIL_Matrix!$D$4:$F$15,MATCH(J2106&amp;"-"&amp;L2106,10_ASIL_Matrix!$C$4:$C$15,0),MATCH(N2106,10_ASIL_Matrix!$D$3:$F$3,0)))))</f>
        <v>—</v>
      </c>
      <c r="Q2106" s="5" t="s">
        <v>448</v>
      </c>
    </row>
    <row r="2107" customFormat="false" ht="46.25" hidden="false" customHeight="false" outlineLevel="0" collapsed="false">
      <c r="A2107" s="6" t="s">
        <v>4899</v>
      </c>
      <c r="B2107" s="6" t="s">
        <v>108</v>
      </c>
      <c r="C2107" s="6" t="s">
        <v>109</v>
      </c>
      <c r="D2107" s="6" t="s">
        <v>152</v>
      </c>
      <c r="E2107" s="6" t="s">
        <v>153</v>
      </c>
      <c r="F2107" s="6" t="s">
        <v>198</v>
      </c>
      <c r="G2107" s="6" t="s">
        <v>548</v>
      </c>
      <c r="H2107" s="6" t="s">
        <v>228</v>
      </c>
      <c r="I2107" s="6" t="s">
        <v>4900</v>
      </c>
      <c r="J2107" s="6" t="s">
        <v>238</v>
      </c>
      <c r="K2107" s="6" t="s">
        <v>4290</v>
      </c>
      <c r="L2107" s="6" t="s">
        <v>205</v>
      </c>
      <c r="M2107" s="6" t="s">
        <v>561</v>
      </c>
      <c r="N2107" s="6" t="s">
        <v>278</v>
      </c>
      <c r="O2107" s="6" t="s">
        <v>634</v>
      </c>
      <c r="P2107" s="6" t="str">
        <f aca="false">IF(J2107="S0","—",IF(K2107="","",IF(L2107="E0","QM",INDEX(10_ASIL_Matrix!$D$4:$F$15,MATCH(J2107&amp;"-"&amp;L2107,10_ASIL_Matrix!$C$4:$C$15,0),MATCH(N2107,10_ASIL_Matrix!$D$3:$F$3,0)))))</f>
        <v>—</v>
      </c>
      <c r="Q2107" s="6" t="s">
        <v>448</v>
      </c>
    </row>
    <row r="2108" customFormat="false" ht="35.05" hidden="false" customHeight="false" outlineLevel="0" collapsed="false">
      <c r="A2108" s="5" t="s">
        <v>4901</v>
      </c>
      <c r="B2108" s="5" t="s">
        <v>108</v>
      </c>
      <c r="C2108" s="5" t="s">
        <v>109</v>
      </c>
      <c r="D2108" s="5" t="s">
        <v>152</v>
      </c>
      <c r="E2108" s="5" t="s">
        <v>153</v>
      </c>
      <c r="F2108" s="5" t="s">
        <v>198</v>
      </c>
      <c r="G2108" s="5" t="s">
        <v>548</v>
      </c>
      <c r="H2108" s="5" t="s">
        <v>230</v>
      </c>
      <c r="I2108" s="5" t="s">
        <v>4902</v>
      </c>
      <c r="J2108" s="5" t="s">
        <v>238</v>
      </c>
      <c r="K2108" s="5" t="s">
        <v>4290</v>
      </c>
      <c r="L2108" s="5" t="s">
        <v>205</v>
      </c>
      <c r="M2108" s="5" t="s">
        <v>564</v>
      </c>
      <c r="N2108" s="5" t="s">
        <v>278</v>
      </c>
      <c r="O2108" s="5" t="s">
        <v>634</v>
      </c>
      <c r="P2108" s="5" t="str">
        <f aca="false">IF(J2108="S0","—",IF(K2108="","",IF(L2108="E0","QM",INDEX(10_ASIL_Matrix!$D$4:$F$15,MATCH(J2108&amp;"-"&amp;L2108,10_ASIL_Matrix!$C$4:$C$15,0),MATCH(N2108,10_ASIL_Matrix!$D$3:$F$3,0)))))</f>
        <v>—</v>
      </c>
      <c r="Q2108" s="5" t="s">
        <v>448</v>
      </c>
    </row>
    <row r="2109" customFormat="false" ht="46.25" hidden="false" customHeight="false" outlineLevel="0" collapsed="false">
      <c r="A2109" s="6" t="s">
        <v>4903</v>
      </c>
      <c r="B2109" s="6" t="s">
        <v>108</v>
      </c>
      <c r="C2109" s="6" t="s">
        <v>109</v>
      </c>
      <c r="D2109" s="6" t="s">
        <v>152</v>
      </c>
      <c r="E2109" s="6" t="s">
        <v>153</v>
      </c>
      <c r="F2109" s="6" t="s">
        <v>198</v>
      </c>
      <c r="G2109" s="6" t="s">
        <v>548</v>
      </c>
      <c r="H2109" s="6" t="s">
        <v>232</v>
      </c>
      <c r="I2109" s="6" t="s">
        <v>4904</v>
      </c>
      <c r="J2109" s="6" t="s">
        <v>238</v>
      </c>
      <c r="K2109" s="6" t="s">
        <v>4290</v>
      </c>
      <c r="L2109" s="6" t="s">
        <v>233</v>
      </c>
      <c r="M2109" s="6" t="s">
        <v>568</v>
      </c>
      <c r="N2109" s="6" t="s">
        <v>278</v>
      </c>
      <c r="O2109" s="6" t="s">
        <v>634</v>
      </c>
      <c r="P2109" s="6" t="str">
        <f aca="false">IF(J2109="S0","—",IF(K2109="","",IF(L2109="E0","QM",INDEX(10_ASIL_Matrix!$D$4:$F$15,MATCH(J2109&amp;"-"&amp;L2109,10_ASIL_Matrix!$C$4:$C$15,0),MATCH(N2109,10_ASIL_Matrix!$D$3:$F$3,0)))))</f>
        <v>—</v>
      </c>
      <c r="Q2109" s="6" t="s">
        <v>448</v>
      </c>
    </row>
    <row r="2110" customFormat="false" ht="35.05" hidden="false" customHeight="false" outlineLevel="0" collapsed="false">
      <c r="A2110" s="5" t="s">
        <v>4905</v>
      </c>
      <c r="B2110" s="5" t="s">
        <v>108</v>
      </c>
      <c r="C2110" s="5" t="s">
        <v>109</v>
      </c>
      <c r="D2110" s="5" t="s">
        <v>152</v>
      </c>
      <c r="E2110" s="5" t="s">
        <v>153</v>
      </c>
      <c r="F2110" s="5" t="s">
        <v>200</v>
      </c>
      <c r="G2110" s="5" t="s">
        <v>570</v>
      </c>
      <c r="H2110" s="5" t="s">
        <v>222</v>
      </c>
      <c r="I2110" s="5" t="s">
        <v>4906</v>
      </c>
      <c r="J2110" s="5" t="s">
        <v>238</v>
      </c>
      <c r="K2110" s="5" t="s">
        <v>4290</v>
      </c>
      <c r="L2110" s="5" t="s">
        <v>190</v>
      </c>
      <c r="M2110" s="5" t="s">
        <v>573</v>
      </c>
      <c r="N2110" s="5" t="s">
        <v>278</v>
      </c>
      <c r="O2110" s="5" t="s">
        <v>634</v>
      </c>
      <c r="P2110" s="5" t="str">
        <f aca="false">IF(J2110="S0","—",IF(K2110="","",IF(L2110="E0","QM",INDEX(10_ASIL_Matrix!$D$4:$F$15,MATCH(J2110&amp;"-"&amp;L2110,10_ASIL_Matrix!$C$4:$C$15,0),MATCH(N2110,10_ASIL_Matrix!$D$3:$F$3,0)))))</f>
        <v>—</v>
      </c>
      <c r="Q2110" s="5" t="s">
        <v>448</v>
      </c>
    </row>
    <row r="2111" customFormat="false" ht="35.05" hidden="false" customHeight="false" outlineLevel="0" collapsed="false">
      <c r="A2111" s="6" t="s">
        <v>4907</v>
      </c>
      <c r="B2111" s="6" t="s">
        <v>108</v>
      </c>
      <c r="C2111" s="6" t="s">
        <v>109</v>
      </c>
      <c r="D2111" s="6" t="s">
        <v>152</v>
      </c>
      <c r="E2111" s="6" t="s">
        <v>153</v>
      </c>
      <c r="F2111" s="6" t="s">
        <v>200</v>
      </c>
      <c r="G2111" s="6" t="s">
        <v>570</v>
      </c>
      <c r="H2111" s="6" t="s">
        <v>224</v>
      </c>
      <c r="I2111" s="6" t="s">
        <v>4908</v>
      </c>
      <c r="J2111" s="6" t="s">
        <v>238</v>
      </c>
      <c r="K2111" s="6" t="s">
        <v>4290</v>
      </c>
      <c r="L2111" s="6" t="s">
        <v>190</v>
      </c>
      <c r="M2111" s="6" t="s">
        <v>576</v>
      </c>
      <c r="N2111" s="6" t="s">
        <v>278</v>
      </c>
      <c r="O2111" s="6" t="s">
        <v>634</v>
      </c>
      <c r="P2111" s="6" t="str">
        <f aca="false">IF(J2111="S0","—",IF(K2111="","",IF(L2111="E0","QM",INDEX(10_ASIL_Matrix!$D$4:$F$15,MATCH(J2111&amp;"-"&amp;L2111,10_ASIL_Matrix!$C$4:$C$15,0),MATCH(N2111,10_ASIL_Matrix!$D$3:$F$3,0)))))</f>
        <v>—</v>
      </c>
      <c r="Q2111" s="6" t="s">
        <v>448</v>
      </c>
    </row>
    <row r="2112" customFormat="false" ht="35.05" hidden="false" customHeight="false" outlineLevel="0" collapsed="false">
      <c r="A2112" s="5" t="s">
        <v>4909</v>
      </c>
      <c r="B2112" s="5" t="s">
        <v>108</v>
      </c>
      <c r="C2112" s="5" t="s">
        <v>109</v>
      </c>
      <c r="D2112" s="5" t="s">
        <v>152</v>
      </c>
      <c r="E2112" s="5" t="s">
        <v>153</v>
      </c>
      <c r="F2112" s="5" t="s">
        <v>200</v>
      </c>
      <c r="G2112" s="5" t="s">
        <v>570</v>
      </c>
      <c r="H2112" s="5" t="s">
        <v>226</v>
      </c>
      <c r="I2112" s="5" t="s">
        <v>4910</v>
      </c>
      <c r="J2112" s="5" t="s">
        <v>238</v>
      </c>
      <c r="K2112" s="5" t="s">
        <v>4290</v>
      </c>
      <c r="L2112" s="5" t="s">
        <v>190</v>
      </c>
      <c r="M2112" s="5" t="s">
        <v>579</v>
      </c>
      <c r="N2112" s="5" t="s">
        <v>278</v>
      </c>
      <c r="O2112" s="5" t="s">
        <v>634</v>
      </c>
      <c r="P2112" s="5" t="str">
        <f aca="false">IF(J2112="S0","—",IF(K2112="","",IF(L2112="E0","QM",INDEX(10_ASIL_Matrix!$D$4:$F$15,MATCH(J2112&amp;"-"&amp;L2112,10_ASIL_Matrix!$C$4:$C$15,0),MATCH(N2112,10_ASIL_Matrix!$D$3:$F$3,0)))))</f>
        <v>—</v>
      </c>
      <c r="Q2112" s="5" t="s">
        <v>448</v>
      </c>
    </row>
    <row r="2113" customFormat="false" ht="35.05" hidden="false" customHeight="false" outlineLevel="0" collapsed="false">
      <c r="A2113" s="6" t="s">
        <v>4911</v>
      </c>
      <c r="B2113" s="6" t="s">
        <v>108</v>
      </c>
      <c r="C2113" s="6" t="s">
        <v>109</v>
      </c>
      <c r="D2113" s="6" t="s">
        <v>152</v>
      </c>
      <c r="E2113" s="6" t="s">
        <v>153</v>
      </c>
      <c r="F2113" s="6" t="s">
        <v>200</v>
      </c>
      <c r="G2113" s="6" t="s">
        <v>570</v>
      </c>
      <c r="H2113" s="6" t="s">
        <v>228</v>
      </c>
      <c r="I2113" s="6" t="s">
        <v>4912</v>
      </c>
      <c r="J2113" s="6" t="s">
        <v>238</v>
      </c>
      <c r="K2113" s="6" t="s">
        <v>4290</v>
      </c>
      <c r="L2113" s="6" t="s">
        <v>205</v>
      </c>
      <c r="M2113" s="6" t="s">
        <v>582</v>
      </c>
      <c r="N2113" s="6" t="s">
        <v>278</v>
      </c>
      <c r="O2113" s="6" t="s">
        <v>634</v>
      </c>
      <c r="P2113" s="6" t="str">
        <f aca="false">IF(J2113="S0","—",IF(K2113="","",IF(L2113="E0","QM",INDEX(10_ASIL_Matrix!$D$4:$F$15,MATCH(J2113&amp;"-"&amp;L2113,10_ASIL_Matrix!$C$4:$C$15,0),MATCH(N2113,10_ASIL_Matrix!$D$3:$F$3,0)))))</f>
        <v>—</v>
      </c>
      <c r="Q2113" s="6" t="s">
        <v>448</v>
      </c>
    </row>
    <row r="2114" customFormat="false" ht="35.05" hidden="false" customHeight="false" outlineLevel="0" collapsed="false">
      <c r="A2114" s="5" t="s">
        <v>4913</v>
      </c>
      <c r="B2114" s="5" t="s">
        <v>108</v>
      </c>
      <c r="C2114" s="5" t="s">
        <v>109</v>
      </c>
      <c r="D2114" s="5" t="s">
        <v>152</v>
      </c>
      <c r="E2114" s="5" t="s">
        <v>153</v>
      </c>
      <c r="F2114" s="5" t="s">
        <v>200</v>
      </c>
      <c r="G2114" s="5" t="s">
        <v>570</v>
      </c>
      <c r="H2114" s="5" t="s">
        <v>230</v>
      </c>
      <c r="I2114" s="5" t="s">
        <v>4914</v>
      </c>
      <c r="J2114" s="5" t="s">
        <v>238</v>
      </c>
      <c r="K2114" s="5" t="s">
        <v>4290</v>
      </c>
      <c r="L2114" s="5" t="s">
        <v>205</v>
      </c>
      <c r="M2114" s="5" t="s">
        <v>585</v>
      </c>
      <c r="N2114" s="5" t="s">
        <v>278</v>
      </c>
      <c r="O2114" s="5" t="s">
        <v>634</v>
      </c>
      <c r="P2114" s="5" t="str">
        <f aca="false">IF(J2114="S0","—",IF(K2114="","",IF(L2114="E0","QM",INDEX(10_ASIL_Matrix!$D$4:$F$15,MATCH(J2114&amp;"-"&amp;L2114,10_ASIL_Matrix!$C$4:$C$15,0),MATCH(N2114,10_ASIL_Matrix!$D$3:$F$3,0)))))</f>
        <v>—</v>
      </c>
      <c r="Q2114" s="5" t="s">
        <v>448</v>
      </c>
    </row>
    <row r="2115" customFormat="false" ht="46.25" hidden="false" customHeight="false" outlineLevel="0" collapsed="false">
      <c r="A2115" s="6" t="s">
        <v>4915</v>
      </c>
      <c r="B2115" s="6" t="s">
        <v>108</v>
      </c>
      <c r="C2115" s="6" t="s">
        <v>109</v>
      </c>
      <c r="D2115" s="6" t="s">
        <v>152</v>
      </c>
      <c r="E2115" s="6" t="s">
        <v>153</v>
      </c>
      <c r="F2115" s="6" t="s">
        <v>200</v>
      </c>
      <c r="G2115" s="6" t="s">
        <v>570</v>
      </c>
      <c r="H2115" s="6" t="s">
        <v>232</v>
      </c>
      <c r="I2115" s="6" t="s">
        <v>4916</v>
      </c>
      <c r="J2115" s="6" t="s">
        <v>238</v>
      </c>
      <c r="K2115" s="6" t="s">
        <v>4290</v>
      </c>
      <c r="L2115" s="6" t="s">
        <v>233</v>
      </c>
      <c r="M2115" s="6" t="s">
        <v>588</v>
      </c>
      <c r="N2115" s="6" t="s">
        <v>278</v>
      </c>
      <c r="O2115" s="6" t="s">
        <v>634</v>
      </c>
      <c r="P2115" s="6" t="str">
        <f aca="false">IF(J2115="S0","—",IF(K2115="","",IF(L2115="E0","QM",INDEX(10_ASIL_Matrix!$D$4:$F$15,MATCH(J2115&amp;"-"&amp;L2115,10_ASIL_Matrix!$C$4:$C$15,0),MATCH(N2115,10_ASIL_Matrix!$D$3:$F$3,0)))))</f>
        <v>—</v>
      </c>
      <c r="Q2115" s="6" t="s">
        <v>448</v>
      </c>
    </row>
    <row r="2116" customFormat="false" ht="35.05" hidden="false" customHeight="false" outlineLevel="0" collapsed="false">
      <c r="A2116" s="5" t="s">
        <v>4917</v>
      </c>
      <c r="B2116" s="5" t="s">
        <v>108</v>
      </c>
      <c r="C2116" s="5" t="s">
        <v>109</v>
      </c>
      <c r="D2116" s="5" t="s">
        <v>152</v>
      </c>
      <c r="E2116" s="5" t="s">
        <v>153</v>
      </c>
      <c r="F2116" s="5" t="s">
        <v>202</v>
      </c>
      <c r="G2116" s="5" t="s">
        <v>590</v>
      </c>
      <c r="H2116" s="5" t="s">
        <v>222</v>
      </c>
      <c r="I2116" s="5" t="s">
        <v>4918</v>
      </c>
      <c r="J2116" s="5" t="s">
        <v>238</v>
      </c>
      <c r="K2116" s="5" t="s">
        <v>4290</v>
      </c>
      <c r="L2116" s="5" t="s">
        <v>187</v>
      </c>
      <c r="M2116" s="5" t="s">
        <v>592</v>
      </c>
      <c r="N2116" s="5" t="s">
        <v>278</v>
      </c>
      <c r="O2116" s="5" t="s">
        <v>634</v>
      </c>
      <c r="P2116" s="5" t="str">
        <f aca="false">IF(J2116="S0","—",IF(K2116="","",IF(L2116="E0","QM",INDEX(10_ASIL_Matrix!$D$4:$F$15,MATCH(J2116&amp;"-"&amp;L2116,10_ASIL_Matrix!$C$4:$C$15,0),MATCH(N2116,10_ASIL_Matrix!$D$3:$F$3,0)))))</f>
        <v>—</v>
      </c>
      <c r="Q2116" s="5" t="s">
        <v>448</v>
      </c>
    </row>
    <row r="2117" customFormat="false" ht="35.05" hidden="false" customHeight="false" outlineLevel="0" collapsed="false">
      <c r="A2117" s="6" t="s">
        <v>4919</v>
      </c>
      <c r="B2117" s="6" t="s">
        <v>108</v>
      </c>
      <c r="C2117" s="6" t="s">
        <v>109</v>
      </c>
      <c r="D2117" s="6" t="s">
        <v>152</v>
      </c>
      <c r="E2117" s="6" t="s">
        <v>153</v>
      </c>
      <c r="F2117" s="6" t="s">
        <v>202</v>
      </c>
      <c r="G2117" s="6" t="s">
        <v>590</v>
      </c>
      <c r="H2117" s="6" t="s">
        <v>224</v>
      </c>
      <c r="I2117" s="6" t="s">
        <v>4920</v>
      </c>
      <c r="J2117" s="6" t="s">
        <v>238</v>
      </c>
      <c r="K2117" s="6" t="s">
        <v>4290</v>
      </c>
      <c r="L2117" s="6" t="s">
        <v>190</v>
      </c>
      <c r="M2117" s="6" t="s">
        <v>595</v>
      </c>
      <c r="N2117" s="6" t="s">
        <v>278</v>
      </c>
      <c r="O2117" s="6" t="s">
        <v>634</v>
      </c>
      <c r="P2117" s="6" t="str">
        <f aca="false">IF(J2117="S0","—",IF(K2117="","",IF(L2117="E0","QM",INDEX(10_ASIL_Matrix!$D$4:$F$15,MATCH(J2117&amp;"-"&amp;L2117,10_ASIL_Matrix!$C$4:$C$15,0),MATCH(N2117,10_ASIL_Matrix!$D$3:$F$3,0)))))</f>
        <v>—</v>
      </c>
      <c r="Q2117" s="6" t="s">
        <v>448</v>
      </c>
    </row>
    <row r="2118" customFormat="false" ht="35.05" hidden="false" customHeight="false" outlineLevel="0" collapsed="false">
      <c r="A2118" s="5" t="s">
        <v>4921</v>
      </c>
      <c r="B2118" s="5" t="s">
        <v>108</v>
      </c>
      <c r="C2118" s="5" t="s">
        <v>109</v>
      </c>
      <c r="D2118" s="5" t="s">
        <v>152</v>
      </c>
      <c r="E2118" s="5" t="s">
        <v>153</v>
      </c>
      <c r="F2118" s="5" t="s">
        <v>202</v>
      </c>
      <c r="G2118" s="5" t="s">
        <v>590</v>
      </c>
      <c r="H2118" s="5" t="s">
        <v>226</v>
      </c>
      <c r="I2118" s="5" t="s">
        <v>4922</v>
      </c>
      <c r="J2118" s="5" t="s">
        <v>238</v>
      </c>
      <c r="K2118" s="5" t="s">
        <v>4290</v>
      </c>
      <c r="L2118" s="5" t="s">
        <v>190</v>
      </c>
      <c r="M2118" s="5" t="s">
        <v>598</v>
      </c>
      <c r="N2118" s="5" t="s">
        <v>278</v>
      </c>
      <c r="O2118" s="5" t="s">
        <v>634</v>
      </c>
      <c r="P2118" s="5" t="str">
        <f aca="false">IF(J2118="S0","—",IF(K2118="","",IF(L2118="E0","QM",INDEX(10_ASIL_Matrix!$D$4:$F$15,MATCH(J2118&amp;"-"&amp;L2118,10_ASIL_Matrix!$C$4:$C$15,0),MATCH(N2118,10_ASIL_Matrix!$D$3:$F$3,0)))))</f>
        <v>—</v>
      </c>
      <c r="Q2118" s="5" t="s">
        <v>448</v>
      </c>
    </row>
    <row r="2119" customFormat="false" ht="35.05" hidden="false" customHeight="false" outlineLevel="0" collapsed="false">
      <c r="A2119" s="6" t="s">
        <v>4923</v>
      </c>
      <c r="B2119" s="6" t="s">
        <v>108</v>
      </c>
      <c r="C2119" s="6" t="s">
        <v>109</v>
      </c>
      <c r="D2119" s="6" t="s">
        <v>152</v>
      </c>
      <c r="E2119" s="6" t="s">
        <v>153</v>
      </c>
      <c r="F2119" s="6" t="s">
        <v>202</v>
      </c>
      <c r="G2119" s="6" t="s">
        <v>590</v>
      </c>
      <c r="H2119" s="6" t="s">
        <v>228</v>
      </c>
      <c r="I2119" s="6" t="s">
        <v>4924</v>
      </c>
      <c r="J2119" s="6" t="s">
        <v>238</v>
      </c>
      <c r="K2119" s="6" t="s">
        <v>4290</v>
      </c>
      <c r="L2119" s="6" t="s">
        <v>205</v>
      </c>
      <c r="M2119" s="6" t="s">
        <v>601</v>
      </c>
      <c r="N2119" s="6" t="s">
        <v>278</v>
      </c>
      <c r="O2119" s="6" t="s">
        <v>634</v>
      </c>
      <c r="P2119" s="6" t="str">
        <f aca="false">IF(J2119="S0","—",IF(K2119="","",IF(L2119="E0","QM",INDEX(10_ASIL_Matrix!$D$4:$F$15,MATCH(J2119&amp;"-"&amp;L2119,10_ASIL_Matrix!$C$4:$C$15,0),MATCH(N2119,10_ASIL_Matrix!$D$3:$F$3,0)))))</f>
        <v>—</v>
      </c>
      <c r="Q2119" s="6" t="s">
        <v>448</v>
      </c>
    </row>
    <row r="2120" customFormat="false" ht="35.05" hidden="false" customHeight="false" outlineLevel="0" collapsed="false">
      <c r="A2120" s="5" t="s">
        <v>4925</v>
      </c>
      <c r="B2120" s="5" t="s">
        <v>108</v>
      </c>
      <c r="C2120" s="5" t="s">
        <v>109</v>
      </c>
      <c r="D2120" s="5" t="s">
        <v>152</v>
      </c>
      <c r="E2120" s="5" t="s">
        <v>153</v>
      </c>
      <c r="F2120" s="5" t="s">
        <v>202</v>
      </c>
      <c r="G2120" s="5" t="s">
        <v>590</v>
      </c>
      <c r="H2120" s="5" t="s">
        <v>230</v>
      </c>
      <c r="I2120" s="5" t="s">
        <v>4926</v>
      </c>
      <c r="J2120" s="5" t="s">
        <v>238</v>
      </c>
      <c r="K2120" s="5" t="s">
        <v>4290</v>
      </c>
      <c r="L2120" s="5" t="s">
        <v>205</v>
      </c>
      <c r="M2120" s="5" t="s">
        <v>604</v>
      </c>
      <c r="N2120" s="5" t="s">
        <v>278</v>
      </c>
      <c r="O2120" s="5" t="s">
        <v>634</v>
      </c>
      <c r="P2120" s="5" t="str">
        <f aca="false">IF(J2120="S0","—",IF(K2120="","",IF(L2120="E0","QM",INDEX(10_ASIL_Matrix!$D$4:$F$15,MATCH(J2120&amp;"-"&amp;L2120,10_ASIL_Matrix!$C$4:$C$15,0),MATCH(N2120,10_ASIL_Matrix!$D$3:$F$3,0)))))</f>
        <v>—</v>
      </c>
      <c r="Q2120" s="5" t="s">
        <v>448</v>
      </c>
    </row>
    <row r="2121" customFormat="false" ht="46.25" hidden="false" customHeight="false" outlineLevel="0" collapsed="false">
      <c r="A2121" s="6" t="s">
        <v>4927</v>
      </c>
      <c r="B2121" s="6" t="s">
        <v>108</v>
      </c>
      <c r="C2121" s="6" t="s">
        <v>109</v>
      </c>
      <c r="D2121" s="6" t="s">
        <v>152</v>
      </c>
      <c r="E2121" s="6" t="s">
        <v>153</v>
      </c>
      <c r="F2121" s="6" t="s">
        <v>202</v>
      </c>
      <c r="G2121" s="6" t="s">
        <v>590</v>
      </c>
      <c r="H2121" s="6" t="s">
        <v>232</v>
      </c>
      <c r="I2121" s="6" t="s">
        <v>4928</v>
      </c>
      <c r="J2121" s="6" t="s">
        <v>238</v>
      </c>
      <c r="K2121" s="6" t="s">
        <v>4290</v>
      </c>
      <c r="L2121" s="6" t="s">
        <v>233</v>
      </c>
      <c r="M2121" s="6" t="s">
        <v>607</v>
      </c>
      <c r="N2121" s="6" t="s">
        <v>278</v>
      </c>
      <c r="O2121" s="6" t="s">
        <v>634</v>
      </c>
      <c r="P2121" s="6" t="str">
        <f aca="false">IF(J2121="S0","—",IF(K2121="","",IF(L2121="E0","QM",INDEX(10_ASIL_Matrix!$D$4:$F$15,MATCH(J2121&amp;"-"&amp;L2121,10_ASIL_Matrix!$C$4:$C$15,0),MATCH(N2121,10_ASIL_Matrix!$D$3:$F$3,0)))))</f>
        <v>—</v>
      </c>
      <c r="Q2121" s="6" t="s">
        <v>448</v>
      </c>
    </row>
    <row r="2122" customFormat="false" ht="35.05" hidden="false" customHeight="false" outlineLevel="0" collapsed="false">
      <c r="A2122" s="5" t="s">
        <v>4929</v>
      </c>
      <c r="B2122" s="5" t="s">
        <v>108</v>
      </c>
      <c r="C2122" s="5" t="s">
        <v>109</v>
      </c>
      <c r="D2122" s="5" t="s">
        <v>152</v>
      </c>
      <c r="E2122" s="5" t="s">
        <v>153</v>
      </c>
      <c r="F2122" s="5" t="s">
        <v>204</v>
      </c>
      <c r="G2122" s="5" t="s">
        <v>609</v>
      </c>
      <c r="H2122" s="5" t="s">
        <v>222</v>
      </c>
      <c r="I2122" s="5" t="s">
        <v>4930</v>
      </c>
      <c r="J2122" s="5" t="s">
        <v>250</v>
      </c>
      <c r="K2122" s="5" t="s">
        <v>4387</v>
      </c>
      <c r="L2122" s="5" t="s">
        <v>205</v>
      </c>
      <c r="M2122" s="5" t="s">
        <v>612</v>
      </c>
      <c r="N2122" s="5" t="s">
        <v>286</v>
      </c>
      <c r="O2122" s="5" t="s">
        <v>4388</v>
      </c>
      <c r="P2122" s="19" t="str">
        <f aca="false">IF(J2122="S0","—",IF(K2122="","",IF(L2122="E0","QM",INDEX(10_ASIL_Matrix!$D$4:$F$15,MATCH(J2122&amp;"-"&amp;L2122,10_ASIL_Matrix!$C$4:$C$15,0),MATCH(N2122,10_ASIL_Matrix!$D$3:$F$3,0)))))</f>
        <v>A</v>
      </c>
      <c r="Q2122" s="5" t="s">
        <v>448</v>
      </c>
    </row>
    <row r="2123" customFormat="false" ht="35.05" hidden="false" customHeight="false" outlineLevel="0" collapsed="false">
      <c r="A2123" s="6" t="s">
        <v>4931</v>
      </c>
      <c r="B2123" s="6" t="s">
        <v>108</v>
      </c>
      <c r="C2123" s="6" t="s">
        <v>109</v>
      </c>
      <c r="D2123" s="6" t="s">
        <v>152</v>
      </c>
      <c r="E2123" s="6" t="s">
        <v>153</v>
      </c>
      <c r="F2123" s="6" t="s">
        <v>204</v>
      </c>
      <c r="G2123" s="6" t="s">
        <v>609</v>
      </c>
      <c r="H2123" s="6" t="s">
        <v>224</v>
      </c>
      <c r="I2123" s="6" t="s">
        <v>4932</v>
      </c>
      <c r="J2123" s="6" t="s">
        <v>250</v>
      </c>
      <c r="K2123" s="6" t="s">
        <v>4387</v>
      </c>
      <c r="L2123" s="6" t="s">
        <v>205</v>
      </c>
      <c r="M2123" s="6" t="s">
        <v>616</v>
      </c>
      <c r="N2123" s="6" t="s">
        <v>286</v>
      </c>
      <c r="O2123" s="6" t="s">
        <v>4388</v>
      </c>
      <c r="P2123" s="19" t="str">
        <f aca="false">IF(J2123="S0","—",IF(K2123="","",IF(L2123="E0","QM",INDEX(10_ASIL_Matrix!$D$4:$F$15,MATCH(J2123&amp;"-"&amp;L2123,10_ASIL_Matrix!$C$4:$C$15,0),MATCH(N2123,10_ASIL_Matrix!$D$3:$F$3,0)))))</f>
        <v>A</v>
      </c>
      <c r="Q2123" s="6" t="s">
        <v>448</v>
      </c>
    </row>
    <row r="2124" customFormat="false" ht="35.05" hidden="false" customHeight="false" outlineLevel="0" collapsed="false">
      <c r="A2124" s="5" t="s">
        <v>4933</v>
      </c>
      <c r="B2124" s="5" t="s">
        <v>108</v>
      </c>
      <c r="C2124" s="5" t="s">
        <v>109</v>
      </c>
      <c r="D2124" s="5" t="s">
        <v>152</v>
      </c>
      <c r="E2124" s="5" t="s">
        <v>153</v>
      </c>
      <c r="F2124" s="5" t="s">
        <v>204</v>
      </c>
      <c r="G2124" s="5" t="s">
        <v>609</v>
      </c>
      <c r="H2124" s="5" t="s">
        <v>226</v>
      </c>
      <c r="I2124" s="5" t="s">
        <v>4934</v>
      </c>
      <c r="J2124" s="5" t="s">
        <v>250</v>
      </c>
      <c r="K2124" s="5" t="s">
        <v>4387</v>
      </c>
      <c r="L2124" s="5" t="s">
        <v>205</v>
      </c>
      <c r="M2124" s="5" t="s">
        <v>619</v>
      </c>
      <c r="N2124" s="5" t="s">
        <v>286</v>
      </c>
      <c r="O2124" s="5" t="s">
        <v>4388</v>
      </c>
      <c r="P2124" s="19" t="str">
        <f aca="false">IF(J2124="S0","—",IF(K2124="","",IF(L2124="E0","QM",INDEX(10_ASIL_Matrix!$D$4:$F$15,MATCH(J2124&amp;"-"&amp;L2124,10_ASIL_Matrix!$C$4:$C$15,0),MATCH(N2124,10_ASIL_Matrix!$D$3:$F$3,0)))))</f>
        <v>A</v>
      </c>
      <c r="Q2124" s="5" t="s">
        <v>448</v>
      </c>
    </row>
    <row r="2125" customFormat="false" ht="35.05" hidden="false" customHeight="false" outlineLevel="0" collapsed="false">
      <c r="A2125" s="6" t="s">
        <v>4935</v>
      </c>
      <c r="B2125" s="6" t="s">
        <v>108</v>
      </c>
      <c r="C2125" s="6" t="s">
        <v>109</v>
      </c>
      <c r="D2125" s="6" t="s">
        <v>152</v>
      </c>
      <c r="E2125" s="6" t="s">
        <v>153</v>
      </c>
      <c r="F2125" s="6" t="s">
        <v>204</v>
      </c>
      <c r="G2125" s="6" t="s">
        <v>609</v>
      </c>
      <c r="H2125" s="6" t="s">
        <v>228</v>
      </c>
      <c r="I2125" s="6" t="s">
        <v>4936</v>
      </c>
      <c r="J2125" s="6" t="s">
        <v>250</v>
      </c>
      <c r="K2125" s="6" t="s">
        <v>4387</v>
      </c>
      <c r="L2125" s="6" t="s">
        <v>205</v>
      </c>
      <c r="M2125" s="6" t="s">
        <v>622</v>
      </c>
      <c r="N2125" s="6" t="s">
        <v>286</v>
      </c>
      <c r="O2125" s="6" t="s">
        <v>4388</v>
      </c>
      <c r="P2125" s="19" t="str">
        <f aca="false">IF(J2125="S0","—",IF(K2125="","",IF(L2125="E0","QM",INDEX(10_ASIL_Matrix!$D$4:$F$15,MATCH(J2125&amp;"-"&amp;L2125,10_ASIL_Matrix!$C$4:$C$15,0),MATCH(N2125,10_ASIL_Matrix!$D$3:$F$3,0)))))</f>
        <v>A</v>
      </c>
      <c r="Q2125" s="6" t="s">
        <v>448</v>
      </c>
    </row>
    <row r="2126" customFormat="false" ht="35.05" hidden="false" customHeight="false" outlineLevel="0" collapsed="false">
      <c r="A2126" s="5" t="s">
        <v>4937</v>
      </c>
      <c r="B2126" s="5" t="s">
        <v>108</v>
      </c>
      <c r="C2126" s="5" t="s">
        <v>109</v>
      </c>
      <c r="D2126" s="5" t="s">
        <v>152</v>
      </c>
      <c r="E2126" s="5" t="s">
        <v>153</v>
      </c>
      <c r="F2126" s="5" t="s">
        <v>204</v>
      </c>
      <c r="G2126" s="5" t="s">
        <v>609</v>
      </c>
      <c r="H2126" s="5" t="s">
        <v>230</v>
      </c>
      <c r="I2126" s="5" t="s">
        <v>4938</v>
      </c>
      <c r="J2126" s="5" t="s">
        <v>250</v>
      </c>
      <c r="K2126" s="5" t="s">
        <v>4387</v>
      </c>
      <c r="L2126" s="5" t="s">
        <v>205</v>
      </c>
      <c r="M2126" s="5" t="s">
        <v>625</v>
      </c>
      <c r="N2126" s="5" t="s">
        <v>286</v>
      </c>
      <c r="O2126" s="5" t="s">
        <v>4388</v>
      </c>
      <c r="P2126" s="19" t="str">
        <f aca="false">IF(J2126="S0","—",IF(K2126="","",IF(L2126="E0","QM",INDEX(10_ASIL_Matrix!$D$4:$F$15,MATCH(J2126&amp;"-"&amp;L2126,10_ASIL_Matrix!$C$4:$C$15,0),MATCH(N2126,10_ASIL_Matrix!$D$3:$F$3,0)))))</f>
        <v>A</v>
      </c>
      <c r="Q2126" s="5" t="s">
        <v>448</v>
      </c>
    </row>
    <row r="2127" customFormat="false" ht="46.25" hidden="false" customHeight="false" outlineLevel="0" collapsed="false">
      <c r="A2127" s="6" t="s">
        <v>4939</v>
      </c>
      <c r="B2127" s="6" t="s">
        <v>108</v>
      </c>
      <c r="C2127" s="6" t="s">
        <v>109</v>
      </c>
      <c r="D2127" s="6" t="s">
        <v>152</v>
      </c>
      <c r="E2127" s="6" t="s">
        <v>153</v>
      </c>
      <c r="F2127" s="6" t="s">
        <v>204</v>
      </c>
      <c r="G2127" s="6" t="s">
        <v>609</v>
      </c>
      <c r="H2127" s="6" t="s">
        <v>232</v>
      </c>
      <c r="I2127" s="6" t="s">
        <v>4940</v>
      </c>
      <c r="J2127" s="6" t="s">
        <v>250</v>
      </c>
      <c r="K2127" s="6" t="s">
        <v>4387</v>
      </c>
      <c r="L2127" s="6" t="s">
        <v>233</v>
      </c>
      <c r="M2127" s="6" t="s">
        <v>629</v>
      </c>
      <c r="N2127" s="6" t="s">
        <v>286</v>
      </c>
      <c r="O2127" s="6" t="s">
        <v>4388</v>
      </c>
      <c r="P2127" s="6" t="str">
        <f aca="false">IF(J2127="S0","—",IF(K2127="","",IF(L2127="E0","QM",INDEX(10_ASIL_Matrix!$D$4:$F$15,MATCH(J2127&amp;"-"&amp;L2127,10_ASIL_Matrix!$C$4:$C$15,0),MATCH(N2127,10_ASIL_Matrix!$D$3:$F$3,0)))))</f>
        <v>QM</v>
      </c>
      <c r="Q2127" s="6" t="s">
        <v>448</v>
      </c>
    </row>
    <row r="2128" customFormat="false" ht="35.05" hidden="false" customHeight="false" outlineLevel="0" collapsed="false">
      <c r="A2128" s="5" t="s">
        <v>4941</v>
      </c>
      <c r="B2128" s="5" t="s">
        <v>108</v>
      </c>
      <c r="C2128" s="5" t="s">
        <v>109</v>
      </c>
      <c r="D2128" s="5" t="s">
        <v>152</v>
      </c>
      <c r="E2128" s="5" t="s">
        <v>153</v>
      </c>
      <c r="F2128" s="5" t="s">
        <v>207</v>
      </c>
      <c r="G2128" s="5" t="s">
        <v>609</v>
      </c>
      <c r="H2128" s="5" t="s">
        <v>222</v>
      </c>
      <c r="I2128" s="5" t="s">
        <v>4942</v>
      </c>
      <c r="J2128" s="5" t="s">
        <v>250</v>
      </c>
      <c r="K2128" s="5" t="s">
        <v>4401</v>
      </c>
      <c r="L2128" s="5" t="s">
        <v>190</v>
      </c>
      <c r="M2128" s="5" t="s">
        <v>633</v>
      </c>
      <c r="N2128" s="5" t="s">
        <v>286</v>
      </c>
      <c r="O2128" s="5" t="s">
        <v>4402</v>
      </c>
      <c r="P2128" s="18" t="str">
        <f aca="false">IF(J2128="S0","—",IF(K2128="","",IF(L2128="E0","QM",INDEX(10_ASIL_Matrix!$D$4:$F$15,MATCH(J2128&amp;"-"&amp;L2128,10_ASIL_Matrix!$C$4:$C$15,0),MATCH(N2128,10_ASIL_Matrix!$D$3:$F$3,0)))))</f>
        <v>B</v>
      </c>
      <c r="Q2128" s="5" t="s">
        <v>448</v>
      </c>
    </row>
    <row r="2129" customFormat="false" ht="35.05" hidden="false" customHeight="false" outlineLevel="0" collapsed="false">
      <c r="A2129" s="6" t="s">
        <v>4943</v>
      </c>
      <c r="B2129" s="6" t="s">
        <v>108</v>
      </c>
      <c r="C2129" s="6" t="s">
        <v>109</v>
      </c>
      <c r="D2129" s="6" t="s">
        <v>152</v>
      </c>
      <c r="E2129" s="6" t="s">
        <v>153</v>
      </c>
      <c r="F2129" s="6" t="s">
        <v>207</v>
      </c>
      <c r="G2129" s="6" t="s">
        <v>609</v>
      </c>
      <c r="H2129" s="6" t="s">
        <v>224</v>
      </c>
      <c r="I2129" s="6" t="s">
        <v>4944</v>
      </c>
      <c r="J2129" s="6" t="s">
        <v>250</v>
      </c>
      <c r="K2129" s="6" t="s">
        <v>4401</v>
      </c>
      <c r="L2129" s="6" t="s">
        <v>190</v>
      </c>
      <c r="M2129" s="6" t="s">
        <v>637</v>
      </c>
      <c r="N2129" s="6" t="s">
        <v>286</v>
      </c>
      <c r="O2129" s="6" t="s">
        <v>4402</v>
      </c>
      <c r="P2129" s="18" t="str">
        <f aca="false">IF(J2129="S0","—",IF(K2129="","",IF(L2129="E0","QM",INDEX(10_ASIL_Matrix!$D$4:$F$15,MATCH(J2129&amp;"-"&amp;L2129,10_ASIL_Matrix!$C$4:$C$15,0),MATCH(N2129,10_ASIL_Matrix!$D$3:$F$3,0)))))</f>
        <v>B</v>
      </c>
      <c r="Q2129" s="6" t="s">
        <v>448</v>
      </c>
    </row>
    <row r="2130" customFormat="false" ht="35.05" hidden="false" customHeight="false" outlineLevel="0" collapsed="false">
      <c r="A2130" s="5" t="s">
        <v>4945</v>
      </c>
      <c r="B2130" s="5" t="s">
        <v>108</v>
      </c>
      <c r="C2130" s="5" t="s">
        <v>109</v>
      </c>
      <c r="D2130" s="5" t="s">
        <v>152</v>
      </c>
      <c r="E2130" s="5" t="s">
        <v>153</v>
      </c>
      <c r="F2130" s="5" t="s">
        <v>207</v>
      </c>
      <c r="G2130" s="5" t="s">
        <v>609</v>
      </c>
      <c r="H2130" s="5" t="s">
        <v>226</v>
      </c>
      <c r="I2130" s="5" t="s">
        <v>4946</v>
      </c>
      <c r="J2130" s="5" t="s">
        <v>250</v>
      </c>
      <c r="K2130" s="5" t="s">
        <v>4401</v>
      </c>
      <c r="L2130" s="5" t="s">
        <v>190</v>
      </c>
      <c r="M2130" s="5" t="s">
        <v>640</v>
      </c>
      <c r="N2130" s="5" t="s">
        <v>286</v>
      </c>
      <c r="O2130" s="5" t="s">
        <v>4402</v>
      </c>
      <c r="P2130" s="18" t="str">
        <f aca="false">IF(J2130="S0","—",IF(K2130="","",IF(L2130="E0","QM",INDEX(10_ASIL_Matrix!$D$4:$F$15,MATCH(J2130&amp;"-"&amp;L2130,10_ASIL_Matrix!$C$4:$C$15,0),MATCH(N2130,10_ASIL_Matrix!$D$3:$F$3,0)))))</f>
        <v>B</v>
      </c>
      <c r="Q2130" s="5" t="s">
        <v>448</v>
      </c>
    </row>
    <row r="2131" customFormat="false" ht="35.05" hidden="false" customHeight="false" outlineLevel="0" collapsed="false">
      <c r="A2131" s="6" t="s">
        <v>4947</v>
      </c>
      <c r="B2131" s="6" t="s">
        <v>108</v>
      </c>
      <c r="C2131" s="6" t="s">
        <v>109</v>
      </c>
      <c r="D2131" s="6" t="s">
        <v>152</v>
      </c>
      <c r="E2131" s="6" t="s">
        <v>153</v>
      </c>
      <c r="F2131" s="6" t="s">
        <v>207</v>
      </c>
      <c r="G2131" s="6" t="s">
        <v>609</v>
      </c>
      <c r="H2131" s="6" t="s">
        <v>228</v>
      </c>
      <c r="I2131" s="6" t="s">
        <v>4948</v>
      </c>
      <c r="J2131" s="6" t="s">
        <v>250</v>
      </c>
      <c r="K2131" s="6" t="s">
        <v>4401</v>
      </c>
      <c r="L2131" s="6" t="s">
        <v>205</v>
      </c>
      <c r="M2131" s="6" t="s">
        <v>643</v>
      </c>
      <c r="N2131" s="6" t="s">
        <v>286</v>
      </c>
      <c r="O2131" s="6" t="s">
        <v>4402</v>
      </c>
      <c r="P2131" s="19" t="str">
        <f aca="false">IF(J2131="S0","—",IF(K2131="","",IF(L2131="E0","QM",INDEX(10_ASIL_Matrix!$D$4:$F$15,MATCH(J2131&amp;"-"&amp;L2131,10_ASIL_Matrix!$C$4:$C$15,0),MATCH(N2131,10_ASIL_Matrix!$D$3:$F$3,0)))))</f>
        <v>A</v>
      </c>
      <c r="Q2131" s="6" t="s">
        <v>448</v>
      </c>
    </row>
    <row r="2132" customFormat="false" ht="35.05" hidden="false" customHeight="false" outlineLevel="0" collapsed="false">
      <c r="A2132" s="5" t="s">
        <v>4949</v>
      </c>
      <c r="B2132" s="5" t="s">
        <v>108</v>
      </c>
      <c r="C2132" s="5" t="s">
        <v>109</v>
      </c>
      <c r="D2132" s="5" t="s">
        <v>152</v>
      </c>
      <c r="E2132" s="5" t="s">
        <v>153</v>
      </c>
      <c r="F2132" s="5" t="s">
        <v>207</v>
      </c>
      <c r="G2132" s="5" t="s">
        <v>609</v>
      </c>
      <c r="H2132" s="5" t="s">
        <v>230</v>
      </c>
      <c r="I2132" s="5" t="s">
        <v>4950</v>
      </c>
      <c r="J2132" s="5" t="s">
        <v>250</v>
      </c>
      <c r="K2132" s="5" t="s">
        <v>4401</v>
      </c>
      <c r="L2132" s="5" t="s">
        <v>205</v>
      </c>
      <c r="M2132" s="5" t="s">
        <v>646</v>
      </c>
      <c r="N2132" s="5" t="s">
        <v>286</v>
      </c>
      <c r="O2132" s="5" t="s">
        <v>4402</v>
      </c>
      <c r="P2132" s="19" t="str">
        <f aca="false">IF(J2132="S0","—",IF(K2132="","",IF(L2132="E0","QM",INDEX(10_ASIL_Matrix!$D$4:$F$15,MATCH(J2132&amp;"-"&amp;L2132,10_ASIL_Matrix!$C$4:$C$15,0),MATCH(N2132,10_ASIL_Matrix!$D$3:$F$3,0)))))</f>
        <v>A</v>
      </c>
      <c r="Q2132" s="5" t="s">
        <v>448</v>
      </c>
    </row>
    <row r="2133" customFormat="false" ht="46.25" hidden="false" customHeight="false" outlineLevel="0" collapsed="false">
      <c r="A2133" s="6" t="s">
        <v>4951</v>
      </c>
      <c r="B2133" s="6" t="s">
        <v>108</v>
      </c>
      <c r="C2133" s="6" t="s">
        <v>109</v>
      </c>
      <c r="D2133" s="6" t="s">
        <v>152</v>
      </c>
      <c r="E2133" s="6" t="s">
        <v>153</v>
      </c>
      <c r="F2133" s="6" t="s">
        <v>207</v>
      </c>
      <c r="G2133" s="6" t="s">
        <v>609</v>
      </c>
      <c r="H2133" s="6" t="s">
        <v>232</v>
      </c>
      <c r="I2133" s="6" t="s">
        <v>4952</v>
      </c>
      <c r="J2133" s="6" t="s">
        <v>250</v>
      </c>
      <c r="K2133" s="6" t="s">
        <v>4401</v>
      </c>
      <c r="L2133" s="6" t="s">
        <v>233</v>
      </c>
      <c r="M2133" s="6" t="s">
        <v>649</v>
      </c>
      <c r="N2133" s="6" t="s">
        <v>286</v>
      </c>
      <c r="O2133" s="6" t="s">
        <v>4402</v>
      </c>
      <c r="P2133" s="6" t="str">
        <f aca="false">IF(J2133="S0","—",IF(K2133="","",IF(L2133="E0","QM",INDEX(10_ASIL_Matrix!$D$4:$F$15,MATCH(J2133&amp;"-"&amp;L2133,10_ASIL_Matrix!$C$4:$C$15,0),MATCH(N2133,10_ASIL_Matrix!$D$3:$F$3,0)))))</f>
        <v>QM</v>
      </c>
      <c r="Q2133" s="6" t="s">
        <v>448</v>
      </c>
    </row>
    <row r="2134" customFormat="false" ht="35.05" hidden="false" customHeight="false" outlineLevel="0" collapsed="false">
      <c r="A2134" s="5" t="s">
        <v>4953</v>
      </c>
      <c r="B2134" s="5" t="s">
        <v>108</v>
      </c>
      <c r="C2134" s="5" t="s">
        <v>109</v>
      </c>
      <c r="D2134" s="5" t="s">
        <v>152</v>
      </c>
      <c r="E2134" s="5" t="s">
        <v>153</v>
      </c>
      <c r="F2134" s="5" t="s">
        <v>209</v>
      </c>
      <c r="G2134" s="5" t="s">
        <v>570</v>
      </c>
      <c r="H2134" s="5" t="s">
        <v>222</v>
      </c>
      <c r="I2134" s="5" t="s">
        <v>4954</v>
      </c>
      <c r="J2134" s="5" t="s">
        <v>238</v>
      </c>
      <c r="K2134" s="5" t="s">
        <v>4290</v>
      </c>
      <c r="L2134" s="5" t="s">
        <v>190</v>
      </c>
      <c r="M2134" s="5" t="s">
        <v>653</v>
      </c>
      <c r="N2134" s="5" t="s">
        <v>278</v>
      </c>
      <c r="O2134" s="5" t="s">
        <v>634</v>
      </c>
      <c r="P2134" s="5" t="str">
        <f aca="false">IF(J2134="S0","—",IF(K2134="","",IF(L2134="E0","QM",INDEX(10_ASIL_Matrix!$D$4:$F$15,MATCH(J2134&amp;"-"&amp;L2134,10_ASIL_Matrix!$C$4:$C$15,0),MATCH(N2134,10_ASIL_Matrix!$D$3:$F$3,0)))))</f>
        <v>—</v>
      </c>
      <c r="Q2134" s="5" t="s">
        <v>448</v>
      </c>
    </row>
    <row r="2135" customFormat="false" ht="35.05" hidden="false" customHeight="false" outlineLevel="0" collapsed="false">
      <c r="A2135" s="6" t="s">
        <v>4955</v>
      </c>
      <c r="B2135" s="6" t="s">
        <v>108</v>
      </c>
      <c r="C2135" s="6" t="s">
        <v>109</v>
      </c>
      <c r="D2135" s="6" t="s">
        <v>152</v>
      </c>
      <c r="E2135" s="6" t="s">
        <v>153</v>
      </c>
      <c r="F2135" s="6" t="s">
        <v>209</v>
      </c>
      <c r="G2135" s="6" t="s">
        <v>570</v>
      </c>
      <c r="H2135" s="6" t="s">
        <v>224</v>
      </c>
      <c r="I2135" s="6" t="s">
        <v>4956</v>
      </c>
      <c r="J2135" s="6" t="s">
        <v>238</v>
      </c>
      <c r="K2135" s="6" t="s">
        <v>4290</v>
      </c>
      <c r="L2135" s="6" t="s">
        <v>190</v>
      </c>
      <c r="M2135" s="6" t="s">
        <v>656</v>
      </c>
      <c r="N2135" s="6" t="s">
        <v>278</v>
      </c>
      <c r="O2135" s="6" t="s">
        <v>634</v>
      </c>
      <c r="P2135" s="6" t="str">
        <f aca="false">IF(J2135="S0","—",IF(K2135="","",IF(L2135="E0","QM",INDEX(10_ASIL_Matrix!$D$4:$F$15,MATCH(J2135&amp;"-"&amp;L2135,10_ASIL_Matrix!$C$4:$C$15,0),MATCH(N2135,10_ASIL_Matrix!$D$3:$F$3,0)))))</f>
        <v>—</v>
      </c>
      <c r="Q2135" s="6" t="s">
        <v>448</v>
      </c>
    </row>
    <row r="2136" customFormat="false" ht="35.05" hidden="false" customHeight="false" outlineLevel="0" collapsed="false">
      <c r="A2136" s="5" t="s">
        <v>4957</v>
      </c>
      <c r="B2136" s="5" t="s">
        <v>108</v>
      </c>
      <c r="C2136" s="5" t="s">
        <v>109</v>
      </c>
      <c r="D2136" s="5" t="s">
        <v>152</v>
      </c>
      <c r="E2136" s="5" t="s">
        <v>153</v>
      </c>
      <c r="F2136" s="5" t="s">
        <v>209</v>
      </c>
      <c r="G2136" s="5" t="s">
        <v>570</v>
      </c>
      <c r="H2136" s="5" t="s">
        <v>226</v>
      </c>
      <c r="I2136" s="5" t="s">
        <v>4958</v>
      </c>
      <c r="J2136" s="5" t="s">
        <v>238</v>
      </c>
      <c r="K2136" s="5" t="s">
        <v>4290</v>
      </c>
      <c r="L2136" s="5" t="s">
        <v>190</v>
      </c>
      <c r="M2136" s="5" t="s">
        <v>659</v>
      </c>
      <c r="N2136" s="5" t="s">
        <v>278</v>
      </c>
      <c r="O2136" s="5" t="s">
        <v>634</v>
      </c>
      <c r="P2136" s="5" t="str">
        <f aca="false">IF(J2136="S0","—",IF(K2136="","",IF(L2136="E0","QM",INDEX(10_ASIL_Matrix!$D$4:$F$15,MATCH(J2136&amp;"-"&amp;L2136,10_ASIL_Matrix!$C$4:$C$15,0),MATCH(N2136,10_ASIL_Matrix!$D$3:$F$3,0)))))</f>
        <v>—</v>
      </c>
      <c r="Q2136" s="5" t="s">
        <v>448</v>
      </c>
    </row>
    <row r="2137" customFormat="false" ht="35.05" hidden="false" customHeight="false" outlineLevel="0" collapsed="false">
      <c r="A2137" s="6" t="s">
        <v>4959</v>
      </c>
      <c r="B2137" s="6" t="s">
        <v>108</v>
      </c>
      <c r="C2137" s="6" t="s">
        <v>109</v>
      </c>
      <c r="D2137" s="6" t="s">
        <v>152</v>
      </c>
      <c r="E2137" s="6" t="s">
        <v>153</v>
      </c>
      <c r="F2137" s="6" t="s">
        <v>209</v>
      </c>
      <c r="G2137" s="6" t="s">
        <v>570</v>
      </c>
      <c r="H2137" s="6" t="s">
        <v>228</v>
      </c>
      <c r="I2137" s="6" t="s">
        <v>4960</v>
      </c>
      <c r="J2137" s="6" t="s">
        <v>238</v>
      </c>
      <c r="K2137" s="6" t="s">
        <v>4290</v>
      </c>
      <c r="L2137" s="6" t="s">
        <v>205</v>
      </c>
      <c r="M2137" s="6" t="s">
        <v>662</v>
      </c>
      <c r="N2137" s="6" t="s">
        <v>278</v>
      </c>
      <c r="O2137" s="6" t="s">
        <v>634</v>
      </c>
      <c r="P2137" s="6" t="str">
        <f aca="false">IF(J2137="S0","—",IF(K2137="","",IF(L2137="E0","QM",INDEX(10_ASIL_Matrix!$D$4:$F$15,MATCH(J2137&amp;"-"&amp;L2137,10_ASIL_Matrix!$C$4:$C$15,0),MATCH(N2137,10_ASIL_Matrix!$D$3:$F$3,0)))))</f>
        <v>—</v>
      </c>
      <c r="Q2137" s="6" t="s">
        <v>448</v>
      </c>
    </row>
    <row r="2138" customFormat="false" ht="35.05" hidden="false" customHeight="false" outlineLevel="0" collapsed="false">
      <c r="A2138" s="5" t="s">
        <v>4961</v>
      </c>
      <c r="B2138" s="5" t="s">
        <v>108</v>
      </c>
      <c r="C2138" s="5" t="s">
        <v>109</v>
      </c>
      <c r="D2138" s="5" t="s">
        <v>152</v>
      </c>
      <c r="E2138" s="5" t="s">
        <v>153</v>
      </c>
      <c r="F2138" s="5" t="s">
        <v>209</v>
      </c>
      <c r="G2138" s="5" t="s">
        <v>570</v>
      </c>
      <c r="H2138" s="5" t="s">
        <v>230</v>
      </c>
      <c r="I2138" s="5" t="s">
        <v>4962</v>
      </c>
      <c r="J2138" s="5" t="s">
        <v>238</v>
      </c>
      <c r="K2138" s="5" t="s">
        <v>4290</v>
      </c>
      <c r="L2138" s="5" t="s">
        <v>205</v>
      </c>
      <c r="M2138" s="5" t="s">
        <v>665</v>
      </c>
      <c r="N2138" s="5" t="s">
        <v>278</v>
      </c>
      <c r="O2138" s="5" t="s">
        <v>634</v>
      </c>
      <c r="P2138" s="5" t="str">
        <f aca="false">IF(J2138="S0","—",IF(K2138="","",IF(L2138="E0","QM",INDEX(10_ASIL_Matrix!$D$4:$F$15,MATCH(J2138&amp;"-"&amp;L2138,10_ASIL_Matrix!$C$4:$C$15,0),MATCH(N2138,10_ASIL_Matrix!$D$3:$F$3,0)))))</f>
        <v>—</v>
      </c>
      <c r="Q2138" s="5" t="s">
        <v>448</v>
      </c>
    </row>
    <row r="2139" customFormat="false" ht="46.25" hidden="false" customHeight="false" outlineLevel="0" collapsed="false">
      <c r="A2139" s="6" t="s">
        <v>4963</v>
      </c>
      <c r="B2139" s="6" t="s">
        <v>108</v>
      </c>
      <c r="C2139" s="6" t="s">
        <v>109</v>
      </c>
      <c r="D2139" s="6" t="s">
        <v>152</v>
      </c>
      <c r="E2139" s="6" t="s">
        <v>153</v>
      </c>
      <c r="F2139" s="6" t="s">
        <v>209</v>
      </c>
      <c r="G2139" s="6" t="s">
        <v>570</v>
      </c>
      <c r="H2139" s="6" t="s">
        <v>232</v>
      </c>
      <c r="I2139" s="6" t="s">
        <v>4964</v>
      </c>
      <c r="J2139" s="6" t="s">
        <v>238</v>
      </c>
      <c r="K2139" s="6" t="s">
        <v>4290</v>
      </c>
      <c r="L2139" s="6" t="s">
        <v>233</v>
      </c>
      <c r="M2139" s="6" t="s">
        <v>668</v>
      </c>
      <c r="N2139" s="6" t="s">
        <v>278</v>
      </c>
      <c r="O2139" s="6" t="s">
        <v>634</v>
      </c>
      <c r="P2139" s="6" t="str">
        <f aca="false">IF(J2139="S0","—",IF(K2139="","",IF(L2139="E0","QM",INDEX(10_ASIL_Matrix!$D$4:$F$15,MATCH(J2139&amp;"-"&amp;L2139,10_ASIL_Matrix!$C$4:$C$15,0),MATCH(N2139,10_ASIL_Matrix!$D$3:$F$3,0)))))</f>
        <v>—</v>
      </c>
      <c r="Q2139" s="6" t="s">
        <v>448</v>
      </c>
    </row>
    <row r="2140" customFormat="false" ht="35.05" hidden="false" customHeight="false" outlineLevel="0" collapsed="false">
      <c r="A2140" s="5" t="s">
        <v>4965</v>
      </c>
      <c r="B2140" s="5" t="s">
        <v>108</v>
      </c>
      <c r="C2140" s="5" t="s">
        <v>109</v>
      </c>
      <c r="D2140" s="5" t="s">
        <v>152</v>
      </c>
      <c r="E2140" s="5" t="s">
        <v>153</v>
      </c>
      <c r="F2140" s="5" t="s">
        <v>211</v>
      </c>
      <c r="G2140" s="5" t="s">
        <v>609</v>
      </c>
      <c r="H2140" s="5" t="s">
        <v>222</v>
      </c>
      <c r="I2140" s="5" t="s">
        <v>4966</v>
      </c>
      <c r="J2140" s="5" t="s">
        <v>238</v>
      </c>
      <c r="K2140" s="5" t="s">
        <v>1637</v>
      </c>
      <c r="L2140" s="5" t="s">
        <v>187</v>
      </c>
      <c r="M2140" s="5" t="s">
        <v>672</v>
      </c>
      <c r="N2140" s="5" t="s">
        <v>278</v>
      </c>
      <c r="O2140" s="5" t="s">
        <v>634</v>
      </c>
      <c r="P2140" s="5" t="str">
        <f aca="false">IF(J2140="S0","—",IF(K2140="","",IF(L2140="E0","QM",INDEX(10_ASIL_Matrix!$D$4:$F$15,MATCH(J2140&amp;"-"&amp;L2140,10_ASIL_Matrix!$C$4:$C$15,0),MATCH(N2140,10_ASIL_Matrix!$D$3:$F$3,0)))))</f>
        <v>—</v>
      </c>
      <c r="Q2140" s="5" t="s">
        <v>448</v>
      </c>
    </row>
    <row r="2141" customFormat="false" ht="35.05" hidden="false" customHeight="false" outlineLevel="0" collapsed="false">
      <c r="A2141" s="6" t="s">
        <v>4967</v>
      </c>
      <c r="B2141" s="6" t="s">
        <v>108</v>
      </c>
      <c r="C2141" s="6" t="s">
        <v>109</v>
      </c>
      <c r="D2141" s="6" t="s">
        <v>152</v>
      </c>
      <c r="E2141" s="6" t="s">
        <v>153</v>
      </c>
      <c r="F2141" s="6" t="s">
        <v>211</v>
      </c>
      <c r="G2141" s="6" t="s">
        <v>609</v>
      </c>
      <c r="H2141" s="6" t="s">
        <v>224</v>
      </c>
      <c r="I2141" s="6" t="s">
        <v>4968</v>
      </c>
      <c r="J2141" s="6" t="s">
        <v>238</v>
      </c>
      <c r="K2141" s="6" t="s">
        <v>1637</v>
      </c>
      <c r="L2141" s="6" t="s">
        <v>190</v>
      </c>
      <c r="M2141" s="6" t="s">
        <v>675</v>
      </c>
      <c r="N2141" s="6" t="s">
        <v>278</v>
      </c>
      <c r="O2141" s="6" t="s">
        <v>634</v>
      </c>
      <c r="P2141" s="6" t="str">
        <f aca="false">IF(J2141="S0","—",IF(K2141="","",IF(L2141="E0","QM",INDEX(10_ASIL_Matrix!$D$4:$F$15,MATCH(J2141&amp;"-"&amp;L2141,10_ASIL_Matrix!$C$4:$C$15,0),MATCH(N2141,10_ASIL_Matrix!$D$3:$F$3,0)))))</f>
        <v>—</v>
      </c>
      <c r="Q2141" s="6" t="s">
        <v>448</v>
      </c>
    </row>
    <row r="2142" customFormat="false" ht="35.05" hidden="false" customHeight="false" outlineLevel="0" collapsed="false">
      <c r="A2142" s="5" t="s">
        <v>4969</v>
      </c>
      <c r="B2142" s="5" t="s">
        <v>108</v>
      </c>
      <c r="C2142" s="5" t="s">
        <v>109</v>
      </c>
      <c r="D2142" s="5" t="s">
        <v>152</v>
      </c>
      <c r="E2142" s="5" t="s">
        <v>153</v>
      </c>
      <c r="F2142" s="5" t="s">
        <v>211</v>
      </c>
      <c r="G2142" s="5" t="s">
        <v>609</v>
      </c>
      <c r="H2142" s="5" t="s">
        <v>226</v>
      </c>
      <c r="I2142" s="5" t="s">
        <v>4970</v>
      </c>
      <c r="J2142" s="5" t="s">
        <v>238</v>
      </c>
      <c r="K2142" s="5" t="s">
        <v>1637</v>
      </c>
      <c r="L2142" s="5" t="s">
        <v>190</v>
      </c>
      <c r="M2142" s="5" t="s">
        <v>678</v>
      </c>
      <c r="N2142" s="5" t="s">
        <v>278</v>
      </c>
      <c r="O2142" s="5" t="s">
        <v>634</v>
      </c>
      <c r="P2142" s="5" t="str">
        <f aca="false">IF(J2142="S0","—",IF(K2142="","",IF(L2142="E0","QM",INDEX(10_ASIL_Matrix!$D$4:$F$15,MATCH(J2142&amp;"-"&amp;L2142,10_ASIL_Matrix!$C$4:$C$15,0),MATCH(N2142,10_ASIL_Matrix!$D$3:$F$3,0)))))</f>
        <v>—</v>
      </c>
      <c r="Q2142" s="5" t="s">
        <v>448</v>
      </c>
    </row>
    <row r="2143" customFormat="false" ht="35.05" hidden="false" customHeight="false" outlineLevel="0" collapsed="false">
      <c r="A2143" s="6" t="s">
        <v>4971</v>
      </c>
      <c r="B2143" s="6" t="s">
        <v>108</v>
      </c>
      <c r="C2143" s="6" t="s">
        <v>109</v>
      </c>
      <c r="D2143" s="6" t="s">
        <v>152</v>
      </c>
      <c r="E2143" s="6" t="s">
        <v>153</v>
      </c>
      <c r="F2143" s="6" t="s">
        <v>211</v>
      </c>
      <c r="G2143" s="6" t="s">
        <v>609</v>
      </c>
      <c r="H2143" s="6" t="s">
        <v>228</v>
      </c>
      <c r="I2143" s="6" t="s">
        <v>4972</v>
      </c>
      <c r="J2143" s="6" t="s">
        <v>238</v>
      </c>
      <c r="K2143" s="6" t="s">
        <v>1637</v>
      </c>
      <c r="L2143" s="6" t="s">
        <v>205</v>
      </c>
      <c r="M2143" s="6" t="s">
        <v>681</v>
      </c>
      <c r="N2143" s="6" t="s">
        <v>278</v>
      </c>
      <c r="O2143" s="6" t="s">
        <v>634</v>
      </c>
      <c r="P2143" s="6" t="str">
        <f aca="false">IF(J2143="S0","—",IF(K2143="","",IF(L2143="E0","QM",INDEX(10_ASIL_Matrix!$D$4:$F$15,MATCH(J2143&amp;"-"&amp;L2143,10_ASIL_Matrix!$C$4:$C$15,0),MATCH(N2143,10_ASIL_Matrix!$D$3:$F$3,0)))))</f>
        <v>—</v>
      </c>
      <c r="Q2143" s="6" t="s">
        <v>448</v>
      </c>
    </row>
    <row r="2144" customFormat="false" ht="35.05" hidden="false" customHeight="false" outlineLevel="0" collapsed="false">
      <c r="A2144" s="5" t="s">
        <v>4973</v>
      </c>
      <c r="B2144" s="5" t="s">
        <v>108</v>
      </c>
      <c r="C2144" s="5" t="s">
        <v>109</v>
      </c>
      <c r="D2144" s="5" t="s">
        <v>152</v>
      </c>
      <c r="E2144" s="5" t="s">
        <v>153</v>
      </c>
      <c r="F2144" s="5" t="s">
        <v>211</v>
      </c>
      <c r="G2144" s="5" t="s">
        <v>609</v>
      </c>
      <c r="H2144" s="5" t="s">
        <v>230</v>
      </c>
      <c r="I2144" s="5" t="s">
        <v>4974</v>
      </c>
      <c r="J2144" s="5" t="s">
        <v>238</v>
      </c>
      <c r="K2144" s="5" t="s">
        <v>1637</v>
      </c>
      <c r="L2144" s="5" t="s">
        <v>205</v>
      </c>
      <c r="M2144" s="5" t="s">
        <v>684</v>
      </c>
      <c r="N2144" s="5" t="s">
        <v>278</v>
      </c>
      <c r="O2144" s="5" t="s">
        <v>634</v>
      </c>
      <c r="P2144" s="5" t="str">
        <f aca="false">IF(J2144="S0","—",IF(K2144="","",IF(L2144="E0","QM",INDEX(10_ASIL_Matrix!$D$4:$F$15,MATCH(J2144&amp;"-"&amp;L2144,10_ASIL_Matrix!$C$4:$C$15,0),MATCH(N2144,10_ASIL_Matrix!$D$3:$F$3,0)))))</f>
        <v>—</v>
      </c>
      <c r="Q2144" s="5" t="s">
        <v>448</v>
      </c>
    </row>
    <row r="2145" customFormat="false" ht="46.25" hidden="false" customHeight="false" outlineLevel="0" collapsed="false">
      <c r="A2145" s="6" t="s">
        <v>4975</v>
      </c>
      <c r="B2145" s="6" t="s">
        <v>108</v>
      </c>
      <c r="C2145" s="6" t="s">
        <v>109</v>
      </c>
      <c r="D2145" s="6" t="s">
        <v>152</v>
      </c>
      <c r="E2145" s="6" t="s">
        <v>153</v>
      </c>
      <c r="F2145" s="6" t="s">
        <v>211</v>
      </c>
      <c r="G2145" s="6" t="s">
        <v>609</v>
      </c>
      <c r="H2145" s="6" t="s">
        <v>232</v>
      </c>
      <c r="I2145" s="6" t="s">
        <v>4976</v>
      </c>
      <c r="J2145" s="6" t="s">
        <v>238</v>
      </c>
      <c r="K2145" s="6" t="s">
        <v>1637</v>
      </c>
      <c r="L2145" s="6" t="s">
        <v>233</v>
      </c>
      <c r="M2145" s="6" t="s">
        <v>687</v>
      </c>
      <c r="N2145" s="6" t="s">
        <v>278</v>
      </c>
      <c r="O2145" s="6" t="s">
        <v>634</v>
      </c>
      <c r="P2145" s="6" t="str">
        <f aca="false">IF(J2145="S0","—",IF(K2145="","",IF(L2145="E0","QM",INDEX(10_ASIL_Matrix!$D$4:$F$15,MATCH(J2145&amp;"-"&amp;L2145,10_ASIL_Matrix!$C$4:$C$15,0),MATCH(N2145,10_ASIL_Matrix!$D$3:$F$3,0)))))</f>
        <v>—</v>
      </c>
      <c r="Q2145" s="6" t="s">
        <v>448</v>
      </c>
    </row>
    <row r="2146" customFormat="false" ht="46.25" hidden="false" customHeight="false" outlineLevel="0" collapsed="false">
      <c r="A2146" s="5" t="s">
        <v>4977</v>
      </c>
      <c r="B2146" s="5" t="s">
        <v>108</v>
      </c>
      <c r="C2146" s="5" t="s">
        <v>109</v>
      </c>
      <c r="D2146" s="5" t="s">
        <v>152</v>
      </c>
      <c r="E2146" s="5" t="s">
        <v>153</v>
      </c>
      <c r="F2146" s="5" t="s">
        <v>213</v>
      </c>
      <c r="G2146" s="5" t="s">
        <v>689</v>
      </c>
      <c r="H2146" s="5" t="s">
        <v>222</v>
      </c>
      <c r="I2146" s="5" t="s">
        <v>4978</v>
      </c>
      <c r="J2146" s="5" t="s">
        <v>238</v>
      </c>
      <c r="K2146" s="5" t="s">
        <v>4290</v>
      </c>
      <c r="L2146" s="5" t="s">
        <v>205</v>
      </c>
      <c r="M2146" s="5" t="s">
        <v>692</v>
      </c>
      <c r="N2146" s="5" t="s">
        <v>278</v>
      </c>
      <c r="O2146" s="5" t="s">
        <v>634</v>
      </c>
      <c r="P2146" s="5" t="str">
        <f aca="false">IF(J2146="S0","—",IF(K2146="","",IF(L2146="E0","QM",INDEX(10_ASIL_Matrix!$D$4:$F$15,MATCH(J2146&amp;"-"&amp;L2146,10_ASIL_Matrix!$C$4:$C$15,0),MATCH(N2146,10_ASIL_Matrix!$D$3:$F$3,0)))))</f>
        <v>—</v>
      </c>
      <c r="Q2146" s="5" t="s">
        <v>448</v>
      </c>
    </row>
    <row r="2147" customFormat="false" ht="46.25" hidden="false" customHeight="false" outlineLevel="0" collapsed="false">
      <c r="A2147" s="6" t="s">
        <v>4979</v>
      </c>
      <c r="B2147" s="6" t="s">
        <v>108</v>
      </c>
      <c r="C2147" s="6" t="s">
        <v>109</v>
      </c>
      <c r="D2147" s="6" t="s">
        <v>152</v>
      </c>
      <c r="E2147" s="6" t="s">
        <v>153</v>
      </c>
      <c r="F2147" s="6" t="s">
        <v>213</v>
      </c>
      <c r="G2147" s="6" t="s">
        <v>689</v>
      </c>
      <c r="H2147" s="6" t="s">
        <v>224</v>
      </c>
      <c r="I2147" s="6" t="s">
        <v>4980</v>
      </c>
      <c r="J2147" s="6" t="s">
        <v>238</v>
      </c>
      <c r="K2147" s="6" t="s">
        <v>4290</v>
      </c>
      <c r="L2147" s="6" t="s">
        <v>205</v>
      </c>
      <c r="M2147" s="6" t="s">
        <v>696</v>
      </c>
      <c r="N2147" s="6" t="s">
        <v>278</v>
      </c>
      <c r="O2147" s="6" t="s">
        <v>634</v>
      </c>
      <c r="P2147" s="6" t="str">
        <f aca="false">IF(J2147="S0","—",IF(K2147="","",IF(L2147="E0","QM",INDEX(10_ASIL_Matrix!$D$4:$F$15,MATCH(J2147&amp;"-"&amp;L2147,10_ASIL_Matrix!$C$4:$C$15,0),MATCH(N2147,10_ASIL_Matrix!$D$3:$F$3,0)))))</f>
        <v>—</v>
      </c>
      <c r="Q2147" s="6" t="s">
        <v>448</v>
      </c>
    </row>
    <row r="2148" customFormat="false" ht="46.25" hidden="false" customHeight="false" outlineLevel="0" collapsed="false">
      <c r="A2148" s="5" t="s">
        <v>4981</v>
      </c>
      <c r="B2148" s="5" t="s">
        <v>108</v>
      </c>
      <c r="C2148" s="5" t="s">
        <v>109</v>
      </c>
      <c r="D2148" s="5" t="s">
        <v>152</v>
      </c>
      <c r="E2148" s="5" t="s">
        <v>153</v>
      </c>
      <c r="F2148" s="5" t="s">
        <v>213</v>
      </c>
      <c r="G2148" s="5" t="s">
        <v>689</v>
      </c>
      <c r="H2148" s="5" t="s">
        <v>226</v>
      </c>
      <c r="I2148" s="5" t="s">
        <v>4982</v>
      </c>
      <c r="J2148" s="5" t="s">
        <v>238</v>
      </c>
      <c r="K2148" s="5" t="s">
        <v>4290</v>
      </c>
      <c r="L2148" s="5" t="s">
        <v>205</v>
      </c>
      <c r="M2148" s="5" t="s">
        <v>699</v>
      </c>
      <c r="N2148" s="5" t="s">
        <v>278</v>
      </c>
      <c r="O2148" s="5" t="s">
        <v>634</v>
      </c>
      <c r="P2148" s="5" t="str">
        <f aca="false">IF(J2148="S0","—",IF(K2148="","",IF(L2148="E0","QM",INDEX(10_ASIL_Matrix!$D$4:$F$15,MATCH(J2148&amp;"-"&amp;L2148,10_ASIL_Matrix!$C$4:$C$15,0),MATCH(N2148,10_ASIL_Matrix!$D$3:$F$3,0)))))</f>
        <v>—</v>
      </c>
      <c r="Q2148" s="5" t="s">
        <v>448</v>
      </c>
    </row>
    <row r="2149" customFormat="false" ht="46.25" hidden="false" customHeight="false" outlineLevel="0" collapsed="false">
      <c r="A2149" s="6" t="s">
        <v>4983</v>
      </c>
      <c r="B2149" s="6" t="s">
        <v>108</v>
      </c>
      <c r="C2149" s="6" t="s">
        <v>109</v>
      </c>
      <c r="D2149" s="6" t="s">
        <v>152</v>
      </c>
      <c r="E2149" s="6" t="s">
        <v>153</v>
      </c>
      <c r="F2149" s="6" t="s">
        <v>213</v>
      </c>
      <c r="G2149" s="6" t="s">
        <v>689</v>
      </c>
      <c r="H2149" s="6" t="s">
        <v>228</v>
      </c>
      <c r="I2149" s="6" t="s">
        <v>4984</v>
      </c>
      <c r="J2149" s="6" t="s">
        <v>238</v>
      </c>
      <c r="K2149" s="6" t="s">
        <v>4290</v>
      </c>
      <c r="L2149" s="6" t="s">
        <v>205</v>
      </c>
      <c r="M2149" s="6" t="s">
        <v>702</v>
      </c>
      <c r="N2149" s="6" t="s">
        <v>278</v>
      </c>
      <c r="O2149" s="6" t="s">
        <v>634</v>
      </c>
      <c r="P2149" s="6" t="str">
        <f aca="false">IF(J2149="S0","—",IF(K2149="","",IF(L2149="E0","QM",INDEX(10_ASIL_Matrix!$D$4:$F$15,MATCH(J2149&amp;"-"&amp;L2149,10_ASIL_Matrix!$C$4:$C$15,0),MATCH(N2149,10_ASIL_Matrix!$D$3:$F$3,0)))))</f>
        <v>—</v>
      </c>
      <c r="Q2149" s="6" t="s">
        <v>448</v>
      </c>
    </row>
    <row r="2150" customFormat="false" ht="46.25" hidden="false" customHeight="false" outlineLevel="0" collapsed="false">
      <c r="A2150" s="5" t="s">
        <v>4985</v>
      </c>
      <c r="B2150" s="5" t="s">
        <v>108</v>
      </c>
      <c r="C2150" s="5" t="s">
        <v>109</v>
      </c>
      <c r="D2150" s="5" t="s">
        <v>152</v>
      </c>
      <c r="E2150" s="5" t="s">
        <v>153</v>
      </c>
      <c r="F2150" s="5" t="s">
        <v>213</v>
      </c>
      <c r="G2150" s="5" t="s">
        <v>689</v>
      </c>
      <c r="H2150" s="5" t="s">
        <v>230</v>
      </c>
      <c r="I2150" s="5" t="s">
        <v>4986</v>
      </c>
      <c r="J2150" s="5" t="s">
        <v>238</v>
      </c>
      <c r="K2150" s="5" t="s">
        <v>4290</v>
      </c>
      <c r="L2150" s="5" t="s">
        <v>205</v>
      </c>
      <c r="M2150" s="5" t="s">
        <v>705</v>
      </c>
      <c r="N2150" s="5" t="s">
        <v>278</v>
      </c>
      <c r="O2150" s="5" t="s">
        <v>634</v>
      </c>
      <c r="P2150" s="5" t="str">
        <f aca="false">IF(J2150="S0","—",IF(K2150="","",IF(L2150="E0","QM",INDEX(10_ASIL_Matrix!$D$4:$F$15,MATCH(J2150&amp;"-"&amp;L2150,10_ASIL_Matrix!$C$4:$C$15,0),MATCH(N2150,10_ASIL_Matrix!$D$3:$F$3,0)))))</f>
        <v>—</v>
      </c>
      <c r="Q2150" s="5" t="s">
        <v>448</v>
      </c>
    </row>
    <row r="2151" customFormat="false" ht="46.25" hidden="false" customHeight="false" outlineLevel="0" collapsed="false">
      <c r="A2151" s="6" t="s">
        <v>4987</v>
      </c>
      <c r="B2151" s="6" t="s">
        <v>108</v>
      </c>
      <c r="C2151" s="6" t="s">
        <v>109</v>
      </c>
      <c r="D2151" s="6" t="s">
        <v>152</v>
      </c>
      <c r="E2151" s="6" t="s">
        <v>153</v>
      </c>
      <c r="F2151" s="6" t="s">
        <v>213</v>
      </c>
      <c r="G2151" s="6" t="s">
        <v>689</v>
      </c>
      <c r="H2151" s="6" t="s">
        <v>232</v>
      </c>
      <c r="I2151" s="6" t="s">
        <v>4988</v>
      </c>
      <c r="J2151" s="6" t="s">
        <v>238</v>
      </c>
      <c r="K2151" s="6" t="s">
        <v>4290</v>
      </c>
      <c r="L2151" s="6" t="s">
        <v>233</v>
      </c>
      <c r="M2151" s="6" t="s">
        <v>709</v>
      </c>
      <c r="N2151" s="6" t="s">
        <v>278</v>
      </c>
      <c r="O2151" s="6" t="s">
        <v>634</v>
      </c>
      <c r="P2151" s="6" t="str">
        <f aca="false">IF(J2151="S0","—",IF(K2151="","",IF(L2151="E0","QM",INDEX(10_ASIL_Matrix!$D$4:$F$15,MATCH(J2151&amp;"-"&amp;L2151,10_ASIL_Matrix!$C$4:$C$15,0),MATCH(N2151,10_ASIL_Matrix!$D$3:$F$3,0)))))</f>
        <v>—</v>
      </c>
      <c r="Q2151" s="6" t="s">
        <v>448</v>
      </c>
    </row>
    <row r="2152" customFormat="false" ht="35.05" hidden="false" customHeight="false" outlineLevel="0" collapsed="false">
      <c r="A2152" s="5" t="s">
        <v>4989</v>
      </c>
      <c r="B2152" s="5" t="s">
        <v>108</v>
      </c>
      <c r="C2152" s="5" t="s">
        <v>109</v>
      </c>
      <c r="D2152" s="5" t="s">
        <v>152</v>
      </c>
      <c r="E2152" s="5" t="s">
        <v>153</v>
      </c>
      <c r="F2152" s="5" t="s">
        <v>215</v>
      </c>
      <c r="G2152" s="5" t="s">
        <v>711</v>
      </c>
      <c r="H2152" s="5" t="s">
        <v>222</v>
      </c>
      <c r="I2152" s="5" t="s">
        <v>4990</v>
      </c>
      <c r="J2152" s="5" t="s">
        <v>238</v>
      </c>
      <c r="K2152" s="5" t="s">
        <v>4290</v>
      </c>
      <c r="L2152" s="5" t="s">
        <v>190</v>
      </c>
      <c r="M2152" s="5" t="s">
        <v>714</v>
      </c>
      <c r="N2152" s="5" t="s">
        <v>278</v>
      </c>
      <c r="O2152" s="5" t="s">
        <v>634</v>
      </c>
      <c r="P2152" s="5" t="str">
        <f aca="false">IF(J2152="S0","—",IF(K2152="","",IF(L2152="E0","QM",INDEX(10_ASIL_Matrix!$D$4:$F$15,MATCH(J2152&amp;"-"&amp;L2152,10_ASIL_Matrix!$C$4:$C$15,0),MATCH(N2152,10_ASIL_Matrix!$D$3:$F$3,0)))))</f>
        <v>—</v>
      </c>
      <c r="Q2152" s="5" t="s">
        <v>448</v>
      </c>
    </row>
    <row r="2153" customFormat="false" ht="35.05" hidden="false" customHeight="false" outlineLevel="0" collapsed="false">
      <c r="A2153" s="6" t="s">
        <v>4991</v>
      </c>
      <c r="B2153" s="6" t="s">
        <v>108</v>
      </c>
      <c r="C2153" s="6" t="s">
        <v>109</v>
      </c>
      <c r="D2153" s="6" t="s">
        <v>152</v>
      </c>
      <c r="E2153" s="6" t="s">
        <v>153</v>
      </c>
      <c r="F2153" s="6" t="s">
        <v>215</v>
      </c>
      <c r="G2153" s="6" t="s">
        <v>711</v>
      </c>
      <c r="H2153" s="6" t="s">
        <v>224</v>
      </c>
      <c r="I2153" s="6" t="s">
        <v>4992</v>
      </c>
      <c r="J2153" s="6" t="s">
        <v>238</v>
      </c>
      <c r="K2153" s="6" t="s">
        <v>4290</v>
      </c>
      <c r="L2153" s="6" t="s">
        <v>190</v>
      </c>
      <c r="M2153" s="6" t="s">
        <v>717</v>
      </c>
      <c r="N2153" s="6" t="s">
        <v>278</v>
      </c>
      <c r="O2153" s="6" t="s">
        <v>634</v>
      </c>
      <c r="P2153" s="6" t="str">
        <f aca="false">IF(J2153="S0","—",IF(K2153="","",IF(L2153="E0","QM",INDEX(10_ASIL_Matrix!$D$4:$F$15,MATCH(J2153&amp;"-"&amp;L2153,10_ASIL_Matrix!$C$4:$C$15,0),MATCH(N2153,10_ASIL_Matrix!$D$3:$F$3,0)))))</f>
        <v>—</v>
      </c>
      <c r="Q2153" s="6" t="s">
        <v>448</v>
      </c>
    </row>
    <row r="2154" customFormat="false" ht="35.05" hidden="false" customHeight="false" outlineLevel="0" collapsed="false">
      <c r="A2154" s="5" t="s">
        <v>4993</v>
      </c>
      <c r="B2154" s="5" t="s">
        <v>108</v>
      </c>
      <c r="C2154" s="5" t="s">
        <v>109</v>
      </c>
      <c r="D2154" s="5" t="s">
        <v>152</v>
      </c>
      <c r="E2154" s="5" t="s">
        <v>153</v>
      </c>
      <c r="F2154" s="5" t="s">
        <v>215</v>
      </c>
      <c r="G2154" s="5" t="s">
        <v>711</v>
      </c>
      <c r="H2154" s="5" t="s">
        <v>226</v>
      </c>
      <c r="I2154" s="5" t="s">
        <v>4994</v>
      </c>
      <c r="J2154" s="5" t="s">
        <v>238</v>
      </c>
      <c r="K2154" s="5" t="s">
        <v>4290</v>
      </c>
      <c r="L2154" s="5" t="s">
        <v>190</v>
      </c>
      <c r="M2154" s="5" t="s">
        <v>720</v>
      </c>
      <c r="N2154" s="5" t="s">
        <v>278</v>
      </c>
      <c r="O2154" s="5" t="s">
        <v>634</v>
      </c>
      <c r="P2154" s="5" t="str">
        <f aca="false">IF(J2154="S0","—",IF(K2154="","",IF(L2154="E0","QM",INDEX(10_ASIL_Matrix!$D$4:$F$15,MATCH(J2154&amp;"-"&amp;L2154,10_ASIL_Matrix!$C$4:$C$15,0),MATCH(N2154,10_ASIL_Matrix!$D$3:$F$3,0)))))</f>
        <v>—</v>
      </c>
      <c r="Q2154" s="5" t="s">
        <v>448</v>
      </c>
    </row>
    <row r="2155" customFormat="false" ht="35.05" hidden="false" customHeight="false" outlineLevel="0" collapsed="false">
      <c r="A2155" s="6" t="s">
        <v>4995</v>
      </c>
      <c r="B2155" s="6" t="s">
        <v>108</v>
      </c>
      <c r="C2155" s="6" t="s">
        <v>109</v>
      </c>
      <c r="D2155" s="6" t="s">
        <v>152</v>
      </c>
      <c r="E2155" s="6" t="s">
        <v>153</v>
      </c>
      <c r="F2155" s="6" t="s">
        <v>215</v>
      </c>
      <c r="G2155" s="6" t="s">
        <v>711</v>
      </c>
      <c r="H2155" s="6" t="s">
        <v>228</v>
      </c>
      <c r="I2155" s="6" t="s">
        <v>4996</v>
      </c>
      <c r="J2155" s="6" t="s">
        <v>238</v>
      </c>
      <c r="K2155" s="6" t="s">
        <v>4290</v>
      </c>
      <c r="L2155" s="6" t="s">
        <v>205</v>
      </c>
      <c r="M2155" s="6" t="s">
        <v>723</v>
      </c>
      <c r="N2155" s="6" t="s">
        <v>278</v>
      </c>
      <c r="O2155" s="6" t="s">
        <v>634</v>
      </c>
      <c r="P2155" s="6" t="str">
        <f aca="false">IF(J2155="S0","—",IF(K2155="","",IF(L2155="E0","QM",INDEX(10_ASIL_Matrix!$D$4:$F$15,MATCH(J2155&amp;"-"&amp;L2155,10_ASIL_Matrix!$C$4:$C$15,0),MATCH(N2155,10_ASIL_Matrix!$D$3:$F$3,0)))))</f>
        <v>—</v>
      </c>
      <c r="Q2155" s="6" t="s">
        <v>448</v>
      </c>
    </row>
    <row r="2156" customFormat="false" ht="35.05" hidden="false" customHeight="false" outlineLevel="0" collapsed="false">
      <c r="A2156" s="5" t="s">
        <v>4997</v>
      </c>
      <c r="B2156" s="5" t="s">
        <v>108</v>
      </c>
      <c r="C2156" s="5" t="s">
        <v>109</v>
      </c>
      <c r="D2156" s="5" t="s">
        <v>152</v>
      </c>
      <c r="E2156" s="5" t="s">
        <v>153</v>
      </c>
      <c r="F2156" s="5" t="s">
        <v>215</v>
      </c>
      <c r="G2156" s="5" t="s">
        <v>711</v>
      </c>
      <c r="H2156" s="5" t="s">
        <v>230</v>
      </c>
      <c r="I2156" s="5" t="s">
        <v>4998</v>
      </c>
      <c r="J2156" s="5" t="s">
        <v>238</v>
      </c>
      <c r="K2156" s="5" t="s">
        <v>4290</v>
      </c>
      <c r="L2156" s="5" t="s">
        <v>205</v>
      </c>
      <c r="M2156" s="5" t="s">
        <v>726</v>
      </c>
      <c r="N2156" s="5" t="s">
        <v>278</v>
      </c>
      <c r="O2156" s="5" t="s">
        <v>634</v>
      </c>
      <c r="P2156" s="5" t="str">
        <f aca="false">IF(J2156="S0","—",IF(K2156="","",IF(L2156="E0","QM",INDEX(10_ASIL_Matrix!$D$4:$F$15,MATCH(J2156&amp;"-"&amp;L2156,10_ASIL_Matrix!$C$4:$C$15,0),MATCH(N2156,10_ASIL_Matrix!$D$3:$F$3,0)))))</f>
        <v>—</v>
      </c>
      <c r="Q2156" s="5" t="s">
        <v>448</v>
      </c>
    </row>
    <row r="2157" customFormat="false" ht="46.25" hidden="false" customHeight="false" outlineLevel="0" collapsed="false">
      <c r="A2157" s="6" t="s">
        <v>4999</v>
      </c>
      <c r="B2157" s="6" t="s">
        <v>108</v>
      </c>
      <c r="C2157" s="6" t="s">
        <v>109</v>
      </c>
      <c r="D2157" s="6" t="s">
        <v>152</v>
      </c>
      <c r="E2157" s="6" t="s">
        <v>153</v>
      </c>
      <c r="F2157" s="6" t="s">
        <v>215</v>
      </c>
      <c r="G2157" s="6" t="s">
        <v>711</v>
      </c>
      <c r="H2157" s="6" t="s">
        <v>232</v>
      </c>
      <c r="I2157" s="6" t="s">
        <v>5000</v>
      </c>
      <c r="J2157" s="6" t="s">
        <v>238</v>
      </c>
      <c r="K2157" s="6" t="s">
        <v>4290</v>
      </c>
      <c r="L2157" s="6" t="s">
        <v>233</v>
      </c>
      <c r="M2157" s="6" t="s">
        <v>729</v>
      </c>
      <c r="N2157" s="6" t="s">
        <v>278</v>
      </c>
      <c r="O2157" s="6" t="s">
        <v>634</v>
      </c>
      <c r="P2157" s="6" t="str">
        <f aca="false">IF(J2157="S0","—",IF(K2157="","",IF(L2157="E0","QM",INDEX(10_ASIL_Matrix!$D$4:$F$15,MATCH(J2157&amp;"-"&amp;L2157,10_ASIL_Matrix!$C$4:$C$15,0),MATCH(N2157,10_ASIL_Matrix!$D$3:$F$3,0)))))</f>
        <v>—</v>
      </c>
      <c r="Q2157" s="6" t="s">
        <v>448</v>
      </c>
    </row>
    <row r="2158" customFormat="false" ht="35.05" hidden="false" customHeight="false" outlineLevel="0" collapsed="false">
      <c r="A2158" s="5" t="s">
        <v>5001</v>
      </c>
      <c r="B2158" s="5" t="s">
        <v>108</v>
      </c>
      <c r="C2158" s="5" t="s">
        <v>109</v>
      </c>
      <c r="D2158" s="5" t="s">
        <v>152</v>
      </c>
      <c r="E2158" s="5" t="s">
        <v>153</v>
      </c>
      <c r="F2158" s="5" t="s">
        <v>217</v>
      </c>
      <c r="G2158" s="5" t="s">
        <v>488</v>
      </c>
      <c r="H2158" s="5" t="s">
        <v>222</v>
      </c>
      <c r="I2158" s="5" t="s">
        <v>5002</v>
      </c>
      <c r="J2158" s="5" t="s">
        <v>238</v>
      </c>
      <c r="K2158" s="5" t="s">
        <v>4290</v>
      </c>
      <c r="L2158" s="5" t="s">
        <v>190</v>
      </c>
      <c r="M2158" s="5" t="s">
        <v>733</v>
      </c>
      <c r="N2158" s="5" t="s">
        <v>278</v>
      </c>
      <c r="O2158" s="5" t="s">
        <v>634</v>
      </c>
      <c r="P2158" s="5" t="str">
        <f aca="false">IF(J2158="S0","—",IF(K2158="","",IF(L2158="E0","QM",INDEX(10_ASIL_Matrix!$D$4:$F$15,MATCH(J2158&amp;"-"&amp;L2158,10_ASIL_Matrix!$C$4:$C$15,0),MATCH(N2158,10_ASIL_Matrix!$D$3:$F$3,0)))))</f>
        <v>—</v>
      </c>
      <c r="Q2158" s="5" t="s">
        <v>448</v>
      </c>
    </row>
    <row r="2159" customFormat="false" ht="35.05" hidden="false" customHeight="false" outlineLevel="0" collapsed="false">
      <c r="A2159" s="6" t="s">
        <v>5003</v>
      </c>
      <c r="B2159" s="6" t="s">
        <v>108</v>
      </c>
      <c r="C2159" s="6" t="s">
        <v>109</v>
      </c>
      <c r="D2159" s="6" t="s">
        <v>152</v>
      </c>
      <c r="E2159" s="6" t="s">
        <v>153</v>
      </c>
      <c r="F2159" s="6" t="s">
        <v>217</v>
      </c>
      <c r="G2159" s="6" t="s">
        <v>488</v>
      </c>
      <c r="H2159" s="6" t="s">
        <v>224</v>
      </c>
      <c r="I2159" s="6" t="s">
        <v>5004</v>
      </c>
      <c r="J2159" s="6" t="s">
        <v>238</v>
      </c>
      <c r="K2159" s="6" t="s">
        <v>4290</v>
      </c>
      <c r="L2159" s="6" t="s">
        <v>190</v>
      </c>
      <c r="M2159" s="6" t="s">
        <v>736</v>
      </c>
      <c r="N2159" s="6" t="s">
        <v>278</v>
      </c>
      <c r="O2159" s="6" t="s">
        <v>634</v>
      </c>
      <c r="P2159" s="6" t="str">
        <f aca="false">IF(J2159="S0","—",IF(K2159="","",IF(L2159="E0","QM",INDEX(10_ASIL_Matrix!$D$4:$F$15,MATCH(J2159&amp;"-"&amp;L2159,10_ASIL_Matrix!$C$4:$C$15,0),MATCH(N2159,10_ASIL_Matrix!$D$3:$F$3,0)))))</f>
        <v>—</v>
      </c>
      <c r="Q2159" s="6" t="s">
        <v>448</v>
      </c>
    </row>
    <row r="2160" customFormat="false" ht="35.05" hidden="false" customHeight="false" outlineLevel="0" collapsed="false">
      <c r="A2160" s="5" t="s">
        <v>5005</v>
      </c>
      <c r="B2160" s="5" t="s">
        <v>108</v>
      </c>
      <c r="C2160" s="5" t="s">
        <v>109</v>
      </c>
      <c r="D2160" s="5" t="s">
        <v>152</v>
      </c>
      <c r="E2160" s="5" t="s">
        <v>153</v>
      </c>
      <c r="F2160" s="5" t="s">
        <v>217</v>
      </c>
      <c r="G2160" s="5" t="s">
        <v>488</v>
      </c>
      <c r="H2160" s="5" t="s">
        <v>226</v>
      </c>
      <c r="I2160" s="5" t="s">
        <v>5006</v>
      </c>
      <c r="J2160" s="5" t="s">
        <v>238</v>
      </c>
      <c r="K2160" s="5" t="s">
        <v>4290</v>
      </c>
      <c r="L2160" s="5" t="s">
        <v>190</v>
      </c>
      <c r="M2160" s="5" t="s">
        <v>739</v>
      </c>
      <c r="N2160" s="5" t="s">
        <v>278</v>
      </c>
      <c r="O2160" s="5" t="s">
        <v>634</v>
      </c>
      <c r="P2160" s="5" t="str">
        <f aca="false">IF(J2160="S0","—",IF(K2160="","",IF(L2160="E0","QM",INDEX(10_ASIL_Matrix!$D$4:$F$15,MATCH(J2160&amp;"-"&amp;L2160,10_ASIL_Matrix!$C$4:$C$15,0),MATCH(N2160,10_ASIL_Matrix!$D$3:$F$3,0)))))</f>
        <v>—</v>
      </c>
      <c r="Q2160" s="5" t="s">
        <v>448</v>
      </c>
    </row>
    <row r="2161" customFormat="false" ht="35.05" hidden="false" customHeight="false" outlineLevel="0" collapsed="false">
      <c r="A2161" s="6" t="s">
        <v>5007</v>
      </c>
      <c r="B2161" s="6" t="s">
        <v>108</v>
      </c>
      <c r="C2161" s="6" t="s">
        <v>109</v>
      </c>
      <c r="D2161" s="6" t="s">
        <v>152</v>
      </c>
      <c r="E2161" s="6" t="s">
        <v>153</v>
      </c>
      <c r="F2161" s="6" t="s">
        <v>217</v>
      </c>
      <c r="G2161" s="6" t="s">
        <v>488</v>
      </c>
      <c r="H2161" s="6" t="s">
        <v>228</v>
      </c>
      <c r="I2161" s="6" t="s">
        <v>5008</v>
      </c>
      <c r="J2161" s="6" t="s">
        <v>238</v>
      </c>
      <c r="K2161" s="6" t="s">
        <v>4290</v>
      </c>
      <c r="L2161" s="6" t="s">
        <v>205</v>
      </c>
      <c r="M2161" s="6" t="s">
        <v>742</v>
      </c>
      <c r="N2161" s="6" t="s">
        <v>278</v>
      </c>
      <c r="O2161" s="6" t="s">
        <v>634</v>
      </c>
      <c r="P2161" s="6" t="str">
        <f aca="false">IF(J2161="S0","—",IF(K2161="","",IF(L2161="E0","QM",INDEX(10_ASIL_Matrix!$D$4:$F$15,MATCH(J2161&amp;"-"&amp;L2161,10_ASIL_Matrix!$C$4:$C$15,0),MATCH(N2161,10_ASIL_Matrix!$D$3:$F$3,0)))))</f>
        <v>—</v>
      </c>
      <c r="Q2161" s="6" t="s">
        <v>448</v>
      </c>
    </row>
    <row r="2162" customFormat="false" ht="35.05" hidden="false" customHeight="false" outlineLevel="0" collapsed="false">
      <c r="A2162" s="5" t="s">
        <v>5009</v>
      </c>
      <c r="B2162" s="5" t="s">
        <v>108</v>
      </c>
      <c r="C2162" s="5" t="s">
        <v>109</v>
      </c>
      <c r="D2162" s="5" t="s">
        <v>152</v>
      </c>
      <c r="E2162" s="5" t="s">
        <v>153</v>
      </c>
      <c r="F2162" s="5" t="s">
        <v>217</v>
      </c>
      <c r="G2162" s="5" t="s">
        <v>488</v>
      </c>
      <c r="H2162" s="5" t="s">
        <v>230</v>
      </c>
      <c r="I2162" s="5" t="s">
        <v>5010</v>
      </c>
      <c r="J2162" s="5" t="s">
        <v>238</v>
      </c>
      <c r="K2162" s="5" t="s">
        <v>4290</v>
      </c>
      <c r="L2162" s="5" t="s">
        <v>205</v>
      </c>
      <c r="M2162" s="5" t="s">
        <v>745</v>
      </c>
      <c r="N2162" s="5" t="s">
        <v>278</v>
      </c>
      <c r="O2162" s="5" t="s">
        <v>634</v>
      </c>
      <c r="P2162" s="5" t="str">
        <f aca="false">IF(J2162="S0","—",IF(K2162="","",IF(L2162="E0","QM",INDEX(10_ASIL_Matrix!$D$4:$F$15,MATCH(J2162&amp;"-"&amp;L2162,10_ASIL_Matrix!$C$4:$C$15,0),MATCH(N2162,10_ASIL_Matrix!$D$3:$F$3,0)))))</f>
        <v>—</v>
      </c>
      <c r="Q2162" s="5" t="s">
        <v>448</v>
      </c>
    </row>
    <row r="2163" customFormat="false" ht="46.25" hidden="false" customHeight="false" outlineLevel="0" collapsed="false">
      <c r="A2163" s="6" t="s">
        <v>5011</v>
      </c>
      <c r="B2163" s="6" t="s">
        <v>108</v>
      </c>
      <c r="C2163" s="6" t="s">
        <v>109</v>
      </c>
      <c r="D2163" s="6" t="s">
        <v>152</v>
      </c>
      <c r="E2163" s="6" t="s">
        <v>153</v>
      </c>
      <c r="F2163" s="6" t="s">
        <v>217</v>
      </c>
      <c r="G2163" s="6" t="s">
        <v>488</v>
      </c>
      <c r="H2163" s="6" t="s">
        <v>232</v>
      </c>
      <c r="I2163" s="6" t="s">
        <v>5012</v>
      </c>
      <c r="J2163" s="6" t="s">
        <v>238</v>
      </c>
      <c r="K2163" s="6" t="s">
        <v>4290</v>
      </c>
      <c r="L2163" s="6" t="s">
        <v>233</v>
      </c>
      <c r="M2163" s="6" t="s">
        <v>748</v>
      </c>
      <c r="N2163" s="6" t="s">
        <v>278</v>
      </c>
      <c r="O2163" s="6" t="s">
        <v>634</v>
      </c>
      <c r="P2163" s="6" t="str">
        <f aca="false">IF(J2163="S0","—",IF(K2163="","",IF(L2163="E0","QM",INDEX(10_ASIL_Matrix!$D$4:$F$15,MATCH(J2163&amp;"-"&amp;L2163,10_ASIL_Matrix!$C$4:$C$15,0),MATCH(N2163,10_ASIL_Matrix!$D$3:$F$3,0)))))</f>
        <v>—</v>
      </c>
      <c r="Q2163" s="6" t="s">
        <v>448</v>
      </c>
    </row>
    <row r="2164" customFormat="false" ht="35.05" hidden="false" customHeight="false" outlineLevel="0" collapsed="false">
      <c r="A2164" s="5" t="s">
        <v>5013</v>
      </c>
      <c r="B2164" s="5" t="s">
        <v>108</v>
      </c>
      <c r="C2164" s="5" t="s">
        <v>109</v>
      </c>
      <c r="D2164" s="5" t="s">
        <v>167</v>
      </c>
      <c r="E2164" s="5" t="s">
        <v>168</v>
      </c>
      <c r="F2164" s="5" t="s">
        <v>186</v>
      </c>
      <c r="G2164" s="5" t="s">
        <v>443</v>
      </c>
      <c r="H2164" s="5" t="s">
        <v>222</v>
      </c>
      <c r="I2164" s="5" t="s">
        <v>5014</v>
      </c>
      <c r="J2164" s="5" t="s">
        <v>238</v>
      </c>
      <c r="K2164" s="5" t="s">
        <v>4290</v>
      </c>
      <c r="L2164" s="5" t="s">
        <v>187</v>
      </c>
      <c r="M2164" s="5" t="s">
        <v>446</v>
      </c>
      <c r="N2164" s="5" t="s">
        <v>278</v>
      </c>
      <c r="O2164" s="5" t="s">
        <v>634</v>
      </c>
      <c r="P2164" s="5" t="str">
        <f aca="false">IF(J2164="S0","—",IF(K2164="","",IF(L2164="E0","QM",INDEX(10_ASIL_Matrix!$D$4:$F$15,MATCH(J2164&amp;"-"&amp;L2164,10_ASIL_Matrix!$C$4:$C$15,0),MATCH(N2164,10_ASIL_Matrix!$D$3:$F$3,0)))))</f>
        <v>—</v>
      </c>
      <c r="Q2164" s="5" t="s">
        <v>448</v>
      </c>
    </row>
    <row r="2165" customFormat="false" ht="35.05" hidden="false" customHeight="false" outlineLevel="0" collapsed="false">
      <c r="A2165" s="6" t="s">
        <v>5015</v>
      </c>
      <c r="B2165" s="6" t="s">
        <v>108</v>
      </c>
      <c r="C2165" s="6" t="s">
        <v>109</v>
      </c>
      <c r="D2165" s="6" t="s">
        <v>167</v>
      </c>
      <c r="E2165" s="6" t="s">
        <v>168</v>
      </c>
      <c r="F2165" s="6" t="s">
        <v>186</v>
      </c>
      <c r="G2165" s="6" t="s">
        <v>443</v>
      </c>
      <c r="H2165" s="6" t="s">
        <v>224</v>
      </c>
      <c r="I2165" s="6" t="s">
        <v>5016</v>
      </c>
      <c r="J2165" s="6" t="s">
        <v>238</v>
      </c>
      <c r="K2165" s="6" t="s">
        <v>4290</v>
      </c>
      <c r="L2165" s="6" t="s">
        <v>190</v>
      </c>
      <c r="M2165" s="6" t="s">
        <v>451</v>
      </c>
      <c r="N2165" s="6" t="s">
        <v>278</v>
      </c>
      <c r="O2165" s="6" t="s">
        <v>634</v>
      </c>
      <c r="P2165" s="6" t="str">
        <f aca="false">IF(J2165="S0","—",IF(K2165="","",IF(L2165="E0","QM",INDEX(10_ASIL_Matrix!$D$4:$F$15,MATCH(J2165&amp;"-"&amp;L2165,10_ASIL_Matrix!$C$4:$C$15,0),MATCH(N2165,10_ASIL_Matrix!$D$3:$F$3,0)))))</f>
        <v>—</v>
      </c>
      <c r="Q2165" s="6" t="s">
        <v>448</v>
      </c>
    </row>
    <row r="2166" customFormat="false" ht="35.05" hidden="false" customHeight="false" outlineLevel="0" collapsed="false">
      <c r="A2166" s="5" t="s">
        <v>5017</v>
      </c>
      <c r="B2166" s="5" t="s">
        <v>108</v>
      </c>
      <c r="C2166" s="5" t="s">
        <v>109</v>
      </c>
      <c r="D2166" s="5" t="s">
        <v>167</v>
      </c>
      <c r="E2166" s="5" t="s">
        <v>168</v>
      </c>
      <c r="F2166" s="5" t="s">
        <v>186</v>
      </c>
      <c r="G2166" s="5" t="s">
        <v>443</v>
      </c>
      <c r="H2166" s="5" t="s">
        <v>226</v>
      </c>
      <c r="I2166" s="5" t="s">
        <v>5018</v>
      </c>
      <c r="J2166" s="5" t="s">
        <v>238</v>
      </c>
      <c r="K2166" s="5" t="s">
        <v>4290</v>
      </c>
      <c r="L2166" s="5" t="s">
        <v>190</v>
      </c>
      <c r="M2166" s="5" t="s">
        <v>454</v>
      </c>
      <c r="N2166" s="5" t="s">
        <v>278</v>
      </c>
      <c r="O2166" s="5" t="s">
        <v>634</v>
      </c>
      <c r="P2166" s="5" t="str">
        <f aca="false">IF(J2166="S0","—",IF(K2166="","",IF(L2166="E0","QM",INDEX(10_ASIL_Matrix!$D$4:$F$15,MATCH(J2166&amp;"-"&amp;L2166,10_ASIL_Matrix!$C$4:$C$15,0),MATCH(N2166,10_ASIL_Matrix!$D$3:$F$3,0)))))</f>
        <v>—</v>
      </c>
      <c r="Q2166" s="5" t="s">
        <v>448</v>
      </c>
    </row>
    <row r="2167" customFormat="false" ht="35.05" hidden="false" customHeight="false" outlineLevel="0" collapsed="false">
      <c r="A2167" s="6" t="s">
        <v>5019</v>
      </c>
      <c r="B2167" s="6" t="s">
        <v>108</v>
      </c>
      <c r="C2167" s="6" t="s">
        <v>109</v>
      </c>
      <c r="D2167" s="6" t="s">
        <v>167</v>
      </c>
      <c r="E2167" s="6" t="s">
        <v>168</v>
      </c>
      <c r="F2167" s="6" t="s">
        <v>186</v>
      </c>
      <c r="G2167" s="6" t="s">
        <v>443</v>
      </c>
      <c r="H2167" s="6" t="s">
        <v>228</v>
      </c>
      <c r="I2167" s="6" t="s">
        <v>5020</v>
      </c>
      <c r="J2167" s="6" t="s">
        <v>238</v>
      </c>
      <c r="K2167" s="6" t="s">
        <v>4290</v>
      </c>
      <c r="L2167" s="6" t="s">
        <v>205</v>
      </c>
      <c r="M2167" s="6" t="s">
        <v>457</v>
      </c>
      <c r="N2167" s="6" t="s">
        <v>278</v>
      </c>
      <c r="O2167" s="6" t="s">
        <v>634</v>
      </c>
      <c r="P2167" s="6" t="str">
        <f aca="false">IF(J2167="S0","—",IF(K2167="","",IF(L2167="E0","QM",INDEX(10_ASIL_Matrix!$D$4:$F$15,MATCH(J2167&amp;"-"&amp;L2167,10_ASIL_Matrix!$C$4:$C$15,0),MATCH(N2167,10_ASIL_Matrix!$D$3:$F$3,0)))))</f>
        <v>—</v>
      </c>
      <c r="Q2167" s="6" t="s">
        <v>448</v>
      </c>
    </row>
    <row r="2168" customFormat="false" ht="35.05" hidden="false" customHeight="false" outlineLevel="0" collapsed="false">
      <c r="A2168" s="5" t="s">
        <v>5021</v>
      </c>
      <c r="B2168" s="5" t="s">
        <v>108</v>
      </c>
      <c r="C2168" s="5" t="s">
        <v>109</v>
      </c>
      <c r="D2168" s="5" t="s">
        <v>167</v>
      </c>
      <c r="E2168" s="5" t="s">
        <v>168</v>
      </c>
      <c r="F2168" s="5" t="s">
        <v>186</v>
      </c>
      <c r="G2168" s="5" t="s">
        <v>443</v>
      </c>
      <c r="H2168" s="5" t="s">
        <v>230</v>
      </c>
      <c r="I2168" s="5" t="s">
        <v>5022</v>
      </c>
      <c r="J2168" s="5" t="s">
        <v>238</v>
      </c>
      <c r="K2168" s="5" t="s">
        <v>4290</v>
      </c>
      <c r="L2168" s="5" t="s">
        <v>205</v>
      </c>
      <c r="M2168" s="5" t="s">
        <v>460</v>
      </c>
      <c r="N2168" s="5" t="s">
        <v>278</v>
      </c>
      <c r="O2168" s="5" t="s">
        <v>634</v>
      </c>
      <c r="P2168" s="5" t="str">
        <f aca="false">IF(J2168="S0","—",IF(K2168="","",IF(L2168="E0","QM",INDEX(10_ASIL_Matrix!$D$4:$F$15,MATCH(J2168&amp;"-"&amp;L2168,10_ASIL_Matrix!$C$4:$C$15,0),MATCH(N2168,10_ASIL_Matrix!$D$3:$F$3,0)))))</f>
        <v>—</v>
      </c>
      <c r="Q2168" s="5" t="s">
        <v>448</v>
      </c>
    </row>
    <row r="2169" customFormat="false" ht="46.25" hidden="false" customHeight="false" outlineLevel="0" collapsed="false">
      <c r="A2169" s="6" t="s">
        <v>5023</v>
      </c>
      <c r="B2169" s="6" t="s">
        <v>108</v>
      </c>
      <c r="C2169" s="6" t="s">
        <v>109</v>
      </c>
      <c r="D2169" s="6" t="s">
        <v>167</v>
      </c>
      <c r="E2169" s="6" t="s">
        <v>168</v>
      </c>
      <c r="F2169" s="6" t="s">
        <v>186</v>
      </c>
      <c r="G2169" s="6" t="s">
        <v>443</v>
      </c>
      <c r="H2169" s="6" t="s">
        <v>232</v>
      </c>
      <c r="I2169" s="6" t="s">
        <v>5024</v>
      </c>
      <c r="J2169" s="6" t="s">
        <v>238</v>
      </c>
      <c r="K2169" s="6" t="s">
        <v>4290</v>
      </c>
      <c r="L2169" s="6" t="s">
        <v>233</v>
      </c>
      <c r="M2169" s="6" t="s">
        <v>464</v>
      </c>
      <c r="N2169" s="6" t="s">
        <v>278</v>
      </c>
      <c r="O2169" s="6" t="s">
        <v>634</v>
      </c>
      <c r="P2169" s="6" t="str">
        <f aca="false">IF(J2169="S0","—",IF(K2169="","",IF(L2169="E0","QM",INDEX(10_ASIL_Matrix!$D$4:$F$15,MATCH(J2169&amp;"-"&amp;L2169,10_ASIL_Matrix!$C$4:$C$15,0),MATCH(N2169,10_ASIL_Matrix!$D$3:$F$3,0)))))</f>
        <v>—</v>
      </c>
      <c r="Q2169" s="6" t="s">
        <v>448</v>
      </c>
    </row>
    <row r="2170" customFormat="false" ht="35.05" hidden="false" customHeight="false" outlineLevel="0" collapsed="false">
      <c r="A2170" s="5" t="s">
        <v>5025</v>
      </c>
      <c r="B2170" s="5" t="s">
        <v>108</v>
      </c>
      <c r="C2170" s="5" t="s">
        <v>109</v>
      </c>
      <c r="D2170" s="5" t="s">
        <v>167</v>
      </c>
      <c r="E2170" s="5" t="s">
        <v>168</v>
      </c>
      <c r="F2170" s="5" t="s">
        <v>189</v>
      </c>
      <c r="G2170" s="5" t="s">
        <v>466</v>
      </c>
      <c r="H2170" s="5" t="s">
        <v>222</v>
      </c>
      <c r="I2170" s="5" t="s">
        <v>5026</v>
      </c>
      <c r="J2170" s="5" t="s">
        <v>238</v>
      </c>
      <c r="K2170" s="5" t="s">
        <v>4290</v>
      </c>
      <c r="L2170" s="5" t="s">
        <v>190</v>
      </c>
      <c r="M2170" s="5" t="s">
        <v>469</v>
      </c>
      <c r="N2170" s="5" t="s">
        <v>278</v>
      </c>
      <c r="O2170" s="5" t="s">
        <v>634</v>
      </c>
      <c r="P2170" s="5" t="str">
        <f aca="false">IF(J2170="S0","—",IF(K2170="","",IF(L2170="E0","QM",INDEX(10_ASIL_Matrix!$D$4:$F$15,MATCH(J2170&amp;"-"&amp;L2170,10_ASIL_Matrix!$C$4:$C$15,0),MATCH(N2170,10_ASIL_Matrix!$D$3:$F$3,0)))))</f>
        <v>—</v>
      </c>
      <c r="Q2170" s="5" t="s">
        <v>448</v>
      </c>
    </row>
    <row r="2171" customFormat="false" ht="35.05" hidden="false" customHeight="false" outlineLevel="0" collapsed="false">
      <c r="A2171" s="6" t="s">
        <v>5027</v>
      </c>
      <c r="B2171" s="6" t="s">
        <v>108</v>
      </c>
      <c r="C2171" s="6" t="s">
        <v>109</v>
      </c>
      <c r="D2171" s="6" t="s">
        <v>167</v>
      </c>
      <c r="E2171" s="6" t="s">
        <v>168</v>
      </c>
      <c r="F2171" s="6" t="s">
        <v>189</v>
      </c>
      <c r="G2171" s="6" t="s">
        <v>466</v>
      </c>
      <c r="H2171" s="6" t="s">
        <v>224</v>
      </c>
      <c r="I2171" s="6" t="s">
        <v>5028</v>
      </c>
      <c r="J2171" s="6" t="s">
        <v>238</v>
      </c>
      <c r="K2171" s="6" t="s">
        <v>4290</v>
      </c>
      <c r="L2171" s="6" t="s">
        <v>190</v>
      </c>
      <c r="M2171" s="6" t="s">
        <v>473</v>
      </c>
      <c r="N2171" s="6" t="s">
        <v>278</v>
      </c>
      <c r="O2171" s="6" t="s">
        <v>634</v>
      </c>
      <c r="P2171" s="6" t="str">
        <f aca="false">IF(J2171="S0","—",IF(K2171="","",IF(L2171="E0","QM",INDEX(10_ASIL_Matrix!$D$4:$F$15,MATCH(J2171&amp;"-"&amp;L2171,10_ASIL_Matrix!$C$4:$C$15,0),MATCH(N2171,10_ASIL_Matrix!$D$3:$F$3,0)))))</f>
        <v>—</v>
      </c>
      <c r="Q2171" s="6" t="s">
        <v>448</v>
      </c>
    </row>
    <row r="2172" customFormat="false" ht="35.05" hidden="false" customHeight="false" outlineLevel="0" collapsed="false">
      <c r="A2172" s="5" t="s">
        <v>5029</v>
      </c>
      <c r="B2172" s="5" t="s">
        <v>108</v>
      </c>
      <c r="C2172" s="5" t="s">
        <v>109</v>
      </c>
      <c r="D2172" s="5" t="s">
        <v>167</v>
      </c>
      <c r="E2172" s="5" t="s">
        <v>168</v>
      </c>
      <c r="F2172" s="5" t="s">
        <v>189</v>
      </c>
      <c r="G2172" s="5" t="s">
        <v>466</v>
      </c>
      <c r="H2172" s="5" t="s">
        <v>226</v>
      </c>
      <c r="I2172" s="5" t="s">
        <v>5030</v>
      </c>
      <c r="J2172" s="5" t="s">
        <v>238</v>
      </c>
      <c r="K2172" s="5" t="s">
        <v>4290</v>
      </c>
      <c r="L2172" s="5" t="s">
        <v>190</v>
      </c>
      <c r="M2172" s="5" t="s">
        <v>476</v>
      </c>
      <c r="N2172" s="5" t="s">
        <v>278</v>
      </c>
      <c r="O2172" s="5" t="s">
        <v>634</v>
      </c>
      <c r="P2172" s="5" t="str">
        <f aca="false">IF(J2172="S0","—",IF(K2172="","",IF(L2172="E0","QM",INDEX(10_ASIL_Matrix!$D$4:$F$15,MATCH(J2172&amp;"-"&amp;L2172,10_ASIL_Matrix!$C$4:$C$15,0),MATCH(N2172,10_ASIL_Matrix!$D$3:$F$3,0)))))</f>
        <v>—</v>
      </c>
      <c r="Q2172" s="5" t="s">
        <v>448</v>
      </c>
    </row>
    <row r="2173" customFormat="false" ht="35.05" hidden="false" customHeight="false" outlineLevel="0" collapsed="false">
      <c r="A2173" s="6" t="s">
        <v>5031</v>
      </c>
      <c r="B2173" s="6" t="s">
        <v>108</v>
      </c>
      <c r="C2173" s="6" t="s">
        <v>109</v>
      </c>
      <c r="D2173" s="6" t="s">
        <v>167</v>
      </c>
      <c r="E2173" s="6" t="s">
        <v>168</v>
      </c>
      <c r="F2173" s="6" t="s">
        <v>189</v>
      </c>
      <c r="G2173" s="6" t="s">
        <v>466</v>
      </c>
      <c r="H2173" s="6" t="s">
        <v>228</v>
      </c>
      <c r="I2173" s="6" t="s">
        <v>5032</v>
      </c>
      <c r="J2173" s="6" t="s">
        <v>238</v>
      </c>
      <c r="K2173" s="6" t="s">
        <v>4290</v>
      </c>
      <c r="L2173" s="6" t="s">
        <v>205</v>
      </c>
      <c r="M2173" s="6" t="s">
        <v>479</v>
      </c>
      <c r="N2173" s="6" t="s">
        <v>278</v>
      </c>
      <c r="O2173" s="6" t="s">
        <v>634</v>
      </c>
      <c r="P2173" s="6" t="str">
        <f aca="false">IF(J2173="S0","—",IF(K2173="","",IF(L2173="E0","QM",INDEX(10_ASIL_Matrix!$D$4:$F$15,MATCH(J2173&amp;"-"&amp;L2173,10_ASIL_Matrix!$C$4:$C$15,0),MATCH(N2173,10_ASIL_Matrix!$D$3:$F$3,0)))))</f>
        <v>—</v>
      </c>
      <c r="Q2173" s="6" t="s">
        <v>448</v>
      </c>
    </row>
    <row r="2174" customFormat="false" ht="35.05" hidden="false" customHeight="false" outlineLevel="0" collapsed="false">
      <c r="A2174" s="5" t="s">
        <v>5033</v>
      </c>
      <c r="B2174" s="5" t="s">
        <v>108</v>
      </c>
      <c r="C2174" s="5" t="s">
        <v>109</v>
      </c>
      <c r="D2174" s="5" t="s">
        <v>167</v>
      </c>
      <c r="E2174" s="5" t="s">
        <v>168</v>
      </c>
      <c r="F2174" s="5" t="s">
        <v>189</v>
      </c>
      <c r="G2174" s="5" t="s">
        <v>466</v>
      </c>
      <c r="H2174" s="5" t="s">
        <v>230</v>
      </c>
      <c r="I2174" s="5" t="s">
        <v>5034</v>
      </c>
      <c r="J2174" s="5" t="s">
        <v>238</v>
      </c>
      <c r="K2174" s="5" t="s">
        <v>4290</v>
      </c>
      <c r="L2174" s="5" t="s">
        <v>205</v>
      </c>
      <c r="M2174" s="5" t="s">
        <v>482</v>
      </c>
      <c r="N2174" s="5" t="s">
        <v>278</v>
      </c>
      <c r="O2174" s="5" t="s">
        <v>634</v>
      </c>
      <c r="P2174" s="5" t="str">
        <f aca="false">IF(J2174="S0","—",IF(K2174="","",IF(L2174="E0","QM",INDEX(10_ASIL_Matrix!$D$4:$F$15,MATCH(J2174&amp;"-"&amp;L2174,10_ASIL_Matrix!$C$4:$C$15,0),MATCH(N2174,10_ASIL_Matrix!$D$3:$F$3,0)))))</f>
        <v>—</v>
      </c>
      <c r="Q2174" s="5" t="s">
        <v>448</v>
      </c>
    </row>
    <row r="2175" customFormat="false" ht="46.25" hidden="false" customHeight="false" outlineLevel="0" collapsed="false">
      <c r="A2175" s="6" t="s">
        <v>5035</v>
      </c>
      <c r="B2175" s="6" t="s">
        <v>108</v>
      </c>
      <c r="C2175" s="6" t="s">
        <v>109</v>
      </c>
      <c r="D2175" s="6" t="s">
        <v>167</v>
      </c>
      <c r="E2175" s="6" t="s">
        <v>168</v>
      </c>
      <c r="F2175" s="6" t="s">
        <v>189</v>
      </c>
      <c r="G2175" s="6" t="s">
        <v>466</v>
      </c>
      <c r="H2175" s="6" t="s">
        <v>232</v>
      </c>
      <c r="I2175" s="6" t="s">
        <v>5036</v>
      </c>
      <c r="J2175" s="6" t="s">
        <v>238</v>
      </c>
      <c r="K2175" s="6" t="s">
        <v>4290</v>
      </c>
      <c r="L2175" s="6" t="s">
        <v>233</v>
      </c>
      <c r="M2175" s="6" t="s">
        <v>486</v>
      </c>
      <c r="N2175" s="6" t="s">
        <v>278</v>
      </c>
      <c r="O2175" s="6" t="s">
        <v>634</v>
      </c>
      <c r="P2175" s="6" t="str">
        <f aca="false">IF(J2175="S0","—",IF(K2175="","",IF(L2175="E0","QM",INDEX(10_ASIL_Matrix!$D$4:$F$15,MATCH(J2175&amp;"-"&amp;L2175,10_ASIL_Matrix!$C$4:$C$15,0),MATCH(N2175,10_ASIL_Matrix!$D$3:$F$3,0)))))</f>
        <v>—</v>
      </c>
      <c r="Q2175" s="6" t="s">
        <v>448</v>
      </c>
    </row>
    <row r="2176" customFormat="false" ht="35.05" hidden="false" customHeight="false" outlineLevel="0" collapsed="false">
      <c r="A2176" s="5" t="s">
        <v>5037</v>
      </c>
      <c r="B2176" s="5" t="s">
        <v>108</v>
      </c>
      <c r="C2176" s="5" t="s">
        <v>109</v>
      </c>
      <c r="D2176" s="5" t="s">
        <v>167</v>
      </c>
      <c r="E2176" s="5" t="s">
        <v>168</v>
      </c>
      <c r="F2176" s="5" t="s">
        <v>192</v>
      </c>
      <c r="G2176" s="5" t="s">
        <v>488</v>
      </c>
      <c r="H2176" s="5" t="s">
        <v>222</v>
      </c>
      <c r="I2176" s="5" t="s">
        <v>5038</v>
      </c>
      <c r="J2176" s="5" t="s">
        <v>238</v>
      </c>
      <c r="K2176" s="5" t="s">
        <v>4290</v>
      </c>
      <c r="L2176" s="5" t="s">
        <v>187</v>
      </c>
      <c r="M2176" s="5" t="s">
        <v>491</v>
      </c>
      <c r="N2176" s="5" t="s">
        <v>278</v>
      </c>
      <c r="O2176" s="5" t="s">
        <v>634</v>
      </c>
      <c r="P2176" s="5" t="str">
        <f aca="false">IF(J2176="S0","—",IF(K2176="","",IF(L2176="E0","QM",INDEX(10_ASIL_Matrix!$D$4:$F$15,MATCH(J2176&amp;"-"&amp;L2176,10_ASIL_Matrix!$C$4:$C$15,0),MATCH(N2176,10_ASIL_Matrix!$D$3:$F$3,0)))))</f>
        <v>—</v>
      </c>
      <c r="Q2176" s="5" t="s">
        <v>448</v>
      </c>
    </row>
    <row r="2177" customFormat="false" ht="35.05" hidden="false" customHeight="false" outlineLevel="0" collapsed="false">
      <c r="A2177" s="6" t="s">
        <v>5039</v>
      </c>
      <c r="B2177" s="6" t="s">
        <v>108</v>
      </c>
      <c r="C2177" s="6" t="s">
        <v>109</v>
      </c>
      <c r="D2177" s="6" t="s">
        <v>167</v>
      </c>
      <c r="E2177" s="6" t="s">
        <v>168</v>
      </c>
      <c r="F2177" s="6" t="s">
        <v>192</v>
      </c>
      <c r="G2177" s="6" t="s">
        <v>488</v>
      </c>
      <c r="H2177" s="6" t="s">
        <v>224</v>
      </c>
      <c r="I2177" s="6" t="s">
        <v>5040</v>
      </c>
      <c r="J2177" s="6" t="s">
        <v>238</v>
      </c>
      <c r="K2177" s="6" t="s">
        <v>4290</v>
      </c>
      <c r="L2177" s="6" t="s">
        <v>190</v>
      </c>
      <c r="M2177" s="6" t="s">
        <v>494</v>
      </c>
      <c r="N2177" s="6" t="s">
        <v>278</v>
      </c>
      <c r="O2177" s="6" t="s">
        <v>634</v>
      </c>
      <c r="P2177" s="6" t="str">
        <f aca="false">IF(J2177="S0","—",IF(K2177="","",IF(L2177="E0","QM",INDEX(10_ASIL_Matrix!$D$4:$F$15,MATCH(J2177&amp;"-"&amp;L2177,10_ASIL_Matrix!$C$4:$C$15,0),MATCH(N2177,10_ASIL_Matrix!$D$3:$F$3,0)))))</f>
        <v>—</v>
      </c>
      <c r="Q2177" s="6" t="s">
        <v>448</v>
      </c>
    </row>
    <row r="2178" customFormat="false" ht="35.05" hidden="false" customHeight="false" outlineLevel="0" collapsed="false">
      <c r="A2178" s="5" t="s">
        <v>5041</v>
      </c>
      <c r="B2178" s="5" t="s">
        <v>108</v>
      </c>
      <c r="C2178" s="5" t="s">
        <v>109</v>
      </c>
      <c r="D2178" s="5" t="s">
        <v>167</v>
      </c>
      <c r="E2178" s="5" t="s">
        <v>168</v>
      </c>
      <c r="F2178" s="5" t="s">
        <v>192</v>
      </c>
      <c r="G2178" s="5" t="s">
        <v>488</v>
      </c>
      <c r="H2178" s="5" t="s">
        <v>226</v>
      </c>
      <c r="I2178" s="5" t="s">
        <v>5042</v>
      </c>
      <c r="J2178" s="5" t="s">
        <v>238</v>
      </c>
      <c r="K2178" s="5" t="s">
        <v>4290</v>
      </c>
      <c r="L2178" s="5" t="s">
        <v>190</v>
      </c>
      <c r="M2178" s="5" t="s">
        <v>497</v>
      </c>
      <c r="N2178" s="5" t="s">
        <v>278</v>
      </c>
      <c r="O2178" s="5" t="s">
        <v>634</v>
      </c>
      <c r="P2178" s="5" t="str">
        <f aca="false">IF(J2178="S0","—",IF(K2178="","",IF(L2178="E0","QM",INDEX(10_ASIL_Matrix!$D$4:$F$15,MATCH(J2178&amp;"-"&amp;L2178,10_ASIL_Matrix!$C$4:$C$15,0),MATCH(N2178,10_ASIL_Matrix!$D$3:$F$3,0)))))</f>
        <v>—</v>
      </c>
      <c r="Q2178" s="5" t="s">
        <v>448</v>
      </c>
    </row>
    <row r="2179" customFormat="false" ht="35.05" hidden="false" customHeight="false" outlineLevel="0" collapsed="false">
      <c r="A2179" s="6" t="s">
        <v>5043</v>
      </c>
      <c r="B2179" s="6" t="s">
        <v>108</v>
      </c>
      <c r="C2179" s="6" t="s">
        <v>109</v>
      </c>
      <c r="D2179" s="6" t="s">
        <v>167</v>
      </c>
      <c r="E2179" s="6" t="s">
        <v>168</v>
      </c>
      <c r="F2179" s="6" t="s">
        <v>192</v>
      </c>
      <c r="G2179" s="6" t="s">
        <v>488</v>
      </c>
      <c r="H2179" s="6" t="s">
        <v>228</v>
      </c>
      <c r="I2179" s="6" t="s">
        <v>5044</v>
      </c>
      <c r="J2179" s="6" t="s">
        <v>238</v>
      </c>
      <c r="K2179" s="6" t="s">
        <v>4290</v>
      </c>
      <c r="L2179" s="6" t="s">
        <v>205</v>
      </c>
      <c r="M2179" s="6" t="s">
        <v>500</v>
      </c>
      <c r="N2179" s="6" t="s">
        <v>278</v>
      </c>
      <c r="O2179" s="6" t="s">
        <v>634</v>
      </c>
      <c r="P2179" s="6" t="str">
        <f aca="false">IF(J2179="S0","—",IF(K2179="","",IF(L2179="E0","QM",INDEX(10_ASIL_Matrix!$D$4:$F$15,MATCH(J2179&amp;"-"&amp;L2179,10_ASIL_Matrix!$C$4:$C$15,0),MATCH(N2179,10_ASIL_Matrix!$D$3:$F$3,0)))))</f>
        <v>—</v>
      </c>
      <c r="Q2179" s="6" t="s">
        <v>448</v>
      </c>
    </row>
    <row r="2180" customFormat="false" ht="35.05" hidden="false" customHeight="false" outlineLevel="0" collapsed="false">
      <c r="A2180" s="5" t="s">
        <v>5045</v>
      </c>
      <c r="B2180" s="5" t="s">
        <v>108</v>
      </c>
      <c r="C2180" s="5" t="s">
        <v>109</v>
      </c>
      <c r="D2180" s="5" t="s">
        <v>167</v>
      </c>
      <c r="E2180" s="5" t="s">
        <v>168</v>
      </c>
      <c r="F2180" s="5" t="s">
        <v>192</v>
      </c>
      <c r="G2180" s="5" t="s">
        <v>488</v>
      </c>
      <c r="H2180" s="5" t="s">
        <v>230</v>
      </c>
      <c r="I2180" s="5" t="s">
        <v>5046</v>
      </c>
      <c r="J2180" s="5" t="s">
        <v>238</v>
      </c>
      <c r="K2180" s="5" t="s">
        <v>4290</v>
      </c>
      <c r="L2180" s="5" t="s">
        <v>205</v>
      </c>
      <c r="M2180" s="5" t="s">
        <v>503</v>
      </c>
      <c r="N2180" s="5" t="s">
        <v>278</v>
      </c>
      <c r="O2180" s="5" t="s">
        <v>634</v>
      </c>
      <c r="P2180" s="5" t="str">
        <f aca="false">IF(J2180="S0","—",IF(K2180="","",IF(L2180="E0","QM",INDEX(10_ASIL_Matrix!$D$4:$F$15,MATCH(J2180&amp;"-"&amp;L2180,10_ASIL_Matrix!$C$4:$C$15,0),MATCH(N2180,10_ASIL_Matrix!$D$3:$F$3,0)))))</f>
        <v>—</v>
      </c>
      <c r="Q2180" s="5" t="s">
        <v>448</v>
      </c>
    </row>
    <row r="2181" customFormat="false" ht="46.25" hidden="false" customHeight="false" outlineLevel="0" collapsed="false">
      <c r="A2181" s="6" t="s">
        <v>5047</v>
      </c>
      <c r="B2181" s="6" t="s">
        <v>108</v>
      </c>
      <c r="C2181" s="6" t="s">
        <v>109</v>
      </c>
      <c r="D2181" s="6" t="s">
        <v>167</v>
      </c>
      <c r="E2181" s="6" t="s">
        <v>168</v>
      </c>
      <c r="F2181" s="6" t="s">
        <v>192</v>
      </c>
      <c r="G2181" s="6" t="s">
        <v>488</v>
      </c>
      <c r="H2181" s="6" t="s">
        <v>232</v>
      </c>
      <c r="I2181" s="6" t="s">
        <v>5048</v>
      </c>
      <c r="J2181" s="6" t="s">
        <v>238</v>
      </c>
      <c r="K2181" s="6" t="s">
        <v>4290</v>
      </c>
      <c r="L2181" s="6" t="s">
        <v>233</v>
      </c>
      <c r="M2181" s="6" t="s">
        <v>506</v>
      </c>
      <c r="N2181" s="6" t="s">
        <v>278</v>
      </c>
      <c r="O2181" s="6" t="s">
        <v>634</v>
      </c>
      <c r="P2181" s="6" t="str">
        <f aca="false">IF(J2181="S0","—",IF(K2181="","",IF(L2181="E0","QM",INDEX(10_ASIL_Matrix!$D$4:$F$15,MATCH(J2181&amp;"-"&amp;L2181,10_ASIL_Matrix!$C$4:$C$15,0),MATCH(N2181,10_ASIL_Matrix!$D$3:$F$3,0)))))</f>
        <v>—</v>
      </c>
      <c r="Q2181" s="6" t="s">
        <v>448</v>
      </c>
    </row>
    <row r="2182" customFormat="false" ht="35.05" hidden="false" customHeight="false" outlineLevel="0" collapsed="false">
      <c r="A2182" s="5" t="s">
        <v>5049</v>
      </c>
      <c r="B2182" s="5" t="s">
        <v>108</v>
      </c>
      <c r="C2182" s="5" t="s">
        <v>109</v>
      </c>
      <c r="D2182" s="5" t="s">
        <v>167</v>
      </c>
      <c r="E2182" s="5" t="s">
        <v>168</v>
      </c>
      <c r="F2182" s="5" t="s">
        <v>194</v>
      </c>
      <c r="G2182" s="5" t="s">
        <v>508</v>
      </c>
      <c r="H2182" s="5" t="s">
        <v>222</v>
      </c>
      <c r="I2182" s="5" t="s">
        <v>5050</v>
      </c>
      <c r="J2182" s="5" t="s">
        <v>238</v>
      </c>
      <c r="K2182" s="5" t="s">
        <v>4290</v>
      </c>
      <c r="L2182" s="5" t="s">
        <v>190</v>
      </c>
      <c r="M2182" s="5" t="s">
        <v>511</v>
      </c>
      <c r="N2182" s="5" t="s">
        <v>278</v>
      </c>
      <c r="O2182" s="5" t="s">
        <v>634</v>
      </c>
      <c r="P2182" s="5" t="str">
        <f aca="false">IF(J2182="S0","—",IF(K2182="","",IF(L2182="E0","QM",INDEX(10_ASIL_Matrix!$D$4:$F$15,MATCH(J2182&amp;"-"&amp;L2182,10_ASIL_Matrix!$C$4:$C$15,0),MATCH(N2182,10_ASIL_Matrix!$D$3:$F$3,0)))))</f>
        <v>—</v>
      </c>
      <c r="Q2182" s="5" t="s">
        <v>448</v>
      </c>
    </row>
    <row r="2183" customFormat="false" ht="35.05" hidden="false" customHeight="false" outlineLevel="0" collapsed="false">
      <c r="A2183" s="6" t="s">
        <v>5051</v>
      </c>
      <c r="B2183" s="6" t="s">
        <v>108</v>
      </c>
      <c r="C2183" s="6" t="s">
        <v>109</v>
      </c>
      <c r="D2183" s="6" t="s">
        <v>167</v>
      </c>
      <c r="E2183" s="6" t="s">
        <v>168</v>
      </c>
      <c r="F2183" s="6" t="s">
        <v>194</v>
      </c>
      <c r="G2183" s="6" t="s">
        <v>508</v>
      </c>
      <c r="H2183" s="6" t="s">
        <v>224</v>
      </c>
      <c r="I2183" s="6" t="s">
        <v>5052</v>
      </c>
      <c r="J2183" s="6" t="s">
        <v>238</v>
      </c>
      <c r="K2183" s="6" t="s">
        <v>4290</v>
      </c>
      <c r="L2183" s="6" t="s">
        <v>190</v>
      </c>
      <c r="M2183" s="6" t="s">
        <v>514</v>
      </c>
      <c r="N2183" s="6" t="s">
        <v>278</v>
      </c>
      <c r="O2183" s="6" t="s">
        <v>634</v>
      </c>
      <c r="P2183" s="6" t="str">
        <f aca="false">IF(J2183="S0","—",IF(K2183="","",IF(L2183="E0","QM",INDEX(10_ASIL_Matrix!$D$4:$F$15,MATCH(J2183&amp;"-"&amp;L2183,10_ASIL_Matrix!$C$4:$C$15,0),MATCH(N2183,10_ASIL_Matrix!$D$3:$F$3,0)))))</f>
        <v>—</v>
      </c>
      <c r="Q2183" s="6" t="s">
        <v>448</v>
      </c>
    </row>
    <row r="2184" customFormat="false" ht="35.05" hidden="false" customHeight="false" outlineLevel="0" collapsed="false">
      <c r="A2184" s="5" t="s">
        <v>5053</v>
      </c>
      <c r="B2184" s="5" t="s">
        <v>108</v>
      </c>
      <c r="C2184" s="5" t="s">
        <v>109</v>
      </c>
      <c r="D2184" s="5" t="s">
        <v>167</v>
      </c>
      <c r="E2184" s="5" t="s">
        <v>168</v>
      </c>
      <c r="F2184" s="5" t="s">
        <v>194</v>
      </c>
      <c r="G2184" s="5" t="s">
        <v>508</v>
      </c>
      <c r="H2184" s="5" t="s">
        <v>226</v>
      </c>
      <c r="I2184" s="5" t="s">
        <v>5054</v>
      </c>
      <c r="J2184" s="5" t="s">
        <v>238</v>
      </c>
      <c r="K2184" s="5" t="s">
        <v>4290</v>
      </c>
      <c r="L2184" s="5" t="s">
        <v>190</v>
      </c>
      <c r="M2184" s="5" t="s">
        <v>517</v>
      </c>
      <c r="N2184" s="5" t="s">
        <v>278</v>
      </c>
      <c r="O2184" s="5" t="s">
        <v>634</v>
      </c>
      <c r="P2184" s="5" t="str">
        <f aca="false">IF(J2184="S0","—",IF(K2184="","",IF(L2184="E0","QM",INDEX(10_ASIL_Matrix!$D$4:$F$15,MATCH(J2184&amp;"-"&amp;L2184,10_ASIL_Matrix!$C$4:$C$15,0),MATCH(N2184,10_ASIL_Matrix!$D$3:$F$3,0)))))</f>
        <v>—</v>
      </c>
      <c r="Q2184" s="5" t="s">
        <v>448</v>
      </c>
    </row>
    <row r="2185" customFormat="false" ht="35.05" hidden="false" customHeight="false" outlineLevel="0" collapsed="false">
      <c r="A2185" s="6" t="s">
        <v>5055</v>
      </c>
      <c r="B2185" s="6" t="s">
        <v>108</v>
      </c>
      <c r="C2185" s="6" t="s">
        <v>109</v>
      </c>
      <c r="D2185" s="6" t="s">
        <v>167</v>
      </c>
      <c r="E2185" s="6" t="s">
        <v>168</v>
      </c>
      <c r="F2185" s="6" t="s">
        <v>194</v>
      </c>
      <c r="G2185" s="6" t="s">
        <v>508</v>
      </c>
      <c r="H2185" s="6" t="s">
        <v>228</v>
      </c>
      <c r="I2185" s="6" t="s">
        <v>5056</v>
      </c>
      <c r="J2185" s="6" t="s">
        <v>238</v>
      </c>
      <c r="K2185" s="6" t="s">
        <v>4290</v>
      </c>
      <c r="L2185" s="6" t="s">
        <v>205</v>
      </c>
      <c r="M2185" s="6" t="s">
        <v>520</v>
      </c>
      <c r="N2185" s="6" t="s">
        <v>278</v>
      </c>
      <c r="O2185" s="6" t="s">
        <v>634</v>
      </c>
      <c r="P2185" s="6" t="str">
        <f aca="false">IF(J2185="S0","—",IF(K2185="","",IF(L2185="E0","QM",INDEX(10_ASIL_Matrix!$D$4:$F$15,MATCH(J2185&amp;"-"&amp;L2185,10_ASIL_Matrix!$C$4:$C$15,0),MATCH(N2185,10_ASIL_Matrix!$D$3:$F$3,0)))))</f>
        <v>—</v>
      </c>
      <c r="Q2185" s="6" t="s">
        <v>448</v>
      </c>
    </row>
    <row r="2186" customFormat="false" ht="35.05" hidden="false" customHeight="false" outlineLevel="0" collapsed="false">
      <c r="A2186" s="5" t="s">
        <v>5057</v>
      </c>
      <c r="B2186" s="5" t="s">
        <v>108</v>
      </c>
      <c r="C2186" s="5" t="s">
        <v>109</v>
      </c>
      <c r="D2186" s="5" t="s">
        <v>167</v>
      </c>
      <c r="E2186" s="5" t="s">
        <v>168</v>
      </c>
      <c r="F2186" s="5" t="s">
        <v>194</v>
      </c>
      <c r="G2186" s="5" t="s">
        <v>508</v>
      </c>
      <c r="H2186" s="5" t="s">
        <v>230</v>
      </c>
      <c r="I2186" s="5" t="s">
        <v>5058</v>
      </c>
      <c r="J2186" s="5" t="s">
        <v>238</v>
      </c>
      <c r="K2186" s="5" t="s">
        <v>4290</v>
      </c>
      <c r="L2186" s="5" t="s">
        <v>205</v>
      </c>
      <c r="M2186" s="5" t="s">
        <v>523</v>
      </c>
      <c r="N2186" s="5" t="s">
        <v>278</v>
      </c>
      <c r="O2186" s="5" t="s">
        <v>634</v>
      </c>
      <c r="P2186" s="5" t="str">
        <f aca="false">IF(J2186="S0","—",IF(K2186="","",IF(L2186="E0","QM",INDEX(10_ASIL_Matrix!$D$4:$F$15,MATCH(J2186&amp;"-"&amp;L2186,10_ASIL_Matrix!$C$4:$C$15,0),MATCH(N2186,10_ASIL_Matrix!$D$3:$F$3,0)))))</f>
        <v>—</v>
      </c>
      <c r="Q2186" s="5" t="s">
        <v>448</v>
      </c>
    </row>
    <row r="2187" customFormat="false" ht="46.25" hidden="false" customHeight="false" outlineLevel="0" collapsed="false">
      <c r="A2187" s="6" t="s">
        <v>5059</v>
      </c>
      <c r="B2187" s="6" t="s">
        <v>108</v>
      </c>
      <c r="C2187" s="6" t="s">
        <v>109</v>
      </c>
      <c r="D2187" s="6" t="s">
        <v>167</v>
      </c>
      <c r="E2187" s="6" t="s">
        <v>168</v>
      </c>
      <c r="F2187" s="6" t="s">
        <v>194</v>
      </c>
      <c r="G2187" s="6" t="s">
        <v>508</v>
      </c>
      <c r="H2187" s="6" t="s">
        <v>232</v>
      </c>
      <c r="I2187" s="6" t="s">
        <v>5060</v>
      </c>
      <c r="J2187" s="6" t="s">
        <v>238</v>
      </c>
      <c r="K2187" s="6" t="s">
        <v>4290</v>
      </c>
      <c r="L2187" s="6" t="s">
        <v>233</v>
      </c>
      <c r="M2187" s="6" t="s">
        <v>526</v>
      </c>
      <c r="N2187" s="6" t="s">
        <v>278</v>
      </c>
      <c r="O2187" s="6" t="s">
        <v>634</v>
      </c>
      <c r="P2187" s="6" t="str">
        <f aca="false">IF(J2187="S0","—",IF(K2187="","",IF(L2187="E0","QM",INDEX(10_ASIL_Matrix!$D$4:$F$15,MATCH(J2187&amp;"-"&amp;L2187,10_ASIL_Matrix!$C$4:$C$15,0),MATCH(N2187,10_ASIL_Matrix!$D$3:$F$3,0)))))</f>
        <v>—</v>
      </c>
      <c r="Q2187" s="6" t="s">
        <v>448</v>
      </c>
    </row>
    <row r="2188" customFormat="false" ht="35.05" hidden="false" customHeight="false" outlineLevel="0" collapsed="false">
      <c r="A2188" s="5" t="s">
        <v>5061</v>
      </c>
      <c r="B2188" s="5" t="s">
        <v>108</v>
      </c>
      <c r="C2188" s="5" t="s">
        <v>109</v>
      </c>
      <c r="D2188" s="5" t="s">
        <v>167</v>
      </c>
      <c r="E2188" s="5" t="s">
        <v>168</v>
      </c>
      <c r="F2188" s="5" t="s">
        <v>196</v>
      </c>
      <c r="G2188" s="5" t="s">
        <v>528</v>
      </c>
      <c r="H2188" s="5" t="s">
        <v>222</v>
      </c>
      <c r="I2188" s="5" t="s">
        <v>5062</v>
      </c>
      <c r="J2188" s="5" t="s">
        <v>238</v>
      </c>
      <c r="K2188" s="5" t="s">
        <v>4290</v>
      </c>
      <c r="L2188" s="5" t="s">
        <v>187</v>
      </c>
      <c r="M2188" s="5" t="s">
        <v>531</v>
      </c>
      <c r="N2188" s="5" t="s">
        <v>278</v>
      </c>
      <c r="O2188" s="5" t="s">
        <v>634</v>
      </c>
      <c r="P2188" s="5" t="str">
        <f aca="false">IF(J2188="S0","—",IF(K2188="","",IF(L2188="E0","QM",INDEX(10_ASIL_Matrix!$D$4:$F$15,MATCH(J2188&amp;"-"&amp;L2188,10_ASIL_Matrix!$C$4:$C$15,0),MATCH(N2188,10_ASIL_Matrix!$D$3:$F$3,0)))))</f>
        <v>—</v>
      </c>
      <c r="Q2188" s="5" t="s">
        <v>448</v>
      </c>
    </row>
    <row r="2189" customFormat="false" ht="35.05" hidden="false" customHeight="false" outlineLevel="0" collapsed="false">
      <c r="A2189" s="6" t="s">
        <v>5063</v>
      </c>
      <c r="B2189" s="6" t="s">
        <v>108</v>
      </c>
      <c r="C2189" s="6" t="s">
        <v>109</v>
      </c>
      <c r="D2189" s="6" t="s">
        <v>167</v>
      </c>
      <c r="E2189" s="6" t="s">
        <v>168</v>
      </c>
      <c r="F2189" s="6" t="s">
        <v>196</v>
      </c>
      <c r="G2189" s="6" t="s">
        <v>528</v>
      </c>
      <c r="H2189" s="6" t="s">
        <v>224</v>
      </c>
      <c r="I2189" s="6" t="s">
        <v>5064</v>
      </c>
      <c r="J2189" s="6" t="s">
        <v>238</v>
      </c>
      <c r="K2189" s="6" t="s">
        <v>4290</v>
      </c>
      <c r="L2189" s="6" t="s">
        <v>190</v>
      </c>
      <c r="M2189" s="6" t="s">
        <v>534</v>
      </c>
      <c r="N2189" s="6" t="s">
        <v>278</v>
      </c>
      <c r="O2189" s="6" t="s">
        <v>634</v>
      </c>
      <c r="P2189" s="6" t="str">
        <f aca="false">IF(J2189="S0","—",IF(K2189="","",IF(L2189="E0","QM",INDEX(10_ASIL_Matrix!$D$4:$F$15,MATCH(J2189&amp;"-"&amp;L2189,10_ASIL_Matrix!$C$4:$C$15,0),MATCH(N2189,10_ASIL_Matrix!$D$3:$F$3,0)))))</f>
        <v>—</v>
      </c>
      <c r="Q2189" s="6" t="s">
        <v>448</v>
      </c>
    </row>
    <row r="2190" customFormat="false" ht="35.05" hidden="false" customHeight="false" outlineLevel="0" collapsed="false">
      <c r="A2190" s="5" t="s">
        <v>5065</v>
      </c>
      <c r="B2190" s="5" t="s">
        <v>108</v>
      </c>
      <c r="C2190" s="5" t="s">
        <v>109</v>
      </c>
      <c r="D2190" s="5" t="s">
        <v>167</v>
      </c>
      <c r="E2190" s="5" t="s">
        <v>168</v>
      </c>
      <c r="F2190" s="5" t="s">
        <v>196</v>
      </c>
      <c r="G2190" s="5" t="s">
        <v>528</v>
      </c>
      <c r="H2190" s="5" t="s">
        <v>226</v>
      </c>
      <c r="I2190" s="5" t="s">
        <v>5066</v>
      </c>
      <c r="J2190" s="5" t="s">
        <v>238</v>
      </c>
      <c r="K2190" s="5" t="s">
        <v>4290</v>
      </c>
      <c r="L2190" s="5" t="s">
        <v>190</v>
      </c>
      <c r="M2190" s="5" t="s">
        <v>537</v>
      </c>
      <c r="N2190" s="5" t="s">
        <v>278</v>
      </c>
      <c r="O2190" s="5" t="s">
        <v>634</v>
      </c>
      <c r="P2190" s="5" t="str">
        <f aca="false">IF(J2190="S0","—",IF(K2190="","",IF(L2190="E0","QM",INDEX(10_ASIL_Matrix!$D$4:$F$15,MATCH(J2190&amp;"-"&amp;L2190,10_ASIL_Matrix!$C$4:$C$15,0),MATCH(N2190,10_ASIL_Matrix!$D$3:$F$3,0)))))</f>
        <v>—</v>
      </c>
      <c r="Q2190" s="5" t="s">
        <v>448</v>
      </c>
    </row>
    <row r="2191" customFormat="false" ht="35.05" hidden="false" customHeight="false" outlineLevel="0" collapsed="false">
      <c r="A2191" s="6" t="s">
        <v>5067</v>
      </c>
      <c r="B2191" s="6" t="s">
        <v>108</v>
      </c>
      <c r="C2191" s="6" t="s">
        <v>109</v>
      </c>
      <c r="D2191" s="6" t="s">
        <v>167</v>
      </c>
      <c r="E2191" s="6" t="s">
        <v>168</v>
      </c>
      <c r="F2191" s="6" t="s">
        <v>196</v>
      </c>
      <c r="G2191" s="6" t="s">
        <v>528</v>
      </c>
      <c r="H2191" s="6" t="s">
        <v>228</v>
      </c>
      <c r="I2191" s="6" t="s">
        <v>5068</v>
      </c>
      <c r="J2191" s="6" t="s">
        <v>238</v>
      </c>
      <c r="K2191" s="6" t="s">
        <v>4290</v>
      </c>
      <c r="L2191" s="6" t="s">
        <v>205</v>
      </c>
      <c r="M2191" s="6" t="s">
        <v>540</v>
      </c>
      <c r="N2191" s="6" t="s">
        <v>278</v>
      </c>
      <c r="O2191" s="6" t="s">
        <v>634</v>
      </c>
      <c r="P2191" s="6" t="str">
        <f aca="false">IF(J2191="S0","—",IF(K2191="","",IF(L2191="E0","QM",INDEX(10_ASIL_Matrix!$D$4:$F$15,MATCH(J2191&amp;"-"&amp;L2191,10_ASIL_Matrix!$C$4:$C$15,0),MATCH(N2191,10_ASIL_Matrix!$D$3:$F$3,0)))))</f>
        <v>—</v>
      </c>
      <c r="Q2191" s="6" t="s">
        <v>448</v>
      </c>
    </row>
    <row r="2192" customFormat="false" ht="35.05" hidden="false" customHeight="false" outlineLevel="0" collapsed="false">
      <c r="A2192" s="5" t="s">
        <v>5069</v>
      </c>
      <c r="B2192" s="5" t="s">
        <v>108</v>
      </c>
      <c r="C2192" s="5" t="s">
        <v>109</v>
      </c>
      <c r="D2192" s="5" t="s">
        <v>167</v>
      </c>
      <c r="E2192" s="5" t="s">
        <v>168</v>
      </c>
      <c r="F2192" s="5" t="s">
        <v>196</v>
      </c>
      <c r="G2192" s="5" t="s">
        <v>528</v>
      </c>
      <c r="H2192" s="5" t="s">
        <v>230</v>
      </c>
      <c r="I2192" s="5" t="s">
        <v>5070</v>
      </c>
      <c r="J2192" s="5" t="s">
        <v>238</v>
      </c>
      <c r="K2192" s="5" t="s">
        <v>4290</v>
      </c>
      <c r="L2192" s="5" t="s">
        <v>205</v>
      </c>
      <c r="M2192" s="5" t="s">
        <v>543</v>
      </c>
      <c r="N2192" s="5" t="s">
        <v>278</v>
      </c>
      <c r="O2192" s="5" t="s">
        <v>634</v>
      </c>
      <c r="P2192" s="5" t="str">
        <f aca="false">IF(J2192="S0","—",IF(K2192="","",IF(L2192="E0","QM",INDEX(10_ASIL_Matrix!$D$4:$F$15,MATCH(J2192&amp;"-"&amp;L2192,10_ASIL_Matrix!$C$4:$C$15,0),MATCH(N2192,10_ASIL_Matrix!$D$3:$F$3,0)))))</f>
        <v>—</v>
      </c>
      <c r="Q2192" s="5" t="s">
        <v>448</v>
      </c>
    </row>
    <row r="2193" customFormat="false" ht="46.25" hidden="false" customHeight="false" outlineLevel="0" collapsed="false">
      <c r="A2193" s="6" t="s">
        <v>5071</v>
      </c>
      <c r="B2193" s="6" t="s">
        <v>108</v>
      </c>
      <c r="C2193" s="6" t="s">
        <v>109</v>
      </c>
      <c r="D2193" s="6" t="s">
        <v>167</v>
      </c>
      <c r="E2193" s="6" t="s">
        <v>168</v>
      </c>
      <c r="F2193" s="6" t="s">
        <v>196</v>
      </c>
      <c r="G2193" s="6" t="s">
        <v>528</v>
      </c>
      <c r="H2193" s="6" t="s">
        <v>232</v>
      </c>
      <c r="I2193" s="6" t="s">
        <v>5072</v>
      </c>
      <c r="J2193" s="6" t="s">
        <v>238</v>
      </c>
      <c r="K2193" s="6" t="s">
        <v>4290</v>
      </c>
      <c r="L2193" s="6" t="s">
        <v>233</v>
      </c>
      <c r="M2193" s="6" t="s">
        <v>546</v>
      </c>
      <c r="N2193" s="6" t="s">
        <v>278</v>
      </c>
      <c r="O2193" s="6" t="s">
        <v>634</v>
      </c>
      <c r="P2193" s="6" t="str">
        <f aca="false">IF(J2193="S0","—",IF(K2193="","",IF(L2193="E0","QM",INDEX(10_ASIL_Matrix!$D$4:$F$15,MATCH(J2193&amp;"-"&amp;L2193,10_ASIL_Matrix!$C$4:$C$15,0),MATCH(N2193,10_ASIL_Matrix!$D$3:$F$3,0)))))</f>
        <v>—</v>
      </c>
      <c r="Q2193" s="6" t="s">
        <v>448</v>
      </c>
    </row>
    <row r="2194" customFormat="false" ht="35.05" hidden="false" customHeight="false" outlineLevel="0" collapsed="false">
      <c r="A2194" s="5" t="s">
        <v>5073</v>
      </c>
      <c r="B2194" s="5" t="s">
        <v>108</v>
      </c>
      <c r="C2194" s="5" t="s">
        <v>109</v>
      </c>
      <c r="D2194" s="5" t="s">
        <v>167</v>
      </c>
      <c r="E2194" s="5" t="s">
        <v>168</v>
      </c>
      <c r="F2194" s="5" t="s">
        <v>198</v>
      </c>
      <c r="G2194" s="5" t="s">
        <v>548</v>
      </c>
      <c r="H2194" s="5" t="s">
        <v>222</v>
      </c>
      <c r="I2194" s="5" t="s">
        <v>5074</v>
      </c>
      <c r="J2194" s="5" t="s">
        <v>238</v>
      </c>
      <c r="K2194" s="5" t="s">
        <v>4290</v>
      </c>
      <c r="L2194" s="5" t="s">
        <v>190</v>
      </c>
      <c r="M2194" s="5" t="s">
        <v>551</v>
      </c>
      <c r="N2194" s="5" t="s">
        <v>278</v>
      </c>
      <c r="O2194" s="5" t="s">
        <v>634</v>
      </c>
      <c r="P2194" s="5" t="str">
        <f aca="false">IF(J2194="S0","—",IF(K2194="","",IF(L2194="E0","QM",INDEX(10_ASIL_Matrix!$D$4:$F$15,MATCH(J2194&amp;"-"&amp;L2194,10_ASIL_Matrix!$C$4:$C$15,0),MATCH(N2194,10_ASIL_Matrix!$D$3:$F$3,0)))))</f>
        <v>—</v>
      </c>
      <c r="Q2194" s="5" t="s">
        <v>448</v>
      </c>
    </row>
    <row r="2195" customFormat="false" ht="35.05" hidden="false" customHeight="false" outlineLevel="0" collapsed="false">
      <c r="A2195" s="6" t="s">
        <v>5075</v>
      </c>
      <c r="B2195" s="6" t="s">
        <v>108</v>
      </c>
      <c r="C2195" s="6" t="s">
        <v>109</v>
      </c>
      <c r="D2195" s="6" t="s">
        <v>167</v>
      </c>
      <c r="E2195" s="6" t="s">
        <v>168</v>
      </c>
      <c r="F2195" s="6" t="s">
        <v>198</v>
      </c>
      <c r="G2195" s="6" t="s">
        <v>548</v>
      </c>
      <c r="H2195" s="6" t="s">
        <v>224</v>
      </c>
      <c r="I2195" s="6" t="s">
        <v>5076</v>
      </c>
      <c r="J2195" s="6" t="s">
        <v>238</v>
      </c>
      <c r="K2195" s="6" t="s">
        <v>4290</v>
      </c>
      <c r="L2195" s="6" t="s">
        <v>190</v>
      </c>
      <c r="M2195" s="6" t="s">
        <v>555</v>
      </c>
      <c r="N2195" s="6" t="s">
        <v>278</v>
      </c>
      <c r="O2195" s="6" t="s">
        <v>634</v>
      </c>
      <c r="P2195" s="6" t="str">
        <f aca="false">IF(J2195="S0","—",IF(K2195="","",IF(L2195="E0","QM",INDEX(10_ASIL_Matrix!$D$4:$F$15,MATCH(J2195&amp;"-"&amp;L2195,10_ASIL_Matrix!$C$4:$C$15,0),MATCH(N2195,10_ASIL_Matrix!$D$3:$F$3,0)))))</f>
        <v>—</v>
      </c>
      <c r="Q2195" s="6" t="s">
        <v>448</v>
      </c>
    </row>
    <row r="2196" customFormat="false" ht="35.05" hidden="false" customHeight="false" outlineLevel="0" collapsed="false">
      <c r="A2196" s="5" t="s">
        <v>5077</v>
      </c>
      <c r="B2196" s="5" t="s">
        <v>108</v>
      </c>
      <c r="C2196" s="5" t="s">
        <v>109</v>
      </c>
      <c r="D2196" s="5" t="s">
        <v>167</v>
      </c>
      <c r="E2196" s="5" t="s">
        <v>168</v>
      </c>
      <c r="F2196" s="5" t="s">
        <v>198</v>
      </c>
      <c r="G2196" s="5" t="s">
        <v>548</v>
      </c>
      <c r="H2196" s="5" t="s">
        <v>226</v>
      </c>
      <c r="I2196" s="5" t="s">
        <v>5078</v>
      </c>
      <c r="J2196" s="5" t="s">
        <v>238</v>
      </c>
      <c r="K2196" s="5" t="s">
        <v>4290</v>
      </c>
      <c r="L2196" s="5" t="s">
        <v>190</v>
      </c>
      <c r="M2196" s="5" t="s">
        <v>558</v>
      </c>
      <c r="N2196" s="5" t="s">
        <v>278</v>
      </c>
      <c r="O2196" s="5" t="s">
        <v>634</v>
      </c>
      <c r="P2196" s="5" t="str">
        <f aca="false">IF(J2196="S0","—",IF(K2196="","",IF(L2196="E0","QM",INDEX(10_ASIL_Matrix!$D$4:$F$15,MATCH(J2196&amp;"-"&amp;L2196,10_ASIL_Matrix!$C$4:$C$15,0),MATCH(N2196,10_ASIL_Matrix!$D$3:$F$3,0)))))</f>
        <v>—</v>
      </c>
      <c r="Q2196" s="5" t="s">
        <v>448</v>
      </c>
    </row>
    <row r="2197" customFormat="false" ht="46.25" hidden="false" customHeight="false" outlineLevel="0" collapsed="false">
      <c r="A2197" s="6" t="s">
        <v>5079</v>
      </c>
      <c r="B2197" s="6" t="s">
        <v>108</v>
      </c>
      <c r="C2197" s="6" t="s">
        <v>109</v>
      </c>
      <c r="D2197" s="6" t="s">
        <v>167</v>
      </c>
      <c r="E2197" s="6" t="s">
        <v>168</v>
      </c>
      <c r="F2197" s="6" t="s">
        <v>198</v>
      </c>
      <c r="G2197" s="6" t="s">
        <v>548</v>
      </c>
      <c r="H2197" s="6" t="s">
        <v>228</v>
      </c>
      <c r="I2197" s="6" t="s">
        <v>5080</v>
      </c>
      <c r="J2197" s="6" t="s">
        <v>238</v>
      </c>
      <c r="K2197" s="6" t="s">
        <v>4290</v>
      </c>
      <c r="L2197" s="6" t="s">
        <v>205</v>
      </c>
      <c r="M2197" s="6" t="s">
        <v>561</v>
      </c>
      <c r="N2197" s="6" t="s">
        <v>278</v>
      </c>
      <c r="O2197" s="6" t="s">
        <v>634</v>
      </c>
      <c r="P2197" s="6" t="str">
        <f aca="false">IF(J2197="S0","—",IF(K2197="","",IF(L2197="E0","QM",INDEX(10_ASIL_Matrix!$D$4:$F$15,MATCH(J2197&amp;"-"&amp;L2197,10_ASIL_Matrix!$C$4:$C$15,0),MATCH(N2197,10_ASIL_Matrix!$D$3:$F$3,0)))))</f>
        <v>—</v>
      </c>
      <c r="Q2197" s="6" t="s">
        <v>448</v>
      </c>
    </row>
    <row r="2198" customFormat="false" ht="35.05" hidden="false" customHeight="false" outlineLevel="0" collapsed="false">
      <c r="A2198" s="5" t="s">
        <v>5081</v>
      </c>
      <c r="B2198" s="5" t="s">
        <v>108</v>
      </c>
      <c r="C2198" s="5" t="s">
        <v>109</v>
      </c>
      <c r="D2198" s="5" t="s">
        <v>167</v>
      </c>
      <c r="E2198" s="5" t="s">
        <v>168</v>
      </c>
      <c r="F2198" s="5" t="s">
        <v>198</v>
      </c>
      <c r="G2198" s="5" t="s">
        <v>548</v>
      </c>
      <c r="H2198" s="5" t="s">
        <v>230</v>
      </c>
      <c r="I2198" s="5" t="s">
        <v>5082</v>
      </c>
      <c r="J2198" s="5" t="s">
        <v>238</v>
      </c>
      <c r="K2198" s="5" t="s">
        <v>4290</v>
      </c>
      <c r="L2198" s="5" t="s">
        <v>205</v>
      </c>
      <c r="M2198" s="5" t="s">
        <v>564</v>
      </c>
      <c r="N2198" s="5" t="s">
        <v>278</v>
      </c>
      <c r="O2198" s="5" t="s">
        <v>634</v>
      </c>
      <c r="P2198" s="5" t="str">
        <f aca="false">IF(J2198="S0","—",IF(K2198="","",IF(L2198="E0","QM",INDEX(10_ASIL_Matrix!$D$4:$F$15,MATCH(J2198&amp;"-"&amp;L2198,10_ASIL_Matrix!$C$4:$C$15,0),MATCH(N2198,10_ASIL_Matrix!$D$3:$F$3,0)))))</f>
        <v>—</v>
      </c>
      <c r="Q2198" s="5" t="s">
        <v>448</v>
      </c>
    </row>
    <row r="2199" customFormat="false" ht="46.25" hidden="false" customHeight="false" outlineLevel="0" collapsed="false">
      <c r="A2199" s="6" t="s">
        <v>5083</v>
      </c>
      <c r="B2199" s="6" t="s">
        <v>108</v>
      </c>
      <c r="C2199" s="6" t="s">
        <v>109</v>
      </c>
      <c r="D2199" s="6" t="s">
        <v>167</v>
      </c>
      <c r="E2199" s="6" t="s">
        <v>168</v>
      </c>
      <c r="F2199" s="6" t="s">
        <v>198</v>
      </c>
      <c r="G2199" s="6" t="s">
        <v>548</v>
      </c>
      <c r="H2199" s="6" t="s">
        <v>232</v>
      </c>
      <c r="I2199" s="6" t="s">
        <v>5084</v>
      </c>
      <c r="J2199" s="6" t="s">
        <v>238</v>
      </c>
      <c r="K2199" s="6" t="s">
        <v>4290</v>
      </c>
      <c r="L2199" s="6" t="s">
        <v>233</v>
      </c>
      <c r="M2199" s="6" t="s">
        <v>568</v>
      </c>
      <c r="N2199" s="6" t="s">
        <v>278</v>
      </c>
      <c r="O2199" s="6" t="s">
        <v>634</v>
      </c>
      <c r="P2199" s="6" t="str">
        <f aca="false">IF(J2199="S0","—",IF(K2199="","",IF(L2199="E0","QM",INDEX(10_ASIL_Matrix!$D$4:$F$15,MATCH(J2199&amp;"-"&amp;L2199,10_ASIL_Matrix!$C$4:$C$15,0),MATCH(N2199,10_ASIL_Matrix!$D$3:$F$3,0)))))</f>
        <v>—</v>
      </c>
      <c r="Q2199" s="6" t="s">
        <v>448</v>
      </c>
    </row>
    <row r="2200" customFormat="false" ht="35.05" hidden="false" customHeight="false" outlineLevel="0" collapsed="false">
      <c r="A2200" s="5" t="s">
        <v>5085</v>
      </c>
      <c r="B2200" s="5" t="s">
        <v>108</v>
      </c>
      <c r="C2200" s="5" t="s">
        <v>109</v>
      </c>
      <c r="D2200" s="5" t="s">
        <v>167</v>
      </c>
      <c r="E2200" s="5" t="s">
        <v>168</v>
      </c>
      <c r="F2200" s="5" t="s">
        <v>200</v>
      </c>
      <c r="G2200" s="5" t="s">
        <v>570</v>
      </c>
      <c r="H2200" s="5" t="s">
        <v>222</v>
      </c>
      <c r="I2200" s="5" t="s">
        <v>5086</v>
      </c>
      <c r="J2200" s="5" t="s">
        <v>238</v>
      </c>
      <c r="K2200" s="5" t="s">
        <v>4290</v>
      </c>
      <c r="L2200" s="5" t="s">
        <v>190</v>
      </c>
      <c r="M2200" s="5" t="s">
        <v>573</v>
      </c>
      <c r="N2200" s="5" t="s">
        <v>278</v>
      </c>
      <c r="O2200" s="5" t="s">
        <v>634</v>
      </c>
      <c r="P2200" s="5" t="str">
        <f aca="false">IF(J2200="S0","—",IF(K2200="","",IF(L2200="E0","QM",INDEX(10_ASIL_Matrix!$D$4:$F$15,MATCH(J2200&amp;"-"&amp;L2200,10_ASIL_Matrix!$C$4:$C$15,0),MATCH(N2200,10_ASIL_Matrix!$D$3:$F$3,0)))))</f>
        <v>—</v>
      </c>
      <c r="Q2200" s="5" t="s">
        <v>448</v>
      </c>
    </row>
    <row r="2201" customFormat="false" ht="35.05" hidden="false" customHeight="false" outlineLevel="0" collapsed="false">
      <c r="A2201" s="6" t="s">
        <v>5087</v>
      </c>
      <c r="B2201" s="6" t="s">
        <v>108</v>
      </c>
      <c r="C2201" s="6" t="s">
        <v>109</v>
      </c>
      <c r="D2201" s="6" t="s">
        <v>167</v>
      </c>
      <c r="E2201" s="6" t="s">
        <v>168</v>
      </c>
      <c r="F2201" s="6" t="s">
        <v>200</v>
      </c>
      <c r="G2201" s="6" t="s">
        <v>570</v>
      </c>
      <c r="H2201" s="6" t="s">
        <v>224</v>
      </c>
      <c r="I2201" s="6" t="s">
        <v>5088</v>
      </c>
      <c r="J2201" s="6" t="s">
        <v>238</v>
      </c>
      <c r="K2201" s="6" t="s">
        <v>4290</v>
      </c>
      <c r="L2201" s="6" t="s">
        <v>190</v>
      </c>
      <c r="M2201" s="6" t="s">
        <v>576</v>
      </c>
      <c r="N2201" s="6" t="s">
        <v>278</v>
      </c>
      <c r="O2201" s="6" t="s">
        <v>634</v>
      </c>
      <c r="P2201" s="6" t="str">
        <f aca="false">IF(J2201="S0","—",IF(K2201="","",IF(L2201="E0","QM",INDEX(10_ASIL_Matrix!$D$4:$F$15,MATCH(J2201&amp;"-"&amp;L2201,10_ASIL_Matrix!$C$4:$C$15,0),MATCH(N2201,10_ASIL_Matrix!$D$3:$F$3,0)))))</f>
        <v>—</v>
      </c>
      <c r="Q2201" s="6" t="s">
        <v>448</v>
      </c>
    </row>
    <row r="2202" customFormat="false" ht="35.05" hidden="false" customHeight="false" outlineLevel="0" collapsed="false">
      <c r="A2202" s="5" t="s">
        <v>5089</v>
      </c>
      <c r="B2202" s="5" t="s">
        <v>108</v>
      </c>
      <c r="C2202" s="5" t="s">
        <v>109</v>
      </c>
      <c r="D2202" s="5" t="s">
        <v>167</v>
      </c>
      <c r="E2202" s="5" t="s">
        <v>168</v>
      </c>
      <c r="F2202" s="5" t="s">
        <v>200</v>
      </c>
      <c r="G2202" s="5" t="s">
        <v>570</v>
      </c>
      <c r="H2202" s="5" t="s">
        <v>226</v>
      </c>
      <c r="I2202" s="5" t="s">
        <v>5090</v>
      </c>
      <c r="J2202" s="5" t="s">
        <v>238</v>
      </c>
      <c r="K2202" s="5" t="s">
        <v>4290</v>
      </c>
      <c r="L2202" s="5" t="s">
        <v>190</v>
      </c>
      <c r="M2202" s="5" t="s">
        <v>579</v>
      </c>
      <c r="N2202" s="5" t="s">
        <v>278</v>
      </c>
      <c r="O2202" s="5" t="s">
        <v>634</v>
      </c>
      <c r="P2202" s="5" t="str">
        <f aca="false">IF(J2202="S0","—",IF(K2202="","",IF(L2202="E0","QM",INDEX(10_ASIL_Matrix!$D$4:$F$15,MATCH(J2202&amp;"-"&amp;L2202,10_ASIL_Matrix!$C$4:$C$15,0),MATCH(N2202,10_ASIL_Matrix!$D$3:$F$3,0)))))</f>
        <v>—</v>
      </c>
      <c r="Q2202" s="5" t="s">
        <v>448</v>
      </c>
    </row>
    <row r="2203" customFormat="false" ht="35.05" hidden="false" customHeight="false" outlineLevel="0" collapsed="false">
      <c r="A2203" s="6" t="s">
        <v>5091</v>
      </c>
      <c r="B2203" s="6" t="s">
        <v>108</v>
      </c>
      <c r="C2203" s="6" t="s">
        <v>109</v>
      </c>
      <c r="D2203" s="6" t="s">
        <v>167</v>
      </c>
      <c r="E2203" s="6" t="s">
        <v>168</v>
      </c>
      <c r="F2203" s="6" t="s">
        <v>200</v>
      </c>
      <c r="G2203" s="6" t="s">
        <v>570</v>
      </c>
      <c r="H2203" s="6" t="s">
        <v>228</v>
      </c>
      <c r="I2203" s="6" t="s">
        <v>5092</v>
      </c>
      <c r="J2203" s="6" t="s">
        <v>238</v>
      </c>
      <c r="K2203" s="6" t="s">
        <v>4290</v>
      </c>
      <c r="L2203" s="6" t="s">
        <v>205</v>
      </c>
      <c r="M2203" s="6" t="s">
        <v>582</v>
      </c>
      <c r="N2203" s="6" t="s">
        <v>278</v>
      </c>
      <c r="O2203" s="6" t="s">
        <v>634</v>
      </c>
      <c r="P2203" s="6" t="str">
        <f aca="false">IF(J2203="S0","—",IF(K2203="","",IF(L2203="E0","QM",INDEX(10_ASIL_Matrix!$D$4:$F$15,MATCH(J2203&amp;"-"&amp;L2203,10_ASIL_Matrix!$C$4:$C$15,0),MATCH(N2203,10_ASIL_Matrix!$D$3:$F$3,0)))))</f>
        <v>—</v>
      </c>
      <c r="Q2203" s="6" t="s">
        <v>448</v>
      </c>
    </row>
    <row r="2204" customFormat="false" ht="35.05" hidden="false" customHeight="false" outlineLevel="0" collapsed="false">
      <c r="A2204" s="5" t="s">
        <v>5093</v>
      </c>
      <c r="B2204" s="5" t="s">
        <v>108</v>
      </c>
      <c r="C2204" s="5" t="s">
        <v>109</v>
      </c>
      <c r="D2204" s="5" t="s">
        <v>167</v>
      </c>
      <c r="E2204" s="5" t="s">
        <v>168</v>
      </c>
      <c r="F2204" s="5" t="s">
        <v>200</v>
      </c>
      <c r="G2204" s="5" t="s">
        <v>570</v>
      </c>
      <c r="H2204" s="5" t="s">
        <v>230</v>
      </c>
      <c r="I2204" s="5" t="s">
        <v>5094</v>
      </c>
      <c r="J2204" s="5" t="s">
        <v>238</v>
      </c>
      <c r="K2204" s="5" t="s">
        <v>4290</v>
      </c>
      <c r="L2204" s="5" t="s">
        <v>205</v>
      </c>
      <c r="M2204" s="5" t="s">
        <v>585</v>
      </c>
      <c r="N2204" s="5" t="s">
        <v>278</v>
      </c>
      <c r="O2204" s="5" t="s">
        <v>634</v>
      </c>
      <c r="P2204" s="5" t="str">
        <f aca="false">IF(J2204="S0","—",IF(K2204="","",IF(L2204="E0","QM",INDEX(10_ASIL_Matrix!$D$4:$F$15,MATCH(J2204&amp;"-"&amp;L2204,10_ASIL_Matrix!$C$4:$C$15,0),MATCH(N2204,10_ASIL_Matrix!$D$3:$F$3,0)))))</f>
        <v>—</v>
      </c>
      <c r="Q2204" s="5" t="s">
        <v>448</v>
      </c>
    </row>
    <row r="2205" customFormat="false" ht="46.25" hidden="false" customHeight="false" outlineLevel="0" collapsed="false">
      <c r="A2205" s="6" t="s">
        <v>5095</v>
      </c>
      <c r="B2205" s="6" t="s">
        <v>108</v>
      </c>
      <c r="C2205" s="6" t="s">
        <v>109</v>
      </c>
      <c r="D2205" s="6" t="s">
        <v>167</v>
      </c>
      <c r="E2205" s="6" t="s">
        <v>168</v>
      </c>
      <c r="F2205" s="6" t="s">
        <v>200</v>
      </c>
      <c r="G2205" s="6" t="s">
        <v>570</v>
      </c>
      <c r="H2205" s="6" t="s">
        <v>232</v>
      </c>
      <c r="I2205" s="6" t="s">
        <v>5096</v>
      </c>
      <c r="J2205" s="6" t="s">
        <v>238</v>
      </c>
      <c r="K2205" s="6" t="s">
        <v>4290</v>
      </c>
      <c r="L2205" s="6" t="s">
        <v>233</v>
      </c>
      <c r="M2205" s="6" t="s">
        <v>588</v>
      </c>
      <c r="N2205" s="6" t="s">
        <v>278</v>
      </c>
      <c r="O2205" s="6" t="s">
        <v>634</v>
      </c>
      <c r="P2205" s="6" t="str">
        <f aca="false">IF(J2205="S0","—",IF(K2205="","",IF(L2205="E0","QM",INDEX(10_ASIL_Matrix!$D$4:$F$15,MATCH(J2205&amp;"-"&amp;L2205,10_ASIL_Matrix!$C$4:$C$15,0),MATCH(N2205,10_ASIL_Matrix!$D$3:$F$3,0)))))</f>
        <v>—</v>
      </c>
      <c r="Q2205" s="6" t="s">
        <v>448</v>
      </c>
    </row>
    <row r="2206" customFormat="false" ht="35.05" hidden="false" customHeight="false" outlineLevel="0" collapsed="false">
      <c r="A2206" s="5" t="s">
        <v>5097</v>
      </c>
      <c r="B2206" s="5" t="s">
        <v>108</v>
      </c>
      <c r="C2206" s="5" t="s">
        <v>109</v>
      </c>
      <c r="D2206" s="5" t="s">
        <v>167</v>
      </c>
      <c r="E2206" s="5" t="s">
        <v>168</v>
      </c>
      <c r="F2206" s="5" t="s">
        <v>202</v>
      </c>
      <c r="G2206" s="5" t="s">
        <v>590</v>
      </c>
      <c r="H2206" s="5" t="s">
        <v>222</v>
      </c>
      <c r="I2206" s="5" t="s">
        <v>5098</v>
      </c>
      <c r="J2206" s="5" t="s">
        <v>238</v>
      </c>
      <c r="K2206" s="5" t="s">
        <v>4290</v>
      </c>
      <c r="L2206" s="5" t="s">
        <v>187</v>
      </c>
      <c r="M2206" s="5" t="s">
        <v>592</v>
      </c>
      <c r="N2206" s="5" t="s">
        <v>278</v>
      </c>
      <c r="O2206" s="5" t="s">
        <v>634</v>
      </c>
      <c r="P2206" s="5" t="str">
        <f aca="false">IF(J2206="S0","—",IF(K2206="","",IF(L2206="E0","QM",INDEX(10_ASIL_Matrix!$D$4:$F$15,MATCH(J2206&amp;"-"&amp;L2206,10_ASIL_Matrix!$C$4:$C$15,0),MATCH(N2206,10_ASIL_Matrix!$D$3:$F$3,0)))))</f>
        <v>—</v>
      </c>
      <c r="Q2206" s="5" t="s">
        <v>448</v>
      </c>
    </row>
    <row r="2207" customFormat="false" ht="35.05" hidden="false" customHeight="false" outlineLevel="0" collapsed="false">
      <c r="A2207" s="6" t="s">
        <v>5099</v>
      </c>
      <c r="B2207" s="6" t="s">
        <v>108</v>
      </c>
      <c r="C2207" s="6" t="s">
        <v>109</v>
      </c>
      <c r="D2207" s="6" t="s">
        <v>167</v>
      </c>
      <c r="E2207" s="6" t="s">
        <v>168</v>
      </c>
      <c r="F2207" s="6" t="s">
        <v>202</v>
      </c>
      <c r="G2207" s="6" t="s">
        <v>590</v>
      </c>
      <c r="H2207" s="6" t="s">
        <v>224</v>
      </c>
      <c r="I2207" s="6" t="s">
        <v>5100</v>
      </c>
      <c r="J2207" s="6" t="s">
        <v>238</v>
      </c>
      <c r="K2207" s="6" t="s">
        <v>4290</v>
      </c>
      <c r="L2207" s="6" t="s">
        <v>190</v>
      </c>
      <c r="M2207" s="6" t="s">
        <v>595</v>
      </c>
      <c r="N2207" s="6" t="s">
        <v>278</v>
      </c>
      <c r="O2207" s="6" t="s">
        <v>634</v>
      </c>
      <c r="P2207" s="6" t="str">
        <f aca="false">IF(J2207="S0","—",IF(K2207="","",IF(L2207="E0","QM",INDEX(10_ASIL_Matrix!$D$4:$F$15,MATCH(J2207&amp;"-"&amp;L2207,10_ASIL_Matrix!$C$4:$C$15,0),MATCH(N2207,10_ASIL_Matrix!$D$3:$F$3,0)))))</f>
        <v>—</v>
      </c>
      <c r="Q2207" s="6" t="s">
        <v>448</v>
      </c>
    </row>
    <row r="2208" customFormat="false" ht="35.05" hidden="false" customHeight="false" outlineLevel="0" collapsed="false">
      <c r="A2208" s="5" t="s">
        <v>5101</v>
      </c>
      <c r="B2208" s="5" t="s">
        <v>108</v>
      </c>
      <c r="C2208" s="5" t="s">
        <v>109</v>
      </c>
      <c r="D2208" s="5" t="s">
        <v>167</v>
      </c>
      <c r="E2208" s="5" t="s">
        <v>168</v>
      </c>
      <c r="F2208" s="5" t="s">
        <v>202</v>
      </c>
      <c r="G2208" s="5" t="s">
        <v>590</v>
      </c>
      <c r="H2208" s="5" t="s">
        <v>226</v>
      </c>
      <c r="I2208" s="5" t="s">
        <v>5102</v>
      </c>
      <c r="J2208" s="5" t="s">
        <v>238</v>
      </c>
      <c r="K2208" s="5" t="s">
        <v>4290</v>
      </c>
      <c r="L2208" s="5" t="s">
        <v>190</v>
      </c>
      <c r="M2208" s="5" t="s">
        <v>598</v>
      </c>
      <c r="N2208" s="5" t="s">
        <v>278</v>
      </c>
      <c r="O2208" s="5" t="s">
        <v>634</v>
      </c>
      <c r="P2208" s="5" t="str">
        <f aca="false">IF(J2208="S0","—",IF(K2208="","",IF(L2208="E0","QM",INDEX(10_ASIL_Matrix!$D$4:$F$15,MATCH(J2208&amp;"-"&amp;L2208,10_ASIL_Matrix!$C$4:$C$15,0),MATCH(N2208,10_ASIL_Matrix!$D$3:$F$3,0)))))</f>
        <v>—</v>
      </c>
      <c r="Q2208" s="5" t="s">
        <v>448</v>
      </c>
    </row>
    <row r="2209" customFormat="false" ht="35.05" hidden="false" customHeight="false" outlineLevel="0" collapsed="false">
      <c r="A2209" s="6" t="s">
        <v>5103</v>
      </c>
      <c r="B2209" s="6" t="s">
        <v>108</v>
      </c>
      <c r="C2209" s="6" t="s">
        <v>109</v>
      </c>
      <c r="D2209" s="6" t="s">
        <v>167</v>
      </c>
      <c r="E2209" s="6" t="s">
        <v>168</v>
      </c>
      <c r="F2209" s="6" t="s">
        <v>202</v>
      </c>
      <c r="G2209" s="6" t="s">
        <v>590</v>
      </c>
      <c r="H2209" s="6" t="s">
        <v>228</v>
      </c>
      <c r="I2209" s="6" t="s">
        <v>5104</v>
      </c>
      <c r="J2209" s="6" t="s">
        <v>238</v>
      </c>
      <c r="K2209" s="6" t="s">
        <v>4290</v>
      </c>
      <c r="L2209" s="6" t="s">
        <v>205</v>
      </c>
      <c r="M2209" s="6" t="s">
        <v>601</v>
      </c>
      <c r="N2209" s="6" t="s">
        <v>278</v>
      </c>
      <c r="O2209" s="6" t="s">
        <v>634</v>
      </c>
      <c r="P2209" s="6" t="str">
        <f aca="false">IF(J2209="S0","—",IF(K2209="","",IF(L2209="E0","QM",INDEX(10_ASIL_Matrix!$D$4:$F$15,MATCH(J2209&amp;"-"&amp;L2209,10_ASIL_Matrix!$C$4:$C$15,0),MATCH(N2209,10_ASIL_Matrix!$D$3:$F$3,0)))))</f>
        <v>—</v>
      </c>
      <c r="Q2209" s="6" t="s">
        <v>448</v>
      </c>
    </row>
    <row r="2210" customFormat="false" ht="35.05" hidden="false" customHeight="false" outlineLevel="0" collapsed="false">
      <c r="A2210" s="5" t="s">
        <v>5105</v>
      </c>
      <c r="B2210" s="5" t="s">
        <v>108</v>
      </c>
      <c r="C2210" s="5" t="s">
        <v>109</v>
      </c>
      <c r="D2210" s="5" t="s">
        <v>167</v>
      </c>
      <c r="E2210" s="5" t="s">
        <v>168</v>
      </c>
      <c r="F2210" s="5" t="s">
        <v>202</v>
      </c>
      <c r="G2210" s="5" t="s">
        <v>590</v>
      </c>
      <c r="H2210" s="5" t="s">
        <v>230</v>
      </c>
      <c r="I2210" s="5" t="s">
        <v>5106</v>
      </c>
      <c r="J2210" s="5" t="s">
        <v>238</v>
      </c>
      <c r="K2210" s="5" t="s">
        <v>4290</v>
      </c>
      <c r="L2210" s="5" t="s">
        <v>205</v>
      </c>
      <c r="M2210" s="5" t="s">
        <v>604</v>
      </c>
      <c r="N2210" s="5" t="s">
        <v>278</v>
      </c>
      <c r="O2210" s="5" t="s">
        <v>634</v>
      </c>
      <c r="P2210" s="5" t="str">
        <f aca="false">IF(J2210="S0","—",IF(K2210="","",IF(L2210="E0","QM",INDEX(10_ASIL_Matrix!$D$4:$F$15,MATCH(J2210&amp;"-"&amp;L2210,10_ASIL_Matrix!$C$4:$C$15,0),MATCH(N2210,10_ASIL_Matrix!$D$3:$F$3,0)))))</f>
        <v>—</v>
      </c>
      <c r="Q2210" s="5" t="s">
        <v>448</v>
      </c>
    </row>
    <row r="2211" customFormat="false" ht="46.25" hidden="false" customHeight="false" outlineLevel="0" collapsed="false">
      <c r="A2211" s="6" t="s">
        <v>5107</v>
      </c>
      <c r="B2211" s="6" t="s">
        <v>108</v>
      </c>
      <c r="C2211" s="6" t="s">
        <v>109</v>
      </c>
      <c r="D2211" s="6" t="s">
        <v>167</v>
      </c>
      <c r="E2211" s="6" t="s">
        <v>168</v>
      </c>
      <c r="F2211" s="6" t="s">
        <v>202</v>
      </c>
      <c r="G2211" s="6" t="s">
        <v>590</v>
      </c>
      <c r="H2211" s="6" t="s">
        <v>232</v>
      </c>
      <c r="I2211" s="6" t="s">
        <v>5108</v>
      </c>
      <c r="J2211" s="6" t="s">
        <v>238</v>
      </c>
      <c r="K2211" s="6" t="s">
        <v>4290</v>
      </c>
      <c r="L2211" s="6" t="s">
        <v>233</v>
      </c>
      <c r="M2211" s="6" t="s">
        <v>607</v>
      </c>
      <c r="N2211" s="6" t="s">
        <v>278</v>
      </c>
      <c r="O2211" s="6" t="s">
        <v>634</v>
      </c>
      <c r="P2211" s="6" t="str">
        <f aca="false">IF(J2211="S0","—",IF(K2211="","",IF(L2211="E0","QM",INDEX(10_ASIL_Matrix!$D$4:$F$15,MATCH(J2211&amp;"-"&amp;L2211,10_ASIL_Matrix!$C$4:$C$15,0),MATCH(N2211,10_ASIL_Matrix!$D$3:$F$3,0)))))</f>
        <v>—</v>
      </c>
      <c r="Q2211" s="6" t="s">
        <v>448</v>
      </c>
    </row>
    <row r="2212" customFormat="false" ht="35.05" hidden="false" customHeight="false" outlineLevel="0" collapsed="false">
      <c r="A2212" s="5" t="s">
        <v>5109</v>
      </c>
      <c r="B2212" s="5" t="s">
        <v>108</v>
      </c>
      <c r="C2212" s="5" t="s">
        <v>109</v>
      </c>
      <c r="D2212" s="5" t="s">
        <v>167</v>
      </c>
      <c r="E2212" s="5" t="s">
        <v>168</v>
      </c>
      <c r="F2212" s="5" t="s">
        <v>204</v>
      </c>
      <c r="G2212" s="5" t="s">
        <v>609</v>
      </c>
      <c r="H2212" s="5" t="s">
        <v>222</v>
      </c>
      <c r="I2212" s="5" t="s">
        <v>5110</v>
      </c>
      <c r="J2212" s="5" t="s">
        <v>250</v>
      </c>
      <c r="K2212" s="5" t="s">
        <v>4387</v>
      </c>
      <c r="L2212" s="5" t="s">
        <v>205</v>
      </c>
      <c r="M2212" s="5" t="s">
        <v>612</v>
      </c>
      <c r="N2212" s="5" t="s">
        <v>286</v>
      </c>
      <c r="O2212" s="5" t="s">
        <v>4388</v>
      </c>
      <c r="P2212" s="19" t="str">
        <f aca="false">IF(J2212="S0","—",IF(K2212="","",IF(L2212="E0","QM",INDEX(10_ASIL_Matrix!$D$4:$F$15,MATCH(J2212&amp;"-"&amp;L2212,10_ASIL_Matrix!$C$4:$C$15,0),MATCH(N2212,10_ASIL_Matrix!$D$3:$F$3,0)))))</f>
        <v>A</v>
      </c>
      <c r="Q2212" s="5" t="s">
        <v>448</v>
      </c>
    </row>
    <row r="2213" customFormat="false" ht="35.05" hidden="false" customHeight="false" outlineLevel="0" collapsed="false">
      <c r="A2213" s="6" t="s">
        <v>5111</v>
      </c>
      <c r="B2213" s="6" t="s">
        <v>108</v>
      </c>
      <c r="C2213" s="6" t="s">
        <v>109</v>
      </c>
      <c r="D2213" s="6" t="s">
        <v>167</v>
      </c>
      <c r="E2213" s="6" t="s">
        <v>168</v>
      </c>
      <c r="F2213" s="6" t="s">
        <v>204</v>
      </c>
      <c r="G2213" s="6" t="s">
        <v>609</v>
      </c>
      <c r="H2213" s="6" t="s">
        <v>224</v>
      </c>
      <c r="I2213" s="6" t="s">
        <v>5112</v>
      </c>
      <c r="J2213" s="6" t="s">
        <v>250</v>
      </c>
      <c r="K2213" s="6" t="s">
        <v>4387</v>
      </c>
      <c r="L2213" s="6" t="s">
        <v>205</v>
      </c>
      <c r="M2213" s="6" t="s">
        <v>616</v>
      </c>
      <c r="N2213" s="6" t="s">
        <v>286</v>
      </c>
      <c r="O2213" s="6" t="s">
        <v>4388</v>
      </c>
      <c r="P2213" s="19" t="str">
        <f aca="false">IF(J2213="S0","—",IF(K2213="","",IF(L2213="E0","QM",INDEX(10_ASIL_Matrix!$D$4:$F$15,MATCH(J2213&amp;"-"&amp;L2213,10_ASIL_Matrix!$C$4:$C$15,0),MATCH(N2213,10_ASIL_Matrix!$D$3:$F$3,0)))))</f>
        <v>A</v>
      </c>
      <c r="Q2213" s="6" t="s">
        <v>448</v>
      </c>
    </row>
    <row r="2214" customFormat="false" ht="35.05" hidden="false" customHeight="false" outlineLevel="0" collapsed="false">
      <c r="A2214" s="5" t="s">
        <v>5113</v>
      </c>
      <c r="B2214" s="5" t="s">
        <v>108</v>
      </c>
      <c r="C2214" s="5" t="s">
        <v>109</v>
      </c>
      <c r="D2214" s="5" t="s">
        <v>167</v>
      </c>
      <c r="E2214" s="5" t="s">
        <v>168</v>
      </c>
      <c r="F2214" s="5" t="s">
        <v>204</v>
      </c>
      <c r="G2214" s="5" t="s">
        <v>609</v>
      </c>
      <c r="H2214" s="5" t="s">
        <v>226</v>
      </c>
      <c r="I2214" s="5" t="s">
        <v>5114</v>
      </c>
      <c r="J2214" s="5" t="s">
        <v>250</v>
      </c>
      <c r="K2214" s="5" t="s">
        <v>4387</v>
      </c>
      <c r="L2214" s="5" t="s">
        <v>205</v>
      </c>
      <c r="M2214" s="5" t="s">
        <v>619</v>
      </c>
      <c r="N2214" s="5" t="s">
        <v>286</v>
      </c>
      <c r="O2214" s="5" t="s">
        <v>4388</v>
      </c>
      <c r="P2214" s="19" t="str">
        <f aca="false">IF(J2214="S0","—",IF(K2214="","",IF(L2214="E0","QM",INDEX(10_ASIL_Matrix!$D$4:$F$15,MATCH(J2214&amp;"-"&amp;L2214,10_ASIL_Matrix!$C$4:$C$15,0),MATCH(N2214,10_ASIL_Matrix!$D$3:$F$3,0)))))</f>
        <v>A</v>
      </c>
      <c r="Q2214" s="5" t="s">
        <v>448</v>
      </c>
    </row>
    <row r="2215" customFormat="false" ht="35.05" hidden="false" customHeight="false" outlineLevel="0" collapsed="false">
      <c r="A2215" s="6" t="s">
        <v>5115</v>
      </c>
      <c r="B2215" s="6" t="s">
        <v>108</v>
      </c>
      <c r="C2215" s="6" t="s">
        <v>109</v>
      </c>
      <c r="D2215" s="6" t="s">
        <v>167</v>
      </c>
      <c r="E2215" s="6" t="s">
        <v>168</v>
      </c>
      <c r="F2215" s="6" t="s">
        <v>204</v>
      </c>
      <c r="G2215" s="6" t="s">
        <v>609</v>
      </c>
      <c r="H2215" s="6" t="s">
        <v>228</v>
      </c>
      <c r="I2215" s="6" t="s">
        <v>5116</v>
      </c>
      <c r="J2215" s="6" t="s">
        <v>250</v>
      </c>
      <c r="K2215" s="6" t="s">
        <v>4387</v>
      </c>
      <c r="L2215" s="6" t="s">
        <v>205</v>
      </c>
      <c r="M2215" s="6" t="s">
        <v>622</v>
      </c>
      <c r="N2215" s="6" t="s">
        <v>286</v>
      </c>
      <c r="O2215" s="6" t="s">
        <v>4388</v>
      </c>
      <c r="P2215" s="19" t="str">
        <f aca="false">IF(J2215="S0","—",IF(K2215="","",IF(L2215="E0","QM",INDEX(10_ASIL_Matrix!$D$4:$F$15,MATCH(J2215&amp;"-"&amp;L2215,10_ASIL_Matrix!$C$4:$C$15,0),MATCH(N2215,10_ASIL_Matrix!$D$3:$F$3,0)))))</f>
        <v>A</v>
      </c>
      <c r="Q2215" s="6" t="s">
        <v>448</v>
      </c>
    </row>
    <row r="2216" customFormat="false" ht="35.05" hidden="false" customHeight="false" outlineLevel="0" collapsed="false">
      <c r="A2216" s="5" t="s">
        <v>5117</v>
      </c>
      <c r="B2216" s="5" t="s">
        <v>108</v>
      </c>
      <c r="C2216" s="5" t="s">
        <v>109</v>
      </c>
      <c r="D2216" s="5" t="s">
        <v>167</v>
      </c>
      <c r="E2216" s="5" t="s">
        <v>168</v>
      </c>
      <c r="F2216" s="5" t="s">
        <v>204</v>
      </c>
      <c r="G2216" s="5" t="s">
        <v>609</v>
      </c>
      <c r="H2216" s="5" t="s">
        <v>230</v>
      </c>
      <c r="I2216" s="5" t="s">
        <v>5118</v>
      </c>
      <c r="J2216" s="5" t="s">
        <v>250</v>
      </c>
      <c r="K2216" s="5" t="s">
        <v>4387</v>
      </c>
      <c r="L2216" s="5" t="s">
        <v>205</v>
      </c>
      <c r="M2216" s="5" t="s">
        <v>625</v>
      </c>
      <c r="N2216" s="5" t="s">
        <v>286</v>
      </c>
      <c r="O2216" s="5" t="s">
        <v>4388</v>
      </c>
      <c r="P2216" s="19" t="str">
        <f aca="false">IF(J2216="S0","—",IF(K2216="","",IF(L2216="E0","QM",INDEX(10_ASIL_Matrix!$D$4:$F$15,MATCH(J2216&amp;"-"&amp;L2216,10_ASIL_Matrix!$C$4:$C$15,0),MATCH(N2216,10_ASIL_Matrix!$D$3:$F$3,0)))))</f>
        <v>A</v>
      </c>
      <c r="Q2216" s="5" t="s">
        <v>448</v>
      </c>
    </row>
    <row r="2217" customFormat="false" ht="46.25" hidden="false" customHeight="false" outlineLevel="0" collapsed="false">
      <c r="A2217" s="6" t="s">
        <v>5119</v>
      </c>
      <c r="B2217" s="6" t="s">
        <v>108</v>
      </c>
      <c r="C2217" s="6" t="s">
        <v>109</v>
      </c>
      <c r="D2217" s="6" t="s">
        <v>167</v>
      </c>
      <c r="E2217" s="6" t="s">
        <v>168</v>
      </c>
      <c r="F2217" s="6" t="s">
        <v>204</v>
      </c>
      <c r="G2217" s="6" t="s">
        <v>609</v>
      </c>
      <c r="H2217" s="6" t="s">
        <v>232</v>
      </c>
      <c r="I2217" s="6" t="s">
        <v>5120</v>
      </c>
      <c r="J2217" s="6" t="s">
        <v>250</v>
      </c>
      <c r="K2217" s="6" t="s">
        <v>4387</v>
      </c>
      <c r="L2217" s="6" t="s">
        <v>233</v>
      </c>
      <c r="M2217" s="6" t="s">
        <v>629</v>
      </c>
      <c r="N2217" s="6" t="s">
        <v>286</v>
      </c>
      <c r="O2217" s="6" t="s">
        <v>4388</v>
      </c>
      <c r="P2217" s="6" t="str">
        <f aca="false">IF(J2217="S0","—",IF(K2217="","",IF(L2217="E0","QM",INDEX(10_ASIL_Matrix!$D$4:$F$15,MATCH(J2217&amp;"-"&amp;L2217,10_ASIL_Matrix!$C$4:$C$15,0),MATCH(N2217,10_ASIL_Matrix!$D$3:$F$3,0)))))</f>
        <v>QM</v>
      </c>
      <c r="Q2217" s="6" t="s">
        <v>448</v>
      </c>
    </row>
    <row r="2218" customFormat="false" ht="35.05" hidden="false" customHeight="false" outlineLevel="0" collapsed="false">
      <c r="A2218" s="5" t="s">
        <v>5121</v>
      </c>
      <c r="B2218" s="5" t="s">
        <v>108</v>
      </c>
      <c r="C2218" s="5" t="s">
        <v>109</v>
      </c>
      <c r="D2218" s="5" t="s">
        <v>167</v>
      </c>
      <c r="E2218" s="5" t="s">
        <v>168</v>
      </c>
      <c r="F2218" s="5" t="s">
        <v>207</v>
      </c>
      <c r="G2218" s="5" t="s">
        <v>609</v>
      </c>
      <c r="H2218" s="5" t="s">
        <v>222</v>
      </c>
      <c r="I2218" s="5" t="s">
        <v>5122</v>
      </c>
      <c r="J2218" s="5" t="s">
        <v>250</v>
      </c>
      <c r="K2218" s="5" t="s">
        <v>4401</v>
      </c>
      <c r="L2218" s="5" t="s">
        <v>190</v>
      </c>
      <c r="M2218" s="5" t="s">
        <v>633</v>
      </c>
      <c r="N2218" s="5" t="s">
        <v>286</v>
      </c>
      <c r="O2218" s="5" t="s">
        <v>4402</v>
      </c>
      <c r="P2218" s="18" t="str">
        <f aca="false">IF(J2218="S0","—",IF(K2218="","",IF(L2218="E0","QM",INDEX(10_ASIL_Matrix!$D$4:$F$15,MATCH(J2218&amp;"-"&amp;L2218,10_ASIL_Matrix!$C$4:$C$15,0),MATCH(N2218,10_ASIL_Matrix!$D$3:$F$3,0)))))</f>
        <v>B</v>
      </c>
      <c r="Q2218" s="5" t="s">
        <v>448</v>
      </c>
    </row>
    <row r="2219" customFormat="false" ht="35.05" hidden="false" customHeight="false" outlineLevel="0" collapsed="false">
      <c r="A2219" s="6" t="s">
        <v>5123</v>
      </c>
      <c r="B2219" s="6" t="s">
        <v>108</v>
      </c>
      <c r="C2219" s="6" t="s">
        <v>109</v>
      </c>
      <c r="D2219" s="6" t="s">
        <v>167</v>
      </c>
      <c r="E2219" s="6" t="s">
        <v>168</v>
      </c>
      <c r="F2219" s="6" t="s">
        <v>207</v>
      </c>
      <c r="G2219" s="6" t="s">
        <v>609</v>
      </c>
      <c r="H2219" s="6" t="s">
        <v>224</v>
      </c>
      <c r="I2219" s="6" t="s">
        <v>5124</v>
      </c>
      <c r="J2219" s="6" t="s">
        <v>250</v>
      </c>
      <c r="K2219" s="6" t="s">
        <v>4401</v>
      </c>
      <c r="L2219" s="6" t="s">
        <v>190</v>
      </c>
      <c r="M2219" s="6" t="s">
        <v>637</v>
      </c>
      <c r="N2219" s="6" t="s">
        <v>286</v>
      </c>
      <c r="O2219" s="6" t="s">
        <v>4402</v>
      </c>
      <c r="P2219" s="18" t="str">
        <f aca="false">IF(J2219="S0","—",IF(K2219="","",IF(L2219="E0","QM",INDEX(10_ASIL_Matrix!$D$4:$F$15,MATCH(J2219&amp;"-"&amp;L2219,10_ASIL_Matrix!$C$4:$C$15,0),MATCH(N2219,10_ASIL_Matrix!$D$3:$F$3,0)))))</f>
        <v>B</v>
      </c>
      <c r="Q2219" s="6" t="s">
        <v>448</v>
      </c>
    </row>
    <row r="2220" customFormat="false" ht="35.05" hidden="false" customHeight="false" outlineLevel="0" collapsed="false">
      <c r="A2220" s="5" t="s">
        <v>5125</v>
      </c>
      <c r="B2220" s="5" t="s">
        <v>108</v>
      </c>
      <c r="C2220" s="5" t="s">
        <v>109</v>
      </c>
      <c r="D2220" s="5" t="s">
        <v>167</v>
      </c>
      <c r="E2220" s="5" t="s">
        <v>168</v>
      </c>
      <c r="F2220" s="5" t="s">
        <v>207</v>
      </c>
      <c r="G2220" s="5" t="s">
        <v>609</v>
      </c>
      <c r="H2220" s="5" t="s">
        <v>226</v>
      </c>
      <c r="I2220" s="5" t="s">
        <v>5126</v>
      </c>
      <c r="J2220" s="5" t="s">
        <v>250</v>
      </c>
      <c r="K2220" s="5" t="s">
        <v>4401</v>
      </c>
      <c r="L2220" s="5" t="s">
        <v>190</v>
      </c>
      <c r="M2220" s="5" t="s">
        <v>640</v>
      </c>
      <c r="N2220" s="5" t="s">
        <v>286</v>
      </c>
      <c r="O2220" s="5" t="s">
        <v>4402</v>
      </c>
      <c r="P2220" s="18" t="str">
        <f aca="false">IF(J2220="S0","—",IF(K2220="","",IF(L2220="E0","QM",INDEX(10_ASIL_Matrix!$D$4:$F$15,MATCH(J2220&amp;"-"&amp;L2220,10_ASIL_Matrix!$C$4:$C$15,0),MATCH(N2220,10_ASIL_Matrix!$D$3:$F$3,0)))))</f>
        <v>B</v>
      </c>
      <c r="Q2220" s="5" t="s">
        <v>448</v>
      </c>
    </row>
    <row r="2221" customFormat="false" ht="46.25" hidden="false" customHeight="false" outlineLevel="0" collapsed="false">
      <c r="A2221" s="6" t="s">
        <v>5127</v>
      </c>
      <c r="B2221" s="6" t="s">
        <v>108</v>
      </c>
      <c r="C2221" s="6" t="s">
        <v>109</v>
      </c>
      <c r="D2221" s="6" t="s">
        <v>167</v>
      </c>
      <c r="E2221" s="6" t="s">
        <v>168</v>
      </c>
      <c r="F2221" s="6" t="s">
        <v>207</v>
      </c>
      <c r="G2221" s="6" t="s">
        <v>609</v>
      </c>
      <c r="H2221" s="6" t="s">
        <v>228</v>
      </c>
      <c r="I2221" s="6" t="s">
        <v>5128</v>
      </c>
      <c r="J2221" s="6" t="s">
        <v>250</v>
      </c>
      <c r="K2221" s="6" t="s">
        <v>4401</v>
      </c>
      <c r="L2221" s="6" t="s">
        <v>205</v>
      </c>
      <c r="M2221" s="6" t="s">
        <v>643</v>
      </c>
      <c r="N2221" s="6" t="s">
        <v>286</v>
      </c>
      <c r="O2221" s="6" t="s">
        <v>4402</v>
      </c>
      <c r="P2221" s="19" t="str">
        <f aca="false">IF(J2221="S0","—",IF(K2221="","",IF(L2221="E0","QM",INDEX(10_ASIL_Matrix!$D$4:$F$15,MATCH(J2221&amp;"-"&amp;L2221,10_ASIL_Matrix!$C$4:$C$15,0),MATCH(N2221,10_ASIL_Matrix!$D$3:$F$3,0)))))</f>
        <v>A</v>
      </c>
      <c r="Q2221" s="6" t="s">
        <v>448</v>
      </c>
    </row>
    <row r="2222" customFormat="false" ht="35.05" hidden="false" customHeight="false" outlineLevel="0" collapsed="false">
      <c r="A2222" s="5" t="s">
        <v>5129</v>
      </c>
      <c r="B2222" s="5" t="s">
        <v>108</v>
      </c>
      <c r="C2222" s="5" t="s">
        <v>109</v>
      </c>
      <c r="D2222" s="5" t="s">
        <v>167</v>
      </c>
      <c r="E2222" s="5" t="s">
        <v>168</v>
      </c>
      <c r="F2222" s="5" t="s">
        <v>207</v>
      </c>
      <c r="G2222" s="5" t="s">
        <v>609</v>
      </c>
      <c r="H2222" s="5" t="s">
        <v>230</v>
      </c>
      <c r="I2222" s="5" t="s">
        <v>5130</v>
      </c>
      <c r="J2222" s="5" t="s">
        <v>250</v>
      </c>
      <c r="K2222" s="5" t="s">
        <v>4401</v>
      </c>
      <c r="L2222" s="5" t="s">
        <v>205</v>
      </c>
      <c r="M2222" s="5" t="s">
        <v>646</v>
      </c>
      <c r="N2222" s="5" t="s">
        <v>286</v>
      </c>
      <c r="O2222" s="5" t="s">
        <v>4402</v>
      </c>
      <c r="P2222" s="19" t="str">
        <f aca="false">IF(J2222="S0","—",IF(K2222="","",IF(L2222="E0","QM",INDEX(10_ASIL_Matrix!$D$4:$F$15,MATCH(J2222&amp;"-"&amp;L2222,10_ASIL_Matrix!$C$4:$C$15,0),MATCH(N2222,10_ASIL_Matrix!$D$3:$F$3,0)))))</f>
        <v>A</v>
      </c>
      <c r="Q2222" s="5" t="s">
        <v>448</v>
      </c>
    </row>
    <row r="2223" customFormat="false" ht="46.25" hidden="false" customHeight="false" outlineLevel="0" collapsed="false">
      <c r="A2223" s="6" t="s">
        <v>5131</v>
      </c>
      <c r="B2223" s="6" t="s">
        <v>108</v>
      </c>
      <c r="C2223" s="6" t="s">
        <v>109</v>
      </c>
      <c r="D2223" s="6" t="s">
        <v>167</v>
      </c>
      <c r="E2223" s="6" t="s">
        <v>168</v>
      </c>
      <c r="F2223" s="6" t="s">
        <v>207</v>
      </c>
      <c r="G2223" s="6" t="s">
        <v>609</v>
      </c>
      <c r="H2223" s="6" t="s">
        <v>232</v>
      </c>
      <c r="I2223" s="6" t="s">
        <v>5132</v>
      </c>
      <c r="J2223" s="6" t="s">
        <v>250</v>
      </c>
      <c r="K2223" s="6" t="s">
        <v>4401</v>
      </c>
      <c r="L2223" s="6" t="s">
        <v>233</v>
      </c>
      <c r="M2223" s="6" t="s">
        <v>649</v>
      </c>
      <c r="N2223" s="6" t="s">
        <v>286</v>
      </c>
      <c r="O2223" s="6" t="s">
        <v>4402</v>
      </c>
      <c r="P2223" s="6" t="str">
        <f aca="false">IF(J2223="S0","—",IF(K2223="","",IF(L2223="E0","QM",INDEX(10_ASIL_Matrix!$D$4:$F$15,MATCH(J2223&amp;"-"&amp;L2223,10_ASIL_Matrix!$C$4:$C$15,0),MATCH(N2223,10_ASIL_Matrix!$D$3:$F$3,0)))))</f>
        <v>QM</v>
      </c>
      <c r="Q2223" s="6" t="s">
        <v>448</v>
      </c>
    </row>
    <row r="2224" customFormat="false" ht="35.05" hidden="false" customHeight="false" outlineLevel="0" collapsed="false">
      <c r="A2224" s="5" t="s">
        <v>5133</v>
      </c>
      <c r="B2224" s="5" t="s">
        <v>108</v>
      </c>
      <c r="C2224" s="5" t="s">
        <v>109</v>
      </c>
      <c r="D2224" s="5" t="s">
        <v>167</v>
      </c>
      <c r="E2224" s="5" t="s">
        <v>168</v>
      </c>
      <c r="F2224" s="5" t="s">
        <v>209</v>
      </c>
      <c r="G2224" s="5" t="s">
        <v>570</v>
      </c>
      <c r="H2224" s="5" t="s">
        <v>222</v>
      </c>
      <c r="I2224" s="5" t="s">
        <v>5134</v>
      </c>
      <c r="J2224" s="5" t="s">
        <v>238</v>
      </c>
      <c r="K2224" s="5" t="s">
        <v>4290</v>
      </c>
      <c r="L2224" s="5" t="s">
        <v>190</v>
      </c>
      <c r="M2224" s="5" t="s">
        <v>653</v>
      </c>
      <c r="N2224" s="5" t="s">
        <v>278</v>
      </c>
      <c r="O2224" s="5" t="s">
        <v>634</v>
      </c>
      <c r="P2224" s="5" t="str">
        <f aca="false">IF(J2224="S0","—",IF(K2224="","",IF(L2224="E0","QM",INDEX(10_ASIL_Matrix!$D$4:$F$15,MATCH(J2224&amp;"-"&amp;L2224,10_ASIL_Matrix!$C$4:$C$15,0),MATCH(N2224,10_ASIL_Matrix!$D$3:$F$3,0)))))</f>
        <v>—</v>
      </c>
      <c r="Q2224" s="5" t="s">
        <v>448</v>
      </c>
    </row>
    <row r="2225" customFormat="false" ht="35.05" hidden="false" customHeight="false" outlineLevel="0" collapsed="false">
      <c r="A2225" s="6" t="s">
        <v>5135</v>
      </c>
      <c r="B2225" s="6" t="s">
        <v>108</v>
      </c>
      <c r="C2225" s="6" t="s">
        <v>109</v>
      </c>
      <c r="D2225" s="6" t="s">
        <v>167</v>
      </c>
      <c r="E2225" s="6" t="s">
        <v>168</v>
      </c>
      <c r="F2225" s="6" t="s">
        <v>209</v>
      </c>
      <c r="G2225" s="6" t="s">
        <v>570</v>
      </c>
      <c r="H2225" s="6" t="s">
        <v>224</v>
      </c>
      <c r="I2225" s="6" t="s">
        <v>5136</v>
      </c>
      <c r="J2225" s="6" t="s">
        <v>238</v>
      </c>
      <c r="K2225" s="6" t="s">
        <v>4290</v>
      </c>
      <c r="L2225" s="6" t="s">
        <v>190</v>
      </c>
      <c r="M2225" s="6" t="s">
        <v>656</v>
      </c>
      <c r="N2225" s="6" t="s">
        <v>278</v>
      </c>
      <c r="O2225" s="6" t="s">
        <v>634</v>
      </c>
      <c r="P2225" s="6" t="str">
        <f aca="false">IF(J2225="S0","—",IF(K2225="","",IF(L2225="E0","QM",INDEX(10_ASIL_Matrix!$D$4:$F$15,MATCH(J2225&amp;"-"&amp;L2225,10_ASIL_Matrix!$C$4:$C$15,0),MATCH(N2225,10_ASIL_Matrix!$D$3:$F$3,0)))))</f>
        <v>—</v>
      </c>
      <c r="Q2225" s="6" t="s">
        <v>448</v>
      </c>
    </row>
    <row r="2226" customFormat="false" ht="35.05" hidden="false" customHeight="false" outlineLevel="0" collapsed="false">
      <c r="A2226" s="5" t="s">
        <v>5137</v>
      </c>
      <c r="B2226" s="5" t="s">
        <v>108</v>
      </c>
      <c r="C2226" s="5" t="s">
        <v>109</v>
      </c>
      <c r="D2226" s="5" t="s">
        <v>167</v>
      </c>
      <c r="E2226" s="5" t="s">
        <v>168</v>
      </c>
      <c r="F2226" s="5" t="s">
        <v>209</v>
      </c>
      <c r="G2226" s="5" t="s">
        <v>570</v>
      </c>
      <c r="H2226" s="5" t="s">
        <v>226</v>
      </c>
      <c r="I2226" s="5" t="s">
        <v>5138</v>
      </c>
      <c r="J2226" s="5" t="s">
        <v>238</v>
      </c>
      <c r="K2226" s="5" t="s">
        <v>4290</v>
      </c>
      <c r="L2226" s="5" t="s">
        <v>190</v>
      </c>
      <c r="M2226" s="5" t="s">
        <v>659</v>
      </c>
      <c r="N2226" s="5" t="s">
        <v>278</v>
      </c>
      <c r="O2226" s="5" t="s">
        <v>634</v>
      </c>
      <c r="P2226" s="5" t="str">
        <f aca="false">IF(J2226="S0","—",IF(K2226="","",IF(L2226="E0","QM",INDEX(10_ASIL_Matrix!$D$4:$F$15,MATCH(J2226&amp;"-"&amp;L2226,10_ASIL_Matrix!$C$4:$C$15,0),MATCH(N2226,10_ASIL_Matrix!$D$3:$F$3,0)))))</f>
        <v>—</v>
      </c>
      <c r="Q2226" s="5" t="s">
        <v>448</v>
      </c>
    </row>
    <row r="2227" customFormat="false" ht="35.05" hidden="false" customHeight="false" outlineLevel="0" collapsed="false">
      <c r="A2227" s="6" t="s">
        <v>5139</v>
      </c>
      <c r="B2227" s="6" t="s">
        <v>108</v>
      </c>
      <c r="C2227" s="6" t="s">
        <v>109</v>
      </c>
      <c r="D2227" s="6" t="s">
        <v>167</v>
      </c>
      <c r="E2227" s="6" t="s">
        <v>168</v>
      </c>
      <c r="F2227" s="6" t="s">
        <v>209</v>
      </c>
      <c r="G2227" s="6" t="s">
        <v>570</v>
      </c>
      <c r="H2227" s="6" t="s">
        <v>228</v>
      </c>
      <c r="I2227" s="6" t="s">
        <v>5140</v>
      </c>
      <c r="J2227" s="6" t="s">
        <v>238</v>
      </c>
      <c r="K2227" s="6" t="s">
        <v>4290</v>
      </c>
      <c r="L2227" s="6" t="s">
        <v>205</v>
      </c>
      <c r="M2227" s="6" t="s">
        <v>662</v>
      </c>
      <c r="N2227" s="6" t="s">
        <v>278</v>
      </c>
      <c r="O2227" s="6" t="s">
        <v>634</v>
      </c>
      <c r="P2227" s="6" t="str">
        <f aca="false">IF(J2227="S0","—",IF(K2227="","",IF(L2227="E0","QM",INDEX(10_ASIL_Matrix!$D$4:$F$15,MATCH(J2227&amp;"-"&amp;L2227,10_ASIL_Matrix!$C$4:$C$15,0),MATCH(N2227,10_ASIL_Matrix!$D$3:$F$3,0)))))</f>
        <v>—</v>
      </c>
      <c r="Q2227" s="6" t="s">
        <v>448</v>
      </c>
    </row>
    <row r="2228" customFormat="false" ht="35.05" hidden="false" customHeight="false" outlineLevel="0" collapsed="false">
      <c r="A2228" s="5" t="s">
        <v>5141</v>
      </c>
      <c r="B2228" s="5" t="s">
        <v>108</v>
      </c>
      <c r="C2228" s="5" t="s">
        <v>109</v>
      </c>
      <c r="D2228" s="5" t="s">
        <v>167</v>
      </c>
      <c r="E2228" s="5" t="s">
        <v>168</v>
      </c>
      <c r="F2228" s="5" t="s">
        <v>209</v>
      </c>
      <c r="G2228" s="5" t="s">
        <v>570</v>
      </c>
      <c r="H2228" s="5" t="s">
        <v>230</v>
      </c>
      <c r="I2228" s="5" t="s">
        <v>5142</v>
      </c>
      <c r="J2228" s="5" t="s">
        <v>238</v>
      </c>
      <c r="K2228" s="5" t="s">
        <v>4290</v>
      </c>
      <c r="L2228" s="5" t="s">
        <v>205</v>
      </c>
      <c r="M2228" s="5" t="s">
        <v>665</v>
      </c>
      <c r="N2228" s="5" t="s">
        <v>278</v>
      </c>
      <c r="O2228" s="5" t="s">
        <v>634</v>
      </c>
      <c r="P2228" s="5" t="str">
        <f aca="false">IF(J2228="S0","—",IF(K2228="","",IF(L2228="E0","QM",INDEX(10_ASIL_Matrix!$D$4:$F$15,MATCH(J2228&amp;"-"&amp;L2228,10_ASIL_Matrix!$C$4:$C$15,0),MATCH(N2228,10_ASIL_Matrix!$D$3:$F$3,0)))))</f>
        <v>—</v>
      </c>
      <c r="Q2228" s="5" t="s">
        <v>448</v>
      </c>
    </row>
    <row r="2229" customFormat="false" ht="46.25" hidden="false" customHeight="false" outlineLevel="0" collapsed="false">
      <c r="A2229" s="6" t="s">
        <v>5143</v>
      </c>
      <c r="B2229" s="6" t="s">
        <v>108</v>
      </c>
      <c r="C2229" s="6" t="s">
        <v>109</v>
      </c>
      <c r="D2229" s="6" t="s">
        <v>167</v>
      </c>
      <c r="E2229" s="6" t="s">
        <v>168</v>
      </c>
      <c r="F2229" s="6" t="s">
        <v>209</v>
      </c>
      <c r="G2229" s="6" t="s">
        <v>570</v>
      </c>
      <c r="H2229" s="6" t="s">
        <v>232</v>
      </c>
      <c r="I2229" s="6" t="s">
        <v>5144</v>
      </c>
      <c r="J2229" s="6" t="s">
        <v>238</v>
      </c>
      <c r="K2229" s="6" t="s">
        <v>4290</v>
      </c>
      <c r="L2229" s="6" t="s">
        <v>233</v>
      </c>
      <c r="M2229" s="6" t="s">
        <v>668</v>
      </c>
      <c r="N2229" s="6" t="s">
        <v>278</v>
      </c>
      <c r="O2229" s="6" t="s">
        <v>634</v>
      </c>
      <c r="P2229" s="6" t="str">
        <f aca="false">IF(J2229="S0","—",IF(K2229="","",IF(L2229="E0","QM",INDEX(10_ASIL_Matrix!$D$4:$F$15,MATCH(J2229&amp;"-"&amp;L2229,10_ASIL_Matrix!$C$4:$C$15,0),MATCH(N2229,10_ASIL_Matrix!$D$3:$F$3,0)))))</f>
        <v>—</v>
      </c>
      <c r="Q2229" s="6" t="s">
        <v>448</v>
      </c>
    </row>
    <row r="2230" customFormat="false" ht="35.05" hidden="false" customHeight="false" outlineLevel="0" collapsed="false">
      <c r="A2230" s="5" t="s">
        <v>5145</v>
      </c>
      <c r="B2230" s="5" t="s">
        <v>108</v>
      </c>
      <c r="C2230" s="5" t="s">
        <v>109</v>
      </c>
      <c r="D2230" s="5" t="s">
        <v>167</v>
      </c>
      <c r="E2230" s="5" t="s">
        <v>168</v>
      </c>
      <c r="F2230" s="5" t="s">
        <v>211</v>
      </c>
      <c r="G2230" s="5" t="s">
        <v>609</v>
      </c>
      <c r="H2230" s="5" t="s">
        <v>222</v>
      </c>
      <c r="I2230" s="5" t="s">
        <v>5146</v>
      </c>
      <c r="J2230" s="5" t="s">
        <v>238</v>
      </c>
      <c r="K2230" s="5" t="s">
        <v>1999</v>
      </c>
      <c r="L2230" s="5" t="s">
        <v>187</v>
      </c>
      <c r="M2230" s="5" t="s">
        <v>672</v>
      </c>
      <c r="N2230" s="5" t="s">
        <v>278</v>
      </c>
      <c r="O2230" s="5" t="s">
        <v>634</v>
      </c>
      <c r="P2230" s="5" t="str">
        <f aca="false">IF(J2230="S0","—",IF(K2230="","",IF(L2230="E0","QM",INDEX(10_ASIL_Matrix!$D$4:$F$15,MATCH(J2230&amp;"-"&amp;L2230,10_ASIL_Matrix!$C$4:$C$15,0),MATCH(N2230,10_ASIL_Matrix!$D$3:$F$3,0)))))</f>
        <v>—</v>
      </c>
      <c r="Q2230" s="5" t="s">
        <v>448</v>
      </c>
    </row>
    <row r="2231" customFormat="false" ht="35.05" hidden="false" customHeight="false" outlineLevel="0" collapsed="false">
      <c r="A2231" s="6" t="s">
        <v>5147</v>
      </c>
      <c r="B2231" s="6" t="s">
        <v>108</v>
      </c>
      <c r="C2231" s="6" t="s">
        <v>109</v>
      </c>
      <c r="D2231" s="6" t="s">
        <v>167</v>
      </c>
      <c r="E2231" s="6" t="s">
        <v>168</v>
      </c>
      <c r="F2231" s="6" t="s">
        <v>211</v>
      </c>
      <c r="G2231" s="6" t="s">
        <v>609</v>
      </c>
      <c r="H2231" s="6" t="s">
        <v>224</v>
      </c>
      <c r="I2231" s="6" t="s">
        <v>5148</v>
      </c>
      <c r="J2231" s="6" t="s">
        <v>238</v>
      </c>
      <c r="K2231" s="6" t="s">
        <v>1999</v>
      </c>
      <c r="L2231" s="6" t="s">
        <v>190</v>
      </c>
      <c r="M2231" s="6" t="s">
        <v>675</v>
      </c>
      <c r="N2231" s="6" t="s">
        <v>278</v>
      </c>
      <c r="O2231" s="6" t="s">
        <v>634</v>
      </c>
      <c r="P2231" s="6" t="str">
        <f aca="false">IF(J2231="S0","—",IF(K2231="","",IF(L2231="E0","QM",INDEX(10_ASIL_Matrix!$D$4:$F$15,MATCH(J2231&amp;"-"&amp;L2231,10_ASIL_Matrix!$C$4:$C$15,0),MATCH(N2231,10_ASIL_Matrix!$D$3:$F$3,0)))))</f>
        <v>—</v>
      </c>
      <c r="Q2231" s="6" t="s">
        <v>448</v>
      </c>
    </row>
    <row r="2232" customFormat="false" ht="35.05" hidden="false" customHeight="false" outlineLevel="0" collapsed="false">
      <c r="A2232" s="5" t="s">
        <v>5149</v>
      </c>
      <c r="B2232" s="5" t="s">
        <v>108</v>
      </c>
      <c r="C2232" s="5" t="s">
        <v>109</v>
      </c>
      <c r="D2232" s="5" t="s">
        <v>167</v>
      </c>
      <c r="E2232" s="5" t="s">
        <v>168</v>
      </c>
      <c r="F2232" s="5" t="s">
        <v>211</v>
      </c>
      <c r="G2232" s="5" t="s">
        <v>609</v>
      </c>
      <c r="H2232" s="5" t="s">
        <v>226</v>
      </c>
      <c r="I2232" s="5" t="s">
        <v>5150</v>
      </c>
      <c r="J2232" s="5" t="s">
        <v>238</v>
      </c>
      <c r="K2232" s="5" t="s">
        <v>1999</v>
      </c>
      <c r="L2232" s="5" t="s">
        <v>190</v>
      </c>
      <c r="M2232" s="5" t="s">
        <v>678</v>
      </c>
      <c r="N2232" s="5" t="s">
        <v>278</v>
      </c>
      <c r="O2232" s="5" t="s">
        <v>634</v>
      </c>
      <c r="P2232" s="5" t="str">
        <f aca="false">IF(J2232="S0","—",IF(K2232="","",IF(L2232="E0","QM",INDEX(10_ASIL_Matrix!$D$4:$F$15,MATCH(J2232&amp;"-"&amp;L2232,10_ASIL_Matrix!$C$4:$C$15,0),MATCH(N2232,10_ASIL_Matrix!$D$3:$F$3,0)))))</f>
        <v>—</v>
      </c>
      <c r="Q2232" s="5" t="s">
        <v>448</v>
      </c>
    </row>
    <row r="2233" customFormat="false" ht="35.05" hidden="false" customHeight="false" outlineLevel="0" collapsed="false">
      <c r="A2233" s="6" t="s">
        <v>5151</v>
      </c>
      <c r="B2233" s="6" t="s">
        <v>108</v>
      </c>
      <c r="C2233" s="6" t="s">
        <v>109</v>
      </c>
      <c r="D2233" s="6" t="s">
        <v>167</v>
      </c>
      <c r="E2233" s="6" t="s">
        <v>168</v>
      </c>
      <c r="F2233" s="6" t="s">
        <v>211</v>
      </c>
      <c r="G2233" s="6" t="s">
        <v>609</v>
      </c>
      <c r="H2233" s="6" t="s">
        <v>228</v>
      </c>
      <c r="I2233" s="6" t="s">
        <v>5152</v>
      </c>
      <c r="J2233" s="6" t="s">
        <v>238</v>
      </c>
      <c r="K2233" s="6" t="s">
        <v>1999</v>
      </c>
      <c r="L2233" s="6" t="s">
        <v>205</v>
      </c>
      <c r="M2233" s="6" t="s">
        <v>681</v>
      </c>
      <c r="N2233" s="6" t="s">
        <v>278</v>
      </c>
      <c r="O2233" s="6" t="s">
        <v>634</v>
      </c>
      <c r="P2233" s="6" t="str">
        <f aca="false">IF(J2233="S0","—",IF(K2233="","",IF(L2233="E0","QM",INDEX(10_ASIL_Matrix!$D$4:$F$15,MATCH(J2233&amp;"-"&amp;L2233,10_ASIL_Matrix!$C$4:$C$15,0),MATCH(N2233,10_ASIL_Matrix!$D$3:$F$3,0)))))</f>
        <v>—</v>
      </c>
      <c r="Q2233" s="6" t="s">
        <v>448</v>
      </c>
    </row>
    <row r="2234" customFormat="false" ht="35.05" hidden="false" customHeight="false" outlineLevel="0" collapsed="false">
      <c r="A2234" s="5" t="s">
        <v>5153</v>
      </c>
      <c r="B2234" s="5" t="s">
        <v>108</v>
      </c>
      <c r="C2234" s="5" t="s">
        <v>109</v>
      </c>
      <c r="D2234" s="5" t="s">
        <v>167</v>
      </c>
      <c r="E2234" s="5" t="s">
        <v>168</v>
      </c>
      <c r="F2234" s="5" t="s">
        <v>211</v>
      </c>
      <c r="G2234" s="5" t="s">
        <v>609</v>
      </c>
      <c r="H2234" s="5" t="s">
        <v>230</v>
      </c>
      <c r="I2234" s="5" t="s">
        <v>5154</v>
      </c>
      <c r="J2234" s="5" t="s">
        <v>238</v>
      </c>
      <c r="K2234" s="5" t="s">
        <v>1999</v>
      </c>
      <c r="L2234" s="5" t="s">
        <v>205</v>
      </c>
      <c r="M2234" s="5" t="s">
        <v>684</v>
      </c>
      <c r="N2234" s="5" t="s">
        <v>278</v>
      </c>
      <c r="O2234" s="5" t="s">
        <v>634</v>
      </c>
      <c r="P2234" s="5" t="str">
        <f aca="false">IF(J2234="S0","—",IF(K2234="","",IF(L2234="E0","QM",INDEX(10_ASIL_Matrix!$D$4:$F$15,MATCH(J2234&amp;"-"&amp;L2234,10_ASIL_Matrix!$C$4:$C$15,0),MATCH(N2234,10_ASIL_Matrix!$D$3:$F$3,0)))))</f>
        <v>—</v>
      </c>
      <c r="Q2234" s="5" t="s">
        <v>448</v>
      </c>
    </row>
    <row r="2235" customFormat="false" ht="46.25" hidden="false" customHeight="false" outlineLevel="0" collapsed="false">
      <c r="A2235" s="6" t="s">
        <v>5155</v>
      </c>
      <c r="B2235" s="6" t="s">
        <v>108</v>
      </c>
      <c r="C2235" s="6" t="s">
        <v>109</v>
      </c>
      <c r="D2235" s="6" t="s">
        <v>167</v>
      </c>
      <c r="E2235" s="6" t="s">
        <v>168</v>
      </c>
      <c r="F2235" s="6" t="s">
        <v>211</v>
      </c>
      <c r="G2235" s="6" t="s">
        <v>609</v>
      </c>
      <c r="H2235" s="6" t="s">
        <v>232</v>
      </c>
      <c r="I2235" s="6" t="s">
        <v>5156</v>
      </c>
      <c r="J2235" s="6" t="s">
        <v>238</v>
      </c>
      <c r="K2235" s="6" t="s">
        <v>1999</v>
      </c>
      <c r="L2235" s="6" t="s">
        <v>233</v>
      </c>
      <c r="M2235" s="6" t="s">
        <v>687</v>
      </c>
      <c r="N2235" s="6" t="s">
        <v>278</v>
      </c>
      <c r="O2235" s="6" t="s">
        <v>634</v>
      </c>
      <c r="P2235" s="6" t="str">
        <f aca="false">IF(J2235="S0","—",IF(K2235="","",IF(L2235="E0","QM",INDEX(10_ASIL_Matrix!$D$4:$F$15,MATCH(J2235&amp;"-"&amp;L2235,10_ASIL_Matrix!$C$4:$C$15,0),MATCH(N2235,10_ASIL_Matrix!$D$3:$F$3,0)))))</f>
        <v>—</v>
      </c>
      <c r="Q2235" s="6" t="s">
        <v>448</v>
      </c>
    </row>
    <row r="2236" customFormat="false" ht="46.25" hidden="false" customHeight="false" outlineLevel="0" collapsed="false">
      <c r="A2236" s="5" t="s">
        <v>5157</v>
      </c>
      <c r="B2236" s="5" t="s">
        <v>108</v>
      </c>
      <c r="C2236" s="5" t="s">
        <v>109</v>
      </c>
      <c r="D2236" s="5" t="s">
        <v>167</v>
      </c>
      <c r="E2236" s="5" t="s">
        <v>168</v>
      </c>
      <c r="F2236" s="5" t="s">
        <v>213</v>
      </c>
      <c r="G2236" s="5" t="s">
        <v>689</v>
      </c>
      <c r="H2236" s="5" t="s">
        <v>222</v>
      </c>
      <c r="I2236" s="5" t="s">
        <v>5158</v>
      </c>
      <c r="J2236" s="5" t="s">
        <v>238</v>
      </c>
      <c r="K2236" s="5" t="s">
        <v>4290</v>
      </c>
      <c r="L2236" s="5" t="s">
        <v>205</v>
      </c>
      <c r="M2236" s="5" t="s">
        <v>692</v>
      </c>
      <c r="N2236" s="5" t="s">
        <v>278</v>
      </c>
      <c r="O2236" s="5" t="s">
        <v>634</v>
      </c>
      <c r="P2236" s="5" t="str">
        <f aca="false">IF(J2236="S0","—",IF(K2236="","",IF(L2236="E0","QM",INDEX(10_ASIL_Matrix!$D$4:$F$15,MATCH(J2236&amp;"-"&amp;L2236,10_ASIL_Matrix!$C$4:$C$15,0),MATCH(N2236,10_ASIL_Matrix!$D$3:$F$3,0)))))</f>
        <v>—</v>
      </c>
      <c r="Q2236" s="5" t="s">
        <v>448</v>
      </c>
    </row>
    <row r="2237" customFormat="false" ht="46.25" hidden="false" customHeight="false" outlineLevel="0" collapsed="false">
      <c r="A2237" s="6" t="s">
        <v>5159</v>
      </c>
      <c r="B2237" s="6" t="s">
        <v>108</v>
      </c>
      <c r="C2237" s="6" t="s">
        <v>109</v>
      </c>
      <c r="D2237" s="6" t="s">
        <v>167</v>
      </c>
      <c r="E2237" s="6" t="s">
        <v>168</v>
      </c>
      <c r="F2237" s="6" t="s">
        <v>213</v>
      </c>
      <c r="G2237" s="6" t="s">
        <v>689</v>
      </c>
      <c r="H2237" s="6" t="s">
        <v>224</v>
      </c>
      <c r="I2237" s="6" t="s">
        <v>5160</v>
      </c>
      <c r="J2237" s="6" t="s">
        <v>238</v>
      </c>
      <c r="K2237" s="6" t="s">
        <v>4290</v>
      </c>
      <c r="L2237" s="6" t="s">
        <v>205</v>
      </c>
      <c r="M2237" s="6" t="s">
        <v>696</v>
      </c>
      <c r="N2237" s="6" t="s">
        <v>278</v>
      </c>
      <c r="O2237" s="6" t="s">
        <v>634</v>
      </c>
      <c r="P2237" s="6" t="str">
        <f aca="false">IF(J2237="S0","—",IF(K2237="","",IF(L2237="E0","QM",INDEX(10_ASIL_Matrix!$D$4:$F$15,MATCH(J2237&amp;"-"&amp;L2237,10_ASIL_Matrix!$C$4:$C$15,0),MATCH(N2237,10_ASIL_Matrix!$D$3:$F$3,0)))))</f>
        <v>—</v>
      </c>
      <c r="Q2237" s="6" t="s">
        <v>448</v>
      </c>
    </row>
    <row r="2238" customFormat="false" ht="46.25" hidden="false" customHeight="false" outlineLevel="0" collapsed="false">
      <c r="A2238" s="5" t="s">
        <v>5161</v>
      </c>
      <c r="B2238" s="5" t="s">
        <v>108</v>
      </c>
      <c r="C2238" s="5" t="s">
        <v>109</v>
      </c>
      <c r="D2238" s="5" t="s">
        <v>167</v>
      </c>
      <c r="E2238" s="5" t="s">
        <v>168</v>
      </c>
      <c r="F2238" s="5" t="s">
        <v>213</v>
      </c>
      <c r="G2238" s="5" t="s">
        <v>689</v>
      </c>
      <c r="H2238" s="5" t="s">
        <v>226</v>
      </c>
      <c r="I2238" s="5" t="s">
        <v>5162</v>
      </c>
      <c r="J2238" s="5" t="s">
        <v>238</v>
      </c>
      <c r="K2238" s="5" t="s">
        <v>4290</v>
      </c>
      <c r="L2238" s="5" t="s">
        <v>205</v>
      </c>
      <c r="M2238" s="5" t="s">
        <v>699</v>
      </c>
      <c r="N2238" s="5" t="s">
        <v>278</v>
      </c>
      <c r="O2238" s="5" t="s">
        <v>634</v>
      </c>
      <c r="P2238" s="5" t="str">
        <f aca="false">IF(J2238="S0","—",IF(K2238="","",IF(L2238="E0","QM",INDEX(10_ASIL_Matrix!$D$4:$F$15,MATCH(J2238&amp;"-"&amp;L2238,10_ASIL_Matrix!$C$4:$C$15,0),MATCH(N2238,10_ASIL_Matrix!$D$3:$F$3,0)))))</f>
        <v>—</v>
      </c>
      <c r="Q2238" s="5" t="s">
        <v>448</v>
      </c>
    </row>
    <row r="2239" customFormat="false" ht="46.25" hidden="false" customHeight="false" outlineLevel="0" collapsed="false">
      <c r="A2239" s="6" t="s">
        <v>5163</v>
      </c>
      <c r="B2239" s="6" t="s">
        <v>108</v>
      </c>
      <c r="C2239" s="6" t="s">
        <v>109</v>
      </c>
      <c r="D2239" s="6" t="s">
        <v>167</v>
      </c>
      <c r="E2239" s="6" t="s">
        <v>168</v>
      </c>
      <c r="F2239" s="6" t="s">
        <v>213</v>
      </c>
      <c r="G2239" s="6" t="s">
        <v>689</v>
      </c>
      <c r="H2239" s="6" t="s">
        <v>228</v>
      </c>
      <c r="I2239" s="6" t="s">
        <v>5164</v>
      </c>
      <c r="J2239" s="6" t="s">
        <v>238</v>
      </c>
      <c r="K2239" s="6" t="s">
        <v>4290</v>
      </c>
      <c r="L2239" s="6" t="s">
        <v>205</v>
      </c>
      <c r="M2239" s="6" t="s">
        <v>702</v>
      </c>
      <c r="N2239" s="6" t="s">
        <v>278</v>
      </c>
      <c r="O2239" s="6" t="s">
        <v>634</v>
      </c>
      <c r="P2239" s="6" t="str">
        <f aca="false">IF(J2239="S0","—",IF(K2239="","",IF(L2239="E0","QM",INDEX(10_ASIL_Matrix!$D$4:$F$15,MATCH(J2239&amp;"-"&amp;L2239,10_ASIL_Matrix!$C$4:$C$15,0),MATCH(N2239,10_ASIL_Matrix!$D$3:$F$3,0)))))</f>
        <v>—</v>
      </c>
      <c r="Q2239" s="6" t="s">
        <v>448</v>
      </c>
    </row>
    <row r="2240" customFormat="false" ht="46.25" hidden="false" customHeight="false" outlineLevel="0" collapsed="false">
      <c r="A2240" s="5" t="s">
        <v>5165</v>
      </c>
      <c r="B2240" s="5" t="s">
        <v>108</v>
      </c>
      <c r="C2240" s="5" t="s">
        <v>109</v>
      </c>
      <c r="D2240" s="5" t="s">
        <v>167</v>
      </c>
      <c r="E2240" s="5" t="s">
        <v>168</v>
      </c>
      <c r="F2240" s="5" t="s">
        <v>213</v>
      </c>
      <c r="G2240" s="5" t="s">
        <v>689</v>
      </c>
      <c r="H2240" s="5" t="s">
        <v>230</v>
      </c>
      <c r="I2240" s="5" t="s">
        <v>5166</v>
      </c>
      <c r="J2240" s="5" t="s">
        <v>238</v>
      </c>
      <c r="K2240" s="5" t="s">
        <v>4290</v>
      </c>
      <c r="L2240" s="5" t="s">
        <v>205</v>
      </c>
      <c r="M2240" s="5" t="s">
        <v>705</v>
      </c>
      <c r="N2240" s="5" t="s">
        <v>278</v>
      </c>
      <c r="O2240" s="5" t="s">
        <v>634</v>
      </c>
      <c r="P2240" s="5" t="str">
        <f aca="false">IF(J2240="S0","—",IF(K2240="","",IF(L2240="E0","QM",INDEX(10_ASIL_Matrix!$D$4:$F$15,MATCH(J2240&amp;"-"&amp;L2240,10_ASIL_Matrix!$C$4:$C$15,0),MATCH(N2240,10_ASIL_Matrix!$D$3:$F$3,0)))))</f>
        <v>—</v>
      </c>
      <c r="Q2240" s="5" t="s">
        <v>448</v>
      </c>
    </row>
    <row r="2241" customFormat="false" ht="46.25" hidden="false" customHeight="false" outlineLevel="0" collapsed="false">
      <c r="A2241" s="6" t="s">
        <v>5167</v>
      </c>
      <c r="B2241" s="6" t="s">
        <v>108</v>
      </c>
      <c r="C2241" s="6" t="s">
        <v>109</v>
      </c>
      <c r="D2241" s="6" t="s">
        <v>167</v>
      </c>
      <c r="E2241" s="6" t="s">
        <v>168</v>
      </c>
      <c r="F2241" s="6" t="s">
        <v>213</v>
      </c>
      <c r="G2241" s="6" t="s">
        <v>689</v>
      </c>
      <c r="H2241" s="6" t="s">
        <v>232</v>
      </c>
      <c r="I2241" s="6" t="s">
        <v>5168</v>
      </c>
      <c r="J2241" s="6" t="s">
        <v>238</v>
      </c>
      <c r="K2241" s="6" t="s">
        <v>4290</v>
      </c>
      <c r="L2241" s="6" t="s">
        <v>233</v>
      </c>
      <c r="M2241" s="6" t="s">
        <v>709</v>
      </c>
      <c r="N2241" s="6" t="s">
        <v>278</v>
      </c>
      <c r="O2241" s="6" t="s">
        <v>634</v>
      </c>
      <c r="P2241" s="6" t="str">
        <f aca="false">IF(J2241="S0","—",IF(K2241="","",IF(L2241="E0","QM",INDEX(10_ASIL_Matrix!$D$4:$F$15,MATCH(J2241&amp;"-"&amp;L2241,10_ASIL_Matrix!$C$4:$C$15,0),MATCH(N2241,10_ASIL_Matrix!$D$3:$F$3,0)))))</f>
        <v>—</v>
      </c>
      <c r="Q2241" s="6" t="s">
        <v>448</v>
      </c>
    </row>
    <row r="2242" customFormat="false" ht="35.05" hidden="false" customHeight="false" outlineLevel="0" collapsed="false">
      <c r="A2242" s="5" t="s">
        <v>5169</v>
      </c>
      <c r="B2242" s="5" t="s">
        <v>108</v>
      </c>
      <c r="C2242" s="5" t="s">
        <v>109</v>
      </c>
      <c r="D2242" s="5" t="s">
        <v>167</v>
      </c>
      <c r="E2242" s="5" t="s">
        <v>168</v>
      </c>
      <c r="F2242" s="5" t="s">
        <v>215</v>
      </c>
      <c r="G2242" s="5" t="s">
        <v>711</v>
      </c>
      <c r="H2242" s="5" t="s">
        <v>222</v>
      </c>
      <c r="I2242" s="5" t="s">
        <v>5170</v>
      </c>
      <c r="J2242" s="5" t="s">
        <v>238</v>
      </c>
      <c r="K2242" s="5" t="s">
        <v>4290</v>
      </c>
      <c r="L2242" s="5" t="s">
        <v>190</v>
      </c>
      <c r="M2242" s="5" t="s">
        <v>714</v>
      </c>
      <c r="N2242" s="5" t="s">
        <v>278</v>
      </c>
      <c r="O2242" s="5" t="s">
        <v>634</v>
      </c>
      <c r="P2242" s="5" t="str">
        <f aca="false">IF(J2242="S0","—",IF(K2242="","",IF(L2242="E0","QM",INDEX(10_ASIL_Matrix!$D$4:$F$15,MATCH(J2242&amp;"-"&amp;L2242,10_ASIL_Matrix!$C$4:$C$15,0),MATCH(N2242,10_ASIL_Matrix!$D$3:$F$3,0)))))</f>
        <v>—</v>
      </c>
      <c r="Q2242" s="5" t="s">
        <v>448</v>
      </c>
    </row>
    <row r="2243" customFormat="false" ht="35.05" hidden="false" customHeight="false" outlineLevel="0" collapsed="false">
      <c r="A2243" s="6" t="s">
        <v>5171</v>
      </c>
      <c r="B2243" s="6" t="s">
        <v>108</v>
      </c>
      <c r="C2243" s="6" t="s">
        <v>109</v>
      </c>
      <c r="D2243" s="6" t="s">
        <v>167</v>
      </c>
      <c r="E2243" s="6" t="s">
        <v>168</v>
      </c>
      <c r="F2243" s="6" t="s">
        <v>215</v>
      </c>
      <c r="G2243" s="6" t="s">
        <v>711</v>
      </c>
      <c r="H2243" s="6" t="s">
        <v>224</v>
      </c>
      <c r="I2243" s="6" t="s">
        <v>5172</v>
      </c>
      <c r="J2243" s="6" t="s">
        <v>238</v>
      </c>
      <c r="K2243" s="6" t="s">
        <v>4290</v>
      </c>
      <c r="L2243" s="6" t="s">
        <v>190</v>
      </c>
      <c r="M2243" s="6" t="s">
        <v>717</v>
      </c>
      <c r="N2243" s="6" t="s">
        <v>278</v>
      </c>
      <c r="O2243" s="6" t="s">
        <v>634</v>
      </c>
      <c r="P2243" s="6" t="str">
        <f aca="false">IF(J2243="S0","—",IF(K2243="","",IF(L2243="E0","QM",INDEX(10_ASIL_Matrix!$D$4:$F$15,MATCH(J2243&amp;"-"&amp;L2243,10_ASIL_Matrix!$C$4:$C$15,0),MATCH(N2243,10_ASIL_Matrix!$D$3:$F$3,0)))))</f>
        <v>—</v>
      </c>
      <c r="Q2243" s="6" t="s">
        <v>448</v>
      </c>
    </row>
    <row r="2244" customFormat="false" ht="35.05" hidden="false" customHeight="false" outlineLevel="0" collapsed="false">
      <c r="A2244" s="5" t="s">
        <v>5173</v>
      </c>
      <c r="B2244" s="5" t="s">
        <v>108</v>
      </c>
      <c r="C2244" s="5" t="s">
        <v>109</v>
      </c>
      <c r="D2244" s="5" t="s">
        <v>167</v>
      </c>
      <c r="E2244" s="5" t="s">
        <v>168</v>
      </c>
      <c r="F2244" s="5" t="s">
        <v>215</v>
      </c>
      <c r="G2244" s="5" t="s">
        <v>711</v>
      </c>
      <c r="H2244" s="5" t="s">
        <v>226</v>
      </c>
      <c r="I2244" s="5" t="s">
        <v>5174</v>
      </c>
      <c r="J2244" s="5" t="s">
        <v>238</v>
      </c>
      <c r="K2244" s="5" t="s">
        <v>4290</v>
      </c>
      <c r="L2244" s="5" t="s">
        <v>190</v>
      </c>
      <c r="M2244" s="5" t="s">
        <v>720</v>
      </c>
      <c r="N2244" s="5" t="s">
        <v>278</v>
      </c>
      <c r="O2244" s="5" t="s">
        <v>634</v>
      </c>
      <c r="P2244" s="5" t="str">
        <f aca="false">IF(J2244="S0","—",IF(K2244="","",IF(L2244="E0","QM",INDEX(10_ASIL_Matrix!$D$4:$F$15,MATCH(J2244&amp;"-"&amp;L2244,10_ASIL_Matrix!$C$4:$C$15,0),MATCH(N2244,10_ASIL_Matrix!$D$3:$F$3,0)))))</f>
        <v>—</v>
      </c>
      <c r="Q2244" s="5" t="s">
        <v>448</v>
      </c>
    </row>
    <row r="2245" customFormat="false" ht="35.05" hidden="false" customHeight="false" outlineLevel="0" collapsed="false">
      <c r="A2245" s="6" t="s">
        <v>5175</v>
      </c>
      <c r="B2245" s="6" t="s">
        <v>108</v>
      </c>
      <c r="C2245" s="6" t="s">
        <v>109</v>
      </c>
      <c r="D2245" s="6" t="s">
        <v>167</v>
      </c>
      <c r="E2245" s="6" t="s">
        <v>168</v>
      </c>
      <c r="F2245" s="6" t="s">
        <v>215</v>
      </c>
      <c r="G2245" s="6" t="s">
        <v>711</v>
      </c>
      <c r="H2245" s="6" t="s">
        <v>228</v>
      </c>
      <c r="I2245" s="6" t="s">
        <v>5176</v>
      </c>
      <c r="J2245" s="6" t="s">
        <v>238</v>
      </c>
      <c r="K2245" s="6" t="s">
        <v>4290</v>
      </c>
      <c r="L2245" s="6" t="s">
        <v>205</v>
      </c>
      <c r="M2245" s="6" t="s">
        <v>723</v>
      </c>
      <c r="N2245" s="6" t="s">
        <v>278</v>
      </c>
      <c r="O2245" s="6" t="s">
        <v>634</v>
      </c>
      <c r="P2245" s="6" t="str">
        <f aca="false">IF(J2245="S0","—",IF(K2245="","",IF(L2245="E0","QM",INDEX(10_ASIL_Matrix!$D$4:$F$15,MATCH(J2245&amp;"-"&amp;L2245,10_ASIL_Matrix!$C$4:$C$15,0),MATCH(N2245,10_ASIL_Matrix!$D$3:$F$3,0)))))</f>
        <v>—</v>
      </c>
      <c r="Q2245" s="6" t="s">
        <v>448</v>
      </c>
    </row>
    <row r="2246" customFormat="false" ht="35.05" hidden="false" customHeight="false" outlineLevel="0" collapsed="false">
      <c r="A2246" s="5" t="s">
        <v>5177</v>
      </c>
      <c r="B2246" s="5" t="s">
        <v>108</v>
      </c>
      <c r="C2246" s="5" t="s">
        <v>109</v>
      </c>
      <c r="D2246" s="5" t="s">
        <v>167</v>
      </c>
      <c r="E2246" s="5" t="s">
        <v>168</v>
      </c>
      <c r="F2246" s="5" t="s">
        <v>215</v>
      </c>
      <c r="G2246" s="5" t="s">
        <v>711</v>
      </c>
      <c r="H2246" s="5" t="s">
        <v>230</v>
      </c>
      <c r="I2246" s="5" t="s">
        <v>5178</v>
      </c>
      <c r="J2246" s="5" t="s">
        <v>238</v>
      </c>
      <c r="K2246" s="5" t="s">
        <v>4290</v>
      </c>
      <c r="L2246" s="5" t="s">
        <v>205</v>
      </c>
      <c r="M2246" s="5" t="s">
        <v>726</v>
      </c>
      <c r="N2246" s="5" t="s">
        <v>278</v>
      </c>
      <c r="O2246" s="5" t="s">
        <v>634</v>
      </c>
      <c r="P2246" s="5" t="str">
        <f aca="false">IF(J2246="S0","—",IF(K2246="","",IF(L2246="E0","QM",INDEX(10_ASIL_Matrix!$D$4:$F$15,MATCH(J2246&amp;"-"&amp;L2246,10_ASIL_Matrix!$C$4:$C$15,0),MATCH(N2246,10_ASIL_Matrix!$D$3:$F$3,0)))))</f>
        <v>—</v>
      </c>
      <c r="Q2246" s="5" t="s">
        <v>448</v>
      </c>
    </row>
    <row r="2247" customFormat="false" ht="46.25" hidden="false" customHeight="false" outlineLevel="0" collapsed="false">
      <c r="A2247" s="6" t="s">
        <v>5179</v>
      </c>
      <c r="B2247" s="6" t="s">
        <v>108</v>
      </c>
      <c r="C2247" s="6" t="s">
        <v>109</v>
      </c>
      <c r="D2247" s="6" t="s">
        <v>167</v>
      </c>
      <c r="E2247" s="6" t="s">
        <v>168</v>
      </c>
      <c r="F2247" s="6" t="s">
        <v>215</v>
      </c>
      <c r="G2247" s="6" t="s">
        <v>711</v>
      </c>
      <c r="H2247" s="6" t="s">
        <v>232</v>
      </c>
      <c r="I2247" s="6" t="s">
        <v>5180</v>
      </c>
      <c r="J2247" s="6" t="s">
        <v>238</v>
      </c>
      <c r="K2247" s="6" t="s">
        <v>4290</v>
      </c>
      <c r="L2247" s="6" t="s">
        <v>233</v>
      </c>
      <c r="M2247" s="6" t="s">
        <v>729</v>
      </c>
      <c r="N2247" s="6" t="s">
        <v>278</v>
      </c>
      <c r="O2247" s="6" t="s">
        <v>634</v>
      </c>
      <c r="P2247" s="6" t="str">
        <f aca="false">IF(J2247="S0","—",IF(K2247="","",IF(L2247="E0","QM",INDEX(10_ASIL_Matrix!$D$4:$F$15,MATCH(J2247&amp;"-"&amp;L2247,10_ASIL_Matrix!$C$4:$C$15,0),MATCH(N2247,10_ASIL_Matrix!$D$3:$F$3,0)))))</f>
        <v>—</v>
      </c>
      <c r="Q2247" s="6" t="s">
        <v>448</v>
      </c>
    </row>
    <row r="2248" customFormat="false" ht="35.05" hidden="false" customHeight="false" outlineLevel="0" collapsed="false">
      <c r="A2248" s="5" t="s">
        <v>5181</v>
      </c>
      <c r="B2248" s="5" t="s">
        <v>108</v>
      </c>
      <c r="C2248" s="5" t="s">
        <v>109</v>
      </c>
      <c r="D2248" s="5" t="s">
        <v>167</v>
      </c>
      <c r="E2248" s="5" t="s">
        <v>168</v>
      </c>
      <c r="F2248" s="5" t="s">
        <v>217</v>
      </c>
      <c r="G2248" s="5" t="s">
        <v>488</v>
      </c>
      <c r="H2248" s="5" t="s">
        <v>222</v>
      </c>
      <c r="I2248" s="5" t="s">
        <v>5182</v>
      </c>
      <c r="J2248" s="5" t="s">
        <v>238</v>
      </c>
      <c r="K2248" s="5" t="s">
        <v>4290</v>
      </c>
      <c r="L2248" s="5" t="s">
        <v>190</v>
      </c>
      <c r="M2248" s="5" t="s">
        <v>733</v>
      </c>
      <c r="N2248" s="5" t="s">
        <v>278</v>
      </c>
      <c r="O2248" s="5" t="s">
        <v>634</v>
      </c>
      <c r="P2248" s="5" t="str">
        <f aca="false">IF(J2248="S0","—",IF(K2248="","",IF(L2248="E0","QM",INDEX(10_ASIL_Matrix!$D$4:$F$15,MATCH(J2248&amp;"-"&amp;L2248,10_ASIL_Matrix!$C$4:$C$15,0),MATCH(N2248,10_ASIL_Matrix!$D$3:$F$3,0)))))</f>
        <v>—</v>
      </c>
      <c r="Q2248" s="5" t="s">
        <v>448</v>
      </c>
    </row>
    <row r="2249" customFormat="false" ht="35.05" hidden="false" customHeight="false" outlineLevel="0" collapsed="false">
      <c r="A2249" s="6" t="s">
        <v>5183</v>
      </c>
      <c r="B2249" s="6" t="s">
        <v>108</v>
      </c>
      <c r="C2249" s="6" t="s">
        <v>109</v>
      </c>
      <c r="D2249" s="6" t="s">
        <v>167</v>
      </c>
      <c r="E2249" s="6" t="s">
        <v>168</v>
      </c>
      <c r="F2249" s="6" t="s">
        <v>217</v>
      </c>
      <c r="G2249" s="6" t="s">
        <v>488</v>
      </c>
      <c r="H2249" s="6" t="s">
        <v>224</v>
      </c>
      <c r="I2249" s="6" t="s">
        <v>5184</v>
      </c>
      <c r="J2249" s="6" t="s">
        <v>238</v>
      </c>
      <c r="K2249" s="6" t="s">
        <v>4290</v>
      </c>
      <c r="L2249" s="6" t="s">
        <v>190</v>
      </c>
      <c r="M2249" s="6" t="s">
        <v>736</v>
      </c>
      <c r="N2249" s="6" t="s">
        <v>278</v>
      </c>
      <c r="O2249" s="6" t="s">
        <v>634</v>
      </c>
      <c r="P2249" s="6" t="str">
        <f aca="false">IF(J2249="S0","—",IF(K2249="","",IF(L2249="E0","QM",INDEX(10_ASIL_Matrix!$D$4:$F$15,MATCH(J2249&amp;"-"&amp;L2249,10_ASIL_Matrix!$C$4:$C$15,0),MATCH(N2249,10_ASIL_Matrix!$D$3:$F$3,0)))))</f>
        <v>—</v>
      </c>
      <c r="Q2249" s="6" t="s">
        <v>448</v>
      </c>
    </row>
    <row r="2250" customFormat="false" ht="35.05" hidden="false" customHeight="false" outlineLevel="0" collapsed="false">
      <c r="A2250" s="5" t="s">
        <v>5185</v>
      </c>
      <c r="B2250" s="5" t="s">
        <v>108</v>
      </c>
      <c r="C2250" s="5" t="s">
        <v>109</v>
      </c>
      <c r="D2250" s="5" t="s">
        <v>167</v>
      </c>
      <c r="E2250" s="5" t="s">
        <v>168</v>
      </c>
      <c r="F2250" s="5" t="s">
        <v>217</v>
      </c>
      <c r="G2250" s="5" t="s">
        <v>488</v>
      </c>
      <c r="H2250" s="5" t="s">
        <v>226</v>
      </c>
      <c r="I2250" s="5" t="s">
        <v>5186</v>
      </c>
      <c r="J2250" s="5" t="s">
        <v>238</v>
      </c>
      <c r="K2250" s="5" t="s">
        <v>4290</v>
      </c>
      <c r="L2250" s="5" t="s">
        <v>190</v>
      </c>
      <c r="M2250" s="5" t="s">
        <v>739</v>
      </c>
      <c r="N2250" s="5" t="s">
        <v>278</v>
      </c>
      <c r="O2250" s="5" t="s">
        <v>634</v>
      </c>
      <c r="P2250" s="5" t="str">
        <f aca="false">IF(J2250="S0","—",IF(K2250="","",IF(L2250="E0","QM",INDEX(10_ASIL_Matrix!$D$4:$F$15,MATCH(J2250&amp;"-"&amp;L2250,10_ASIL_Matrix!$C$4:$C$15,0),MATCH(N2250,10_ASIL_Matrix!$D$3:$F$3,0)))))</f>
        <v>—</v>
      </c>
      <c r="Q2250" s="5" t="s">
        <v>448</v>
      </c>
    </row>
    <row r="2251" customFormat="false" ht="35.05" hidden="false" customHeight="false" outlineLevel="0" collapsed="false">
      <c r="A2251" s="6" t="s">
        <v>5187</v>
      </c>
      <c r="B2251" s="6" t="s">
        <v>108</v>
      </c>
      <c r="C2251" s="6" t="s">
        <v>109</v>
      </c>
      <c r="D2251" s="6" t="s">
        <v>167</v>
      </c>
      <c r="E2251" s="6" t="s">
        <v>168</v>
      </c>
      <c r="F2251" s="6" t="s">
        <v>217</v>
      </c>
      <c r="G2251" s="6" t="s">
        <v>488</v>
      </c>
      <c r="H2251" s="6" t="s">
        <v>228</v>
      </c>
      <c r="I2251" s="6" t="s">
        <v>5188</v>
      </c>
      <c r="J2251" s="6" t="s">
        <v>238</v>
      </c>
      <c r="K2251" s="6" t="s">
        <v>4290</v>
      </c>
      <c r="L2251" s="6" t="s">
        <v>205</v>
      </c>
      <c r="M2251" s="6" t="s">
        <v>742</v>
      </c>
      <c r="N2251" s="6" t="s">
        <v>278</v>
      </c>
      <c r="O2251" s="6" t="s">
        <v>634</v>
      </c>
      <c r="P2251" s="6" t="str">
        <f aca="false">IF(J2251="S0","—",IF(K2251="","",IF(L2251="E0","QM",INDEX(10_ASIL_Matrix!$D$4:$F$15,MATCH(J2251&amp;"-"&amp;L2251,10_ASIL_Matrix!$C$4:$C$15,0),MATCH(N2251,10_ASIL_Matrix!$D$3:$F$3,0)))))</f>
        <v>—</v>
      </c>
      <c r="Q2251" s="6" t="s">
        <v>448</v>
      </c>
    </row>
    <row r="2252" customFormat="false" ht="35.05" hidden="false" customHeight="false" outlineLevel="0" collapsed="false">
      <c r="A2252" s="5" t="s">
        <v>5189</v>
      </c>
      <c r="B2252" s="5" t="s">
        <v>108</v>
      </c>
      <c r="C2252" s="5" t="s">
        <v>109</v>
      </c>
      <c r="D2252" s="5" t="s">
        <v>167</v>
      </c>
      <c r="E2252" s="5" t="s">
        <v>168</v>
      </c>
      <c r="F2252" s="5" t="s">
        <v>217</v>
      </c>
      <c r="G2252" s="5" t="s">
        <v>488</v>
      </c>
      <c r="H2252" s="5" t="s">
        <v>230</v>
      </c>
      <c r="I2252" s="5" t="s">
        <v>5190</v>
      </c>
      <c r="J2252" s="5" t="s">
        <v>238</v>
      </c>
      <c r="K2252" s="5" t="s">
        <v>4290</v>
      </c>
      <c r="L2252" s="5" t="s">
        <v>205</v>
      </c>
      <c r="M2252" s="5" t="s">
        <v>745</v>
      </c>
      <c r="N2252" s="5" t="s">
        <v>278</v>
      </c>
      <c r="O2252" s="5" t="s">
        <v>634</v>
      </c>
      <c r="P2252" s="5" t="str">
        <f aca="false">IF(J2252="S0","—",IF(K2252="","",IF(L2252="E0","QM",INDEX(10_ASIL_Matrix!$D$4:$F$15,MATCH(J2252&amp;"-"&amp;L2252,10_ASIL_Matrix!$C$4:$C$15,0),MATCH(N2252,10_ASIL_Matrix!$D$3:$F$3,0)))))</f>
        <v>—</v>
      </c>
      <c r="Q2252" s="5" t="s">
        <v>448</v>
      </c>
    </row>
    <row r="2253" customFormat="false" ht="46.25" hidden="false" customHeight="false" outlineLevel="0" collapsed="false">
      <c r="A2253" s="6" t="s">
        <v>5191</v>
      </c>
      <c r="B2253" s="6" t="s">
        <v>108</v>
      </c>
      <c r="C2253" s="6" t="s">
        <v>109</v>
      </c>
      <c r="D2253" s="6" t="s">
        <v>167</v>
      </c>
      <c r="E2253" s="6" t="s">
        <v>168</v>
      </c>
      <c r="F2253" s="6" t="s">
        <v>217</v>
      </c>
      <c r="G2253" s="6" t="s">
        <v>488</v>
      </c>
      <c r="H2253" s="6" t="s">
        <v>232</v>
      </c>
      <c r="I2253" s="6" t="s">
        <v>5192</v>
      </c>
      <c r="J2253" s="6" t="s">
        <v>238</v>
      </c>
      <c r="K2253" s="6" t="s">
        <v>4290</v>
      </c>
      <c r="L2253" s="6" t="s">
        <v>233</v>
      </c>
      <c r="M2253" s="6" t="s">
        <v>748</v>
      </c>
      <c r="N2253" s="6" t="s">
        <v>278</v>
      </c>
      <c r="O2253" s="6" t="s">
        <v>634</v>
      </c>
      <c r="P2253" s="6" t="str">
        <f aca="false">IF(J2253="S0","—",IF(K2253="","",IF(L2253="E0","QM",INDEX(10_ASIL_Matrix!$D$4:$F$15,MATCH(J2253&amp;"-"&amp;L2253,10_ASIL_Matrix!$C$4:$C$15,0),MATCH(N2253,10_ASIL_Matrix!$D$3:$F$3,0)))))</f>
        <v>—</v>
      </c>
      <c r="Q2253" s="6" t="s">
        <v>448</v>
      </c>
    </row>
    <row r="2254" customFormat="false" ht="35.05" hidden="false" customHeight="false" outlineLevel="0" collapsed="false">
      <c r="A2254" s="5" t="s">
        <v>5193</v>
      </c>
      <c r="B2254" s="5" t="s">
        <v>112</v>
      </c>
      <c r="C2254" s="5" t="s">
        <v>113</v>
      </c>
      <c r="D2254" s="5" t="s">
        <v>143</v>
      </c>
      <c r="E2254" s="5" t="s">
        <v>144</v>
      </c>
      <c r="F2254" s="5" t="s">
        <v>186</v>
      </c>
      <c r="G2254" s="5" t="s">
        <v>443</v>
      </c>
      <c r="H2254" s="5" t="s">
        <v>222</v>
      </c>
      <c r="I2254" s="5" t="s">
        <v>5194</v>
      </c>
      <c r="J2254" s="5" t="s">
        <v>246</v>
      </c>
      <c r="K2254" s="5" t="s">
        <v>2789</v>
      </c>
      <c r="L2254" s="5" t="s">
        <v>187</v>
      </c>
      <c r="M2254" s="5" t="s">
        <v>446</v>
      </c>
      <c r="N2254" s="5" t="s">
        <v>282</v>
      </c>
      <c r="O2254" s="5" t="s">
        <v>2790</v>
      </c>
      <c r="P2254" s="19" t="str">
        <f aca="false">IF(J2254="S0","—",IF(K2254="","",IF(L2254="E0","QM",INDEX(10_ASIL_Matrix!$D$4:$F$15,MATCH(J2254&amp;"-"&amp;L2254,10_ASIL_Matrix!$C$4:$C$15,0),MATCH(N2254,10_ASIL_Matrix!$D$3:$F$3,0)))))</f>
        <v>A</v>
      </c>
      <c r="Q2254" s="5" t="s">
        <v>448</v>
      </c>
    </row>
    <row r="2255" customFormat="false" ht="35.05" hidden="false" customHeight="false" outlineLevel="0" collapsed="false">
      <c r="A2255" s="6" t="s">
        <v>5195</v>
      </c>
      <c r="B2255" s="6" t="s">
        <v>112</v>
      </c>
      <c r="C2255" s="6" t="s">
        <v>113</v>
      </c>
      <c r="D2255" s="6" t="s">
        <v>143</v>
      </c>
      <c r="E2255" s="6" t="s">
        <v>144</v>
      </c>
      <c r="F2255" s="6" t="s">
        <v>186</v>
      </c>
      <c r="G2255" s="6" t="s">
        <v>443</v>
      </c>
      <c r="H2255" s="6" t="s">
        <v>224</v>
      </c>
      <c r="I2255" s="6" t="s">
        <v>5196</v>
      </c>
      <c r="J2255" s="6" t="s">
        <v>246</v>
      </c>
      <c r="K2255" s="6" t="s">
        <v>2789</v>
      </c>
      <c r="L2255" s="6" t="s">
        <v>190</v>
      </c>
      <c r="M2255" s="6" t="s">
        <v>451</v>
      </c>
      <c r="N2255" s="6" t="s">
        <v>282</v>
      </c>
      <c r="O2255" s="6" t="s">
        <v>2790</v>
      </c>
      <c r="P2255" s="6" t="str">
        <f aca="false">IF(J2255="S0","—",IF(K2255="","",IF(L2255="E0","QM",INDEX(10_ASIL_Matrix!$D$4:$F$15,MATCH(J2255&amp;"-"&amp;L2255,10_ASIL_Matrix!$C$4:$C$15,0),MATCH(N2255,10_ASIL_Matrix!$D$3:$F$3,0)))))</f>
        <v>QM</v>
      </c>
      <c r="Q2255" s="6" t="s">
        <v>448</v>
      </c>
    </row>
    <row r="2256" customFormat="false" ht="35.05" hidden="false" customHeight="false" outlineLevel="0" collapsed="false">
      <c r="A2256" s="5" t="s">
        <v>5197</v>
      </c>
      <c r="B2256" s="5" t="s">
        <v>112</v>
      </c>
      <c r="C2256" s="5" t="s">
        <v>113</v>
      </c>
      <c r="D2256" s="5" t="s">
        <v>143</v>
      </c>
      <c r="E2256" s="5" t="s">
        <v>144</v>
      </c>
      <c r="F2256" s="5" t="s">
        <v>186</v>
      </c>
      <c r="G2256" s="5" t="s">
        <v>443</v>
      </c>
      <c r="H2256" s="5" t="s">
        <v>226</v>
      </c>
      <c r="I2256" s="5" t="s">
        <v>5198</v>
      </c>
      <c r="J2256" s="5" t="s">
        <v>246</v>
      </c>
      <c r="K2256" s="5" t="s">
        <v>2789</v>
      </c>
      <c r="L2256" s="5" t="s">
        <v>190</v>
      </c>
      <c r="M2256" s="5" t="s">
        <v>454</v>
      </c>
      <c r="N2256" s="5" t="s">
        <v>282</v>
      </c>
      <c r="O2256" s="5" t="s">
        <v>2790</v>
      </c>
      <c r="P2256" s="5" t="str">
        <f aca="false">IF(J2256="S0","—",IF(K2256="","",IF(L2256="E0","QM",INDEX(10_ASIL_Matrix!$D$4:$F$15,MATCH(J2256&amp;"-"&amp;L2256,10_ASIL_Matrix!$C$4:$C$15,0),MATCH(N2256,10_ASIL_Matrix!$D$3:$F$3,0)))))</f>
        <v>QM</v>
      </c>
      <c r="Q2256" s="5" t="s">
        <v>448</v>
      </c>
    </row>
    <row r="2257" customFormat="false" ht="35.05" hidden="false" customHeight="false" outlineLevel="0" collapsed="false">
      <c r="A2257" s="6" t="s">
        <v>5199</v>
      </c>
      <c r="B2257" s="6" t="s">
        <v>112</v>
      </c>
      <c r="C2257" s="6" t="s">
        <v>113</v>
      </c>
      <c r="D2257" s="6" t="s">
        <v>143</v>
      </c>
      <c r="E2257" s="6" t="s">
        <v>144</v>
      </c>
      <c r="F2257" s="6" t="s">
        <v>186</v>
      </c>
      <c r="G2257" s="6" t="s">
        <v>443</v>
      </c>
      <c r="H2257" s="6" t="s">
        <v>228</v>
      </c>
      <c r="I2257" s="6" t="s">
        <v>5200</v>
      </c>
      <c r="J2257" s="6" t="s">
        <v>246</v>
      </c>
      <c r="K2257" s="6" t="s">
        <v>2789</v>
      </c>
      <c r="L2257" s="6" t="s">
        <v>205</v>
      </c>
      <c r="M2257" s="6" t="s">
        <v>457</v>
      </c>
      <c r="N2257" s="6" t="s">
        <v>282</v>
      </c>
      <c r="O2257" s="6" t="s">
        <v>2790</v>
      </c>
      <c r="P2257" s="6" t="str">
        <f aca="false">IF(J2257="S0","—",IF(K2257="","",IF(L2257="E0","QM",INDEX(10_ASIL_Matrix!$D$4:$F$15,MATCH(J2257&amp;"-"&amp;L2257,10_ASIL_Matrix!$C$4:$C$15,0),MATCH(N2257,10_ASIL_Matrix!$D$3:$F$3,0)))))</f>
        <v>QM</v>
      </c>
      <c r="Q2257" s="6" t="s">
        <v>448</v>
      </c>
    </row>
    <row r="2258" customFormat="false" ht="35.05" hidden="false" customHeight="false" outlineLevel="0" collapsed="false">
      <c r="A2258" s="5" t="s">
        <v>5201</v>
      </c>
      <c r="B2258" s="5" t="s">
        <v>112</v>
      </c>
      <c r="C2258" s="5" t="s">
        <v>113</v>
      </c>
      <c r="D2258" s="5" t="s">
        <v>143</v>
      </c>
      <c r="E2258" s="5" t="s">
        <v>144</v>
      </c>
      <c r="F2258" s="5" t="s">
        <v>186</v>
      </c>
      <c r="G2258" s="5" t="s">
        <v>443</v>
      </c>
      <c r="H2258" s="5" t="s">
        <v>230</v>
      </c>
      <c r="I2258" s="5" t="s">
        <v>5202</v>
      </c>
      <c r="J2258" s="5" t="s">
        <v>250</v>
      </c>
      <c r="K2258" s="5" t="s">
        <v>2799</v>
      </c>
      <c r="L2258" s="5" t="s">
        <v>205</v>
      </c>
      <c r="M2258" s="5" t="s">
        <v>460</v>
      </c>
      <c r="N2258" s="5" t="s">
        <v>286</v>
      </c>
      <c r="O2258" s="5" t="s">
        <v>2800</v>
      </c>
      <c r="P2258" s="19" t="str">
        <f aca="false">IF(J2258="S0","—",IF(K2258="","",IF(L2258="E0","QM",INDEX(10_ASIL_Matrix!$D$4:$F$15,MATCH(J2258&amp;"-"&amp;L2258,10_ASIL_Matrix!$C$4:$C$15,0),MATCH(N2258,10_ASIL_Matrix!$D$3:$F$3,0)))))</f>
        <v>A</v>
      </c>
      <c r="Q2258" s="5" t="s">
        <v>448</v>
      </c>
    </row>
    <row r="2259" customFormat="false" ht="46.25" hidden="false" customHeight="false" outlineLevel="0" collapsed="false">
      <c r="A2259" s="6" t="s">
        <v>5203</v>
      </c>
      <c r="B2259" s="6" t="s">
        <v>112</v>
      </c>
      <c r="C2259" s="6" t="s">
        <v>113</v>
      </c>
      <c r="D2259" s="6" t="s">
        <v>143</v>
      </c>
      <c r="E2259" s="6" t="s">
        <v>144</v>
      </c>
      <c r="F2259" s="6" t="s">
        <v>186</v>
      </c>
      <c r="G2259" s="6" t="s">
        <v>443</v>
      </c>
      <c r="H2259" s="6" t="s">
        <v>232</v>
      </c>
      <c r="I2259" s="6" t="s">
        <v>5204</v>
      </c>
      <c r="J2259" s="6" t="s">
        <v>246</v>
      </c>
      <c r="K2259" s="6" t="s">
        <v>2789</v>
      </c>
      <c r="L2259" s="6" t="s">
        <v>233</v>
      </c>
      <c r="M2259" s="6" t="s">
        <v>464</v>
      </c>
      <c r="N2259" s="6" t="s">
        <v>282</v>
      </c>
      <c r="O2259" s="6" t="s">
        <v>2790</v>
      </c>
      <c r="P2259" s="6" t="str">
        <f aca="false">IF(J2259="S0","—",IF(K2259="","",IF(L2259="E0","QM",INDEX(10_ASIL_Matrix!$D$4:$F$15,MATCH(J2259&amp;"-"&amp;L2259,10_ASIL_Matrix!$C$4:$C$15,0),MATCH(N2259,10_ASIL_Matrix!$D$3:$F$3,0)))))</f>
        <v>QM</v>
      </c>
      <c r="Q2259" s="6" t="s">
        <v>448</v>
      </c>
    </row>
    <row r="2260" customFormat="false" ht="35.05" hidden="false" customHeight="false" outlineLevel="0" collapsed="false">
      <c r="A2260" s="5" t="s">
        <v>5205</v>
      </c>
      <c r="B2260" s="5" t="s">
        <v>112</v>
      </c>
      <c r="C2260" s="5" t="s">
        <v>113</v>
      </c>
      <c r="D2260" s="5" t="s">
        <v>143</v>
      </c>
      <c r="E2260" s="5" t="s">
        <v>144</v>
      </c>
      <c r="F2260" s="5" t="s">
        <v>189</v>
      </c>
      <c r="G2260" s="5" t="s">
        <v>466</v>
      </c>
      <c r="H2260" s="5" t="s">
        <v>222</v>
      </c>
      <c r="I2260" s="5" t="s">
        <v>5206</v>
      </c>
      <c r="J2260" s="5" t="s">
        <v>246</v>
      </c>
      <c r="K2260" s="5" t="s">
        <v>2805</v>
      </c>
      <c r="L2260" s="5" t="s">
        <v>190</v>
      </c>
      <c r="M2260" s="5" t="s">
        <v>469</v>
      </c>
      <c r="N2260" s="5" t="s">
        <v>282</v>
      </c>
      <c r="O2260" s="5" t="s">
        <v>2790</v>
      </c>
      <c r="P2260" s="5" t="str">
        <f aca="false">IF(J2260="S0","—",IF(K2260="","",IF(L2260="E0","QM",INDEX(10_ASIL_Matrix!$D$4:$F$15,MATCH(J2260&amp;"-"&amp;L2260,10_ASIL_Matrix!$C$4:$C$15,0),MATCH(N2260,10_ASIL_Matrix!$D$3:$F$3,0)))))</f>
        <v>QM</v>
      </c>
      <c r="Q2260" s="5" t="s">
        <v>448</v>
      </c>
    </row>
    <row r="2261" customFormat="false" ht="35.05" hidden="false" customHeight="false" outlineLevel="0" collapsed="false">
      <c r="A2261" s="6" t="s">
        <v>5207</v>
      </c>
      <c r="B2261" s="6" t="s">
        <v>112</v>
      </c>
      <c r="C2261" s="6" t="s">
        <v>113</v>
      </c>
      <c r="D2261" s="6" t="s">
        <v>143</v>
      </c>
      <c r="E2261" s="6" t="s">
        <v>144</v>
      </c>
      <c r="F2261" s="6" t="s">
        <v>189</v>
      </c>
      <c r="G2261" s="6" t="s">
        <v>466</v>
      </c>
      <c r="H2261" s="6" t="s">
        <v>224</v>
      </c>
      <c r="I2261" s="6" t="s">
        <v>5208</v>
      </c>
      <c r="J2261" s="6" t="s">
        <v>250</v>
      </c>
      <c r="K2261" s="6" t="s">
        <v>2808</v>
      </c>
      <c r="L2261" s="6" t="s">
        <v>190</v>
      </c>
      <c r="M2261" s="6" t="s">
        <v>473</v>
      </c>
      <c r="N2261" s="6" t="s">
        <v>282</v>
      </c>
      <c r="O2261" s="6" t="s">
        <v>2809</v>
      </c>
      <c r="P2261" s="19" t="str">
        <f aca="false">IF(J2261="S0","—",IF(K2261="","",IF(L2261="E0","QM",INDEX(10_ASIL_Matrix!$D$4:$F$15,MATCH(J2261&amp;"-"&amp;L2261,10_ASIL_Matrix!$C$4:$C$15,0),MATCH(N2261,10_ASIL_Matrix!$D$3:$F$3,0)))))</f>
        <v>A</v>
      </c>
      <c r="Q2261" s="6" t="s">
        <v>448</v>
      </c>
    </row>
    <row r="2262" customFormat="false" ht="35.05" hidden="false" customHeight="false" outlineLevel="0" collapsed="false">
      <c r="A2262" s="5" t="s">
        <v>5209</v>
      </c>
      <c r="B2262" s="5" t="s">
        <v>112</v>
      </c>
      <c r="C2262" s="5" t="s">
        <v>113</v>
      </c>
      <c r="D2262" s="5" t="s">
        <v>143</v>
      </c>
      <c r="E2262" s="5" t="s">
        <v>144</v>
      </c>
      <c r="F2262" s="5" t="s">
        <v>189</v>
      </c>
      <c r="G2262" s="5" t="s">
        <v>466</v>
      </c>
      <c r="H2262" s="5" t="s">
        <v>226</v>
      </c>
      <c r="I2262" s="5" t="s">
        <v>5210</v>
      </c>
      <c r="J2262" s="5" t="s">
        <v>246</v>
      </c>
      <c r="K2262" s="5" t="s">
        <v>2805</v>
      </c>
      <c r="L2262" s="5" t="s">
        <v>190</v>
      </c>
      <c r="M2262" s="5" t="s">
        <v>476</v>
      </c>
      <c r="N2262" s="5" t="s">
        <v>282</v>
      </c>
      <c r="O2262" s="5" t="s">
        <v>2790</v>
      </c>
      <c r="P2262" s="5" t="str">
        <f aca="false">IF(J2262="S0","—",IF(K2262="","",IF(L2262="E0","QM",INDEX(10_ASIL_Matrix!$D$4:$F$15,MATCH(J2262&amp;"-"&amp;L2262,10_ASIL_Matrix!$C$4:$C$15,0),MATCH(N2262,10_ASIL_Matrix!$D$3:$F$3,0)))))</f>
        <v>QM</v>
      </c>
      <c r="Q2262" s="5" t="s">
        <v>448</v>
      </c>
    </row>
    <row r="2263" customFormat="false" ht="35.05" hidden="false" customHeight="false" outlineLevel="0" collapsed="false">
      <c r="A2263" s="6" t="s">
        <v>5211</v>
      </c>
      <c r="B2263" s="6" t="s">
        <v>112</v>
      </c>
      <c r="C2263" s="6" t="s">
        <v>113</v>
      </c>
      <c r="D2263" s="6" t="s">
        <v>143</v>
      </c>
      <c r="E2263" s="6" t="s">
        <v>144</v>
      </c>
      <c r="F2263" s="6" t="s">
        <v>189</v>
      </c>
      <c r="G2263" s="6" t="s">
        <v>466</v>
      </c>
      <c r="H2263" s="6" t="s">
        <v>228</v>
      </c>
      <c r="I2263" s="6" t="s">
        <v>5212</v>
      </c>
      <c r="J2263" s="6" t="s">
        <v>250</v>
      </c>
      <c r="K2263" s="6" t="s">
        <v>2808</v>
      </c>
      <c r="L2263" s="6" t="s">
        <v>205</v>
      </c>
      <c r="M2263" s="6" t="s">
        <v>479</v>
      </c>
      <c r="N2263" s="6" t="s">
        <v>282</v>
      </c>
      <c r="O2263" s="6" t="s">
        <v>2809</v>
      </c>
      <c r="P2263" s="6" t="str">
        <f aca="false">IF(J2263="S0","—",IF(K2263="","",IF(L2263="E0","QM",INDEX(10_ASIL_Matrix!$D$4:$F$15,MATCH(J2263&amp;"-"&amp;L2263,10_ASIL_Matrix!$C$4:$C$15,0),MATCH(N2263,10_ASIL_Matrix!$D$3:$F$3,0)))))</f>
        <v>QM</v>
      </c>
      <c r="Q2263" s="6" t="s">
        <v>448</v>
      </c>
    </row>
    <row r="2264" customFormat="false" ht="35.05" hidden="false" customHeight="false" outlineLevel="0" collapsed="false">
      <c r="A2264" s="5" t="s">
        <v>5213</v>
      </c>
      <c r="B2264" s="5" t="s">
        <v>112</v>
      </c>
      <c r="C2264" s="5" t="s">
        <v>113</v>
      </c>
      <c r="D2264" s="5" t="s">
        <v>143</v>
      </c>
      <c r="E2264" s="5" t="s">
        <v>144</v>
      </c>
      <c r="F2264" s="5" t="s">
        <v>189</v>
      </c>
      <c r="G2264" s="5" t="s">
        <v>466</v>
      </c>
      <c r="H2264" s="5" t="s">
        <v>230</v>
      </c>
      <c r="I2264" s="5" t="s">
        <v>5214</v>
      </c>
      <c r="J2264" s="5" t="s">
        <v>250</v>
      </c>
      <c r="K2264" s="5" t="s">
        <v>2816</v>
      </c>
      <c r="L2264" s="5" t="s">
        <v>205</v>
      </c>
      <c r="M2264" s="5" t="s">
        <v>482</v>
      </c>
      <c r="N2264" s="5" t="s">
        <v>286</v>
      </c>
      <c r="O2264" s="5" t="s">
        <v>2800</v>
      </c>
      <c r="P2264" s="19" t="str">
        <f aca="false">IF(J2264="S0","—",IF(K2264="","",IF(L2264="E0","QM",INDEX(10_ASIL_Matrix!$D$4:$F$15,MATCH(J2264&amp;"-"&amp;L2264,10_ASIL_Matrix!$C$4:$C$15,0),MATCH(N2264,10_ASIL_Matrix!$D$3:$F$3,0)))))</f>
        <v>A</v>
      </c>
      <c r="Q2264" s="5" t="s">
        <v>448</v>
      </c>
    </row>
    <row r="2265" customFormat="false" ht="46.25" hidden="false" customHeight="false" outlineLevel="0" collapsed="false">
      <c r="A2265" s="6" t="s">
        <v>5215</v>
      </c>
      <c r="B2265" s="6" t="s">
        <v>112</v>
      </c>
      <c r="C2265" s="6" t="s">
        <v>113</v>
      </c>
      <c r="D2265" s="6" t="s">
        <v>143</v>
      </c>
      <c r="E2265" s="6" t="s">
        <v>144</v>
      </c>
      <c r="F2265" s="6" t="s">
        <v>189</v>
      </c>
      <c r="G2265" s="6" t="s">
        <v>466</v>
      </c>
      <c r="H2265" s="6" t="s">
        <v>232</v>
      </c>
      <c r="I2265" s="6" t="s">
        <v>5216</v>
      </c>
      <c r="J2265" s="6" t="s">
        <v>246</v>
      </c>
      <c r="K2265" s="6" t="s">
        <v>2805</v>
      </c>
      <c r="L2265" s="6" t="s">
        <v>233</v>
      </c>
      <c r="M2265" s="6" t="s">
        <v>486</v>
      </c>
      <c r="N2265" s="6" t="s">
        <v>282</v>
      </c>
      <c r="O2265" s="6" t="s">
        <v>2790</v>
      </c>
      <c r="P2265" s="6" t="str">
        <f aca="false">IF(J2265="S0","—",IF(K2265="","",IF(L2265="E0","QM",INDEX(10_ASIL_Matrix!$D$4:$F$15,MATCH(J2265&amp;"-"&amp;L2265,10_ASIL_Matrix!$C$4:$C$15,0),MATCH(N2265,10_ASIL_Matrix!$D$3:$F$3,0)))))</f>
        <v>QM</v>
      </c>
      <c r="Q2265" s="6" t="s">
        <v>448</v>
      </c>
    </row>
    <row r="2266" customFormat="false" ht="35.05" hidden="false" customHeight="false" outlineLevel="0" collapsed="false">
      <c r="A2266" s="5" t="s">
        <v>5217</v>
      </c>
      <c r="B2266" s="5" t="s">
        <v>112</v>
      </c>
      <c r="C2266" s="5" t="s">
        <v>113</v>
      </c>
      <c r="D2266" s="5" t="s">
        <v>143</v>
      </c>
      <c r="E2266" s="5" t="s">
        <v>144</v>
      </c>
      <c r="F2266" s="5" t="s">
        <v>192</v>
      </c>
      <c r="G2266" s="5" t="s">
        <v>488</v>
      </c>
      <c r="H2266" s="5" t="s">
        <v>222</v>
      </c>
      <c r="I2266" s="5" t="s">
        <v>5218</v>
      </c>
      <c r="J2266" s="5" t="s">
        <v>246</v>
      </c>
      <c r="K2266" s="5" t="s">
        <v>2821</v>
      </c>
      <c r="L2266" s="5" t="s">
        <v>187</v>
      </c>
      <c r="M2266" s="5" t="s">
        <v>491</v>
      </c>
      <c r="N2266" s="5" t="s">
        <v>282</v>
      </c>
      <c r="O2266" s="5" t="s">
        <v>2790</v>
      </c>
      <c r="P2266" s="19" t="str">
        <f aca="false">IF(J2266="S0","—",IF(K2266="","",IF(L2266="E0","QM",INDEX(10_ASIL_Matrix!$D$4:$F$15,MATCH(J2266&amp;"-"&amp;L2266,10_ASIL_Matrix!$C$4:$C$15,0),MATCH(N2266,10_ASIL_Matrix!$D$3:$F$3,0)))))</f>
        <v>A</v>
      </c>
      <c r="Q2266" s="5" t="s">
        <v>448</v>
      </c>
    </row>
    <row r="2267" customFormat="false" ht="35.05" hidden="false" customHeight="false" outlineLevel="0" collapsed="false">
      <c r="A2267" s="6" t="s">
        <v>5219</v>
      </c>
      <c r="B2267" s="6" t="s">
        <v>112</v>
      </c>
      <c r="C2267" s="6" t="s">
        <v>113</v>
      </c>
      <c r="D2267" s="6" t="s">
        <v>143</v>
      </c>
      <c r="E2267" s="6" t="s">
        <v>144</v>
      </c>
      <c r="F2267" s="6" t="s">
        <v>192</v>
      </c>
      <c r="G2267" s="6" t="s">
        <v>488</v>
      </c>
      <c r="H2267" s="6" t="s">
        <v>224</v>
      </c>
      <c r="I2267" s="6" t="s">
        <v>5220</v>
      </c>
      <c r="J2267" s="6" t="s">
        <v>246</v>
      </c>
      <c r="K2267" s="6" t="s">
        <v>2821</v>
      </c>
      <c r="L2267" s="6" t="s">
        <v>190</v>
      </c>
      <c r="M2267" s="6" t="s">
        <v>494</v>
      </c>
      <c r="N2267" s="6" t="s">
        <v>282</v>
      </c>
      <c r="O2267" s="6" t="s">
        <v>2790</v>
      </c>
      <c r="P2267" s="6" t="str">
        <f aca="false">IF(J2267="S0","—",IF(K2267="","",IF(L2267="E0","QM",INDEX(10_ASIL_Matrix!$D$4:$F$15,MATCH(J2267&amp;"-"&amp;L2267,10_ASIL_Matrix!$C$4:$C$15,0),MATCH(N2267,10_ASIL_Matrix!$D$3:$F$3,0)))))</f>
        <v>QM</v>
      </c>
      <c r="Q2267" s="6" t="s">
        <v>448</v>
      </c>
    </row>
    <row r="2268" customFormat="false" ht="35.05" hidden="false" customHeight="false" outlineLevel="0" collapsed="false">
      <c r="A2268" s="5" t="s">
        <v>5221</v>
      </c>
      <c r="B2268" s="5" t="s">
        <v>112</v>
      </c>
      <c r="C2268" s="5" t="s">
        <v>113</v>
      </c>
      <c r="D2268" s="5" t="s">
        <v>143</v>
      </c>
      <c r="E2268" s="5" t="s">
        <v>144</v>
      </c>
      <c r="F2268" s="5" t="s">
        <v>192</v>
      </c>
      <c r="G2268" s="5" t="s">
        <v>488</v>
      </c>
      <c r="H2268" s="5" t="s">
        <v>226</v>
      </c>
      <c r="I2268" s="5" t="s">
        <v>5222</v>
      </c>
      <c r="J2268" s="5" t="s">
        <v>246</v>
      </c>
      <c r="K2268" s="5" t="s">
        <v>2821</v>
      </c>
      <c r="L2268" s="5" t="s">
        <v>190</v>
      </c>
      <c r="M2268" s="5" t="s">
        <v>497</v>
      </c>
      <c r="N2268" s="5" t="s">
        <v>282</v>
      </c>
      <c r="O2268" s="5" t="s">
        <v>2790</v>
      </c>
      <c r="P2268" s="5" t="str">
        <f aca="false">IF(J2268="S0","—",IF(K2268="","",IF(L2268="E0","QM",INDEX(10_ASIL_Matrix!$D$4:$F$15,MATCH(J2268&amp;"-"&amp;L2268,10_ASIL_Matrix!$C$4:$C$15,0),MATCH(N2268,10_ASIL_Matrix!$D$3:$F$3,0)))))</f>
        <v>QM</v>
      </c>
      <c r="Q2268" s="5" t="s">
        <v>448</v>
      </c>
    </row>
    <row r="2269" customFormat="false" ht="35.05" hidden="false" customHeight="false" outlineLevel="0" collapsed="false">
      <c r="A2269" s="6" t="s">
        <v>5223</v>
      </c>
      <c r="B2269" s="6" t="s">
        <v>112</v>
      </c>
      <c r="C2269" s="6" t="s">
        <v>113</v>
      </c>
      <c r="D2269" s="6" t="s">
        <v>143</v>
      </c>
      <c r="E2269" s="6" t="s">
        <v>144</v>
      </c>
      <c r="F2269" s="6" t="s">
        <v>192</v>
      </c>
      <c r="G2269" s="6" t="s">
        <v>488</v>
      </c>
      <c r="H2269" s="6" t="s">
        <v>228</v>
      </c>
      <c r="I2269" s="6" t="s">
        <v>5224</v>
      </c>
      <c r="J2269" s="6" t="s">
        <v>246</v>
      </c>
      <c r="K2269" s="6" t="s">
        <v>2821</v>
      </c>
      <c r="L2269" s="6" t="s">
        <v>205</v>
      </c>
      <c r="M2269" s="6" t="s">
        <v>500</v>
      </c>
      <c r="N2269" s="6" t="s">
        <v>282</v>
      </c>
      <c r="O2269" s="6" t="s">
        <v>2790</v>
      </c>
      <c r="P2269" s="6" t="str">
        <f aca="false">IF(J2269="S0","—",IF(K2269="","",IF(L2269="E0","QM",INDEX(10_ASIL_Matrix!$D$4:$F$15,MATCH(J2269&amp;"-"&amp;L2269,10_ASIL_Matrix!$C$4:$C$15,0),MATCH(N2269,10_ASIL_Matrix!$D$3:$F$3,0)))))</f>
        <v>QM</v>
      </c>
      <c r="Q2269" s="6" t="s">
        <v>448</v>
      </c>
    </row>
    <row r="2270" customFormat="false" ht="35.05" hidden="false" customHeight="false" outlineLevel="0" collapsed="false">
      <c r="A2270" s="5" t="s">
        <v>5225</v>
      </c>
      <c r="B2270" s="5" t="s">
        <v>112</v>
      </c>
      <c r="C2270" s="5" t="s">
        <v>113</v>
      </c>
      <c r="D2270" s="5" t="s">
        <v>143</v>
      </c>
      <c r="E2270" s="5" t="s">
        <v>144</v>
      </c>
      <c r="F2270" s="5" t="s">
        <v>192</v>
      </c>
      <c r="G2270" s="5" t="s">
        <v>488</v>
      </c>
      <c r="H2270" s="5" t="s">
        <v>230</v>
      </c>
      <c r="I2270" s="5" t="s">
        <v>5226</v>
      </c>
      <c r="J2270" s="5" t="s">
        <v>250</v>
      </c>
      <c r="K2270" s="5" t="s">
        <v>2830</v>
      </c>
      <c r="L2270" s="5" t="s">
        <v>205</v>
      </c>
      <c r="M2270" s="5" t="s">
        <v>503</v>
      </c>
      <c r="N2270" s="5" t="s">
        <v>286</v>
      </c>
      <c r="O2270" s="5" t="s">
        <v>2800</v>
      </c>
      <c r="P2270" s="19" t="str">
        <f aca="false">IF(J2270="S0","—",IF(K2270="","",IF(L2270="E0","QM",INDEX(10_ASIL_Matrix!$D$4:$F$15,MATCH(J2270&amp;"-"&amp;L2270,10_ASIL_Matrix!$C$4:$C$15,0),MATCH(N2270,10_ASIL_Matrix!$D$3:$F$3,0)))))</f>
        <v>A</v>
      </c>
      <c r="Q2270" s="5" t="s">
        <v>448</v>
      </c>
    </row>
    <row r="2271" customFormat="false" ht="46.25" hidden="false" customHeight="false" outlineLevel="0" collapsed="false">
      <c r="A2271" s="6" t="s">
        <v>5227</v>
      </c>
      <c r="B2271" s="6" t="s">
        <v>112</v>
      </c>
      <c r="C2271" s="6" t="s">
        <v>113</v>
      </c>
      <c r="D2271" s="6" t="s">
        <v>143</v>
      </c>
      <c r="E2271" s="6" t="s">
        <v>144</v>
      </c>
      <c r="F2271" s="6" t="s">
        <v>192</v>
      </c>
      <c r="G2271" s="6" t="s">
        <v>488</v>
      </c>
      <c r="H2271" s="6" t="s">
        <v>232</v>
      </c>
      <c r="I2271" s="6" t="s">
        <v>5228</v>
      </c>
      <c r="J2271" s="6" t="s">
        <v>246</v>
      </c>
      <c r="K2271" s="6" t="s">
        <v>2821</v>
      </c>
      <c r="L2271" s="6" t="s">
        <v>233</v>
      </c>
      <c r="M2271" s="6" t="s">
        <v>506</v>
      </c>
      <c r="N2271" s="6" t="s">
        <v>282</v>
      </c>
      <c r="O2271" s="6" t="s">
        <v>2790</v>
      </c>
      <c r="P2271" s="6" t="str">
        <f aca="false">IF(J2271="S0","—",IF(K2271="","",IF(L2271="E0","QM",INDEX(10_ASIL_Matrix!$D$4:$F$15,MATCH(J2271&amp;"-"&amp;L2271,10_ASIL_Matrix!$C$4:$C$15,0),MATCH(N2271,10_ASIL_Matrix!$D$3:$F$3,0)))))</f>
        <v>QM</v>
      </c>
      <c r="Q2271" s="6" t="s">
        <v>448</v>
      </c>
    </row>
    <row r="2272" customFormat="false" ht="35.05" hidden="false" customHeight="false" outlineLevel="0" collapsed="false">
      <c r="A2272" s="5" t="s">
        <v>5229</v>
      </c>
      <c r="B2272" s="5" t="s">
        <v>112</v>
      </c>
      <c r="C2272" s="5" t="s">
        <v>113</v>
      </c>
      <c r="D2272" s="5" t="s">
        <v>143</v>
      </c>
      <c r="E2272" s="5" t="s">
        <v>144</v>
      </c>
      <c r="F2272" s="5" t="s">
        <v>194</v>
      </c>
      <c r="G2272" s="5" t="s">
        <v>508</v>
      </c>
      <c r="H2272" s="5" t="s">
        <v>222</v>
      </c>
      <c r="I2272" s="5" t="s">
        <v>5230</v>
      </c>
      <c r="J2272" s="5" t="s">
        <v>242</v>
      </c>
      <c r="K2272" s="5" t="s">
        <v>2835</v>
      </c>
      <c r="L2272" s="5" t="s">
        <v>190</v>
      </c>
      <c r="M2272" s="5" t="s">
        <v>511</v>
      </c>
      <c r="N2272" s="5" t="s">
        <v>282</v>
      </c>
      <c r="O2272" s="5" t="s">
        <v>2790</v>
      </c>
      <c r="P2272" s="5" t="str">
        <f aca="false">IF(J2272="S0","—",IF(K2272="","",IF(L2272="E0","QM",INDEX(10_ASIL_Matrix!$D$4:$F$15,MATCH(J2272&amp;"-"&amp;L2272,10_ASIL_Matrix!$C$4:$C$15,0),MATCH(N2272,10_ASIL_Matrix!$D$3:$F$3,0)))))</f>
        <v>QM</v>
      </c>
      <c r="Q2272" s="5" t="s">
        <v>448</v>
      </c>
    </row>
    <row r="2273" customFormat="false" ht="35.05" hidden="false" customHeight="false" outlineLevel="0" collapsed="false">
      <c r="A2273" s="6" t="s">
        <v>5231</v>
      </c>
      <c r="B2273" s="6" t="s">
        <v>112</v>
      </c>
      <c r="C2273" s="6" t="s">
        <v>113</v>
      </c>
      <c r="D2273" s="6" t="s">
        <v>143</v>
      </c>
      <c r="E2273" s="6" t="s">
        <v>144</v>
      </c>
      <c r="F2273" s="6" t="s">
        <v>194</v>
      </c>
      <c r="G2273" s="6" t="s">
        <v>508</v>
      </c>
      <c r="H2273" s="6" t="s">
        <v>224</v>
      </c>
      <c r="I2273" s="6" t="s">
        <v>5232</v>
      </c>
      <c r="J2273" s="6" t="s">
        <v>242</v>
      </c>
      <c r="K2273" s="6" t="s">
        <v>2835</v>
      </c>
      <c r="L2273" s="6" t="s">
        <v>190</v>
      </c>
      <c r="M2273" s="6" t="s">
        <v>514</v>
      </c>
      <c r="N2273" s="6" t="s">
        <v>282</v>
      </c>
      <c r="O2273" s="6" t="s">
        <v>2790</v>
      </c>
      <c r="P2273" s="6" t="str">
        <f aca="false">IF(J2273="S0","—",IF(K2273="","",IF(L2273="E0","QM",INDEX(10_ASIL_Matrix!$D$4:$F$15,MATCH(J2273&amp;"-"&amp;L2273,10_ASIL_Matrix!$C$4:$C$15,0),MATCH(N2273,10_ASIL_Matrix!$D$3:$F$3,0)))))</f>
        <v>QM</v>
      </c>
      <c r="Q2273" s="6" t="s">
        <v>448</v>
      </c>
    </row>
    <row r="2274" customFormat="false" ht="35.05" hidden="false" customHeight="false" outlineLevel="0" collapsed="false">
      <c r="A2274" s="5" t="s">
        <v>5233</v>
      </c>
      <c r="B2274" s="5" t="s">
        <v>112</v>
      </c>
      <c r="C2274" s="5" t="s">
        <v>113</v>
      </c>
      <c r="D2274" s="5" t="s">
        <v>143</v>
      </c>
      <c r="E2274" s="5" t="s">
        <v>144</v>
      </c>
      <c r="F2274" s="5" t="s">
        <v>194</v>
      </c>
      <c r="G2274" s="5" t="s">
        <v>508</v>
      </c>
      <c r="H2274" s="5" t="s">
        <v>226</v>
      </c>
      <c r="I2274" s="5" t="s">
        <v>5234</v>
      </c>
      <c r="J2274" s="5" t="s">
        <v>242</v>
      </c>
      <c r="K2274" s="5" t="s">
        <v>2835</v>
      </c>
      <c r="L2274" s="5" t="s">
        <v>190</v>
      </c>
      <c r="M2274" s="5" t="s">
        <v>517</v>
      </c>
      <c r="N2274" s="5" t="s">
        <v>282</v>
      </c>
      <c r="O2274" s="5" t="s">
        <v>2790</v>
      </c>
      <c r="P2274" s="5" t="str">
        <f aca="false">IF(J2274="S0","—",IF(K2274="","",IF(L2274="E0","QM",INDEX(10_ASIL_Matrix!$D$4:$F$15,MATCH(J2274&amp;"-"&amp;L2274,10_ASIL_Matrix!$C$4:$C$15,0),MATCH(N2274,10_ASIL_Matrix!$D$3:$F$3,0)))))</f>
        <v>QM</v>
      </c>
      <c r="Q2274" s="5" t="s">
        <v>448</v>
      </c>
    </row>
    <row r="2275" customFormat="false" ht="35.05" hidden="false" customHeight="false" outlineLevel="0" collapsed="false">
      <c r="A2275" s="6" t="s">
        <v>5235</v>
      </c>
      <c r="B2275" s="6" t="s">
        <v>112</v>
      </c>
      <c r="C2275" s="6" t="s">
        <v>113</v>
      </c>
      <c r="D2275" s="6" t="s">
        <v>143</v>
      </c>
      <c r="E2275" s="6" t="s">
        <v>144</v>
      </c>
      <c r="F2275" s="6" t="s">
        <v>194</v>
      </c>
      <c r="G2275" s="6" t="s">
        <v>508</v>
      </c>
      <c r="H2275" s="6" t="s">
        <v>228</v>
      </c>
      <c r="I2275" s="6" t="s">
        <v>5236</v>
      </c>
      <c r="J2275" s="6" t="s">
        <v>242</v>
      </c>
      <c r="K2275" s="6" t="s">
        <v>2835</v>
      </c>
      <c r="L2275" s="6" t="s">
        <v>205</v>
      </c>
      <c r="M2275" s="6" t="s">
        <v>520</v>
      </c>
      <c r="N2275" s="6" t="s">
        <v>282</v>
      </c>
      <c r="O2275" s="6" t="s">
        <v>2790</v>
      </c>
      <c r="P2275" s="6" t="str">
        <f aca="false">IF(J2275="S0","—",IF(K2275="","",IF(L2275="E0","QM",INDEX(10_ASIL_Matrix!$D$4:$F$15,MATCH(J2275&amp;"-"&amp;L2275,10_ASIL_Matrix!$C$4:$C$15,0),MATCH(N2275,10_ASIL_Matrix!$D$3:$F$3,0)))))</f>
        <v>QM</v>
      </c>
      <c r="Q2275" s="6" t="s">
        <v>448</v>
      </c>
    </row>
    <row r="2276" customFormat="false" ht="35.05" hidden="false" customHeight="false" outlineLevel="0" collapsed="false">
      <c r="A2276" s="5" t="s">
        <v>5237</v>
      </c>
      <c r="B2276" s="5" t="s">
        <v>112</v>
      </c>
      <c r="C2276" s="5" t="s">
        <v>113</v>
      </c>
      <c r="D2276" s="5" t="s">
        <v>143</v>
      </c>
      <c r="E2276" s="5" t="s">
        <v>144</v>
      </c>
      <c r="F2276" s="5" t="s">
        <v>194</v>
      </c>
      <c r="G2276" s="5" t="s">
        <v>508</v>
      </c>
      <c r="H2276" s="5" t="s">
        <v>230</v>
      </c>
      <c r="I2276" s="5" t="s">
        <v>5238</v>
      </c>
      <c r="J2276" s="5" t="s">
        <v>246</v>
      </c>
      <c r="K2276" s="5" t="s">
        <v>2844</v>
      </c>
      <c r="L2276" s="5" t="s">
        <v>205</v>
      </c>
      <c r="M2276" s="5" t="s">
        <v>523</v>
      </c>
      <c r="N2276" s="5" t="s">
        <v>286</v>
      </c>
      <c r="O2276" s="5" t="s">
        <v>2800</v>
      </c>
      <c r="P2276" s="5" t="str">
        <f aca="false">IF(J2276="S0","—",IF(K2276="","",IF(L2276="E0","QM",INDEX(10_ASIL_Matrix!$D$4:$F$15,MATCH(J2276&amp;"-"&amp;L2276,10_ASIL_Matrix!$C$4:$C$15,0),MATCH(N2276,10_ASIL_Matrix!$D$3:$F$3,0)))))</f>
        <v>QM</v>
      </c>
      <c r="Q2276" s="5" t="s">
        <v>448</v>
      </c>
    </row>
    <row r="2277" customFormat="false" ht="46.25" hidden="false" customHeight="false" outlineLevel="0" collapsed="false">
      <c r="A2277" s="6" t="s">
        <v>5239</v>
      </c>
      <c r="B2277" s="6" t="s">
        <v>112</v>
      </c>
      <c r="C2277" s="6" t="s">
        <v>113</v>
      </c>
      <c r="D2277" s="6" t="s">
        <v>143</v>
      </c>
      <c r="E2277" s="6" t="s">
        <v>144</v>
      </c>
      <c r="F2277" s="6" t="s">
        <v>194</v>
      </c>
      <c r="G2277" s="6" t="s">
        <v>508</v>
      </c>
      <c r="H2277" s="6" t="s">
        <v>232</v>
      </c>
      <c r="I2277" s="6" t="s">
        <v>5240</v>
      </c>
      <c r="J2277" s="6" t="s">
        <v>242</v>
      </c>
      <c r="K2277" s="6" t="s">
        <v>2835</v>
      </c>
      <c r="L2277" s="6" t="s">
        <v>233</v>
      </c>
      <c r="M2277" s="6" t="s">
        <v>526</v>
      </c>
      <c r="N2277" s="6" t="s">
        <v>282</v>
      </c>
      <c r="O2277" s="6" t="s">
        <v>2790</v>
      </c>
      <c r="P2277" s="6" t="str">
        <f aca="false">IF(J2277="S0","—",IF(K2277="","",IF(L2277="E0","QM",INDEX(10_ASIL_Matrix!$D$4:$F$15,MATCH(J2277&amp;"-"&amp;L2277,10_ASIL_Matrix!$C$4:$C$15,0),MATCH(N2277,10_ASIL_Matrix!$D$3:$F$3,0)))))</f>
        <v>QM</v>
      </c>
      <c r="Q2277" s="6" t="s">
        <v>448</v>
      </c>
    </row>
    <row r="2278" customFormat="false" ht="35.05" hidden="false" customHeight="false" outlineLevel="0" collapsed="false">
      <c r="A2278" s="5" t="s">
        <v>5241</v>
      </c>
      <c r="B2278" s="5" t="s">
        <v>112</v>
      </c>
      <c r="C2278" s="5" t="s">
        <v>113</v>
      </c>
      <c r="D2278" s="5" t="s">
        <v>143</v>
      </c>
      <c r="E2278" s="5" t="s">
        <v>144</v>
      </c>
      <c r="F2278" s="5" t="s">
        <v>196</v>
      </c>
      <c r="G2278" s="5" t="s">
        <v>528</v>
      </c>
      <c r="H2278" s="5" t="s">
        <v>222</v>
      </c>
      <c r="I2278" s="5" t="s">
        <v>5242</v>
      </c>
      <c r="J2278" s="5" t="s">
        <v>246</v>
      </c>
      <c r="K2278" s="5" t="s">
        <v>2849</v>
      </c>
      <c r="L2278" s="5" t="s">
        <v>187</v>
      </c>
      <c r="M2278" s="5" t="s">
        <v>531</v>
      </c>
      <c r="N2278" s="5" t="s">
        <v>286</v>
      </c>
      <c r="O2278" s="5" t="s">
        <v>2850</v>
      </c>
      <c r="P2278" s="18" t="str">
        <f aca="false">IF(J2278="S0","—",IF(K2278="","",IF(L2278="E0","QM",INDEX(10_ASIL_Matrix!$D$4:$F$15,MATCH(J2278&amp;"-"&amp;L2278,10_ASIL_Matrix!$C$4:$C$15,0),MATCH(N2278,10_ASIL_Matrix!$D$3:$F$3,0)))))</f>
        <v>B</v>
      </c>
      <c r="Q2278" s="5" t="s">
        <v>448</v>
      </c>
    </row>
    <row r="2279" customFormat="false" ht="35.05" hidden="false" customHeight="false" outlineLevel="0" collapsed="false">
      <c r="A2279" s="6" t="s">
        <v>5243</v>
      </c>
      <c r="B2279" s="6" t="s">
        <v>112</v>
      </c>
      <c r="C2279" s="6" t="s">
        <v>113</v>
      </c>
      <c r="D2279" s="6" t="s">
        <v>143</v>
      </c>
      <c r="E2279" s="6" t="s">
        <v>144</v>
      </c>
      <c r="F2279" s="6" t="s">
        <v>196</v>
      </c>
      <c r="G2279" s="6" t="s">
        <v>528</v>
      </c>
      <c r="H2279" s="6" t="s">
        <v>224</v>
      </c>
      <c r="I2279" s="6" t="s">
        <v>5244</v>
      </c>
      <c r="J2279" s="6" t="s">
        <v>246</v>
      </c>
      <c r="K2279" s="6" t="s">
        <v>2849</v>
      </c>
      <c r="L2279" s="6" t="s">
        <v>190</v>
      </c>
      <c r="M2279" s="6" t="s">
        <v>534</v>
      </c>
      <c r="N2279" s="6" t="s">
        <v>286</v>
      </c>
      <c r="O2279" s="6" t="s">
        <v>2850</v>
      </c>
      <c r="P2279" s="19" t="str">
        <f aca="false">IF(J2279="S0","—",IF(K2279="","",IF(L2279="E0","QM",INDEX(10_ASIL_Matrix!$D$4:$F$15,MATCH(J2279&amp;"-"&amp;L2279,10_ASIL_Matrix!$C$4:$C$15,0),MATCH(N2279,10_ASIL_Matrix!$D$3:$F$3,0)))))</f>
        <v>A</v>
      </c>
      <c r="Q2279" s="6" t="s">
        <v>448</v>
      </c>
    </row>
    <row r="2280" customFormat="false" ht="35.05" hidden="false" customHeight="false" outlineLevel="0" collapsed="false">
      <c r="A2280" s="5" t="s">
        <v>5245</v>
      </c>
      <c r="B2280" s="5" t="s">
        <v>112</v>
      </c>
      <c r="C2280" s="5" t="s">
        <v>113</v>
      </c>
      <c r="D2280" s="5" t="s">
        <v>143</v>
      </c>
      <c r="E2280" s="5" t="s">
        <v>144</v>
      </c>
      <c r="F2280" s="5" t="s">
        <v>196</v>
      </c>
      <c r="G2280" s="5" t="s">
        <v>528</v>
      </c>
      <c r="H2280" s="5" t="s">
        <v>226</v>
      </c>
      <c r="I2280" s="5" t="s">
        <v>5246</v>
      </c>
      <c r="J2280" s="5" t="s">
        <v>246</v>
      </c>
      <c r="K2280" s="5" t="s">
        <v>2849</v>
      </c>
      <c r="L2280" s="5" t="s">
        <v>190</v>
      </c>
      <c r="M2280" s="5" t="s">
        <v>537</v>
      </c>
      <c r="N2280" s="5" t="s">
        <v>286</v>
      </c>
      <c r="O2280" s="5" t="s">
        <v>2850</v>
      </c>
      <c r="P2280" s="19" t="str">
        <f aca="false">IF(J2280="S0","—",IF(K2280="","",IF(L2280="E0","QM",INDEX(10_ASIL_Matrix!$D$4:$F$15,MATCH(J2280&amp;"-"&amp;L2280,10_ASIL_Matrix!$C$4:$C$15,0),MATCH(N2280,10_ASIL_Matrix!$D$3:$F$3,0)))))</f>
        <v>A</v>
      </c>
      <c r="Q2280" s="5" t="s">
        <v>448</v>
      </c>
    </row>
    <row r="2281" customFormat="false" ht="35.05" hidden="false" customHeight="false" outlineLevel="0" collapsed="false">
      <c r="A2281" s="6" t="s">
        <v>5247</v>
      </c>
      <c r="B2281" s="6" t="s">
        <v>112</v>
      </c>
      <c r="C2281" s="6" t="s">
        <v>113</v>
      </c>
      <c r="D2281" s="6" t="s">
        <v>143</v>
      </c>
      <c r="E2281" s="6" t="s">
        <v>144</v>
      </c>
      <c r="F2281" s="6" t="s">
        <v>196</v>
      </c>
      <c r="G2281" s="6" t="s">
        <v>528</v>
      </c>
      <c r="H2281" s="6" t="s">
        <v>228</v>
      </c>
      <c r="I2281" s="6" t="s">
        <v>5248</v>
      </c>
      <c r="J2281" s="6" t="s">
        <v>246</v>
      </c>
      <c r="K2281" s="6" t="s">
        <v>2849</v>
      </c>
      <c r="L2281" s="6" t="s">
        <v>205</v>
      </c>
      <c r="M2281" s="6" t="s">
        <v>540</v>
      </c>
      <c r="N2281" s="6" t="s">
        <v>286</v>
      </c>
      <c r="O2281" s="6" t="s">
        <v>2850</v>
      </c>
      <c r="P2281" s="6" t="str">
        <f aca="false">IF(J2281="S0","—",IF(K2281="","",IF(L2281="E0","QM",INDEX(10_ASIL_Matrix!$D$4:$F$15,MATCH(J2281&amp;"-"&amp;L2281,10_ASIL_Matrix!$C$4:$C$15,0),MATCH(N2281,10_ASIL_Matrix!$D$3:$F$3,0)))))</f>
        <v>QM</v>
      </c>
      <c r="Q2281" s="6" t="s">
        <v>448</v>
      </c>
    </row>
    <row r="2282" customFormat="false" ht="35.05" hidden="false" customHeight="false" outlineLevel="0" collapsed="false">
      <c r="A2282" s="5" t="s">
        <v>5249</v>
      </c>
      <c r="B2282" s="5" t="s">
        <v>112</v>
      </c>
      <c r="C2282" s="5" t="s">
        <v>113</v>
      </c>
      <c r="D2282" s="5" t="s">
        <v>143</v>
      </c>
      <c r="E2282" s="5" t="s">
        <v>144</v>
      </c>
      <c r="F2282" s="5" t="s">
        <v>196</v>
      </c>
      <c r="G2282" s="5" t="s">
        <v>528</v>
      </c>
      <c r="H2282" s="5" t="s">
        <v>230</v>
      </c>
      <c r="I2282" s="5" t="s">
        <v>5250</v>
      </c>
      <c r="J2282" s="5" t="s">
        <v>250</v>
      </c>
      <c r="K2282" s="5" t="s">
        <v>2859</v>
      </c>
      <c r="L2282" s="5" t="s">
        <v>205</v>
      </c>
      <c r="M2282" s="5" t="s">
        <v>543</v>
      </c>
      <c r="N2282" s="5" t="s">
        <v>290</v>
      </c>
      <c r="O2282" s="5" t="s">
        <v>2860</v>
      </c>
      <c r="P2282" s="18" t="str">
        <f aca="false">IF(J2282="S0","—",IF(K2282="","",IF(L2282="E0","QM",INDEX(10_ASIL_Matrix!$D$4:$F$15,MATCH(J2282&amp;"-"&amp;L2282,10_ASIL_Matrix!$C$4:$C$15,0),MATCH(N2282,10_ASIL_Matrix!$D$3:$F$3,0)))))</f>
        <v>B</v>
      </c>
      <c r="Q2282" s="5" t="s">
        <v>448</v>
      </c>
    </row>
    <row r="2283" customFormat="false" ht="46.25" hidden="false" customHeight="false" outlineLevel="0" collapsed="false">
      <c r="A2283" s="6" t="s">
        <v>5251</v>
      </c>
      <c r="B2283" s="6" t="s">
        <v>112</v>
      </c>
      <c r="C2283" s="6" t="s">
        <v>113</v>
      </c>
      <c r="D2283" s="6" t="s">
        <v>143</v>
      </c>
      <c r="E2283" s="6" t="s">
        <v>144</v>
      </c>
      <c r="F2283" s="6" t="s">
        <v>196</v>
      </c>
      <c r="G2283" s="6" t="s">
        <v>528</v>
      </c>
      <c r="H2283" s="6" t="s">
        <v>232</v>
      </c>
      <c r="I2283" s="6" t="s">
        <v>5252</v>
      </c>
      <c r="J2283" s="6" t="s">
        <v>246</v>
      </c>
      <c r="K2283" s="6" t="s">
        <v>2849</v>
      </c>
      <c r="L2283" s="6" t="s">
        <v>233</v>
      </c>
      <c r="M2283" s="6" t="s">
        <v>546</v>
      </c>
      <c r="N2283" s="6" t="s">
        <v>286</v>
      </c>
      <c r="O2283" s="6" t="s">
        <v>2850</v>
      </c>
      <c r="P2283" s="6" t="str">
        <f aca="false">IF(J2283="S0","—",IF(K2283="","",IF(L2283="E0","QM",INDEX(10_ASIL_Matrix!$D$4:$F$15,MATCH(J2283&amp;"-"&amp;L2283,10_ASIL_Matrix!$C$4:$C$15,0),MATCH(N2283,10_ASIL_Matrix!$D$3:$F$3,0)))))</f>
        <v>QM</v>
      </c>
      <c r="Q2283" s="6" t="s">
        <v>448</v>
      </c>
    </row>
    <row r="2284" customFormat="false" ht="35.05" hidden="false" customHeight="false" outlineLevel="0" collapsed="false">
      <c r="A2284" s="5" t="s">
        <v>5253</v>
      </c>
      <c r="B2284" s="5" t="s">
        <v>112</v>
      </c>
      <c r="C2284" s="5" t="s">
        <v>113</v>
      </c>
      <c r="D2284" s="5" t="s">
        <v>143</v>
      </c>
      <c r="E2284" s="5" t="s">
        <v>144</v>
      </c>
      <c r="F2284" s="5" t="s">
        <v>198</v>
      </c>
      <c r="G2284" s="5" t="s">
        <v>548</v>
      </c>
      <c r="H2284" s="5" t="s">
        <v>222</v>
      </c>
      <c r="I2284" s="5" t="s">
        <v>5254</v>
      </c>
      <c r="J2284" s="5" t="s">
        <v>242</v>
      </c>
      <c r="K2284" s="5" t="s">
        <v>2865</v>
      </c>
      <c r="L2284" s="5" t="s">
        <v>190</v>
      </c>
      <c r="M2284" s="5" t="s">
        <v>551</v>
      </c>
      <c r="N2284" s="5" t="s">
        <v>282</v>
      </c>
      <c r="O2284" s="5" t="s">
        <v>2790</v>
      </c>
      <c r="P2284" s="5" t="str">
        <f aca="false">IF(J2284="S0","—",IF(K2284="","",IF(L2284="E0","QM",INDEX(10_ASIL_Matrix!$D$4:$F$15,MATCH(J2284&amp;"-"&amp;L2284,10_ASIL_Matrix!$C$4:$C$15,0),MATCH(N2284,10_ASIL_Matrix!$D$3:$F$3,0)))))</f>
        <v>QM</v>
      </c>
      <c r="Q2284" s="5" t="s">
        <v>448</v>
      </c>
    </row>
    <row r="2285" customFormat="false" ht="35.05" hidden="false" customHeight="false" outlineLevel="0" collapsed="false">
      <c r="A2285" s="6" t="s">
        <v>5255</v>
      </c>
      <c r="B2285" s="6" t="s">
        <v>112</v>
      </c>
      <c r="C2285" s="6" t="s">
        <v>113</v>
      </c>
      <c r="D2285" s="6" t="s">
        <v>143</v>
      </c>
      <c r="E2285" s="6" t="s">
        <v>144</v>
      </c>
      <c r="F2285" s="6" t="s">
        <v>198</v>
      </c>
      <c r="G2285" s="6" t="s">
        <v>548</v>
      </c>
      <c r="H2285" s="6" t="s">
        <v>224</v>
      </c>
      <c r="I2285" s="6" t="s">
        <v>5256</v>
      </c>
      <c r="J2285" s="6" t="s">
        <v>242</v>
      </c>
      <c r="K2285" s="6" t="s">
        <v>2865</v>
      </c>
      <c r="L2285" s="6" t="s">
        <v>190</v>
      </c>
      <c r="M2285" s="6" t="s">
        <v>555</v>
      </c>
      <c r="N2285" s="6" t="s">
        <v>282</v>
      </c>
      <c r="O2285" s="6" t="s">
        <v>2790</v>
      </c>
      <c r="P2285" s="6" t="str">
        <f aca="false">IF(J2285="S0","—",IF(K2285="","",IF(L2285="E0","QM",INDEX(10_ASIL_Matrix!$D$4:$F$15,MATCH(J2285&amp;"-"&amp;L2285,10_ASIL_Matrix!$C$4:$C$15,0),MATCH(N2285,10_ASIL_Matrix!$D$3:$F$3,0)))))</f>
        <v>QM</v>
      </c>
      <c r="Q2285" s="6" t="s">
        <v>448</v>
      </c>
    </row>
    <row r="2286" customFormat="false" ht="35.05" hidden="false" customHeight="false" outlineLevel="0" collapsed="false">
      <c r="A2286" s="5" t="s">
        <v>5257</v>
      </c>
      <c r="B2286" s="5" t="s">
        <v>112</v>
      </c>
      <c r="C2286" s="5" t="s">
        <v>113</v>
      </c>
      <c r="D2286" s="5" t="s">
        <v>143</v>
      </c>
      <c r="E2286" s="5" t="s">
        <v>144</v>
      </c>
      <c r="F2286" s="5" t="s">
        <v>198</v>
      </c>
      <c r="G2286" s="5" t="s">
        <v>548</v>
      </c>
      <c r="H2286" s="5" t="s">
        <v>226</v>
      </c>
      <c r="I2286" s="5" t="s">
        <v>5258</v>
      </c>
      <c r="J2286" s="5" t="s">
        <v>242</v>
      </c>
      <c r="K2286" s="5" t="s">
        <v>2865</v>
      </c>
      <c r="L2286" s="5" t="s">
        <v>190</v>
      </c>
      <c r="M2286" s="5" t="s">
        <v>558</v>
      </c>
      <c r="N2286" s="5" t="s">
        <v>282</v>
      </c>
      <c r="O2286" s="5" t="s">
        <v>2790</v>
      </c>
      <c r="P2286" s="5" t="str">
        <f aca="false">IF(J2286="S0","—",IF(K2286="","",IF(L2286="E0","QM",INDEX(10_ASIL_Matrix!$D$4:$F$15,MATCH(J2286&amp;"-"&amp;L2286,10_ASIL_Matrix!$C$4:$C$15,0),MATCH(N2286,10_ASIL_Matrix!$D$3:$F$3,0)))))</f>
        <v>QM</v>
      </c>
      <c r="Q2286" s="5" t="s">
        <v>448</v>
      </c>
    </row>
    <row r="2287" customFormat="false" ht="35.05" hidden="false" customHeight="false" outlineLevel="0" collapsed="false">
      <c r="A2287" s="6" t="s">
        <v>5259</v>
      </c>
      <c r="B2287" s="6" t="s">
        <v>112</v>
      </c>
      <c r="C2287" s="6" t="s">
        <v>113</v>
      </c>
      <c r="D2287" s="6" t="s">
        <v>143</v>
      </c>
      <c r="E2287" s="6" t="s">
        <v>144</v>
      </c>
      <c r="F2287" s="6" t="s">
        <v>198</v>
      </c>
      <c r="G2287" s="6" t="s">
        <v>548</v>
      </c>
      <c r="H2287" s="6" t="s">
        <v>228</v>
      </c>
      <c r="I2287" s="6" t="s">
        <v>5260</v>
      </c>
      <c r="J2287" s="6" t="s">
        <v>242</v>
      </c>
      <c r="K2287" s="6" t="s">
        <v>2865</v>
      </c>
      <c r="L2287" s="6" t="s">
        <v>205</v>
      </c>
      <c r="M2287" s="6" t="s">
        <v>561</v>
      </c>
      <c r="N2287" s="6" t="s">
        <v>282</v>
      </c>
      <c r="O2287" s="6" t="s">
        <v>2790</v>
      </c>
      <c r="P2287" s="6" t="str">
        <f aca="false">IF(J2287="S0","—",IF(K2287="","",IF(L2287="E0","QM",INDEX(10_ASIL_Matrix!$D$4:$F$15,MATCH(J2287&amp;"-"&amp;L2287,10_ASIL_Matrix!$C$4:$C$15,0),MATCH(N2287,10_ASIL_Matrix!$D$3:$F$3,0)))))</f>
        <v>QM</v>
      </c>
      <c r="Q2287" s="6" t="s">
        <v>448</v>
      </c>
    </row>
    <row r="2288" customFormat="false" ht="35.05" hidden="false" customHeight="false" outlineLevel="0" collapsed="false">
      <c r="A2288" s="5" t="s">
        <v>5261</v>
      </c>
      <c r="B2288" s="5" t="s">
        <v>112</v>
      </c>
      <c r="C2288" s="5" t="s">
        <v>113</v>
      </c>
      <c r="D2288" s="5" t="s">
        <v>143</v>
      </c>
      <c r="E2288" s="5" t="s">
        <v>144</v>
      </c>
      <c r="F2288" s="5" t="s">
        <v>198</v>
      </c>
      <c r="G2288" s="5" t="s">
        <v>548</v>
      </c>
      <c r="H2288" s="5" t="s">
        <v>230</v>
      </c>
      <c r="I2288" s="5" t="s">
        <v>5262</v>
      </c>
      <c r="J2288" s="5" t="s">
        <v>246</v>
      </c>
      <c r="K2288" s="5" t="s">
        <v>2874</v>
      </c>
      <c r="L2288" s="5" t="s">
        <v>205</v>
      </c>
      <c r="M2288" s="5" t="s">
        <v>564</v>
      </c>
      <c r="N2288" s="5" t="s">
        <v>286</v>
      </c>
      <c r="O2288" s="5" t="s">
        <v>2800</v>
      </c>
      <c r="P2288" s="5" t="str">
        <f aca="false">IF(J2288="S0","—",IF(K2288="","",IF(L2288="E0","QM",INDEX(10_ASIL_Matrix!$D$4:$F$15,MATCH(J2288&amp;"-"&amp;L2288,10_ASIL_Matrix!$C$4:$C$15,0),MATCH(N2288,10_ASIL_Matrix!$D$3:$F$3,0)))))</f>
        <v>QM</v>
      </c>
      <c r="Q2288" s="5" t="s">
        <v>448</v>
      </c>
    </row>
    <row r="2289" customFormat="false" ht="46.25" hidden="false" customHeight="false" outlineLevel="0" collapsed="false">
      <c r="A2289" s="6" t="s">
        <v>5263</v>
      </c>
      <c r="B2289" s="6" t="s">
        <v>112</v>
      </c>
      <c r="C2289" s="6" t="s">
        <v>113</v>
      </c>
      <c r="D2289" s="6" t="s">
        <v>143</v>
      </c>
      <c r="E2289" s="6" t="s">
        <v>144</v>
      </c>
      <c r="F2289" s="6" t="s">
        <v>198</v>
      </c>
      <c r="G2289" s="6" t="s">
        <v>548</v>
      </c>
      <c r="H2289" s="6" t="s">
        <v>232</v>
      </c>
      <c r="I2289" s="6" t="s">
        <v>5264</v>
      </c>
      <c r="J2289" s="6" t="s">
        <v>242</v>
      </c>
      <c r="K2289" s="6" t="s">
        <v>2865</v>
      </c>
      <c r="L2289" s="6" t="s">
        <v>233</v>
      </c>
      <c r="M2289" s="6" t="s">
        <v>568</v>
      </c>
      <c r="N2289" s="6" t="s">
        <v>282</v>
      </c>
      <c r="O2289" s="6" t="s">
        <v>2790</v>
      </c>
      <c r="P2289" s="6" t="str">
        <f aca="false">IF(J2289="S0","—",IF(K2289="","",IF(L2289="E0","QM",INDEX(10_ASIL_Matrix!$D$4:$F$15,MATCH(J2289&amp;"-"&amp;L2289,10_ASIL_Matrix!$C$4:$C$15,0),MATCH(N2289,10_ASIL_Matrix!$D$3:$F$3,0)))))</f>
        <v>QM</v>
      </c>
      <c r="Q2289" s="6" t="s">
        <v>448</v>
      </c>
    </row>
    <row r="2290" customFormat="false" ht="35.05" hidden="false" customHeight="false" outlineLevel="0" collapsed="false">
      <c r="A2290" s="5" t="s">
        <v>5265</v>
      </c>
      <c r="B2290" s="5" t="s">
        <v>112</v>
      </c>
      <c r="C2290" s="5" t="s">
        <v>113</v>
      </c>
      <c r="D2290" s="5" t="s">
        <v>143</v>
      </c>
      <c r="E2290" s="5" t="s">
        <v>144</v>
      </c>
      <c r="F2290" s="5" t="s">
        <v>200</v>
      </c>
      <c r="G2290" s="5" t="s">
        <v>570</v>
      </c>
      <c r="H2290" s="5" t="s">
        <v>222</v>
      </c>
      <c r="I2290" s="5" t="s">
        <v>5266</v>
      </c>
      <c r="J2290" s="5" t="s">
        <v>242</v>
      </c>
      <c r="K2290" s="5" t="s">
        <v>2879</v>
      </c>
      <c r="L2290" s="5" t="s">
        <v>190</v>
      </c>
      <c r="M2290" s="5" t="s">
        <v>573</v>
      </c>
      <c r="N2290" s="5" t="s">
        <v>282</v>
      </c>
      <c r="O2290" s="5" t="s">
        <v>2790</v>
      </c>
      <c r="P2290" s="5" t="str">
        <f aca="false">IF(J2290="S0","—",IF(K2290="","",IF(L2290="E0","QM",INDEX(10_ASIL_Matrix!$D$4:$F$15,MATCH(J2290&amp;"-"&amp;L2290,10_ASIL_Matrix!$C$4:$C$15,0),MATCH(N2290,10_ASIL_Matrix!$D$3:$F$3,0)))))</f>
        <v>QM</v>
      </c>
      <c r="Q2290" s="5" t="s">
        <v>448</v>
      </c>
    </row>
    <row r="2291" customFormat="false" ht="35.05" hidden="false" customHeight="false" outlineLevel="0" collapsed="false">
      <c r="A2291" s="6" t="s">
        <v>5267</v>
      </c>
      <c r="B2291" s="6" t="s">
        <v>112</v>
      </c>
      <c r="C2291" s="6" t="s">
        <v>113</v>
      </c>
      <c r="D2291" s="6" t="s">
        <v>143</v>
      </c>
      <c r="E2291" s="6" t="s">
        <v>144</v>
      </c>
      <c r="F2291" s="6" t="s">
        <v>200</v>
      </c>
      <c r="G2291" s="6" t="s">
        <v>570</v>
      </c>
      <c r="H2291" s="6" t="s">
        <v>224</v>
      </c>
      <c r="I2291" s="6" t="s">
        <v>5268</v>
      </c>
      <c r="J2291" s="6" t="s">
        <v>242</v>
      </c>
      <c r="K2291" s="6" t="s">
        <v>2879</v>
      </c>
      <c r="L2291" s="6" t="s">
        <v>190</v>
      </c>
      <c r="M2291" s="6" t="s">
        <v>576</v>
      </c>
      <c r="N2291" s="6" t="s">
        <v>282</v>
      </c>
      <c r="O2291" s="6" t="s">
        <v>2790</v>
      </c>
      <c r="P2291" s="6" t="str">
        <f aca="false">IF(J2291="S0","—",IF(K2291="","",IF(L2291="E0","QM",INDEX(10_ASIL_Matrix!$D$4:$F$15,MATCH(J2291&amp;"-"&amp;L2291,10_ASIL_Matrix!$C$4:$C$15,0),MATCH(N2291,10_ASIL_Matrix!$D$3:$F$3,0)))))</f>
        <v>QM</v>
      </c>
      <c r="Q2291" s="6" t="s">
        <v>448</v>
      </c>
    </row>
    <row r="2292" customFormat="false" ht="35.05" hidden="false" customHeight="false" outlineLevel="0" collapsed="false">
      <c r="A2292" s="5" t="s">
        <v>5269</v>
      </c>
      <c r="B2292" s="5" t="s">
        <v>112</v>
      </c>
      <c r="C2292" s="5" t="s">
        <v>113</v>
      </c>
      <c r="D2292" s="5" t="s">
        <v>143</v>
      </c>
      <c r="E2292" s="5" t="s">
        <v>144</v>
      </c>
      <c r="F2292" s="5" t="s">
        <v>200</v>
      </c>
      <c r="G2292" s="5" t="s">
        <v>570</v>
      </c>
      <c r="H2292" s="5" t="s">
        <v>226</v>
      </c>
      <c r="I2292" s="5" t="s">
        <v>5270</v>
      </c>
      <c r="J2292" s="5" t="s">
        <v>242</v>
      </c>
      <c r="K2292" s="5" t="s">
        <v>2879</v>
      </c>
      <c r="L2292" s="5" t="s">
        <v>190</v>
      </c>
      <c r="M2292" s="5" t="s">
        <v>579</v>
      </c>
      <c r="N2292" s="5" t="s">
        <v>282</v>
      </c>
      <c r="O2292" s="5" t="s">
        <v>2790</v>
      </c>
      <c r="P2292" s="5" t="str">
        <f aca="false">IF(J2292="S0","—",IF(K2292="","",IF(L2292="E0","QM",INDEX(10_ASIL_Matrix!$D$4:$F$15,MATCH(J2292&amp;"-"&amp;L2292,10_ASIL_Matrix!$C$4:$C$15,0),MATCH(N2292,10_ASIL_Matrix!$D$3:$F$3,0)))))</f>
        <v>QM</v>
      </c>
      <c r="Q2292" s="5" t="s">
        <v>448</v>
      </c>
    </row>
    <row r="2293" customFormat="false" ht="35.05" hidden="false" customHeight="false" outlineLevel="0" collapsed="false">
      <c r="A2293" s="6" t="s">
        <v>5271</v>
      </c>
      <c r="B2293" s="6" t="s">
        <v>112</v>
      </c>
      <c r="C2293" s="6" t="s">
        <v>113</v>
      </c>
      <c r="D2293" s="6" t="s">
        <v>143</v>
      </c>
      <c r="E2293" s="6" t="s">
        <v>144</v>
      </c>
      <c r="F2293" s="6" t="s">
        <v>200</v>
      </c>
      <c r="G2293" s="6" t="s">
        <v>570</v>
      </c>
      <c r="H2293" s="6" t="s">
        <v>228</v>
      </c>
      <c r="I2293" s="6" t="s">
        <v>5272</v>
      </c>
      <c r="J2293" s="6" t="s">
        <v>242</v>
      </c>
      <c r="K2293" s="6" t="s">
        <v>2879</v>
      </c>
      <c r="L2293" s="6" t="s">
        <v>205</v>
      </c>
      <c r="M2293" s="6" t="s">
        <v>582</v>
      </c>
      <c r="N2293" s="6" t="s">
        <v>282</v>
      </c>
      <c r="O2293" s="6" t="s">
        <v>2790</v>
      </c>
      <c r="P2293" s="6" t="str">
        <f aca="false">IF(J2293="S0","—",IF(K2293="","",IF(L2293="E0","QM",INDEX(10_ASIL_Matrix!$D$4:$F$15,MATCH(J2293&amp;"-"&amp;L2293,10_ASIL_Matrix!$C$4:$C$15,0),MATCH(N2293,10_ASIL_Matrix!$D$3:$F$3,0)))))</f>
        <v>QM</v>
      </c>
      <c r="Q2293" s="6" t="s">
        <v>448</v>
      </c>
    </row>
    <row r="2294" customFormat="false" ht="35.05" hidden="false" customHeight="false" outlineLevel="0" collapsed="false">
      <c r="A2294" s="5" t="s">
        <v>5273</v>
      </c>
      <c r="B2294" s="5" t="s">
        <v>112</v>
      </c>
      <c r="C2294" s="5" t="s">
        <v>113</v>
      </c>
      <c r="D2294" s="5" t="s">
        <v>143</v>
      </c>
      <c r="E2294" s="5" t="s">
        <v>144</v>
      </c>
      <c r="F2294" s="5" t="s">
        <v>200</v>
      </c>
      <c r="G2294" s="5" t="s">
        <v>570</v>
      </c>
      <c r="H2294" s="5" t="s">
        <v>230</v>
      </c>
      <c r="I2294" s="5" t="s">
        <v>5274</v>
      </c>
      <c r="J2294" s="5" t="s">
        <v>246</v>
      </c>
      <c r="K2294" s="5" t="s">
        <v>2888</v>
      </c>
      <c r="L2294" s="5" t="s">
        <v>205</v>
      </c>
      <c r="M2294" s="5" t="s">
        <v>585</v>
      </c>
      <c r="N2294" s="5" t="s">
        <v>286</v>
      </c>
      <c r="O2294" s="5" t="s">
        <v>2800</v>
      </c>
      <c r="P2294" s="5" t="str">
        <f aca="false">IF(J2294="S0","—",IF(K2294="","",IF(L2294="E0","QM",INDEX(10_ASIL_Matrix!$D$4:$F$15,MATCH(J2294&amp;"-"&amp;L2294,10_ASIL_Matrix!$C$4:$C$15,0),MATCH(N2294,10_ASIL_Matrix!$D$3:$F$3,0)))))</f>
        <v>QM</v>
      </c>
      <c r="Q2294" s="5" t="s">
        <v>448</v>
      </c>
    </row>
    <row r="2295" customFormat="false" ht="46.25" hidden="false" customHeight="false" outlineLevel="0" collapsed="false">
      <c r="A2295" s="6" t="s">
        <v>5275</v>
      </c>
      <c r="B2295" s="6" t="s">
        <v>112</v>
      </c>
      <c r="C2295" s="6" t="s">
        <v>113</v>
      </c>
      <c r="D2295" s="6" t="s">
        <v>143</v>
      </c>
      <c r="E2295" s="6" t="s">
        <v>144</v>
      </c>
      <c r="F2295" s="6" t="s">
        <v>200</v>
      </c>
      <c r="G2295" s="6" t="s">
        <v>570</v>
      </c>
      <c r="H2295" s="6" t="s">
        <v>232</v>
      </c>
      <c r="I2295" s="6" t="s">
        <v>5276</v>
      </c>
      <c r="J2295" s="6" t="s">
        <v>242</v>
      </c>
      <c r="K2295" s="6" t="s">
        <v>2879</v>
      </c>
      <c r="L2295" s="6" t="s">
        <v>233</v>
      </c>
      <c r="M2295" s="6" t="s">
        <v>588</v>
      </c>
      <c r="N2295" s="6" t="s">
        <v>282</v>
      </c>
      <c r="O2295" s="6" t="s">
        <v>2790</v>
      </c>
      <c r="P2295" s="6" t="str">
        <f aca="false">IF(J2295="S0","—",IF(K2295="","",IF(L2295="E0","QM",INDEX(10_ASIL_Matrix!$D$4:$F$15,MATCH(J2295&amp;"-"&amp;L2295,10_ASIL_Matrix!$C$4:$C$15,0),MATCH(N2295,10_ASIL_Matrix!$D$3:$F$3,0)))))</f>
        <v>QM</v>
      </c>
      <c r="Q2295" s="6" t="s">
        <v>448</v>
      </c>
    </row>
    <row r="2296" customFormat="false" ht="35.05" hidden="false" customHeight="false" outlineLevel="0" collapsed="false">
      <c r="A2296" s="5" t="s">
        <v>5277</v>
      </c>
      <c r="B2296" s="5" t="s">
        <v>112</v>
      </c>
      <c r="C2296" s="5" t="s">
        <v>113</v>
      </c>
      <c r="D2296" s="5" t="s">
        <v>143</v>
      </c>
      <c r="E2296" s="5" t="s">
        <v>144</v>
      </c>
      <c r="F2296" s="5" t="s">
        <v>202</v>
      </c>
      <c r="G2296" s="5" t="s">
        <v>590</v>
      </c>
      <c r="H2296" s="5" t="s">
        <v>222</v>
      </c>
      <c r="I2296" s="5" t="s">
        <v>5278</v>
      </c>
      <c r="J2296" s="5" t="s">
        <v>246</v>
      </c>
      <c r="K2296" s="5" t="s">
        <v>2893</v>
      </c>
      <c r="L2296" s="5" t="s">
        <v>187</v>
      </c>
      <c r="M2296" s="5" t="s">
        <v>592</v>
      </c>
      <c r="N2296" s="5" t="s">
        <v>286</v>
      </c>
      <c r="O2296" s="5" t="s">
        <v>2850</v>
      </c>
      <c r="P2296" s="18" t="str">
        <f aca="false">IF(J2296="S0","—",IF(K2296="","",IF(L2296="E0","QM",INDEX(10_ASIL_Matrix!$D$4:$F$15,MATCH(J2296&amp;"-"&amp;L2296,10_ASIL_Matrix!$C$4:$C$15,0),MATCH(N2296,10_ASIL_Matrix!$D$3:$F$3,0)))))</f>
        <v>B</v>
      </c>
      <c r="Q2296" s="5" t="s">
        <v>448</v>
      </c>
    </row>
    <row r="2297" customFormat="false" ht="35.05" hidden="false" customHeight="false" outlineLevel="0" collapsed="false">
      <c r="A2297" s="6" t="s">
        <v>5279</v>
      </c>
      <c r="B2297" s="6" t="s">
        <v>112</v>
      </c>
      <c r="C2297" s="6" t="s">
        <v>113</v>
      </c>
      <c r="D2297" s="6" t="s">
        <v>143</v>
      </c>
      <c r="E2297" s="6" t="s">
        <v>144</v>
      </c>
      <c r="F2297" s="6" t="s">
        <v>202</v>
      </c>
      <c r="G2297" s="6" t="s">
        <v>590</v>
      </c>
      <c r="H2297" s="6" t="s">
        <v>224</v>
      </c>
      <c r="I2297" s="6" t="s">
        <v>5280</v>
      </c>
      <c r="J2297" s="6" t="s">
        <v>246</v>
      </c>
      <c r="K2297" s="6" t="s">
        <v>2893</v>
      </c>
      <c r="L2297" s="6" t="s">
        <v>190</v>
      </c>
      <c r="M2297" s="6" t="s">
        <v>595</v>
      </c>
      <c r="N2297" s="6" t="s">
        <v>286</v>
      </c>
      <c r="O2297" s="6" t="s">
        <v>2850</v>
      </c>
      <c r="P2297" s="19" t="str">
        <f aca="false">IF(J2297="S0","—",IF(K2297="","",IF(L2297="E0","QM",INDEX(10_ASIL_Matrix!$D$4:$F$15,MATCH(J2297&amp;"-"&amp;L2297,10_ASIL_Matrix!$C$4:$C$15,0),MATCH(N2297,10_ASIL_Matrix!$D$3:$F$3,0)))))</f>
        <v>A</v>
      </c>
      <c r="Q2297" s="6" t="s">
        <v>448</v>
      </c>
    </row>
    <row r="2298" customFormat="false" ht="35.05" hidden="false" customHeight="false" outlineLevel="0" collapsed="false">
      <c r="A2298" s="5" t="s">
        <v>5281</v>
      </c>
      <c r="B2298" s="5" t="s">
        <v>112</v>
      </c>
      <c r="C2298" s="5" t="s">
        <v>113</v>
      </c>
      <c r="D2298" s="5" t="s">
        <v>143</v>
      </c>
      <c r="E2298" s="5" t="s">
        <v>144</v>
      </c>
      <c r="F2298" s="5" t="s">
        <v>202</v>
      </c>
      <c r="G2298" s="5" t="s">
        <v>590</v>
      </c>
      <c r="H2298" s="5" t="s">
        <v>226</v>
      </c>
      <c r="I2298" s="5" t="s">
        <v>5282</v>
      </c>
      <c r="J2298" s="5" t="s">
        <v>246</v>
      </c>
      <c r="K2298" s="5" t="s">
        <v>2893</v>
      </c>
      <c r="L2298" s="5" t="s">
        <v>190</v>
      </c>
      <c r="M2298" s="5" t="s">
        <v>598</v>
      </c>
      <c r="N2298" s="5" t="s">
        <v>286</v>
      </c>
      <c r="O2298" s="5" t="s">
        <v>2850</v>
      </c>
      <c r="P2298" s="19" t="str">
        <f aca="false">IF(J2298="S0","—",IF(K2298="","",IF(L2298="E0","QM",INDEX(10_ASIL_Matrix!$D$4:$F$15,MATCH(J2298&amp;"-"&amp;L2298,10_ASIL_Matrix!$C$4:$C$15,0),MATCH(N2298,10_ASIL_Matrix!$D$3:$F$3,0)))))</f>
        <v>A</v>
      </c>
      <c r="Q2298" s="5" t="s">
        <v>448</v>
      </c>
    </row>
    <row r="2299" customFormat="false" ht="35.05" hidden="false" customHeight="false" outlineLevel="0" collapsed="false">
      <c r="A2299" s="6" t="s">
        <v>5283</v>
      </c>
      <c r="B2299" s="6" t="s">
        <v>112</v>
      </c>
      <c r="C2299" s="6" t="s">
        <v>113</v>
      </c>
      <c r="D2299" s="6" t="s">
        <v>143</v>
      </c>
      <c r="E2299" s="6" t="s">
        <v>144</v>
      </c>
      <c r="F2299" s="6" t="s">
        <v>202</v>
      </c>
      <c r="G2299" s="6" t="s">
        <v>590</v>
      </c>
      <c r="H2299" s="6" t="s">
        <v>228</v>
      </c>
      <c r="I2299" s="6" t="s">
        <v>5284</v>
      </c>
      <c r="J2299" s="6" t="s">
        <v>246</v>
      </c>
      <c r="K2299" s="6" t="s">
        <v>2893</v>
      </c>
      <c r="L2299" s="6" t="s">
        <v>205</v>
      </c>
      <c r="M2299" s="6" t="s">
        <v>601</v>
      </c>
      <c r="N2299" s="6" t="s">
        <v>286</v>
      </c>
      <c r="O2299" s="6" t="s">
        <v>2850</v>
      </c>
      <c r="P2299" s="6" t="str">
        <f aca="false">IF(J2299="S0","—",IF(K2299="","",IF(L2299="E0","QM",INDEX(10_ASIL_Matrix!$D$4:$F$15,MATCH(J2299&amp;"-"&amp;L2299,10_ASIL_Matrix!$C$4:$C$15,0),MATCH(N2299,10_ASIL_Matrix!$D$3:$F$3,0)))))</f>
        <v>QM</v>
      </c>
      <c r="Q2299" s="6" t="s">
        <v>448</v>
      </c>
    </row>
    <row r="2300" customFormat="false" ht="35.05" hidden="false" customHeight="false" outlineLevel="0" collapsed="false">
      <c r="A2300" s="5" t="s">
        <v>5285</v>
      </c>
      <c r="B2300" s="5" t="s">
        <v>112</v>
      </c>
      <c r="C2300" s="5" t="s">
        <v>113</v>
      </c>
      <c r="D2300" s="5" t="s">
        <v>143</v>
      </c>
      <c r="E2300" s="5" t="s">
        <v>144</v>
      </c>
      <c r="F2300" s="5" t="s">
        <v>202</v>
      </c>
      <c r="G2300" s="5" t="s">
        <v>590</v>
      </c>
      <c r="H2300" s="5" t="s">
        <v>230</v>
      </c>
      <c r="I2300" s="5" t="s">
        <v>5286</v>
      </c>
      <c r="J2300" s="5" t="s">
        <v>250</v>
      </c>
      <c r="K2300" s="5" t="s">
        <v>2902</v>
      </c>
      <c r="L2300" s="5" t="s">
        <v>205</v>
      </c>
      <c r="M2300" s="5" t="s">
        <v>604</v>
      </c>
      <c r="N2300" s="5" t="s">
        <v>290</v>
      </c>
      <c r="O2300" s="5" t="s">
        <v>2860</v>
      </c>
      <c r="P2300" s="18" t="str">
        <f aca="false">IF(J2300="S0","—",IF(K2300="","",IF(L2300="E0","QM",INDEX(10_ASIL_Matrix!$D$4:$F$15,MATCH(J2300&amp;"-"&amp;L2300,10_ASIL_Matrix!$C$4:$C$15,0),MATCH(N2300,10_ASIL_Matrix!$D$3:$F$3,0)))))</f>
        <v>B</v>
      </c>
      <c r="Q2300" s="5" t="s">
        <v>448</v>
      </c>
    </row>
    <row r="2301" customFormat="false" ht="46.25" hidden="false" customHeight="false" outlineLevel="0" collapsed="false">
      <c r="A2301" s="6" t="s">
        <v>5287</v>
      </c>
      <c r="B2301" s="6" t="s">
        <v>112</v>
      </c>
      <c r="C2301" s="6" t="s">
        <v>113</v>
      </c>
      <c r="D2301" s="6" t="s">
        <v>143</v>
      </c>
      <c r="E2301" s="6" t="s">
        <v>144</v>
      </c>
      <c r="F2301" s="6" t="s">
        <v>202</v>
      </c>
      <c r="G2301" s="6" t="s">
        <v>590</v>
      </c>
      <c r="H2301" s="6" t="s">
        <v>232</v>
      </c>
      <c r="I2301" s="6" t="s">
        <v>5288</v>
      </c>
      <c r="J2301" s="6" t="s">
        <v>246</v>
      </c>
      <c r="K2301" s="6" t="s">
        <v>2893</v>
      </c>
      <c r="L2301" s="6" t="s">
        <v>233</v>
      </c>
      <c r="M2301" s="6" t="s">
        <v>607</v>
      </c>
      <c r="N2301" s="6" t="s">
        <v>286</v>
      </c>
      <c r="O2301" s="6" t="s">
        <v>2850</v>
      </c>
      <c r="P2301" s="6" t="str">
        <f aca="false">IF(J2301="S0","—",IF(K2301="","",IF(L2301="E0","QM",INDEX(10_ASIL_Matrix!$D$4:$F$15,MATCH(J2301&amp;"-"&amp;L2301,10_ASIL_Matrix!$C$4:$C$15,0),MATCH(N2301,10_ASIL_Matrix!$D$3:$F$3,0)))))</f>
        <v>QM</v>
      </c>
      <c r="Q2301" s="6" t="s">
        <v>448</v>
      </c>
    </row>
    <row r="2302" customFormat="false" ht="35.05" hidden="false" customHeight="false" outlineLevel="0" collapsed="false">
      <c r="A2302" s="5" t="s">
        <v>5289</v>
      </c>
      <c r="B2302" s="5" t="s">
        <v>112</v>
      </c>
      <c r="C2302" s="5" t="s">
        <v>113</v>
      </c>
      <c r="D2302" s="5" t="s">
        <v>143</v>
      </c>
      <c r="E2302" s="5" t="s">
        <v>144</v>
      </c>
      <c r="F2302" s="5" t="s">
        <v>204</v>
      </c>
      <c r="G2302" s="5" t="s">
        <v>609</v>
      </c>
      <c r="H2302" s="5" t="s">
        <v>222</v>
      </c>
      <c r="I2302" s="5" t="s">
        <v>5290</v>
      </c>
      <c r="J2302" s="5" t="s">
        <v>238</v>
      </c>
      <c r="K2302" s="5" t="s">
        <v>2907</v>
      </c>
      <c r="L2302" s="5" t="s">
        <v>205</v>
      </c>
      <c r="M2302" s="5" t="s">
        <v>612</v>
      </c>
      <c r="N2302" s="5" t="s">
        <v>278</v>
      </c>
      <c r="O2302" s="5" t="s">
        <v>634</v>
      </c>
      <c r="P2302" s="5" t="str">
        <f aca="false">IF(J2302="S0","—",IF(K2302="","",IF(L2302="E0","QM",INDEX(10_ASIL_Matrix!$D$4:$F$15,MATCH(J2302&amp;"-"&amp;L2302,10_ASIL_Matrix!$C$4:$C$15,0),MATCH(N2302,10_ASIL_Matrix!$D$3:$F$3,0)))))</f>
        <v>—</v>
      </c>
      <c r="Q2302" s="5" t="s">
        <v>448</v>
      </c>
    </row>
    <row r="2303" customFormat="false" ht="35.05" hidden="false" customHeight="false" outlineLevel="0" collapsed="false">
      <c r="A2303" s="6" t="s">
        <v>5291</v>
      </c>
      <c r="B2303" s="6" t="s">
        <v>112</v>
      </c>
      <c r="C2303" s="6" t="s">
        <v>113</v>
      </c>
      <c r="D2303" s="6" t="s">
        <v>143</v>
      </c>
      <c r="E2303" s="6" t="s">
        <v>144</v>
      </c>
      <c r="F2303" s="6" t="s">
        <v>204</v>
      </c>
      <c r="G2303" s="6" t="s">
        <v>609</v>
      </c>
      <c r="H2303" s="6" t="s">
        <v>224</v>
      </c>
      <c r="I2303" s="6" t="s">
        <v>5292</v>
      </c>
      <c r="J2303" s="6" t="s">
        <v>238</v>
      </c>
      <c r="K2303" s="6" t="s">
        <v>2907</v>
      </c>
      <c r="L2303" s="6" t="s">
        <v>205</v>
      </c>
      <c r="M2303" s="6" t="s">
        <v>616</v>
      </c>
      <c r="N2303" s="6" t="s">
        <v>278</v>
      </c>
      <c r="O2303" s="6" t="s">
        <v>634</v>
      </c>
      <c r="P2303" s="6" t="str">
        <f aca="false">IF(J2303="S0","—",IF(K2303="","",IF(L2303="E0","QM",INDEX(10_ASIL_Matrix!$D$4:$F$15,MATCH(J2303&amp;"-"&amp;L2303,10_ASIL_Matrix!$C$4:$C$15,0),MATCH(N2303,10_ASIL_Matrix!$D$3:$F$3,0)))))</f>
        <v>—</v>
      </c>
      <c r="Q2303" s="6" t="s">
        <v>448</v>
      </c>
    </row>
    <row r="2304" customFormat="false" ht="35.05" hidden="false" customHeight="false" outlineLevel="0" collapsed="false">
      <c r="A2304" s="5" t="s">
        <v>5293</v>
      </c>
      <c r="B2304" s="5" t="s">
        <v>112</v>
      </c>
      <c r="C2304" s="5" t="s">
        <v>113</v>
      </c>
      <c r="D2304" s="5" t="s">
        <v>143</v>
      </c>
      <c r="E2304" s="5" t="s">
        <v>144</v>
      </c>
      <c r="F2304" s="5" t="s">
        <v>204</v>
      </c>
      <c r="G2304" s="5" t="s">
        <v>609</v>
      </c>
      <c r="H2304" s="5" t="s">
        <v>226</v>
      </c>
      <c r="I2304" s="5" t="s">
        <v>5294</v>
      </c>
      <c r="J2304" s="5" t="s">
        <v>238</v>
      </c>
      <c r="K2304" s="5" t="s">
        <v>2907</v>
      </c>
      <c r="L2304" s="5" t="s">
        <v>205</v>
      </c>
      <c r="M2304" s="5" t="s">
        <v>619</v>
      </c>
      <c r="N2304" s="5" t="s">
        <v>278</v>
      </c>
      <c r="O2304" s="5" t="s">
        <v>634</v>
      </c>
      <c r="P2304" s="5" t="str">
        <f aca="false">IF(J2304="S0","—",IF(K2304="","",IF(L2304="E0","QM",INDEX(10_ASIL_Matrix!$D$4:$F$15,MATCH(J2304&amp;"-"&amp;L2304,10_ASIL_Matrix!$C$4:$C$15,0),MATCH(N2304,10_ASIL_Matrix!$D$3:$F$3,0)))))</f>
        <v>—</v>
      </c>
      <c r="Q2304" s="5" t="s">
        <v>448</v>
      </c>
    </row>
    <row r="2305" customFormat="false" ht="35.05" hidden="false" customHeight="false" outlineLevel="0" collapsed="false">
      <c r="A2305" s="6" t="s">
        <v>5295</v>
      </c>
      <c r="B2305" s="6" t="s">
        <v>112</v>
      </c>
      <c r="C2305" s="6" t="s">
        <v>113</v>
      </c>
      <c r="D2305" s="6" t="s">
        <v>143</v>
      </c>
      <c r="E2305" s="6" t="s">
        <v>144</v>
      </c>
      <c r="F2305" s="6" t="s">
        <v>204</v>
      </c>
      <c r="G2305" s="6" t="s">
        <v>609</v>
      </c>
      <c r="H2305" s="6" t="s">
        <v>228</v>
      </c>
      <c r="I2305" s="6" t="s">
        <v>5296</v>
      </c>
      <c r="J2305" s="6" t="s">
        <v>238</v>
      </c>
      <c r="K2305" s="6" t="s">
        <v>2907</v>
      </c>
      <c r="L2305" s="6" t="s">
        <v>205</v>
      </c>
      <c r="M2305" s="6" t="s">
        <v>622</v>
      </c>
      <c r="N2305" s="6" t="s">
        <v>278</v>
      </c>
      <c r="O2305" s="6" t="s">
        <v>634</v>
      </c>
      <c r="P2305" s="6" t="str">
        <f aca="false">IF(J2305="S0","—",IF(K2305="","",IF(L2305="E0","QM",INDEX(10_ASIL_Matrix!$D$4:$F$15,MATCH(J2305&amp;"-"&amp;L2305,10_ASIL_Matrix!$C$4:$C$15,0),MATCH(N2305,10_ASIL_Matrix!$D$3:$F$3,0)))))</f>
        <v>—</v>
      </c>
      <c r="Q2305" s="6" t="s">
        <v>448</v>
      </c>
    </row>
    <row r="2306" customFormat="false" ht="35.05" hidden="false" customHeight="false" outlineLevel="0" collapsed="false">
      <c r="A2306" s="5" t="s">
        <v>5297</v>
      </c>
      <c r="B2306" s="5" t="s">
        <v>112</v>
      </c>
      <c r="C2306" s="5" t="s">
        <v>113</v>
      </c>
      <c r="D2306" s="5" t="s">
        <v>143</v>
      </c>
      <c r="E2306" s="5" t="s">
        <v>144</v>
      </c>
      <c r="F2306" s="5" t="s">
        <v>204</v>
      </c>
      <c r="G2306" s="5" t="s">
        <v>609</v>
      </c>
      <c r="H2306" s="5" t="s">
        <v>230</v>
      </c>
      <c r="I2306" s="5" t="s">
        <v>5298</v>
      </c>
      <c r="J2306" s="5" t="s">
        <v>238</v>
      </c>
      <c r="K2306" s="5" t="s">
        <v>2907</v>
      </c>
      <c r="L2306" s="5" t="s">
        <v>205</v>
      </c>
      <c r="M2306" s="5" t="s">
        <v>625</v>
      </c>
      <c r="N2306" s="5" t="s">
        <v>278</v>
      </c>
      <c r="O2306" s="5" t="s">
        <v>634</v>
      </c>
      <c r="P2306" s="5" t="str">
        <f aca="false">IF(J2306="S0","—",IF(K2306="","",IF(L2306="E0","QM",INDEX(10_ASIL_Matrix!$D$4:$F$15,MATCH(J2306&amp;"-"&amp;L2306,10_ASIL_Matrix!$C$4:$C$15,0),MATCH(N2306,10_ASIL_Matrix!$D$3:$F$3,0)))))</f>
        <v>—</v>
      </c>
      <c r="Q2306" s="5" t="s">
        <v>448</v>
      </c>
    </row>
    <row r="2307" customFormat="false" ht="46.25" hidden="false" customHeight="false" outlineLevel="0" collapsed="false">
      <c r="A2307" s="6" t="s">
        <v>5299</v>
      </c>
      <c r="B2307" s="6" t="s">
        <v>112</v>
      </c>
      <c r="C2307" s="6" t="s">
        <v>113</v>
      </c>
      <c r="D2307" s="6" t="s">
        <v>143</v>
      </c>
      <c r="E2307" s="6" t="s">
        <v>144</v>
      </c>
      <c r="F2307" s="6" t="s">
        <v>204</v>
      </c>
      <c r="G2307" s="6" t="s">
        <v>609</v>
      </c>
      <c r="H2307" s="6" t="s">
        <v>232</v>
      </c>
      <c r="I2307" s="6" t="s">
        <v>5300</v>
      </c>
      <c r="J2307" s="6" t="s">
        <v>238</v>
      </c>
      <c r="K2307" s="6" t="s">
        <v>2907</v>
      </c>
      <c r="L2307" s="6" t="s">
        <v>233</v>
      </c>
      <c r="M2307" s="6" t="s">
        <v>629</v>
      </c>
      <c r="N2307" s="6" t="s">
        <v>278</v>
      </c>
      <c r="O2307" s="6" t="s">
        <v>634</v>
      </c>
      <c r="P2307" s="6" t="str">
        <f aca="false">IF(J2307="S0","—",IF(K2307="","",IF(L2307="E0","QM",INDEX(10_ASIL_Matrix!$D$4:$F$15,MATCH(J2307&amp;"-"&amp;L2307,10_ASIL_Matrix!$C$4:$C$15,0),MATCH(N2307,10_ASIL_Matrix!$D$3:$F$3,0)))))</f>
        <v>—</v>
      </c>
      <c r="Q2307" s="6" t="s">
        <v>448</v>
      </c>
    </row>
    <row r="2308" customFormat="false" ht="35.05" hidden="false" customHeight="false" outlineLevel="0" collapsed="false">
      <c r="A2308" s="5" t="s">
        <v>5301</v>
      </c>
      <c r="B2308" s="5" t="s">
        <v>112</v>
      </c>
      <c r="C2308" s="5" t="s">
        <v>113</v>
      </c>
      <c r="D2308" s="5" t="s">
        <v>143</v>
      </c>
      <c r="E2308" s="5" t="s">
        <v>144</v>
      </c>
      <c r="F2308" s="5" t="s">
        <v>207</v>
      </c>
      <c r="G2308" s="5" t="s">
        <v>609</v>
      </c>
      <c r="H2308" s="5" t="s">
        <v>222</v>
      </c>
      <c r="I2308" s="5" t="s">
        <v>5302</v>
      </c>
      <c r="J2308" s="5" t="s">
        <v>246</v>
      </c>
      <c r="K2308" s="5" t="s">
        <v>2920</v>
      </c>
      <c r="L2308" s="5" t="s">
        <v>190</v>
      </c>
      <c r="M2308" s="5" t="s">
        <v>633</v>
      </c>
      <c r="N2308" s="5" t="s">
        <v>282</v>
      </c>
      <c r="O2308" s="5" t="s">
        <v>2790</v>
      </c>
      <c r="P2308" s="5" t="str">
        <f aca="false">IF(J2308="S0","—",IF(K2308="","",IF(L2308="E0","QM",INDEX(10_ASIL_Matrix!$D$4:$F$15,MATCH(J2308&amp;"-"&amp;L2308,10_ASIL_Matrix!$C$4:$C$15,0),MATCH(N2308,10_ASIL_Matrix!$D$3:$F$3,0)))))</f>
        <v>QM</v>
      </c>
      <c r="Q2308" s="5" t="s">
        <v>448</v>
      </c>
    </row>
    <row r="2309" customFormat="false" ht="35.05" hidden="false" customHeight="false" outlineLevel="0" collapsed="false">
      <c r="A2309" s="6" t="s">
        <v>5303</v>
      </c>
      <c r="B2309" s="6" t="s">
        <v>112</v>
      </c>
      <c r="C2309" s="6" t="s">
        <v>113</v>
      </c>
      <c r="D2309" s="6" t="s">
        <v>143</v>
      </c>
      <c r="E2309" s="6" t="s">
        <v>144</v>
      </c>
      <c r="F2309" s="6" t="s">
        <v>207</v>
      </c>
      <c r="G2309" s="6" t="s">
        <v>609</v>
      </c>
      <c r="H2309" s="6" t="s">
        <v>224</v>
      </c>
      <c r="I2309" s="6" t="s">
        <v>5304</v>
      </c>
      <c r="J2309" s="6" t="s">
        <v>246</v>
      </c>
      <c r="K2309" s="6" t="s">
        <v>2920</v>
      </c>
      <c r="L2309" s="6" t="s">
        <v>190</v>
      </c>
      <c r="M2309" s="6" t="s">
        <v>637</v>
      </c>
      <c r="N2309" s="6" t="s">
        <v>282</v>
      </c>
      <c r="O2309" s="6" t="s">
        <v>2790</v>
      </c>
      <c r="P2309" s="6" t="str">
        <f aca="false">IF(J2309="S0","—",IF(K2309="","",IF(L2309="E0","QM",INDEX(10_ASIL_Matrix!$D$4:$F$15,MATCH(J2309&amp;"-"&amp;L2309,10_ASIL_Matrix!$C$4:$C$15,0),MATCH(N2309,10_ASIL_Matrix!$D$3:$F$3,0)))))</f>
        <v>QM</v>
      </c>
      <c r="Q2309" s="6" t="s">
        <v>448</v>
      </c>
    </row>
    <row r="2310" customFormat="false" ht="35.05" hidden="false" customHeight="false" outlineLevel="0" collapsed="false">
      <c r="A2310" s="5" t="s">
        <v>5305</v>
      </c>
      <c r="B2310" s="5" t="s">
        <v>112</v>
      </c>
      <c r="C2310" s="5" t="s">
        <v>113</v>
      </c>
      <c r="D2310" s="5" t="s">
        <v>143</v>
      </c>
      <c r="E2310" s="5" t="s">
        <v>144</v>
      </c>
      <c r="F2310" s="5" t="s">
        <v>207</v>
      </c>
      <c r="G2310" s="5" t="s">
        <v>609</v>
      </c>
      <c r="H2310" s="5" t="s">
        <v>226</v>
      </c>
      <c r="I2310" s="5" t="s">
        <v>5306</v>
      </c>
      <c r="J2310" s="5" t="s">
        <v>246</v>
      </c>
      <c r="K2310" s="5" t="s">
        <v>2920</v>
      </c>
      <c r="L2310" s="5" t="s">
        <v>190</v>
      </c>
      <c r="M2310" s="5" t="s">
        <v>640</v>
      </c>
      <c r="N2310" s="5" t="s">
        <v>282</v>
      </c>
      <c r="O2310" s="5" t="s">
        <v>2790</v>
      </c>
      <c r="P2310" s="5" t="str">
        <f aca="false">IF(J2310="S0","—",IF(K2310="","",IF(L2310="E0","QM",INDEX(10_ASIL_Matrix!$D$4:$F$15,MATCH(J2310&amp;"-"&amp;L2310,10_ASIL_Matrix!$C$4:$C$15,0),MATCH(N2310,10_ASIL_Matrix!$D$3:$F$3,0)))))</f>
        <v>QM</v>
      </c>
      <c r="Q2310" s="5" t="s">
        <v>448</v>
      </c>
    </row>
    <row r="2311" customFormat="false" ht="35.05" hidden="false" customHeight="false" outlineLevel="0" collapsed="false">
      <c r="A2311" s="6" t="s">
        <v>5307</v>
      </c>
      <c r="B2311" s="6" t="s">
        <v>112</v>
      </c>
      <c r="C2311" s="6" t="s">
        <v>113</v>
      </c>
      <c r="D2311" s="6" t="s">
        <v>143</v>
      </c>
      <c r="E2311" s="6" t="s">
        <v>144</v>
      </c>
      <c r="F2311" s="6" t="s">
        <v>207</v>
      </c>
      <c r="G2311" s="6" t="s">
        <v>609</v>
      </c>
      <c r="H2311" s="6" t="s">
        <v>228</v>
      </c>
      <c r="I2311" s="6" t="s">
        <v>5308</v>
      </c>
      <c r="J2311" s="6" t="s">
        <v>246</v>
      </c>
      <c r="K2311" s="6" t="s">
        <v>2920</v>
      </c>
      <c r="L2311" s="6" t="s">
        <v>205</v>
      </c>
      <c r="M2311" s="6" t="s">
        <v>643</v>
      </c>
      <c r="N2311" s="6" t="s">
        <v>282</v>
      </c>
      <c r="O2311" s="6" t="s">
        <v>2790</v>
      </c>
      <c r="P2311" s="6" t="str">
        <f aca="false">IF(J2311="S0","—",IF(K2311="","",IF(L2311="E0","QM",INDEX(10_ASIL_Matrix!$D$4:$F$15,MATCH(J2311&amp;"-"&amp;L2311,10_ASIL_Matrix!$C$4:$C$15,0),MATCH(N2311,10_ASIL_Matrix!$D$3:$F$3,0)))))</f>
        <v>QM</v>
      </c>
      <c r="Q2311" s="6" t="s">
        <v>448</v>
      </c>
    </row>
    <row r="2312" customFormat="false" ht="35.05" hidden="false" customHeight="false" outlineLevel="0" collapsed="false">
      <c r="A2312" s="5" t="s">
        <v>5309</v>
      </c>
      <c r="B2312" s="5" t="s">
        <v>112</v>
      </c>
      <c r="C2312" s="5" t="s">
        <v>113</v>
      </c>
      <c r="D2312" s="5" t="s">
        <v>143</v>
      </c>
      <c r="E2312" s="5" t="s">
        <v>144</v>
      </c>
      <c r="F2312" s="5" t="s">
        <v>207</v>
      </c>
      <c r="G2312" s="5" t="s">
        <v>609</v>
      </c>
      <c r="H2312" s="5" t="s">
        <v>230</v>
      </c>
      <c r="I2312" s="5" t="s">
        <v>5310</v>
      </c>
      <c r="J2312" s="5" t="s">
        <v>250</v>
      </c>
      <c r="K2312" s="5" t="s">
        <v>2929</v>
      </c>
      <c r="L2312" s="5" t="s">
        <v>205</v>
      </c>
      <c r="M2312" s="5" t="s">
        <v>646</v>
      </c>
      <c r="N2312" s="5" t="s">
        <v>286</v>
      </c>
      <c r="O2312" s="5" t="s">
        <v>2800</v>
      </c>
      <c r="P2312" s="19" t="str">
        <f aca="false">IF(J2312="S0","—",IF(K2312="","",IF(L2312="E0","QM",INDEX(10_ASIL_Matrix!$D$4:$F$15,MATCH(J2312&amp;"-"&amp;L2312,10_ASIL_Matrix!$C$4:$C$15,0),MATCH(N2312,10_ASIL_Matrix!$D$3:$F$3,0)))))</f>
        <v>A</v>
      </c>
      <c r="Q2312" s="5" t="s">
        <v>448</v>
      </c>
    </row>
    <row r="2313" customFormat="false" ht="46.25" hidden="false" customHeight="false" outlineLevel="0" collapsed="false">
      <c r="A2313" s="6" t="s">
        <v>5311</v>
      </c>
      <c r="B2313" s="6" t="s">
        <v>112</v>
      </c>
      <c r="C2313" s="6" t="s">
        <v>113</v>
      </c>
      <c r="D2313" s="6" t="s">
        <v>143</v>
      </c>
      <c r="E2313" s="6" t="s">
        <v>144</v>
      </c>
      <c r="F2313" s="6" t="s">
        <v>207</v>
      </c>
      <c r="G2313" s="6" t="s">
        <v>609</v>
      </c>
      <c r="H2313" s="6" t="s">
        <v>232</v>
      </c>
      <c r="I2313" s="6" t="s">
        <v>5312</v>
      </c>
      <c r="J2313" s="6" t="s">
        <v>246</v>
      </c>
      <c r="K2313" s="6" t="s">
        <v>2920</v>
      </c>
      <c r="L2313" s="6" t="s">
        <v>233</v>
      </c>
      <c r="M2313" s="6" t="s">
        <v>649</v>
      </c>
      <c r="N2313" s="6" t="s">
        <v>282</v>
      </c>
      <c r="O2313" s="6" t="s">
        <v>2790</v>
      </c>
      <c r="P2313" s="6" t="str">
        <f aca="false">IF(J2313="S0","—",IF(K2313="","",IF(L2313="E0","QM",INDEX(10_ASIL_Matrix!$D$4:$F$15,MATCH(J2313&amp;"-"&amp;L2313,10_ASIL_Matrix!$C$4:$C$15,0),MATCH(N2313,10_ASIL_Matrix!$D$3:$F$3,0)))))</f>
        <v>QM</v>
      </c>
      <c r="Q2313" s="6" t="s">
        <v>448</v>
      </c>
    </row>
    <row r="2314" customFormat="false" ht="35.05" hidden="false" customHeight="false" outlineLevel="0" collapsed="false">
      <c r="A2314" s="5" t="s">
        <v>5313</v>
      </c>
      <c r="B2314" s="5" t="s">
        <v>112</v>
      </c>
      <c r="C2314" s="5" t="s">
        <v>113</v>
      </c>
      <c r="D2314" s="5" t="s">
        <v>143</v>
      </c>
      <c r="E2314" s="5" t="s">
        <v>144</v>
      </c>
      <c r="F2314" s="5" t="s">
        <v>209</v>
      </c>
      <c r="G2314" s="5" t="s">
        <v>570</v>
      </c>
      <c r="H2314" s="5" t="s">
        <v>222</v>
      </c>
      <c r="I2314" s="5" t="s">
        <v>5314</v>
      </c>
      <c r="J2314" s="5" t="s">
        <v>246</v>
      </c>
      <c r="K2314" s="5" t="s">
        <v>2934</v>
      </c>
      <c r="L2314" s="5" t="s">
        <v>190</v>
      </c>
      <c r="M2314" s="5" t="s">
        <v>653</v>
      </c>
      <c r="N2314" s="5" t="s">
        <v>286</v>
      </c>
      <c r="O2314" s="5" t="s">
        <v>2850</v>
      </c>
      <c r="P2314" s="19" t="str">
        <f aca="false">IF(J2314="S0","—",IF(K2314="","",IF(L2314="E0","QM",INDEX(10_ASIL_Matrix!$D$4:$F$15,MATCH(J2314&amp;"-"&amp;L2314,10_ASIL_Matrix!$C$4:$C$15,0),MATCH(N2314,10_ASIL_Matrix!$D$3:$F$3,0)))))</f>
        <v>A</v>
      </c>
      <c r="Q2314" s="5" t="s">
        <v>448</v>
      </c>
    </row>
    <row r="2315" customFormat="false" ht="35.05" hidden="false" customHeight="false" outlineLevel="0" collapsed="false">
      <c r="A2315" s="6" t="s">
        <v>5315</v>
      </c>
      <c r="B2315" s="6" t="s">
        <v>112</v>
      </c>
      <c r="C2315" s="6" t="s">
        <v>113</v>
      </c>
      <c r="D2315" s="6" t="s">
        <v>143</v>
      </c>
      <c r="E2315" s="6" t="s">
        <v>144</v>
      </c>
      <c r="F2315" s="6" t="s">
        <v>209</v>
      </c>
      <c r="G2315" s="6" t="s">
        <v>570</v>
      </c>
      <c r="H2315" s="6" t="s">
        <v>224</v>
      </c>
      <c r="I2315" s="6" t="s">
        <v>5316</v>
      </c>
      <c r="J2315" s="6" t="s">
        <v>246</v>
      </c>
      <c r="K2315" s="6" t="s">
        <v>2934</v>
      </c>
      <c r="L2315" s="6" t="s">
        <v>190</v>
      </c>
      <c r="M2315" s="6" t="s">
        <v>656</v>
      </c>
      <c r="N2315" s="6" t="s">
        <v>286</v>
      </c>
      <c r="O2315" s="6" t="s">
        <v>2850</v>
      </c>
      <c r="P2315" s="19" t="str">
        <f aca="false">IF(J2315="S0","—",IF(K2315="","",IF(L2315="E0","QM",INDEX(10_ASIL_Matrix!$D$4:$F$15,MATCH(J2315&amp;"-"&amp;L2315,10_ASIL_Matrix!$C$4:$C$15,0),MATCH(N2315,10_ASIL_Matrix!$D$3:$F$3,0)))))</f>
        <v>A</v>
      </c>
      <c r="Q2315" s="6" t="s">
        <v>448</v>
      </c>
    </row>
    <row r="2316" customFormat="false" ht="35.05" hidden="false" customHeight="false" outlineLevel="0" collapsed="false">
      <c r="A2316" s="5" t="s">
        <v>5317</v>
      </c>
      <c r="B2316" s="5" t="s">
        <v>112</v>
      </c>
      <c r="C2316" s="5" t="s">
        <v>113</v>
      </c>
      <c r="D2316" s="5" t="s">
        <v>143</v>
      </c>
      <c r="E2316" s="5" t="s">
        <v>144</v>
      </c>
      <c r="F2316" s="5" t="s">
        <v>209</v>
      </c>
      <c r="G2316" s="5" t="s">
        <v>570</v>
      </c>
      <c r="H2316" s="5" t="s">
        <v>226</v>
      </c>
      <c r="I2316" s="5" t="s">
        <v>5318</v>
      </c>
      <c r="J2316" s="5" t="s">
        <v>246</v>
      </c>
      <c r="K2316" s="5" t="s">
        <v>2934</v>
      </c>
      <c r="L2316" s="5" t="s">
        <v>190</v>
      </c>
      <c r="M2316" s="5" t="s">
        <v>659</v>
      </c>
      <c r="N2316" s="5" t="s">
        <v>286</v>
      </c>
      <c r="O2316" s="5" t="s">
        <v>2850</v>
      </c>
      <c r="P2316" s="19" t="str">
        <f aca="false">IF(J2316="S0","—",IF(K2316="","",IF(L2316="E0","QM",INDEX(10_ASIL_Matrix!$D$4:$F$15,MATCH(J2316&amp;"-"&amp;L2316,10_ASIL_Matrix!$C$4:$C$15,0),MATCH(N2316,10_ASIL_Matrix!$D$3:$F$3,0)))))</f>
        <v>A</v>
      </c>
      <c r="Q2316" s="5" t="s">
        <v>448</v>
      </c>
    </row>
    <row r="2317" customFormat="false" ht="35.05" hidden="false" customHeight="false" outlineLevel="0" collapsed="false">
      <c r="A2317" s="6" t="s">
        <v>5319</v>
      </c>
      <c r="B2317" s="6" t="s">
        <v>112</v>
      </c>
      <c r="C2317" s="6" t="s">
        <v>113</v>
      </c>
      <c r="D2317" s="6" t="s">
        <v>143</v>
      </c>
      <c r="E2317" s="6" t="s">
        <v>144</v>
      </c>
      <c r="F2317" s="6" t="s">
        <v>209</v>
      </c>
      <c r="G2317" s="6" t="s">
        <v>570</v>
      </c>
      <c r="H2317" s="6" t="s">
        <v>228</v>
      </c>
      <c r="I2317" s="6" t="s">
        <v>5320</v>
      </c>
      <c r="J2317" s="6" t="s">
        <v>246</v>
      </c>
      <c r="K2317" s="6" t="s">
        <v>2934</v>
      </c>
      <c r="L2317" s="6" t="s">
        <v>205</v>
      </c>
      <c r="M2317" s="6" t="s">
        <v>662</v>
      </c>
      <c r="N2317" s="6" t="s">
        <v>286</v>
      </c>
      <c r="O2317" s="6" t="s">
        <v>2850</v>
      </c>
      <c r="P2317" s="6" t="str">
        <f aca="false">IF(J2317="S0","—",IF(K2317="","",IF(L2317="E0","QM",INDEX(10_ASIL_Matrix!$D$4:$F$15,MATCH(J2317&amp;"-"&amp;L2317,10_ASIL_Matrix!$C$4:$C$15,0),MATCH(N2317,10_ASIL_Matrix!$D$3:$F$3,0)))))</f>
        <v>QM</v>
      </c>
      <c r="Q2317" s="6" t="s">
        <v>448</v>
      </c>
    </row>
    <row r="2318" customFormat="false" ht="35.05" hidden="false" customHeight="false" outlineLevel="0" collapsed="false">
      <c r="A2318" s="5" t="s">
        <v>5321</v>
      </c>
      <c r="B2318" s="5" t="s">
        <v>112</v>
      </c>
      <c r="C2318" s="5" t="s">
        <v>113</v>
      </c>
      <c r="D2318" s="5" t="s">
        <v>143</v>
      </c>
      <c r="E2318" s="5" t="s">
        <v>144</v>
      </c>
      <c r="F2318" s="5" t="s">
        <v>209</v>
      </c>
      <c r="G2318" s="5" t="s">
        <v>570</v>
      </c>
      <c r="H2318" s="5" t="s">
        <v>230</v>
      </c>
      <c r="I2318" s="5" t="s">
        <v>5322</v>
      </c>
      <c r="J2318" s="5" t="s">
        <v>250</v>
      </c>
      <c r="K2318" s="5" t="s">
        <v>2943</v>
      </c>
      <c r="L2318" s="5" t="s">
        <v>205</v>
      </c>
      <c r="M2318" s="5" t="s">
        <v>665</v>
      </c>
      <c r="N2318" s="5" t="s">
        <v>290</v>
      </c>
      <c r="O2318" s="5" t="s">
        <v>2860</v>
      </c>
      <c r="P2318" s="18" t="str">
        <f aca="false">IF(J2318="S0","—",IF(K2318="","",IF(L2318="E0","QM",INDEX(10_ASIL_Matrix!$D$4:$F$15,MATCH(J2318&amp;"-"&amp;L2318,10_ASIL_Matrix!$C$4:$C$15,0),MATCH(N2318,10_ASIL_Matrix!$D$3:$F$3,0)))))</f>
        <v>B</v>
      </c>
      <c r="Q2318" s="5" t="s">
        <v>448</v>
      </c>
    </row>
    <row r="2319" customFormat="false" ht="46.25" hidden="false" customHeight="false" outlineLevel="0" collapsed="false">
      <c r="A2319" s="6" t="s">
        <v>5323</v>
      </c>
      <c r="B2319" s="6" t="s">
        <v>112</v>
      </c>
      <c r="C2319" s="6" t="s">
        <v>113</v>
      </c>
      <c r="D2319" s="6" t="s">
        <v>143</v>
      </c>
      <c r="E2319" s="6" t="s">
        <v>144</v>
      </c>
      <c r="F2319" s="6" t="s">
        <v>209</v>
      </c>
      <c r="G2319" s="6" t="s">
        <v>570</v>
      </c>
      <c r="H2319" s="6" t="s">
        <v>232</v>
      </c>
      <c r="I2319" s="6" t="s">
        <v>5324</v>
      </c>
      <c r="J2319" s="6" t="s">
        <v>246</v>
      </c>
      <c r="K2319" s="6" t="s">
        <v>2934</v>
      </c>
      <c r="L2319" s="6" t="s">
        <v>233</v>
      </c>
      <c r="M2319" s="6" t="s">
        <v>668</v>
      </c>
      <c r="N2319" s="6" t="s">
        <v>286</v>
      </c>
      <c r="O2319" s="6" t="s">
        <v>2850</v>
      </c>
      <c r="P2319" s="6" t="str">
        <f aca="false">IF(J2319="S0","—",IF(K2319="","",IF(L2319="E0","QM",INDEX(10_ASIL_Matrix!$D$4:$F$15,MATCH(J2319&amp;"-"&amp;L2319,10_ASIL_Matrix!$C$4:$C$15,0),MATCH(N2319,10_ASIL_Matrix!$D$3:$F$3,0)))))</f>
        <v>QM</v>
      </c>
      <c r="Q2319" s="6" t="s">
        <v>448</v>
      </c>
    </row>
    <row r="2320" customFormat="false" ht="35.05" hidden="false" customHeight="false" outlineLevel="0" collapsed="false">
      <c r="A2320" s="5" t="s">
        <v>5325</v>
      </c>
      <c r="B2320" s="5" t="s">
        <v>112</v>
      </c>
      <c r="C2320" s="5" t="s">
        <v>113</v>
      </c>
      <c r="D2320" s="5" t="s">
        <v>143</v>
      </c>
      <c r="E2320" s="5" t="s">
        <v>144</v>
      </c>
      <c r="F2320" s="5" t="s">
        <v>211</v>
      </c>
      <c r="G2320" s="5" t="s">
        <v>609</v>
      </c>
      <c r="H2320" s="5" t="s">
        <v>222</v>
      </c>
      <c r="I2320" s="5" t="s">
        <v>5326</v>
      </c>
      <c r="J2320" s="5" t="s">
        <v>238</v>
      </c>
      <c r="K2320" s="5" t="s">
        <v>5327</v>
      </c>
      <c r="L2320" s="5" t="s">
        <v>187</v>
      </c>
      <c r="M2320" s="5" t="s">
        <v>672</v>
      </c>
      <c r="N2320" s="5" t="s">
        <v>278</v>
      </c>
      <c r="O2320" s="5" t="s">
        <v>634</v>
      </c>
      <c r="P2320" s="5" t="str">
        <f aca="false">IF(J2320="S0","—",IF(K2320="","",IF(L2320="E0","QM",INDEX(10_ASIL_Matrix!$D$4:$F$15,MATCH(J2320&amp;"-"&amp;L2320,10_ASIL_Matrix!$C$4:$C$15,0),MATCH(N2320,10_ASIL_Matrix!$D$3:$F$3,0)))))</f>
        <v>—</v>
      </c>
      <c r="Q2320" s="5" t="s">
        <v>448</v>
      </c>
    </row>
    <row r="2321" customFormat="false" ht="35.05" hidden="false" customHeight="false" outlineLevel="0" collapsed="false">
      <c r="A2321" s="6" t="s">
        <v>5328</v>
      </c>
      <c r="B2321" s="6" t="s">
        <v>112</v>
      </c>
      <c r="C2321" s="6" t="s">
        <v>113</v>
      </c>
      <c r="D2321" s="6" t="s">
        <v>143</v>
      </c>
      <c r="E2321" s="6" t="s">
        <v>144</v>
      </c>
      <c r="F2321" s="6" t="s">
        <v>211</v>
      </c>
      <c r="G2321" s="6" t="s">
        <v>609</v>
      </c>
      <c r="H2321" s="6" t="s">
        <v>224</v>
      </c>
      <c r="I2321" s="6" t="s">
        <v>5329</v>
      </c>
      <c r="J2321" s="6" t="s">
        <v>238</v>
      </c>
      <c r="K2321" s="6" t="s">
        <v>5327</v>
      </c>
      <c r="L2321" s="6" t="s">
        <v>190</v>
      </c>
      <c r="M2321" s="6" t="s">
        <v>675</v>
      </c>
      <c r="N2321" s="6" t="s">
        <v>278</v>
      </c>
      <c r="O2321" s="6" t="s">
        <v>634</v>
      </c>
      <c r="P2321" s="6" t="str">
        <f aca="false">IF(J2321="S0","—",IF(K2321="","",IF(L2321="E0","QM",INDEX(10_ASIL_Matrix!$D$4:$F$15,MATCH(J2321&amp;"-"&amp;L2321,10_ASIL_Matrix!$C$4:$C$15,0),MATCH(N2321,10_ASIL_Matrix!$D$3:$F$3,0)))))</f>
        <v>—</v>
      </c>
      <c r="Q2321" s="6" t="s">
        <v>448</v>
      </c>
    </row>
    <row r="2322" customFormat="false" ht="35.05" hidden="false" customHeight="false" outlineLevel="0" collapsed="false">
      <c r="A2322" s="5" t="s">
        <v>5330</v>
      </c>
      <c r="B2322" s="5" t="s">
        <v>112</v>
      </c>
      <c r="C2322" s="5" t="s">
        <v>113</v>
      </c>
      <c r="D2322" s="5" t="s">
        <v>143</v>
      </c>
      <c r="E2322" s="5" t="s">
        <v>144</v>
      </c>
      <c r="F2322" s="5" t="s">
        <v>211</v>
      </c>
      <c r="G2322" s="5" t="s">
        <v>609</v>
      </c>
      <c r="H2322" s="5" t="s">
        <v>226</v>
      </c>
      <c r="I2322" s="5" t="s">
        <v>5331</v>
      </c>
      <c r="J2322" s="5" t="s">
        <v>238</v>
      </c>
      <c r="K2322" s="5" t="s">
        <v>5327</v>
      </c>
      <c r="L2322" s="5" t="s">
        <v>190</v>
      </c>
      <c r="M2322" s="5" t="s">
        <v>678</v>
      </c>
      <c r="N2322" s="5" t="s">
        <v>278</v>
      </c>
      <c r="O2322" s="5" t="s">
        <v>634</v>
      </c>
      <c r="P2322" s="5" t="str">
        <f aca="false">IF(J2322="S0","—",IF(K2322="","",IF(L2322="E0","QM",INDEX(10_ASIL_Matrix!$D$4:$F$15,MATCH(J2322&amp;"-"&amp;L2322,10_ASIL_Matrix!$C$4:$C$15,0),MATCH(N2322,10_ASIL_Matrix!$D$3:$F$3,0)))))</f>
        <v>—</v>
      </c>
      <c r="Q2322" s="5" t="s">
        <v>448</v>
      </c>
    </row>
    <row r="2323" customFormat="false" ht="35.05" hidden="false" customHeight="false" outlineLevel="0" collapsed="false">
      <c r="A2323" s="6" t="s">
        <v>5332</v>
      </c>
      <c r="B2323" s="6" t="s">
        <v>112</v>
      </c>
      <c r="C2323" s="6" t="s">
        <v>113</v>
      </c>
      <c r="D2323" s="6" t="s">
        <v>143</v>
      </c>
      <c r="E2323" s="6" t="s">
        <v>144</v>
      </c>
      <c r="F2323" s="6" t="s">
        <v>211</v>
      </c>
      <c r="G2323" s="6" t="s">
        <v>609</v>
      </c>
      <c r="H2323" s="6" t="s">
        <v>228</v>
      </c>
      <c r="I2323" s="6" t="s">
        <v>5333</v>
      </c>
      <c r="J2323" s="6" t="s">
        <v>238</v>
      </c>
      <c r="K2323" s="6" t="s">
        <v>5327</v>
      </c>
      <c r="L2323" s="6" t="s">
        <v>205</v>
      </c>
      <c r="M2323" s="6" t="s">
        <v>681</v>
      </c>
      <c r="N2323" s="6" t="s">
        <v>278</v>
      </c>
      <c r="O2323" s="6" t="s">
        <v>634</v>
      </c>
      <c r="P2323" s="6" t="str">
        <f aca="false">IF(J2323="S0","—",IF(K2323="","",IF(L2323="E0","QM",INDEX(10_ASIL_Matrix!$D$4:$F$15,MATCH(J2323&amp;"-"&amp;L2323,10_ASIL_Matrix!$C$4:$C$15,0),MATCH(N2323,10_ASIL_Matrix!$D$3:$F$3,0)))))</f>
        <v>—</v>
      </c>
      <c r="Q2323" s="6" t="s">
        <v>448</v>
      </c>
    </row>
    <row r="2324" customFormat="false" ht="35.05" hidden="false" customHeight="false" outlineLevel="0" collapsed="false">
      <c r="A2324" s="5" t="s">
        <v>5334</v>
      </c>
      <c r="B2324" s="5" t="s">
        <v>112</v>
      </c>
      <c r="C2324" s="5" t="s">
        <v>113</v>
      </c>
      <c r="D2324" s="5" t="s">
        <v>143</v>
      </c>
      <c r="E2324" s="5" t="s">
        <v>144</v>
      </c>
      <c r="F2324" s="5" t="s">
        <v>211</v>
      </c>
      <c r="G2324" s="5" t="s">
        <v>609</v>
      </c>
      <c r="H2324" s="5" t="s">
        <v>230</v>
      </c>
      <c r="I2324" s="5" t="s">
        <v>5335</v>
      </c>
      <c r="J2324" s="5" t="s">
        <v>238</v>
      </c>
      <c r="K2324" s="5" t="s">
        <v>5327</v>
      </c>
      <c r="L2324" s="5" t="s">
        <v>205</v>
      </c>
      <c r="M2324" s="5" t="s">
        <v>684</v>
      </c>
      <c r="N2324" s="5" t="s">
        <v>278</v>
      </c>
      <c r="O2324" s="5" t="s">
        <v>634</v>
      </c>
      <c r="P2324" s="5" t="str">
        <f aca="false">IF(J2324="S0","—",IF(K2324="","",IF(L2324="E0","QM",INDEX(10_ASIL_Matrix!$D$4:$F$15,MATCH(J2324&amp;"-"&amp;L2324,10_ASIL_Matrix!$C$4:$C$15,0),MATCH(N2324,10_ASIL_Matrix!$D$3:$F$3,0)))))</f>
        <v>—</v>
      </c>
      <c r="Q2324" s="5" t="s">
        <v>448</v>
      </c>
    </row>
    <row r="2325" customFormat="false" ht="46.25" hidden="false" customHeight="false" outlineLevel="0" collapsed="false">
      <c r="A2325" s="6" t="s">
        <v>5336</v>
      </c>
      <c r="B2325" s="6" t="s">
        <v>112</v>
      </c>
      <c r="C2325" s="6" t="s">
        <v>113</v>
      </c>
      <c r="D2325" s="6" t="s">
        <v>143</v>
      </c>
      <c r="E2325" s="6" t="s">
        <v>144</v>
      </c>
      <c r="F2325" s="6" t="s">
        <v>211</v>
      </c>
      <c r="G2325" s="6" t="s">
        <v>609</v>
      </c>
      <c r="H2325" s="6" t="s">
        <v>232</v>
      </c>
      <c r="I2325" s="6" t="s">
        <v>5337</v>
      </c>
      <c r="J2325" s="6" t="s">
        <v>238</v>
      </c>
      <c r="K2325" s="6" t="s">
        <v>5327</v>
      </c>
      <c r="L2325" s="6" t="s">
        <v>233</v>
      </c>
      <c r="M2325" s="6" t="s">
        <v>687</v>
      </c>
      <c r="N2325" s="6" t="s">
        <v>278</v>
      </c>
      <c r="O2325" s="6" t="s">
        <v>634</v>
      </c>
      <c r="P2325" s="6" t="str">
        <f aca="false">IF(J2325="S0","—",IF(K2325="","",IF(L2325="E0","QM",INDEX(10_ASIL_Matrix!$D$4:$F$15,MATCH(J2325&amp;"-"&amp;L2325,10_ASIL_Matrix!$C$4:$C$15,0),MATCH(N2325,10_ASIL_Matrix!$D$3:$F$3,0)))))</f>
        <v>—</v>
      </c>
      <c r="Q2325" s="6" t="s">
        <v>448</v>
      </c>
    </row>
    <row r="2326" customFormat="false" ht="46.25" hidden="false" customHeight="false" outlineLevel="0" collapsed="false">
      <c r="A2326" s="5" t="s">
        <v>5338</v>
      </c>
      <c r="B2326" s="5" t="s">
        <v>112</v>
      </c>
      <c r="C2326" s="5" t="s">
        <v>113</v>
      </c>
      <c r="D2326" s="5" t="s">
        <v>143</v>
      </c>
      <c r="E2326" s="5" t="s">
        <v>144</v>
      </c>
      <c r="F2326" s="5" t="s">
        <v>213</v>
      </c>
      <c r="G2326" s="5" t="s">
        <v>689</v>
      </c>
      <c r="H2326" s="5" t="s">
        <v>222</v>
      </c>
      <c r="I2326" s="5" t="s">
        <v>5339</v>
      </c>
      <c r="J2326" s="5" t="s">
        <v>242</v>
      </c>
      <c r="K2326" s="5" t="s">
        <v>2962</v>
      </c>
      <c r="L2326" s="5" t="s">
        <v>205</v>
      </c>
      <c r="M2326" s="5" t="s">
        <v>692</v>
      </c>
      <c r="N2326" s="5" t="s">
        <v>282</v>
      </c>
      <c r="O2326" s="5" t="s">
        <v>2790</v>
      </c>
      <c r="P2326" s="5" t="str">
        <f aca="false">IF(J2326="S0","—",IF(K2326="","",IF(L2326="E0","QM",INDEX(10_ASIL_Matrix!$D$4:$F$15,MATCH(J2326&amp;"-"&amp;L2326,10_ASIL_Matrix!$C$4:$C$15,0),MATCH(N2326,10_ASIL_Matrix!$D$3:$F$3,0)))))</f>
        <v>QM</v>
      </c>
      <c r="Q2326" s="5" t="s">
        <v>448</v>
      </c>
    </row>
    <row r="2327" customFormat="false" ht="46.25" hidden="false" customHeight="false" outlineLevel="0" collapsed="false">
      <c r="A2327" s="6" t="s">
        <v>5340</v>
      </c>
      <c r="B2327" s="6" t="s">
        <v>112</v>
      </c>
      <c r="C2327" s="6" t="s">
        <v>113</v>
      </c>
      <c r="D2327" s="6" t="s">
        <v>143</v>
      </c>
      <c r="E2327" s="6" t="s">
        <v>144</v>
      </c>
      <c r="F2327" s="6" t="s">
        <v>213</v>
      </c>
      <c r="G2327" s="6" t="s">
        <v>689</v>
      </c>
      <c r="H2327" s="6" t="s">
        <v>224</v>
      </c>
      <c r="I2327" s="6" t="s">
        <v>5341</v>
      </c>
      <c r="J2327" s="6" t="s">
        <v>250</v>
      </c>
      <c r="K2327" s="6" t="s">
        <v>2965</v>
      </c>
      <c r="L2327" s="6" t="s">
        <v>205</v>
      </c>
      <c r="M2327" s="6" t="s">
        <v>696</v>
      </c>
      <c r="N2327" s="6" t="s">
        <v>282</v>
      </c>
      <c r="O2327" s="6" t="s">
        <v>2809</v>
      </c>
      <c r="P2327" s="6" t="str">
        <f aca="false">IF(J2327="S0","—",IF(K2327="","",IF(L2327="E0","QM",INDEX(10_ASIL_Matrix!$D$4:$F$15,MATCH(J2327&amp;"-"&amp;L2327,10_ASIL_Matrix!$C$4:$C$15,0),MATCH(N2327,10_ASIL_Matrix!$D$3:$F$3,0)))))</f>
        <v>QM</v>
      </c>
      <c r="Q2327" s="6" t="s">
        <v>448</v>
      </c>
    </row>
    <row r="2328" customFormat="false" ht="46.25" hidden="false" customHeight="false" outlineLevel="0" collapsed="false">
      <c r="A2328" s="5" t="s">
        <v>5342</v>
      </c>
      <c r="B2328" s="5" t="s">
        <v>112</v>
      </c>
      <c r="C2328" s="5" t="s">
        <v>113</v>
      </c>
      <c r="D2328" s="5" t="s">
        <v>143</v>
      </c>
      <c r="E2328" s="5" t="s">
        <v>144</v>
      </c>
      <c r="F2328" s="5" t="s">
        <v>213</v>
      </c>
      <c r="G2328" s="5" t="s">
        <v>689</v>
      </c>
      <c r="H2328" s="5" t="s">
        <v>226</v>
      </c>
      <c r="I2328" s="5" t="s">
        <v>5343</v>
      </c>
      <c r="J2328" s="5" t="s">
        <v>242</v>
      </c>
      <c r="K2328" s="5" t="s">
        <v>2962</v>
      </c>
      <c r="L2328" s="5" t="s">
        <v>205</v>
      </c>
      <c r="M2328" s="5" t="s">
        <v>699</v>
      </c>
      <c r="N2328" s="5" t="s">
        <v>282</v>
      </c>
      <c r="O2328" s="5" t="s">
        <v>2790</v>
      </c>
      <c r="P2328" s="5" t="str">
        <f aca="false">IF(J2328="S0","—",IF(K2328="","",IF(L2328="E0","QM",INDEX(10_ASIL_Matrix!$D$4:$F$15,MATCH(J2328&amp;"-"&amp;L2328,10_ASIL_Matrix!$C$4:$C$15,0),MATCH(N2328,10_ASIL_Matrix!$D$3:$F$3,0)))))</f>
        <v>QM</v>
      </c>
      <c r="Q2328" s="5" t="s">
        <v>448</v>
      </c>
    </row>
    <row r="2329" customFormat="false" ht="46.25" hidden="false" customHeight="false" outlineLevel="0" collapsed="false">
      <c r="A2329" s="6" t="s">
        <v>5344</v>
      </c>
      <c r="B2329" s="6" t="s">
        <v>112</v>
      </c>
      <c r="C2329" s="6" t="s">
        <v>113</v>
      </c>
      <c r="D2329" s="6" t="s">
        <v>143</v>
      </c>
      <c r="E2329" s="6" t="s">
        <v>144</v>
      </c>
      <c r="F2329" s="6" t="s">
        <v>213</v>
      </c>
      <c r="G2329" s="6" t="s">
        <v>689</v>
      </c>
      <c r="H2329" s="6" t="s">
        <v>228</v>
      </c>
      <c r="I2329" s="6" t="s">
        <v>5345</v>
      </c>
      <c r="J2329" s="6" t="s">
        <v>250</v>
      </c>
      <c r="K2329" s="6" t="s">
        <v>2965</v>
      </c>
      <c r="L2329" s="6" t="s">
        <v>205</v>
      </c>
      <c r="M2329" s="6" t="s">
        <v>702</v>
      </c>
      <c r="N2329" s="6" t="s">
        <v>282</v>
      </c>
      <c r="O2329" s="6" t="s">
        <v>2809</v>
      </c>
      <c r="P2329" s="6" t="str">
        <f aca="false">IF(J2329="S0","—",IF(K2329="","",IF(L2329="E0","QM",INDEX(10_ASIL_Matrix!$D$4:$F$15,MATCH(J2329&amp;"-"&amp;L2329,10_ASIL_Matrix!$C$4:$C$15,0),MATCH(N2329,10_ASIL_Matrix!$D$3:$F$3,0)))))</f>
        <v>QM</v>
      </c>
      <c r="Q2329" s="6" t="s">
        <v>448</v>
      </c>
    </row>
    <row r="2330" customFormat="false" ht="46.25" hidden="false" customHeight="false" outlineLevel="0" collapsed="false">
      <c r="A2330" s="5" t="s">
        <v>5346</v>
      </c>
      <c r="B2330" s="5" t="s">
        <v>112</v>
      </c>
      <c r="C2330" s="5" t="s">
        <v>113</v>
      </c>
      <c r="D2330" s="5" t="s">
        <v>143</v>
      </c>
      <c r="E2330" s="5" t="s">
        <v>144</v>
      </c>
      <c r="F2330" s="5" t="s">
        <v>213</v>
      </c>
      <c r="G2330" s="5" t="s">
        <v>689</v>
      </c>
      <c r="H2330" s="5" t="s">
        <v>230</v>
      </c>
      <c r="I2330" s="5" t="s">
        <v>5347</v>
      </c>
      <c r="J2330" s="5" t="s">
        <v>246</v>
      </c>
      <c r="K2330" s="5" t="s">
        <v>2972</v>
      </c>
      <c r="L2330" s="5" t="s">
        <v>205</v>
      </c>
      <c r="M2330" s="5" t="s">
        <v>705</v>
      </c>
      <c r="N2330" s="5" t="s">
        <v>286</v>
      </c>
      <c r="O2330" s="5" t="s">
        <v>2800</v>
      </c>
      <c r="P2330" s="5" t="str">
        <f aca="false">IF(J2330="S0","—",IF(K2330="","",IF(L2330="E0","QM",INDEX(10_ASIL_Matrix!$D$4:$F$15,MATCH(J2330&amp;"-"&amp;L2330,10_ASIL_Matrix!$C$4:$C$15,0),MATCH(N2330,10_ASIL_Matrix!$D$3:$F$3,0)))))</f>
        <v>QM</v>
      </c>
      <c r="Q2330" s="5" t="s">
        <v>448</v>
      </c>
    </row>
    <row r="2331" customFormat="false" ht="46.25" hidden="false" customHeight="false" outlineLevel="0" collapsed="false">
      <c r="A2331" s="6" t="s">
        <v>5348</v>
      </c>
      <c r="B2331" s="6" t="s">
        <v>112</v>
      </c>
      <c r="C2331" s="6" t="s">
        <v>113</v>
      </c>
      <c r="D2331" s="6" t="s">
        <v>143</v>
      </c>
      <c r="E2331" s="6" t="s">
        <v>144</v>
      </c>
      <c r="F2331" s="6" t="s">
        <v>213</v>
      </c>
      <c r="G2331" s="6" t="s">
        <v>689</v>
      </c>
      <c r="H2331" s="6" t="s">
        <v>232</v>
      </c>
      <c r="I2331" s="6" t="s">
        <v>5349</v>
      </c>
      <c r="J2331" s="6" t="s">
        <v>242</v>
      </c>
      <c r="K2331" s="6" t="s">
        <v>2962</v>
      </c>
      <c r="L2331" s="6" t="s">
        <v>233</v>
      </c>
      <c r="M2331" s="6" t="s">
        <v>709</v>
      </c>
      <c r="N2331" s="6" t="s">
        <v>282</v>
      </c>
      <c r="O2331" s="6" t="s">
        <v>2790</v>
      </c>
      <c r="P2331" s="6" t="str">
        <f aca="false">IF(J2331="S0","—",IF(K2331="","",IF(L2331="E0","QM",INDEX(10_ASIL_Matrix!$D$4:$F$15,MATCH(J2331&amp;"-"&amp;L2331,10_ASIL_Matrix!$C$4:$C$15,0),MATCH(N2331,10_ASIL_Matrix!$D$3:$F$3,0)))))</f>
        <v>QM</v>
      </c>
      <c r="Q2331" s="6" t="s">
        <v>448</v>
      </c>
    </row>
    <row r="2332" customFormat="false" ht="35.05" hidden="false" customHeight="false" outlineLevel="0" collapsed="false">
      <c r="A2332" s="5" t="s">
        <v>5350</v>
      </c>
      <c r="B2332" s="5" t="s">
        <v>112</v>
      </c>
      <c r="C2332" s="5" t="s">
        <v>113</v>
      </c>
      <c r="D2332" s="5" t="s">
        <v>143</v>
      </c>
      <c r="E2332" s="5" t="s">
        <v>144</v>
      </c>
      <c r="F2332" s="5" t="s">
        <v>215</v>
      </c>
      <c r="G2332" s="5" t="s">
        <v>711</v>
      </c>
      <c r="H2332" s="5" t="s">
        <v>222</v>
      </c>
      <c r="I2332" s="5" t="s">
        <v>5351</v>
      </c>
      <c r="J2332" s="5" t="s">
        <v>246</v>
      </c>
      <c r="K2332" s="5" t="s">
        <v>2977</v>
      </c>
      <c r="L2332" s="5" t="s">
        <v>190</v>
      </c>
      <c r="M2332" s="5" t="s">
        <v>714</v>
      </c>
      <c r="N2332" s="5" t="s">
        <v>282</v>
      </c>
      <c r="O2332" s="5" t="s">
        <v>2790</v>
      </c>
      <c r="P2332" s="5" t="str">
        <f aca="false">IF(J2332="S0","—",IF(K2332="","",IF(L2332="E0","QM",INDEX(10_ASIL_Matrix!$D$4:$F$15,MATCH(J2332&amp;"-"&amp;L2332,10_ASIL_Matrix!$C$4:$C$15,0),MATCH(N2332,10_ASIL_Matrix!$D$3:$F$3,0)))))</f>
        <v>QM</v>
      </c>
      <c r="Q2332" s="5" t="s">
        <v>448</v>
      </c>
    </row>
    <row r="2333" customFormat="false" ht="35.05" hidden="false" customHeight="false" outlineLevel="0" collapsed="false">
      <c r="A2333" s="6" t="s">
        <v>5352</v>
      </c>
      <c r="B2333" s="6" t="s">
        <v>112</v>
      </c>
      <c r="C2333" s="6" t="s">
        <v>113</v>
      </c>
      <c r="D2333" s="6" t="s">
        <v>143</v>
      </c>
      <c r="E2333" s="6" t="s">
        <v>144</v>
      </c>
      <c r="F2333" s="6" t="s">
        <v>215</v>
      </c>
      <c r="G2333" s="6" t="s">
        <v>711</v>
      </c>
      <c r="H2333" s="6" t="s">
        <v>224</v>
      </c>
      <c r="I2333" s="6" t="s">
        <v>5353</v>
      </c>
      <c r="J2333" s="6" t="s">
        <v>246</v>
      </c>
      <c r="K2333" s="6" t="s">
        <v>2977</v>
      </c>
      <c r="L2333" s="6" t="s">
        <v>190</v>
      </c>
      <c r="M2333" s="6" t="s">
        <v>717</v>
      </c>
      <c r="N2333" s="6" t="s">
        <v>282</v>
      </c>
      <c r="O2333" s="6" t="s">
        <v>2790</v>
      </c>
      <c r="P2333" s="6" t="str">
        <f aca="false">IF(J2333="S0","—",IF(K2333="","",IF(L2333="E0","QM",INDEX(10_ASIL_Matrix!$D$4:$F$15,MATCH(J2333&amp;"-"&amp;L2333,10_ASIL_Matrix!$C$4:$C$15,0),MATCH(N2333,10_ASIL_Matrix!$D$3:$F$3,0)))))</f>
        <v>QM</v>
      </c>
      <c r="Q2333" s="6" t="s">
        <v>448</v>
      </c>
    </row>
    <row r="2334" customFormat="false" ht="35.05" hidden="false" customHeight="false" outlineLevel="0" collapsed="false">
      <c r="A2334" s="5" t="s">
        <v>5354</v>
      </c>
      <c r="B2334" s="5" t="s">
        <v>112</v>
      </c>
      <c r="C2334" s="5" t="s">
        <v>113</v>
      </c>
      <c r="D2334" s="5" t="s">
        <v>143</v>
      </c>
      <c r="E2334" s="5" t="s">
        <v>144</v>
      </c>
      <c r="F2334" s="5" t="s">
        <v>215</v>
      </c>
      <c r="G2334" s="5" t="s">
        <v>711</v>
      </c>
      <c r="H2334" s="5" t="s">
        <v>226</v>
      </c>
      <c r="I2334" s="5" t="s">
        <v>5355</v>
      </c>
      <c r="J2334" s="5" t="s">
        <v>246</v>
      </c>
      <c r="K2334" s="5" t="s">
        <v>2977</v>
      </c>
      <c r="L2334" s="5" t="s">
        <v>190</v>
      </c>
      <c r="M2334" s="5" t="s">
        <v>720</v>
      </c>
      <c r="N2334" s="5" t="s">
        <v>282</v>
      </c>
      <c r="O2334" s="5" t="s">
        <v>2790</v>
      </c>
      <c r="P2334" s="5" t="str">
        <f aca="false">IF(J2334="S0","—",IF(K2334="","",IF(L2334="E0","QM",INDEX(10_ASIL_Matrix!$D$4:$F$15,MATCH(J2334&amp;"-"&amp;L2334,10_ASIL_Matrix!$C$4:$C$15,0),MATCH(N2334,10_ASIL_Matrix!$D$3:$F$3,0)))))</f>
        <v>QM</v>
      </c>
      <c r="Q2334" s="5" t="s">
        <v>448</v>
      </c>
    </row>
    <row r="2335" customFormat="false" ht="35.05" hidden="false" customHeight="false" outlineLevel="0" collapsed="false">
      <c r="A2335" s="6" t="s">
        <v>5356</v>
      </c>
      <c r="B2335" s="6" t="s">
        <v>112</v>
      </c>
      <c r="C2335" s="6" t="s">
        <v>113</v>
      </c>
      <c r="D2335" s="6" t="s">
        <v>143</v>
      </c>
      <c r="E2335" s="6" t="s">
        <v>144</v>
      </c>
      <c r="F2335" s="6" t="s">
        <v>215</v>
      </c>
      <c r="G2335" s="6" t="s">
        <v>711</v>
      </c>
      <c r="H2335" s="6" t="s">
        <v>228</v>
      </c>
      <c r="I2335" s="6" t="s">
        <v>5357</v>
      </c>
      <c r="J2335" s="6" t="s">
        <v>246</v>
      </c>
      <c r="K2335" s="6" t="s">
        <v>2977</v>
      </c>
      <c r="L2335" s="6" t="s">
        <v>205</v>
      </c>
      <c r="M2335" s="6" t="s">
        <v>723</v>
      </c>
      <c r="N2335" s="6" t="s">
        <v>282</v>
      </c>
      <c r="O2335" s="6" t="s">
        <v>2790</v>
      </c>
      <c r="P2335" s="6" t="str">
        <f aca="false">IF(J2335="S0","—",IF(K2335="","",IF(L2335="E0","QM",INDEX(10_ASIL_Matrix!$D$4:$F$15,MATCH(J2335&amp;"-"&amp;L2335,10_ASIL_Matrix!$C$4:$C$15,0),MATCH(N2335,10_ASIL_Matrix!$D$3:$F$3,0)))))</f>
        <v>QM</v>
      </c>
      <c r="Q2335" s="6" t="s">
        <v>448</v>
      </c>
    </row>
    <row r="2336" customFormat="false" ht="35.05" hidden="false" customHeight="false" outlineLevel="0" collapsed="false">
      <c r="A2336" s="5" t="s">
        <v>5358</v>
      </c>
      <c r="B2336" s="5" t="s">
        <v>112</v>
      </c>
      <c r="C2336" s="5" t="s">
        <v>113</v>
      </c>
      <c r="D2336" s="5" t="s">
        <v>143</v>
      </c>
      <c r="E2336" s="5" t="s">
        <v>144</v>
      </c>
      <c r="F2336" s="5" t="s">
        <v>215</v>
      </c>
      <c r="G2336" s="5" t="s">
        <v>711</v>
      </c>
      <c r="H2336" s="5" t="s">
        <v>230</v>
      </c>
      <c r="I2336" s="5" t="s">
        <v>5359</v>
      </c>
      <c r="J2336" s="5" t="s">
        <v>250</v>
      </c>
      <c r="K2336" s="5" t="s">
        <v>2986</v>
      </c>
      <c r="L2336" s="5" t="s">
        <v>205</v>
      </c>
      <c r="M2336" s="5" t="s">
        <v>726</v>
      </c>
      <c r="N2336" s="5" t="s">
        <v>286</v>
      </c>
      <c r="O2336" s="5" t="s">
        <v>2800</v>
      </c>
      <c r="P2336" s="19" t="str">
        <f aca="false">IF(J2336="S0","—",IF(K2336="","",IF(L2336="E0","QM",INDEX(10_ASIL_Matrix!$D$4:$F$15,MATCH(J2336&amp;"-"&amp;L2336,10_ASIL_Matrix!$C$4:$C$15,0),MATCH(N2336,10_ASIL_Matrix!$D$3:$F$3,0)))))</f>
        <v>A</v>
      </c>
      <c r="Q2336" s="5" t="s">
        <v>448</v>
      </c>
    </row>
    <row r="2337" customFormat="false" ht="46.25" hidden="false" customHeight="false" outlineLevel="0" collapsed="false">
      <c r="A2337" s="6" t="s">
        <v>5360</v>
      </c>
      <c r="B2337" s="6" t="s">
        <v>112</v>
      </c>
      <c r="C2337" s="6" t="s">
        <v>113</v>
      </c>
      <c r="D2337" s="6" t="s">
        <v>143</v>
      </c>
      <c r="E2337" s="6" t="s">
        <v>144</v>
      </c>
      <c r="F2337" s="6" t="s">
        <v>215</v>
      </c>
      <c r="G2337" s="6" t="s">
        <v>711</v>
      </c>
      <c r="H2337" s="6" t="s">
        <v>232</v>
      </c>
      <c r="I2337" s="6" t="s">
        <v>5361</v>
      </c>
      <c r="J2337" s="6" t="s">
        <v>246</v>
      </c>
      <c r="K2337" s="6" t="s">
        <v>2977</v>
      </c>
      <c r="L2337" s="6" t="s">
        <v>233</v>
      </c>
      <c r="M2337" s="6" t="s">
        <v>729</v>
      </c>
      <c r="N2337" s="6" t="s">
        <v>282</v>
      </c>
      <c r="O2337" s="6" t="s">
        <v>2790</v>
      </c>
      <c r="P2337" s="6" t="str">
        <f aca="false">IF(J2337="S0","—",IF(K2337="","",IF(L2337="E0","QM",INDEX(10_ASIL_Matrix!$D$4:$F$15,MATCH(J2337&amp;"-"&amp;L2337,10_ASIL_Matrix!$C$4:$C$15,0),MATCH(N2337,10_ASIL_Matrix!$D$3:$F$3,0)))))</f>
        <v>QM</v>
      </c>
      <c r="Q2337" s="6" t="s">
        <v>448</v>
      </c>
    </row>
    <row r="2338" customFormat="false" ht="35.05" hidden="false" customHeight="false" outlineLevel="0" collapsed="false">
      <c r="A2338" s="5" t="s">
        <v>5362</v>
      </c>
      <c r="B2338" s="5" t="s">
        <v>112</v>
      </c>
      <c r="C2338" s="5" t="s">
        <v>113</v>
      </c>
      <c r="D2338" s="5" t="s">
        <v>143</v>
      </c>
      <c r="E2338" s="5" t="s">
        <v>144</v>
      </c>
      <c r="F2338" s="5" t="s">
        <v>217</v>
      </c>
      <c r="G2338" s="5" t="s">
        <v>488</v>
      </c>
      <c r="H2338" s="5" t="s">
        <v>222</v>
      </c>
      <c r="I2338" s="5" t="s">
        <v>5363</v>
      </c>
      <c r="J2338" s="5" t="s">
        <v>246</v>
      </c>
      <c r="K2338" s="5" t="s">
        <v>2991</v>
      </c>
      <c r="L2338" s="5" t="s">
        <v>190</v>
      </c>
      <c r="M2338" s="5" t="s">
        <v>733</v>
      </c>
      <c r="N2338" s="5" t="s">
        <v>282</v>
      </c>
      <c r="O2338" s="5" t="s">
        <v>2790</v>
      </c>
      <c r="P2338" s="5" t="str">
        <f aca="false">IF(J2338="S0","—",IF(K2338="","",IF(L2338="E0","QM",INDEX(10_ASIL_Matrix!$D$4:$F$15,MATCH(J2338&amp;"-"&amp;L2338,10_ASIL_Matrix!$C$4:$C$15,0),MATCH(N2338,10_ASIL_Matrix!$D$3:$F$3,0)))))</f>
        <v>QM</v>
      </c>
      <c r="Q2338" s="5" t="s">
        <v>448</v>
      </c>
    </row>
    <row r="2339" customFormat="false" ht="35.05" hidden="false" customHeight="false" outlineLevel="0" collapsed="false">
      <c r="A2339" s="6" t="s">
        <v>5364</v>
      </c>
      <c r="B2339" s="6" t="s">
        <v>112</v>
      </c>
      <c r="C2339" s="6" t="s">
        <v>113</v>
      </c>
      <c r="D2339" s="6" t="s">
        <v>143</v>
      </c>
      <c r="E2339" s="6" t="s">
        <v>144</v>
      </c>
      <c r="F2339" s="6" t="s">
        <v>217</v>
      </c>
      <c r="G2339" s="6" t="s">
        <v>488</v>
      </c>
      <c r="H2339" s="6" t="s">
        <v>224</v>
      </c>
      <c r="I2339" s="6" t="s">
        <v>5365</v>
      </c>
      <c r="J2339" s="6" t="s">
        <v>250</v>
      </c>
      <c r="K2339" s="6" t="s">
        <v>2994</v>
      </c>
      <c r="L2339" s="6" t="s">
        <v>190</v>
      </c>
      <c r="M2339" s="6" t="s">
        <v>736</v>
      </c>
      <c r="N2339" s="6" t="s">
        <v>282</v>
      </c>
      <c r="O2339" s="6" t="s">
        <v>2809</v>
      </c>
      <c r="P2339" s="19" t="str">
        <f aca="false">IF(J2339="S0","—",IF(K2339="","",IF(L2339="E0","QM",INDEX(10_ASIL_Matrix!$D$4:$F$15,MATCH(J2339&amp;"-"&amp;L2339,10_ASIL_Matrix!$C$4:$C$15,0),MATCH(N2339,10_ASIL_Matrix!$D$3:$F$3,0)))))</f>
        <v>A</v>
      </c>
      <c r="Q2339" s="6" t="s">
        <v>448</v>
      </c>
    </row>
    <row r="2340" customFormat="false" ht="35.05" hidden="false" customHeight="false" outlineLevel="0" collapsed="false">
      <c r="A2340" s="5" t="s">
        <v>5366</v>
      </c>
      <c r="B2340" s="5" t="s">
        <v>112</v>
      </c>
      <c r="C2340" s="5" t="s">
        <v>113</v>
      </c>
      <c r="D2340" s="5" t="s">
        <v>143</v>
      </c>
      <c r="E2340" s="5" t="s">
        <v>144</v>
      </c>
      <c r="F2340" s="5" t="s">
        <v>217</v>
      </c>
      <c r="G2340" s="5" t="s">
        <v>488</v>
      </c>
      <c r="H2340" s="5" t="s">
        <v>226</v>
      </c>
      <c r="I2340" s="5" t="s">
        <v>5367</v>
      </c>
      <c r="J2340" s="5" t="s">
        <v>246</v>
      </c>
      <c r="K2340" s="5" t="s">
        <v>2991</v>
      </c>
      <c r="L2340" s="5" t="s">
        <v>190</v>
      </c>
      <c r="M2340" s="5" t="s">
        <v>739</v>
      </c>
      <c r="N2340" s="5" t="s">
        <v>282</v>
      </c>
      <c r="O2340" s="5" t="s">
        <v>2790</v>
      </c>
      <c r="P2340" s="5" t="str">
        <f aca="false">IF(J2340="S0","—",IF(K2340="","",IF(L2340="E0","QM",INDEX(10_ASIL_Matrix!$D$4:$F$15,MATCH(J2340&amp;"-"&amp;L2340,10_ASIL_Matrix!$C$4:$C$15,0),MATCH(N2340,10_ASIL_Matrix!$D$3:$F$3,0)))))</f>
        <v>QM</v>
      </c>
      <c r="Q2340" s="5" t="s">
        <v>448</v>
      </c>
    </row>
    <row r="2341" customFormat="false" ht="35.05" hidden="false" customHeight="false" outlineLevel="0" collapsed="false">
      <c r="A2341" s="6" t="s">
        <v>5368</v>
      </c>
      <c r="B2341" s="6" t="s">
        <v>112</v>
      </c>
      <c r="C2341" s="6" t="s">
        <v>113</v>
      </c>
      <c r="D2341" s="6" t="s">
        <v>143</v>
      </c>
      <c r="E2341" s="6" t="s">
        <v>144</v>
      </c>
      <c r="F2341" s="6" t="s">
        <v>217</v>
      </c>
      <c r="G2341" s="6" t="s">
        <v>488</v>
      </c>
      <c r="H2341" s="6" t="s">
        <v>228</v>
      </c>
      <c r="I2341" s="6" t="s">
        <v>5369</v>
      </c>
      <c r="J2341" s="6" t="s">
        <v>250</v>
      </c>
      <c r="K2341" s="6" t="s">
        <v>2994</v>
      </c>
      <c r="L2341" s="6" t="s">
        <v>205</v>
      </c>
      <c r="M2341" s="6" t="s">
        <v>742</v>
      </c>
      <c r="N2341" s="6" t="s">
        <v>282</v>
      </c>
      <c r="O2341" s="6" t="s">
        <v>2809</v>
      </c>
      <c r="P2341" s="6" t="str">
        <f aca="false">IF(J2341="S0","—",IF(K2341="","",IF(L2341="E0","QM",INDEX(10_ASIL_Matrix!$D$4:$F$15,MATCH(J2341&amp;"-"&amp;L2341,10_ASIL_Matrix!$C$4:$C$15,0),MATCH(N2341,10_ASIL_Matrix!$D$3:$F$3,0)))))</f>
        <v>QM</v>
      </c>
      <c r="Q2341" s="6" t="s">
        <v>448</v>
      </c>
    </row>
    <row r="2342" customFormat="false" ht="35.05" hidden="false" customHeight="false" outlineLevel="0" collapsed="false">
      <c r="A2342" s="5" t="s">
        <v>5370</v>
      </c>
      <c r="B2342" s="5" t="s">
        <v>112</v>
      </c>
      <c r="C2342" s="5" t="s">
        <v>113</v>
      </c>
      <c r="D2342" s="5" t="s">
        <v>143</v>
      </c>
      <c r="E2342" s="5" t="s">
        <v>144</v>
      </c>
      <c r="F2342" s="5" t="s">
        <v>217</v>
      </c>
      <c r="G2342" s="5" t="s">
        <v>488</v>
      </c>
      <c r="H2342" s="5" t="s">
        <v>230</v>
      </c>
      <c r="I2342" s="5" t="s">
        <v>5371</v>
      </c>
      <c r="J2342" s="5" t="s">
        <v>250</v>
      </c>
      <c r="K2342" s="5" t="s">
        <v>3001</v>
      </c>
      <c r="L2342" s="5" t="s">
        <v>205</v>
      </c>
      <c r="M2342" s="5" t="s">
        <v>745</v>
      </c>
      <c r="N2342" s="5" t="s">
        <v>286</v>
      </c>
      <c r="O2342" s="5" t="s">
        <v>2800</v>
      </c>
      <c r="P2342" s="19" t="str">
        <f aca="false">IF(J2342="S0","—",IF(K2342="","",IF(L2342="E0","QM",INDEX(10_ASIL_Matrix!$D$4:$F$15,MATCH(J2342&amp;"-"&amp;L2342,10_ASIL_Matrix!$C$4:$C$15,0),MATCH(N2342,10_ASIL_Matrix!$D$3:$F$3,0)))))</f>
        <v>A</v>
      </c>
      <c r="Q2342" s="5" t="s">
        <v>448</v>
      </c>
    </row>
    <row r="2343" customFormat="false" ht="46.25" hidden="false" customHeight="false" outlineLevel="0" collapsed="false">
      <c r="A2343" s="6" t="s">
        <v>5372</v>
      </c>
      <c r="B2343" s="6" t="s">
        <v>112</v>
      </c>
      <c r="C2343" s="6" t="s">
        <v>113</v>
      </c>
      <c r="D2343" s="6" t="s">
        <v>143</v>
      </c>
      <c r="E2343" s="6" t="s">
        <v>144</v>
      </c>
      <c r="F2343" s="6" t="s">
        <v>217</v>
      </c>
      <c r="G2343" s="6" t="s">
        <v>488</v>
      </c>
      <c r="H2343" s="6" t="s">
        <v>232</v>
      </c>
      <c r="I2343" s="6" t="s">
        <v>5373</v>
      </c>
      <c r="J2343" s="6" t="s">
        <v>246</v>
      </c>
      <c r="K2343" s="6" t="s">
        <v>2991</v>
      </c>
      <c r="L2343" s="6" t="s">
        <v>233</v>
      </c>
      <c r="M2343" s="6" t="s">
        <v>748</v>
      </c>
      <c r="N2343" s="6" t="s">
        <v>282</v>
      </c>
      <c r="O2343" s="6" t="s">
        <v>2790</v>
      </c>
      <c r="P2343" s="6" t="str">
        <f aca="false">IF(J2343="S0","—",IF(K2343="","",IF(L2343="E0","QM",INDEX(10_ASIL_Matrix!$D$4:$F$15,MATCH(J2343&amp;"-"&amp;L2343,10_ASIL_Matrix!$C$4:$C$15,0),MATCH(N2343,10_ASIL_Matrix!$D$3:$F$3,0)))))</f>
        <v>QM</v>
      </c>
      <c r="Q2343" s="6" t="s">
        <v>448</v>
      </c>
    </row>
    <row r="2344" customFormat="false" ht="35.05" hidden="false" customHeight="false" outlineLevel="0" collapsed="false">
      <c r="A2344" s="5" t="s">
        <v>5374</v>
      </c>
      <c r="B2344" s="5" t="s">
        <v>115</v>
      </c>
      <c r="C2344" s="5" t="s">
        <v>116</v>
      </c>
      <c r="D2344" s="5" t="s">
        <v>137</v>
      </c>
      <c r="E2344" s="5" t="s">
        <v>138</v>
      </c>
      <c r="F2344" s="5" t="s">
        <v>186</v>
      </c>
      <c r="G2344" s="5" t="s">
        <v>443</v>
      </c>
      <c r="H2344" s="5" t="s">
        <v>222</v>
      </c>
      <c r="I2344" s="5" t="s">
        <v>5375</v>
      </c>
      <c r="J2344" s="5" t="s">
        <v>250</v>
      </c>
      <c r="K2344" s="5" t="s">
        <v>5376</v>
      </c>
      <c r="L2344" s="5" t="s">
        <v>187</v>
      </c>
      <c r="M2344" s="5" t="s">
        <v>446</v>
      </c>
      <c r="N2344" s="5" t="s">
        <v>282</v>
      </c>
      <c r="O2344" s="5" t="s">
        <v>5377</v>
      </c>
      <c r="P2344" s="18" t="str">
        <f aca="false">IF(J2344="S0","—",IF(K2344="","",IF(L2344="E0","QM",INDEX(10_ASIL_Matrix!$D$4:$F$15,MATCH(J2344&amp;"-"&amp;L2344,10_ASIL_Matrix!$C$4:$C$15,0),MATCH(N2344,10_ASIL_Matrix!$D$3:$F$3,0)))))</f>
        <v>B</v>
      </c>
      <c r="Q2344" s="5" t="s">
        <v>448</v>
      </c>
    </row>
    <row r="2345" customFormat="false" ht="35.05" hidden="false" customHeight="false" outlineLevel="0" collapsed="false">
      <c r="A2345" s="6" t="s">
        <v>5378</v>
      </c>
      <c r="B2345" s="6" t="s">
        <v>115</v>
      </c>
      <c r="C2345" s="6" t="s">
        <v>116</v>
      </c>
      <c r="D2345" s="6" t="s">
        <v>137</v>
      </c>
      <c r="E2345" s="6" t="s">
        <v>138</v>
      </c>
      <c r="F2345" s="6" t="s">
        <v>186</v>
      </c>
      <c r="G2345" s="6" t="s">
        <v>443</v>
      </c>
      <c r="H2345" s="6" t="s">
        <v>224</v>
      </c>
      <c r="I2345" s="6" t="s">
        <v>5379</v>
      </c>
      <c r="J2345" s="6" t="s">
        <v>250</v>
      </c>
      <c r="K2345" s="6" t="s">
        <v>5376</v>
      </c>
      <c r="L2345" s="6" t="s">
        <v>190</v>
      </c>
      <c r="M2345" s="6" t="s">
        <v>451</v>
      </c>
      <c r="N2345" s="6" t="s">
        <v>282</v>
      </c>
      <c r="O2345" s="6" t="s">
        <v>5377</v>
      </c>
      <c r="P2345" s="19" t="str">
        <f aca="false">IF(J2345="S0","—",IF(K2345="","",IF(L2345="E0","QM",INDEX(10_ASIL_Matrix!$D$4:$F$15,MATCH(J2345&amp;"-"&amp;L2345,10_ASIL_Matrix!$C$4:$C$15,0),MATCH(N2345,10_ASIL_Matrix!$D$3:$F$3,0)))))</f>
        <v>A</v>
      </c>
      <c r="Q2345" s="6" t="s">
        <v>448</v>
      </c>
    </row>
    <row r="2346" customFormat="false" ht="35.05" hidden="false" customHeight="false" outlineLevel="0" collapsed="false">
      <c r="A2346" s="5" t="s">
        <v>5380</v>
      </c>
      <c r="B2346" s="5" t="s">
        <v>115</v>
      </c>
      <c r="C2346" s="5" t="s">
        <v>116</v>
      </c>
      <c r="D2346" s="5" t="s">
        <v>137</v>
      </c>
      <c r="E2346" s="5" t="s">
        <v>138</v>
      </c>
      <c r="F2346" s="5" t="s">
        <v>186</v>
      </c>
      <c r="G2346" s="5" t="s">
        <v>443</v>
      </c>
      <c r="H2346" s="5" t="s">
        <v>226</v>
      </c>
      <c r="I2346" s="5" t="s">
        <v>5381</v>
      </c>
      <c r="J2346" s="5" t="s">
        <v>250</v>
      </c>
      <c r="K2346" s="5" t="s">
        <v>5376</v>
      </c>
      <c r="L2346" s="5" t="s">
        <v>190</v>
      </c>
      <c r="M2346" s="5" t="s">
        <v>454</v>
      </c>
      <c r="N2346" s="5" t="s">
        <v>282</v>
      </c>
      <c r="O2346" s="5" t="s">
        <v>5377</v>
      </c>
      <c r="P2346" s="19" t="str">
        <f aca="false">IF(J2346="S0","—",IF(K2346="","",IF(L2346="E0","QM",INDEX(10_ASIL_Matrix!$D$4:$F$15,MATCH(J2346&amp;"-"&amp;L2346,10_ASIL_Matrix!$C$4:$C$15,0),MATCH(N2346,10_ASIL_Matrix!$D$3:$F$3,0)))))</f>
        <v>A</v>
      </c>
      <c r="Q2346" s="5" t="s">
        <v>448</v>
      </c>
    </row>
    <row r="2347" customFormat="false" ht="35.05" hidden="false" customHeight="false" outlineLevel="0" collapsed="false">
      <c r="A2347" s="6" t="s">
        <v>5382</v>
      </c>
      <c r="B2347" s="6" t="s">
        <v>115</v>
      </c>
      <c r="C2347" s="6" t="s">
        <v>116</v>
      </c>
      <c r="D2347" s="6" t="s">
        <v>137</v>
      </c>
      <c r="E2347" s="6" t="s">
        <v>138</v>
      </c>
      <c r="F2347" s="6" t="s">
        <v>186</v>
      </c>
      <c r="G2347" s="6" t="s">
        <v>443</v>
      </c>
      <c r="H2347" s="6" t="s">
        <v>228</v>
      </c>
      <c r="I2347" s="6" t="s">
        <v>5383</v>
      </c>
      <c r="J2347" s="6" t="s">
        <v>250</v>
      </c>
      <c r="K2347" s="6" t="s">
        <v>5376</v>
      </c>
      <c r="L2347" s="6" t="s">
        <v>205</v>
      </c>
      <c r="M2347" s="6" t="s">
        <v>457</v>
      </c>
      <c r="N2347" s="6" t="s">
        <v>282</v>
      </c>
      <c r="O2347" s="6" t="s">
        <v>5377</v>
      </c>
      <c r="P2347" s="6" t="str">
        <f aca="false">IF(J2347="S0","—",IF(K2347="","",IF(L2347="E0","QM",INDEX(10_ASIL_Matrix!$D$4:$F$15,MATCH(J2347&amp;"-"&amp;L2347,10_ASIL_Matrix!$C$4:$C$15,0),MATCH(N2347,10_ASIL_Matrix!$D$3:$F$3,0)))))</f>
        <v>QM</v>
      </c>
      <c r="Q2347" s="6" t="s">
        <v>448</v>
      </c>
    </row>
    <row r="2348" customFormat="false" ht="35.05" hidden="false" customHeight="false" outlineLevel="0" collapsed="false">
      <c r="A2348" s="5" t="s">
        <v>5384</v>
      </c>
      <c r="B2348" s="5" t="s">
        <v>115</v>
      </c>
      <c r="C2348" s="5" t="s">
        <v>116</v>
      </c>
      <c r="D2348" s="5" t="s">
        <v>137</v>
      </c>
      <c r="E2348" s="5" t="s">
        <v>138</v>
      </c>
      <c r="F2348" s="5" t="s">
        <v>186</v>
      </c>
      <c r="G2348" s="5" t="s">
        <v>443</v>
      </c>
      <c r="H2348" s="5" t="s">
        <v>230</v>
      </c>
      <c r="I2348" s="5" t="s">
        <v>5385</v>
      </c>
      <c r="J2348" s="5" t="s">
        <v>250</v>
      </c>
      <c r="K2348" s="5" t="s">
        <v>5376</v>
      </c>
      <c r="L2348" s="5" t="s">
        <v>205</v>
      </c>
      <c r="M2348" s="5" t="s">
        <v>460</v>
      </c>
      <c r="N2348" s="5" t="s">
        <v>286</v>
      </c>
      <c r="O2348" s="5" t="s">
        <v>5386</v>
      </c>
      <c r="P2348" s="19" t="str">
        <f aca="false">IF(J2348="S0","—",IF(K2348="","",IF(L2348="E0","QM",INDEX(10_ASIL_Matrix!$D$4:$F$15,MATCH(J2348&amp;"-"&amp;L2348,10_ASIL_Matrix!$C$4:$C$15,0),MATCH(N2348,10_ASIL_Matrix!$D$3:$F$3,0)))))</f>
        <v>A</v>
      </c>
      <c r="Q2348" s="5" t="s">
        <v>448</v>
      </c>
    </row>
    <row r="2349" customFormat="false" ht="46.25" hidden="false" customHeight="false" outlineLevel="0" collapsed="false">
      <c r="A2349" s="6" t="s">
        <v>5387</v>
      </c>
      <c r="B2349" s="6" t="s">
        <v>115</v>
      </c>
      <c r="C2349" s="6" t="s">
        <v>116</v>
      </c>
      <c r="D2349" s="6" t="s">
        <v>137</v>
      </c>
      <c r="E2349" s="6" t="s">
        <v>138</v>
      </c>
      <c r="F2349" s="6" t="s">
        <v>186</v>
      </c>
      <c r="G2349" s="6" t="s">
        <v>443</v>
      </c>
      <c r="H2349" s="6" t="s">
        <v>232</v>
      </c>
      <c r="I2349" s="6" t="s">
        <v>5388</v>
      </c>
      <c r="J2349" s="6" t="s">
        <v>250</v>
      </c>
      <c r="K2349" s="6" t="s">
        <v>5376</v>
      </c>
      <c r="L2349" s="6" t="s">
        <v>233</v>
      </c>
      <c r="M2349" s="6" t="s">
        <v>464</v>
      </c>
      <c r="N2349" s="6" t="s">
        <v>282</v>
      </c>
      <c r="O2349" s="6" t="s">
        <v>5377</v>
      </c>
      <c r="P2349" s="6" t="str">
        <f aca="false">IF(J2349="S0","—",IF(K2349="","",IF(L2349="E0","QM",INDEX(10_ASIL_Matrix!$D$4:$F$15,MATCH(J2349&amp;"-"&amp;L2349,10_ASIL_Matrix!$C$4:$C$15,0),MATCH(N2349,10_ASIL_Matrix!$D$3:$F$3,0)))))</f>
        <v>QM</v>
      </c>
      <c r="Q2349" s="6" t="s">
        <v>448</v>
      </c>
    </row>
    <row r="2350" customFormat="false" ht="35.05" hidden="false" customHeight="false" outlineLevel="0" collapsed="false">
      <c r="A2350" s="5" t="s">
        <v>5389</v>
      </c>
      <c r="B2350" s="5" t="s">
        <v>115</v>
      </c>
      <c r="C2350" s="5" t="s">
        <v>116</v>
      </c>
      <c r="D2350" s="5" t="s">
        <v>137</v>
      </c>
      <c r="E2350" s="5" t="s">
        <v>138</v>
      </c>
      <c r="F2350" s="5" t="s">
        <v>189</v>
      </c>
      <c r="G2350" s="5" t="s">
        <v>466</v>
      </c>
      <c r="H2350" s="5" t="s">
        <v>222</v>
      </c>
      <c r="I2350" s="5" t="s">
        <v>5390</v>
      </c>
      <c r="J2350" s="5" t="s">
        <v>250</v>
      </c>
      <c r="K2350" s="5" t="s">
        <v>5391</v>
      </c>
      <c r="L2350" s="5" t="s">
        <v>190</v>
      </c>
      <c r="M2350" s="5" t="s">
        <v>469</v>
      </c>
      <c r="N2350" s="5" t="s">
        <v>286</v>
      </c>
      <c r="O2350" s="5" t="s">
        <v>5392</v>
      </c>
      <c r="P2350" s="18" t="str">
        <f aca="false">IF(J2350="S0","—",IF(K2350="","",IF(L2350="E0","QM",INDEX(10_ASIL_Matrix!$D$4:$F$15,MATCH(J2350&amp;"-"&amp;L2350,10_ASIL_Matrix!$C$4:$C$15,0),MATCH(N2350,10_ASIL_Matrix!$D$3:$F$3,0)))))</f>
        <v>B</v>
      </c>
      <c r="Q2350" s="5" t="s">
        <v>448</v>
      </c>
    </row>
    <row r="2351" customFormat="false" ht="35.05" hidden="false" customHeight="false" outlineLevel="0" collapsed="false">
      <c r="A2351" s="6" t="s">
        <v>5393</v>
      </c>
      <c r="B2351" s="6" t="s">
        <v>115</v>
      </c>
      <c r="C2351" s="6" t="s">
        <v>116</v>
      </c>
      <c r="D2351" s="6" t="s">
        <v>137</v>
      </c>
      <c r="E2351" s="6" t="s">
        <v>138</v>
      </c>
      <c r="F2351" s="6" t="s">
        <v>189</v>
      </c>
      <c r="G2351" s="6" t="s">
        <v>466</v>
      </c>
      <c r="H2351" s="6" t="s">
        <v>224</v>
      </c>
      <c r="I2351" s="6" t="s">
        <v>5394</v>
      </c>
      <c r="J2351" s="6" t="s">
        <v>250</v>
      </c>
      <c r="K2351" s="6" t="s">
        <v>5391</v>
      </c>
      <c r="L2351" s="6" t="s">
        <v>190</v>
      </c>
      <c r="M2351" s="6" t="s">
        <v>473</v>
      </c>
      <c r="N2351" s="6" t="s">
        <v>286</v>
      </c>
      <c r="O2351" s="6" t="s">
        <v>5392</v>
      </c>
      <c r="P2351" s="18" t="str">
        <f aca="false">IF(J2351="S0","—",IF(K2351="","",IF(L2351="E0","QM",INDEX(10_ASIL_Matrix!$D$4:$F$15,MATCH(J2351&amp;"-"&amp;L2351,10_ASIL_Matrix!$C$4:$C$15,0),MATCH(N2351,10_ASIL_Matrix!$D$3:$F$3,0)))))</f>
        <v>B</v>
      </c>
      <c r="Q2351" s="6" t="s">
        <v>448</v>
      </c>
    </row>
    <row r="2352" customFormat="false" ht="35.05" hidden="false" customHeight="false" outlineLevel="0" collapsed="false">
      <c r="A2352" s="5" t="s">
        <v>5395</v>
      </c>
      <c r="B2352" s="5" t="s">
        <v>115</v>
      </c>
      <c r="C2352" s="5" t="s">
        <v>116</v>
      </c>
      <c r="D2352" s="5" t="s">
        <v>137</v>
      </c>
      <c r="E2352" s="5" t="s">
        <v>138</v>
      </c>
      <c r="F2352" s="5" t="s">
        <v>189</v>
      </c>
      <c r="G2352" s="5" t="s">
        <v>466</v>
      </c>
      <c r="H2352" s="5" t="s">
        <v>226</v>
      </c>
      <c r="I2352" s="5" t="s">
        <v>5396</v>
      </c>
      <c r="J2352" s="5" t="s">
        <v>250</v>
      </c>
      <c r="K2352" s="5" t="s">
        <v>5391</v>
      </c>
      <c r="L2352" s="5" t="s">
        <v>190</v>
      </c>
      <c r="M2352" s="5" t="s">
        <v>476</v>
      </c>
      <c r="N2352" s="5" t="s">
        <v>286</v>
      </c>
      <c r="O2352" s="5" t="s">
        <v>5392</v>
      </c>
      <c r="P2352" s="18" t="str">
        <f aca="false">IF(J2352="S0","—",IF(K2352="","",IF(L2352="E0","QM",INDEX(10_ASIL_Matrix!$D$4:$F$15,MATCH(J2352&amp;"-"&amp;L2352,10_ASIL_Matrix!$C$4:$C$15,0),MATCH(N2352,10_ASIL_Matrix!$D$3:$F$3,0)))))</f>
        <v>B</v>
      </c>
      <c r="Q2352" s="5" t="s">
        <v>448</v>
      </c>
    </row>
    <row r="2353" customFormat="false" ht="35.05" hidden="false" customHeight="false" outlineLevel="0" collapsed="false">
      <c r="A2353" s="6" t="s">
        <v>5397</v>
      </c>
      <c r="B2353" s="6" t="s">
        <v>115</v>
      </c>
      <c r="C2353" s="6" t="s">
        <v>116</v>
      </c>
      <c r="D2353" s="6" t="s">
        <v>137</v>
      </c>
      <c r="E2353" s="6" t="s">
        <v>138</v>
      </c>
      <c r="F2353" s="6" t="s">
        <v>189</v>
      </c>
      <c r="G2353" s="6" t="s">
        <v>466</v>
      </c>
      <c r="H2353" s="6" t="s">
        <v>228</v>
      </c>
      <c r="I2353" s="6" t="s">
        <v>5398</v>
      </c>
      <c r="J2353" s="6" t="s">
        <v>250</v>
      </c>
      <c r="K2353" s="6" t="s">
        <v>5391</v>
      </c>
      <c r="L2353" s="6" t="s">
        <v>205</v>
      </c>
      <c r="M2353" s="6" t="s">
        <v>479</v>
      </c>
      <c r="N2353" s="6" t="s">
        <v>286</v>
      </c>
      <c r="O2353" s="6" t="s">
        <v>5392</v>
      </c>
      <c r="P2353" s="19" t="str">
        <f aca="false">IF(J2353="S0","—",IF(K2353="","",IF(L2353="E0","QM",INDEX(10_ASIL_Matrix!$D$4:$F$15,MATCH(J2353&amp;"-"&amp;L2353,10_ASIL_Matrix!$C$4:$C$15,0),MATCH(N2353,10_ASIL_Matrix!$D$3:$F$3,0)))))</f>
        <v>A</v>
      </c>
      <c r="Q2353" s="6" t="s">
        <v>448</v>
      </c>
    </row>
    <row r="2354" customFormat="false" ht="35.05" hidden="false" customHeight="false" outlineLevel="0" collapsed="false">
      <c r="A2354" s="5" t="s">
        <v>5399</v>
      </c>
      <c r="B2354" s="5" t="s">
        <v>115</v>
      </c>
      <c r="C2354" s="5" t="s">
        <v>116</v>
      </c>
      <c r="D2354" s="5" t="s">
        <v>137</v>
      </c>
      <c r="E2354" s="5" t="s">
        <v>138</v>
      </c>
      <c r="F2354" s="5" t="s">
        <v>189</v>
      </c>
      <c r="G2354" s="5" t="s">
        <v>466</v>
      </c>
      <c r="H2354" s="5" t="s">
        <v>230</v>
      </c>
      <c r="I2354" s="5" t="s">
        <v>5400</v>
      </c>
      <c r="J2354" s="5" t="s">
        <v>250</v>
      </c>
      <c r="K2354" s="5" t="s">
        <v>5391</v>
      </c>
      <c r="L2354" s="5" t="s">
        <v>205</v>
      </c>
      <c r="M2354" s="5" t="s">
        <v>482</v>
      </c>
      <c r="N2354" s="5" t="s">
        <v>290</v>
      </c>
      <c r="O2354" s="5" t="s">
        <v>5401</v>
      </c>
      <c r="P2354" s="18" t="str">
        <f aca="false">IF(J2354="S0","—",IF(K2354="","",IF(L2354="E0","QM",INDEX(10_ASIL_Matrix!$D$4:$F$15,MATCH(J2354&amp;"-"&amp;L2354,10_ASIL_Matrix!$C$4:$C$15,0),MATCH(N2354,10_ASIL_Matrix!$D$3:$F$3,0)))))</f>
        <v>B</v>
      </c>
      <c r="Q2354" s="5" t="s">
        <v>448</v>
      </c>
    </row>
    <row r="2355" customFormat="false" ht="46.25" hidden="false" customHeight="false" outlineLevel="0" collapsed="false">
      <c r="A2355" s="6" t="s">
        <v>5402</v>
      </c>
      <c r="B2355" s="6" t="s">
        <v>115</v>
      </c>
      <c r="C2355" s="6" t="s">
        <v>116</v>
      </c>
      <c r="D2355" s="6" t="s">
        <v>137</v>
      </c>
      <c r="E2355" s="6" t="s">
        <v>138</v>
      </c>
      <c r="F2355" s="6" t="s">
        <v>189</v>
      </c>
      <c r="G2355" s="6" t="s">
        <v>466</v>
      </c>
      <c r="H2355" s="6" t="s">
        <v>232</v>
      </c>
      <c r="I2355" s="6" t="s">
        <v>5403</v>
      </c>
      <c r="J2355" s="6" t="s">
        <v>250</v>
      </c>
      <c r="K2355" s="6" t="s">
        <v>5391</v>
      </c>
      <c r="L2355" s="6" t="s">
        <v>233</v>
      </c>
      <c r="M2355" s="6" t="s">
        <v>486</v>
      </c>
      <c r="N2355" s="6" t="s">
        <v>286</v>
      </c>
      <c r="O2355" s="6" t="s">
        <v>5392</v>
      </c>
      <c r="P2355" s="6" t="str">
        <f aca="false">IF(J2355="S0","—",IF(K2355="","",IF(L2355="E0","QM",INDEX(10_ASIL_Matrix!$D$4:$F$15,MATCH(J2355&amp;"-"&amp;L2355,10_ASIL_Matrix!$C$4:$C$15,0),MATCH(N2355,10_ASIL_Matrix!$D$3:$F$3,0)))))</f>
        <v>QM</v>
      </c>
      <c r="Q2355" s="6" t="s">
        <v>448</v>
      </c>
    </row>
    <row r="2356" customFormat="false" ht="35.05" hidden="false" customHeight="false" outlineLevel="0" collapsed="false">
      <c r="A2356" s="5" t="s">
        <v>5404</v>
      </c>
      <c r="B2356" s="5" t="s">
        <v>115</v>
      </c>
      <c r="C2356" s="5" t="s">
        <v>116</v>
      </c>
      <c r="D2356" s="5" t="s">
        <v>137</v>
      </c>
      <c r="E2356" s="5" t="s">
        <v>138</v>
      </c>
      <c r="F2356" s="5" t="s">
        <v>192</v>
      </c>
      <c r="G2356" s="5" t="s">
        <v>488</v>
      </c>
      <c r="H2356" s="5" t="s">
        <v>222</v>
      </c>
      <c r="I2356" s="5" t="s">
        <v>5405</v>
      </c>
      <c r="J2356" s="5" t="s">
        <v>250</v>
      </c>
      <c r="K2356" s="5" t="s">
        <v>5406</v>
      </c>
      <c r="L2356" s="5" t="s">
        <v>187</v>
      </c>
      <c r="M2356" s="5" t="s">
        <v>491</v>
      </c>
      <c r="N2356" s="5" t="s">
        <v>282</v>
      </c>
      <c r="O2356" s="5" t="s">
        <v>5407</v>
      </c>
      <c r="P2356" s="18" t="str">
        <f aca="false">IF(J2356="S0","—",IF(K2356="","",IF(L2356="E0","QM",INDEX(10_ASIL_Matrix!$D$4:$F$15,MATCH(J2356&amp;"-"&amp;L2356,10_ASIL_Matrix!$C$4:$C$15,0),MATCH(N2356,10_ASIL_Matrix!$D$3:$F$3,0)))))</f>
        <v>B</v>
      </c>
      <c r="Q2356" s="5" t="s">
        <v>448</v>
      </c>
    </row>
    <row r="2357" customFormat="false" ht="35.05" hidden="false" customHeight="false" outlineLevel="0" collapsed="false">
      <c r="A2357" s="6" t="s">
        <v>5408</v>
      </c>
      <c r="B2357" s="6" t="s">
        <v>115</v>
      </c>
      <c r="C2357" s="6" t="s">
        <v>116</v>
      </c>
      <c r="D2357" s="6" t="s">
        <v>137</v>
      </c>
      <c r="E2357" s="6" t="s">
        <v>138</v>
      </c>
      <c r="F2357" s="6" t="s">
        <v>192</v>
      </c>
      <c r="G2357" s="6" t="s">
        <v>488</v>
      </c>
      <c r="H2357" s="6" t="s">
        <v>224</v>
      </c>
      <c r="I2357" s="6" t="s">
        <v>5409</v>
      </c>
      <c r="J2357" s="6" t="s">
        <v>250</v>
      </c>
      <c r="K2357" s="6" t="s">
        <v>5406</v>
      </c>
      <c r="L2357" s="6" t="s">
        <v>190</v>
      </c>
      <c r="M2357" s="6" t="s">
        <v>494</v>
      </c>
      <c r="N2357" s="6" t="s">
        <v>282</v>
      </c>
      <c r="O2357" s="6" t="s">
        <v>5407</v>
      </c>
      <c r="P2357" s="19" t="str">
        <f aca="false">IF(J2357="S0","—",IF(K2357="","",IF(L2357="E0","QM",INDEX(10_ASIL_Matrix!$D$4:$F$15,MATCH(J2357&amp;"-"&amp;L2357,10_ASIL_Matrix!$C$4:$C$15,0),MATCH(N2357,10_ASIL_Matrix!$D$3:$F$3,0)))))</f>
        <v>A</v>
      </c>
      <c r="Q2357" s="6" t="s">
        <v>448</v>
      </c>
    </row>
    <row r="2358" customFormat="false" ht="35.05" hidden="false" customHeight="false" outlineLevel="0" collapsed="false">
      <c r="A2358" s="5" t="s">
        <v>5410</v>
      </c>
      <c r="B2358" s="5" t="s">
        <v>115</v>
      </c>
      <c r="C2358" s="5" t="s">
        <v>116</v>
      </c>
      <c r="D2358" s="5" t="s">
        <v>137</v>
      </c>
      <c r="E2358" s="5" t="s">
        <v>138</v>
      </c>
      <c r="F2358" s="5" t="s">
        <v>192</v>
      </c>
      <c r="G2358" s="5" t="s">
        <v>488</v>
      </c>
      <c r="H2358" s="5" t="s">
        <v>226</v>
      </c>
      <c r="I2358" s="5" t="s">
        <v>5411</v>
      </c>
      <c r="J2358" s="5" t="s">
        <v>250</v>
      </c>
      <c r="K2358" s="5" t="s">
        <v>5406</v>
      </c>
      <c r="L2358" s="5" t="s">
        <v>190</v>
      </c>
      <c r="M2358" s="5" t="s">
        <v>497</v>
      </c>
      <c r="N2358" s="5" t="s">
        <v>282</v>
      </c>
      <c r="O2358" s="5" t="s">
        <v>5407</v>
      </c>
      <c r="P2358" s="19" t="str">
        <f aca="false">IF(J2358="S0","—",IF(K2358="","",IF(L2358="E0","QM",INDEX(10_ASIL_Matrix!$D$4:$F$15,MATCH(J2358&amp;"-"&amp;L2358,10_ASIL_Matrix!$C$4:$C$15,0),MATCH(N2358,10_ASIL_Matrix!$D$3:$F$3,0)))))</f>
        <v>A</v>
      </c>
      <c r="Q2358" s="5" t="s">
        <v>448</v>
      </c>
    </row>
    <row r="2359" customFormat="false" ht="35.05" hidden="false" customHeight="false" outlineLevel="0" collapsed="false">
      <c r="A2359" s="6" t="s">
        <v>5412</v>
      </c>
      <c r="B2359" s="6" t="s">
        <v>115</v>
      </c>
      <c r="C2359" s="6" t="s">
        <v>116</v>
      </c>
      <c r="D2359" s="6" t="s">
        <v>137</v>
      </c>
      <c r="E2359" s="6" t="s">
        <v>138</v>
      </c>
      <c r="F2359" s="6" t="s">
        <v>192</v>
      </c>
      <c r="G2359" s="6" t="s">
        <v>488</v>
      </c>
      <c r="H2359" s="6" t="s">
        <v>228</v>
      </c>
      <c r="I2359" s="6" t="s">
        <v>5413</v>
      </c>
      <c r="J2359" s="6" t="s">
        <v>250</v>
      </c>
      <c r="K2359" s="6" t="s">
        <v>5406</v>
      </c>
      <c r="L2359" s="6" t="s">
        <v>205</v>
      </c>
      <c r="M2359" s="6" t="s">
        <v>500</v>
      </c>
      <c r="N2359" s="6" t="s">
        <v>282</v>
      </c>
      <c r="O2359" s="6" t="s">
        <v>5407</v>
      </c>
      <c r="P2359" s="6" t="str">
        <f aca="false">IF(J2359="S0","—",IF(K2359="","",IF(L2359="E0","QM",INDEX(10_ASIL_Matrix!$D$4:$F$15,MATCH(J2359&amp;"-"&amp;L2359,10_ASIL_Matrix!$C$4:$C$15,0),MATCH(N2359,10_ASIL_Matrix!$D$3:$F$3,0)))))</f>
        <v>QM</v>
      </c>
      <c r="Q2359" s="6" t="s">
        <v>448</v>
      </c>
    </row>
    <row r="2360" customFormat="false" ht="35.05" hidden="false" customHeight="false" outlineLevel="0" collapsed="false">
      <c r="A2360" s="5" t="s">
        <v>5414</v>
      </c>
      <c r="B2360" s="5" t="s">
        <v>115</v>
      </c>
      <c r="C2360" s="5" t="s">
        <v>116</v>
      </c>
      <c r="D2360" s="5" t="s">
        <v>137</v>
      </c>
      <c r="E2360" s="5" t="s">
        <v>138</v>
      </c>
      <c r="F2360" s="5" t="s">
        <v>192</v>
      </c>
      <c r="G2360" s="5" t="s">
        <v>488</v>
      </c>
      <c r="H2360" s="5" t="s">
        <v>230</v>
      </c>
      <c r="I2360" s="5" t="s">
        <v>5415</v>
      </c>
      <c r="J2360" s="5" t="s">
        <v>250</v>
      </c>
      <c r="K2360" s="5" t="s">
        <v>5406</v>
      </c>
      <c r="L2360" s="5" t="s">
        <v>205</v>
      </c>
      <c r="M2360" s="5" t="s">
        <v>503</v>
      </c>
      <c r="N2360" s="5" t="s">
        <v>286</v>
      </c>
      <c r="O2360" s="5" t="s">
        <v>5416</v>
      </c>
      <c r="P2360" s="19" t="str">
        <f aca="false">IF(J2360="S0","—",IF(K2360="","",IF(L2360="E0","QM",INDEX(10_ASIL_Matrix!$D$4:$F$15,MATCH(J2360&amp;"-"&amp;L2360,10_ASIL_Matrix!$C$4:$C$15,0),MATCH(N2360,10_ASIL_Matrix!$D$3:$F$3,0)))))</f>
        <v>A</v>
      </c>
      <c r="Q2360" s="5" t="s">
        <v>448</v>
      </c>
    </row>
    <row r="2361" customFormat="false" ht="46.25" hidden="false" customHeight="false" outlineLevel="0" collapsed="false">
      <c r="A2361" s="6" t="s">
        <v>5417</v>
      </c>
      <c r="B2361" s="6" t="s">
        <v>115</v>
      </c>
      <c r="C2361" s="6" t="s">
        <v>116</v>
      </c>
      <c r="D2361" s="6" t="s">
        <v>137</v>
      </c>
      <c r="E2361" s="6" t="s">
        <v>138</v>
      </c>
      <c r="F2361" s="6" t="s">
        <v>192</v>
      </c>
      <c r="G2361" s="6" t="s">
        <v>488</v>
      </c>
      <c r="H2361" s="6" t="s">
        <v>232</v>
      </c>
      <c r="I2361" s="6" t="s">
        <v>5418</v>
      </c>
      <c r="J2361" s="6" t="s">
        <v>250</v>
      </c>
      <c r="K2361" s="6" t="s">
        <v>5406</v>
      </c>
      <c r="L2361" s="6" t="s">
        <v>233</v>
      </c>
      <c r="M2361" s="6" t="s">
        <v>506</v>
      </c>
      <c r="N2361" s="6" t="s">
        <v>282</v>
      </c>
      <c r="O2361" s="6" t="s">
        <v>5407</v>
      </c>
      <c r="P2361" s="6" t="str">
        <f aca="false">IF(J2361="S0","—",IF(K2361="","",IF(L2361="E0","QM",INDEX(10_ASIL_Matrix!$D$4:$F$15,MATCH(J2361&amp;"-"&amp;L2361,10_ASIL_Matrix!$C$4:$C$15,0),MATCH(N2361,10_ASIL_Matrix!$D$3:$F$3,0)))))</f>
        <v>QM</v>
      </c>
      <c r="Q2361" s="6" t="s">
        <v>448</v>
      </c>
    </row>
    <row r="2362" customFormat="false" ht="35.05" hidden="false" customHeight="false" outlineLevel="0" collapsed="false">
      <c r="A2362" s="5" t="s">
        <v>5419</v>
      </c>
      <c r="B2362" s="5" t="s">
        <v>115</v>
      </c>
      <c r="C2362" s="5" t="s">
        <v>116</v>
      </c>
      <c r="D2362" s="5" t="s">
        <v>137</v>
      </c>
      <c r="E2362" s="5" t="s">
        <v>138</v>
      </c>
      <c r="F2362" s="5" t="s">
        <v>194</v>
      </c>
      <c r="G2362" s="5" t="s">
        <v>508</v>
      </c>
      <c r="H2362" s="5" t="s">
        <v>222</v>
      </c>
      <c r="I2362" s="5" t="s">
        <v>5420</v>
      </c>
      <c r="J2362" s="5" t="s">
        <v>250</v>
      </c>
      <c r="K2362" s="5" t="s">
        <v>5421</v>
      </c>
      <c r="L2362" s="5" t="s">
        <v>190</v>
      </c>
      <c r="M2362" s="5" t="s">
        <v>511</v>
      </c>
      <c r="N2362" s="5" t="s">
        <v>282</v>
      </c>
      <c r="O2362" s="5" t="s">
        <v>5422</v>
      </c>
      <c r="P2362" s="19" t="str">
        <f aca="false">IF(J2362="S0","—",IF(K2362="","",IF(L2362="E0","QM",INDEX(10_ASIL_Matrix!$D$4:$F$15,MATCH(J2362&amp;"-"&amp;L2362,10_ASIL_Matrix!$C$4:$C$15,0),MATCH(N2362,10_ASIL_Matrix!$D$3:$F$3,0)))))</f>
        <v>A</v>
      </c>
      <c r="Q2362" s="5" t="s">
        <v>448</v>
      </c>
    </row>
    <row r="2363" customFormat="false" ht="35.05" hidden="false" customHeight="false" outlineLevel="0" collapsed="false">
      <c r="A2363" s="6" t="s">
        <v>5423</v>
      </c>
      <c r="B2363" s="6" t="s">
        <v>115</v>
      </c>
      <c r="C2363" s="6" t="s">
        <v>116</v>
      </c>
      <c r="D2363" s="6" t="s">
        <v>137</v>
      </c>
      <c r="E2363" s="6" t="s">
        <v>138</v>
      </c>
      <c r="F2363" s="6" t="s">
        <v>194</v>
      </c>
      <c r="G2363" s="6" t="s">
        <v>508</v>
      </c>
      <c r="H2363" s="6" t="s">
        <v>224</v>
      </c>
      <c r="I2363" s="6" t="s">
        <v>5424</v>
      </c>
      <c r="J2363" s="6" t="s">
        <v>250</v>
      </c>
      <c r="K2363" s="6" t="s">
        <v>5421</v>
      </c>
      <c r="L2363" s="6" t="s">
        <v>190</v>
      </c>
      <c r="M2363" s="6" t="s">
        <v>514</v>
      </c>
      <c r="N2363" s="6" t="s">
        <v>282</v>
      </c>
      <c r="O2363" s="6" t="s">
        <v>5422</v>
      </c>
      <c r="P2363" s="19" t="str">
        <f aca="false">IF(J2363="S0","—",IF(K2363="","",IF(L2363="E0","QM",INDEX(10_ASIL_Matrix!$D$4:$F$15,MATCH(J2363&amp;"-"&amp;L2363,10_ASIL_Matrix!$C$4:$C$15,0),MATCH(N2363,10_ASIL_Matrix!$D$3:$F$3,0)))))</f>
        <v>A</v>
      </c>
      <c r="Q2363" s="6" t="s">
        <v>448</v>
      </c>
    </row>
    <row r="2364" customFormat="false" ht="35.05" hidden="false" customHeight="false" outlineLevel="0" collapsed="false">
      <c r="A2364" s="5" t="s">
        <v>5425</v>
      </c>
      <c r="B2364" s="5" t="s">
        <v>115</v>
      </c>
      <c r="C2364" s="5" t="s">
        <v>116</v>
      </c>
      <c r="D2364" s="5" t="s">
        <v>137</v>
      </c>
      <c r="E2364" s="5" t="s">
        <v>138</v>
      </c>
      <c r="F2364" s="5" t="s">
        <v>194</v>
      </c>
      <c r="G2364" s="5" t="s">
        <v>508</v>
      </c>
      <c r="H2364" s="5" t="s">
        <v>226</v>
      </c>
      <c r="I2364" s="5" t="s">
        <v>5426</v>
      </c>
      <c r="J2364" s="5" t="s">
        <v>250</v>
      </c>
      <c r="K2364" s="5" t="s">
        <v>5421</v>
      </c>
      <c r="L2364" s="5" t="s">
        <v>190</v>
      </c>
      <c r="M2364" s="5" t="s">
        <v>517</v>
      </c>
      <c r="N2364" s="5" t="s">
        <v>282</v>
      </c>
      <c r="O2364" s="5" t="s">
        <v>5422</v>
      </c>
      <c r="P2364" s="19" t="str">
        <f aca="false">IF(J2364="S0","—",IF(K2364="","",IF(L2364="E0","QM",INDEX(10_ASIL_Matrix!$D$4:$F$15,MATCH(J2364&amp;"-"&amp;L2364,10_ASIL_Matrix!$C$4:$C$15,0),MATCH(N2364,10_ASIL_Matrix!$D$3:$F$3,0)))))</f>
        <v>A</v>
      </c>
      <c r="Q2364" s="5" t="s">
        <v>448</v>
      </c>
    </row>
    <row r="2365" customFormat="false" ht="35.05" hidden="false" customHeight="false" outlineLevel="0" collapsed="false">
      <c r="A2365" s="6" t="s">
        <v>5427</v>
      </c>
      <c r="B2365" s="6" t="s">
        <v>115</v>
      </c>
      <c r="C2365" s="6" t="s">
        <v>116</v>
      </c>
      <c r="D2365" s="6" t="s">
        <v>137</v>
      </c>
      <c r="E2365" s="6" t="s">
        <v>138</v>
      </c>
      <c r="F2365" s="6" t="s">
        <v>194</v>
      </c>
      <c r="G2365" s="6" t="s">
        <v>508</v>
      </c>
      <c r="H2365" s="6" t="s">
        <v>228</v>
      </c>
      <c r="I2365" s="6" t="s">
        <v>5428</v>
      </c>
      <c r="J2365" s="6" t="s">
        <v>250</v>
      </c>
      <c r="K2365" s="6" t="s">
        <v>5421</v>
      </c>
      <c r="L2365" s="6" t="s">
        <v>205</v>
      </c>
      <c r="M2365" s="6" t="s">
        <v>520</v>
      </c>
      <c r="N2365" s="6" t="s">
        <v>282</v>
      </c>
      <c r="O2365" s="6" t="s">
        <v>5422</v>
      </c>
      <c r="P2365" s="6" t="str">
        <f aca="false">IF(J2365="S0","—",IF(K2365="","",IF(L2365="E0","QM",INDEX(10_ASIL_Matrix!$D$4:$F$15,MATCH(J2365&amp;"-"&amp;L2365,10_ASIL_Matrix!$C$4:$C$15,0),MATCH(N2365,10_ASIL_Matrix!$D$3:$F$3,0)))))</f>
        <v>QM</v>
      </c>
      <c r="Q2365" s="6" t="s">
        <v>448</v>
      </c>
    </row>
    <row r="2366" customFormat="false" ht="35.05" hidden="false" customHeight="false" outlineLevel="0" collapsed="false">
      <c r="A2366" s="5" t="s">
        <v>5429</v>
      </c>
      <c r="B2366" s="5" t="s">
        <v>115</v>
      </c>
      <c r="C2366" s="5" t="s">
        <v>116</v>
      </c>
      <c r="D2366" s="5" t="s">
        <v>137</v>
      </c>
      <c r="E2366" s="5" t="s">
        <v>138</v>
      </c>
      <c r="F2366" s="5" t="s">
        <v>194</v>
      </c>
      <c r="G2366" s="5" t="s">
        <v>508</v>
      </c>
      <c r="H2366" s="5" t="s">
        <v>230</v>
      </c>
      <c r="I2366" s="5" t="s">
        <v>5430</v>
      </c>
      <c r="J2366" s="5" t="s">
        <v>250</v>
      </c>
      <c r="K2366" s="5" t="s">
        <v>5421</v>
      </c>
      <c r="L2366" s="5" t="s">
        <v>205</v>
      </c>
      <c r="M2366" s="5" t="s">
        <v>523</v>
      </c>
      <c r="N2366" s="5" t="s">
        <v>286</v>
      </c>
      <c r="O2366" s="5" t="s">
        <v>5431</v>
      </c>
      <c r="P2366" s="19" t="str">
        <f aca="false">IF(J2366="S0","—",IF(K2366="","",IF(L2366="E0","QM",INDEX(10_ASIL_Matrix!$D$4:$F$15,MATCH(J2366&amp;"-"&amp;L2366,10_ASIL_Matrix!$C$4:$C$15,0),MATCH(N2366,10_ASIL_Matrix!$D$3:$F$3,0)))))</f>
        <v>A</v>
      </c>
      <c r="Q2366" s="5" t="s">
        <v>448</v>
      </c>
    </row>
    <row r="2367" customFormat="false" ht="46.25" hidden="false" customHeight="false" outlineLevel="0" collapsed="false">
      <c r="A2367" s="6" t="s">
        <v>5432</v>
      </c>
      <c r="B2367" s="6" t="s">
        <v>115</v>
      </c>
      <c r="C2367" s="6" t="s">
        <v>116</v>
      </c>
      <c r="D2367" s="6" t="s">
        <v>137</v>
      </c>
      <c r="E2367" s="6" t="s">
        <v>138</v>
      </c>
      <c r="F2367" s="6" t="s">
        <v>194</v>
      </c>
      <c r="G2367" s="6" t="s">
        <v>508</v>
      </c>
      <c r="H2367" s="6" t="s">
        <v>232</v>
      </c>
      <c r="I2367" s="6" t="s">
        <v>5433</v>
      </c>
      <c r="J2367" s="6" t="s">
        <v>250</v>
      </c>
      <c r="K2367" s="6" t="s">
        <v>5421</v>
      </c>
      <c r="L2367" s="6" t="s">
        <v>233</v>
      </c>
      <c r="M2367" s="6" t="s">
        <v>526</v>
      </c>
      <c r="N2367" s="6" t="s">
        <v>282</v>
      </c>
      <c r="O2367" s="6" t="s">
        <v>5422</v>
      </c>
      <c r="P2367" s="6" t="str">
        <f aca="false">IF(J2367="S0","—",IF(K2367="","",IF(L2367="E0","QM",INDEX(10_ASIL_Matrix!$D$4:$F$15,MATCH(J2367&amp;"-"&amp;L2367,10_ASIL_Matrix!$C$4:$C$15,0),MATCH(N2367,10_ASIL_Matrix!$D$3:$F$3,0)))))</f>
        <v>QM</v>
      </c>
      <c r="Q2367" s="6" t="s">
        <v>448</v>
      </c>
    </row>
    <row r="2368" customFormat="false" ht="35.05" hidden="false" customHeight="false" outlineLevel="0" collapsed="false">
      <c r="A2368" s="5" t="s">
        <v>5434</v>
      </c>
      <c r="B2368" s="5" t="s">
        <v>115</v>
      </c>
      <c r="C2368" s="5" t="s">
        <v>116</v>
      </c>
      <c r="D2368" s="5" t="s">
        <v>137</v>
      </c>
      <c r="E2368" s="5" t="s">
        <v>138</v>
      </c>
      <c r="F2368" s="5" t="s">
        <v>196</v>
      </c>
      <c r="G2368" s="5" t="s">
        <v>528</v>
      </c>
      <c r="H2368" s="5" t="s">
        <v>222</v>
      </c>
      <c r="I2368" s="5" t="s">
        <v>5435</v>
      </c>
      <c r="J2368" s="5" t="s">
        <v>246</v>
      </c>
      <c r="K2368" s="5" t="s">
        <v>5436</v>
      </c>
      <c r="L2368" s="5" t="s">
        <v>187</v>
      </c>
      <c r="M2368" s="5" t="s">
        <v>531</v>
      </c>
      <c r="N2368" s="5" t="s">
        <v>286</v>
      </c>
      <c r="O2368" s="5" t="s">
        <v>5437</v>
      </c>
      <c r="P2368" s="18" t="str">
        <f aca="false">IF(J2368="S0","—",IF(K2368="","",IF(L2368="E0","QM",INDEX(10_ASIL_Matrix!$D$4:$F$15,MATCH(J2368&amp;"-"&amp;L2368,10_ASIL_Matrix!$C$4:$C$15,0),MATCH(N2368,10_ASIL_Matrix!$D$3:$F$3,0)))))</f>
        <v>B</v>
      </c>
      <c r="Q2368" s="5" t="s">
        <v>448</v>
      </c>
    </row>
    <row r="2369" customFormat="false" ht="35.05" hidden="false" customHeight="false" outlineLevel="0" collapsed="false">
      <c r="A2369" s="6" t="s">
        <v>5438</v>
      </c>
      <c r="B2369" s="6" t="s">
        <v>115</v>
      </c>
      <c r="C2369" s="6" t="s">
        <v>116</v>
      </c>
      <c r="D2369" s="6" t="s">
        <v>137</v>
      </c>
      <c r="E2369" s="6" t="s">
        <v>138</v>
      </c>
      <c r="F2369" s="6" t="s">
        <v>196</v>
      </c>
      <c r="G2369" s="6" t="s">
        <v>528</v>
      </c>
      <c r="H2369" s="6" t="s">
        <v>224</v>
      </c>
      <c r="I2369" s="6" t="s">
        <v>5439</v>
      </c>
      <c r="J2369" s="6" t="s">
        <v>246</v>
      </c>
      <c r="K2369" s="6" t="s">
        <v>5436</v>
      </c>
      <c r="L2369" s="6" t="s">
        <v>190</v>
      </c>
      <c r="M2369" s="6" t="s">
        <v>534</v>
      </c>
      <c r="N2369" s="6" t="s">
        <v>286</v>
      </c>
      <c r="O2369" s="6" t="s">
        <v>5437</v>
      </c>
      <c r="P2369" s="19" t="str">
        <f aca="false">IF(J2369="S0","—",IF(K2369="","",IF(L2369="E0","QM",INDEX(10_ASIL_Matrix!$D$4:$F$15,MATCH(J2369&amp;"-"&amp;L2369,10_ASIL_Matrix!$C$4:$C$15,0),MATCH(N2369,10_ASIL_Matrix!$D$3:$F$3,0)))))</f>
        <v>A</v>
      </c>
      <c r="Q2369" s="6" t="s">
        <v>448</v>
      </c>
    </row>
    <row r="2370" customFormat="false" ht="35.05" hidden="false" customHeight="false" outlineLevel="0" collapsed="false">
      <c r="A2370" s="5" t="s">
        <v>5440</v>
      </c>
      <c r="B2370" s="5" t="s">
        <v>115</v>
      </c>
      <c r="C2370" s="5" t="s">
        <v>116</v>
      </c>
      <c r="D2370" s="5" t="s">
        <v>137</v>
      </c>
      <c r="E2370" s="5" t="s">
        <v>138</v>
      </c>
      <c r="F2370" s="5" t="s">
        <v>196</v>
      </c>
      <c r="G2370" s="5" t="s">
        <v>528</v>
      </c>
      <c r="H2370" s="5" t="s">
        <v>226</v>
      </c>
      <c r="I2370" s="5" t="s">
        <v>5441</v>
      </c>
      <c r="J2370" s="5" t="s">
        <v>246</v>
      </c>
      <c r="K2370" s="5" t="s">
        <v>5436</v>
      </c>
      <c r="L2370" s="5" t="s">
        <v>190</v>
      </c>
      <c r="M2370" s="5" t="s">
        <v>537</v>
      </c>
      <c r="N2370" s="5" t="s">
        <v>286</v>
      </c>
      <c r="O2370" s="5" t="s">
        <v>5437</v>
      </c>
      <c r="P2370" s="19" t="str">
        <f aca="false">IF(J2370="S0","—",IF(K2370="","",IF(L2370="E0","QM",INDEX(10_ASIL_Matrix!$D$4:$F$15,MATCH(J2370&amp;"-"&amp;L2370,10_ASIL_Matrix!$C$4:$C$15,0),MATCH(N2370,10_ASIL_Matrix!$D$3:$F$3,0)))))</f>
        <v>A</v>
      </c>
      <c r="Q2370" s="5" t="s">
        <v>448</v>
      </c>
    </row>
    <row r="2371" customFormat="false" ht="35.05" hidden="false" customHeight="false" outlineLevel="0" collapsed="false">
      <c r="A2371" s="6" t="s">
        <v>5442</v>
      </c>
      <c r="B2371" s="6" t="s">
        <v>115</v>
      </c>
      <c r="C2371" s="6" t="s">
        <v>116</v>
      </c>
      <c r="D2371" s="6" t="s">
        <v>137</v>
      </c>
      <c r="E2371" s="6" t="s">
        <v>138</v>
      </c>
      <c r="F2371" s="6" t="s">
        <v>196</v>
      </c>
      <c r="G2371" s="6" t="s">
        <v>528</v>
      </c>
      <c r="H2371" s="6" t="s">
        <v>228</v>
      </c>
      <c r="I2371" s="6" t="s">
        <v>5443</v>
      </c>
      <c r="J2371" s="6" t="s">
        <v>246</v>
      </c>
      <c r="K2371" s="6" t="s">
        <v>5436</v>
      </c>
      <c r="L2371" s="6" t="s">
        <v>205</v>
      </c>
      <c r="M2371" s="6" t="s">
        <v>540</v>
      </c>
      <c r="N2371" s="6" t="s">
        <v>286</v>
      </c>
      <c r="O2371" s="6" t="s">
        <v>5437</v>
      </c>
      <c r="P2371" s="6" t="str">
        <f aca="false">IF(J2371="S0","—",IF(K2371="","",IF(L2371="E0","QM",INDEX(10_ASIL_Matrix!$D$4:$F$15,MATCH(J2371&amp;"-"&amp;L2371,10_ASIL_Matrix!$C$4:$C$15,0),MATCH(N2371,10_ASIL_Matrix!$D$3:$F$3,0)))))</f>
        <v>QM</v>
      </c>
      <c r="Q2371" s="6" t="s">
        <v>448</v>
      </c>
    </row>
    <row r="2372" customFormat="false" ht="35.05" hidden="false" customHeight="false" outlineLevel="0" collapsed="false">
      <c r="A2372" s="5" t="s">
        <v>5444</v>
      </c>
      <c r="B2372" s="5" t="s">
        <v>115</v>
      </c>
      <c r="C2372" s="5" t="s">
        <v>116</v>
      </c>
      <c r="D2372" s="5" t="s">
        <v>137</v>
      </c>
      <c r="E2372" s="5" t="s">
        <v>138</v>
      </c>
      <c r="F2372" s="5" t="s">
        <v>196</v>
      </c>
      <c r="G2372" s="5" t="s">
        <v>528</v>
      </c>
      <c r="H2372" s="5" t="s">
        <v>230</v>
      </c>
      <c r="I2372" s="5" t="s">
        <v>5445</v>
      </c>
      <c r="J2372" s="5" t="s">
        <v>246</v>
      </c>
      <c r="K2372" s="5" t="s">
        <v>5436</v>
      </c>
      <c r="L2372" s="5" t="s">
        <v>205</v>
      </c>
      <c r="M2372" s="5" t="s">
        <v>543</v>
      </c>
      <c r="N2372" s="5" t="s">
        <v>290</v>
      </c>
      <c r="O2372" s="5" t="s">
        <v>5446</v>
      </c>
      <c r="P2372" s="19" t="str">
        <f aca="false">IF(J2372="S0","—",IF(K2372="","",IF(L2372="E0","QM",INDEX(10_ASIL_Matrix!$D$4:$F$15,MATCH(J2372&amp;"-"&amp;L2372,10_ASIL_Matrix!$C$4:$C$15,0),MATCH(N2372,10_ASIL_Matrix!$D$3:$F$3,0)))))</f>
        <v>A</v>
      </c>
      <c r="Q2372" s="5" t="s">
        <v>448</v>
      </c>
    </row>
    <row r="2373" customFormat="false" ht="46.25" hidden="false" customHeight="false" outlineLevel="0" collapsed="false">
      <c r="A2373" s="6" t="s">
        <v>5447</v>
      </c>
      <c r="B2373" s="6" t="s">
        <v>115</v>
      </c>
      <c r="C2373" s="6" t="s">
        <v>116</v>
      </c>
      <c r="D2373" s="6" t="s">
        <v>137</v>
      </c>
      <c r="E2373" s="6" t="s">
        <v>138</v>
      </c>
      <c r="F2373" s="6" t="s">
        <v>196</v>
      </c>
      <c r="G2373" s="6" t="s">
        <v>528</v>
      </c>
      <c r="H2373" s="6" t="s">
        <v>232</v>
      </c>
      <c r="I2373" s="6" t="s">
        <v>5448</v>
      </c>
      <c r="J2373" s="6" t="s">
        <v>246</v>
      </c>
      <c r="K2373" s="6" t="s">
        <v>5436</v>
      </c>
      <c r="L2373" s="6" t="s">
        <v>233</v>
      </c>
      <c r="M2373" s="6" t="s">
        <v>546</v>
      </c>
      <c r="N2373" s="6" t="s">
        <v>286</v>
      </c>
      <c r="O2373" s="6" t="s">
        <v>5437</v>
      </c>
      <c r="P2373" s="6" t="str">
        <f aca="false">IF(J2373="S0","—",IF(K2373="","",IF(L2373="E0","QM",INDEX(10_ASIL_Matrix!$D$4:$F$15,MATCH(J2373&amp;"-"&amp;L2373,10_ASIL_Matrix!$C$4:$C$15,0),MATCH(N2373,10_ASIL_Matrix!$D$3:$F$3,0)))))</f>
        <v>QM</v>
      </c>
      <c r="Q2373" s="6" t="s">
        <v>448</v>
      </c>
    </row>
    <row r="2374" customFormat="false" ht="35.05" hidden="false" customHeight="false" outlineLevel="0" collapsed="false">
      <c r="A2374" s="5" t="s">
        <v>5449</v>
      </c>
      <c r="B2374" s="5" t="s">
        <v>115</v>
      </c>
      <c r="C2374" s="5" t="s">
        <v>116</v>
      </c>
      <c r="D2374" s="5" t="s">
        <v>137</v>
      </c>
      <c r="E2374" s="5" t="s">
        <v>138</v>
      </c>
      <c r="F2374" s="5" t="s">
        <v>198</v>
      </c>
      <c r="G2374" s="5" t="s">
        <v>548</v>
      </c>
      <c r="H2374" s="5" t="s">
        <v>222</v>
      </c>
      <c r="I2374" s="5" t="s">
        <v>5450</v>
      </c>
      <c r="J2374" s="5" t="s">
        <v>238</v>
      </c>
      <c r="K2374" s="5" t="s">
        <v>5451</v>
      </c>
      <c r="L2374" s="5" t="s">
        <v>190</v>
      </c>
      <c r="M2374" s="5" t="s">
        <v>551</v>
      </c>
      <c r="N2374" s="5" t="s">
        <v>278</v>
      </c>
      <c r="O2374" s="5" t="s">
        <v>634</v>
      </c>
      <c r="P2374" s="5" t="str">
        <f aca="false">IF(J2374="S0","—",IF(K2374="","",IF(L2374="E0","QM",INDEX(10_ASIL_Matrix!$D$4:$F$15,MATCH(J2374&amp;"-"&amp;L2374,10_ASIL_Matrix!$C$4:$C$15,0),MATCH(N2374,10_ASIL_Matrix!$D$3:$F$3,0)))))</f>
        <v>—</v>
      </c>
      <c r="Q2374" s="5" t="s">
        <v>448</v>
      </c>
    </row>
    <row r="2375" customFormat="false" ht="35.05" hidden="false" customHeight="false" outlineLevel="0" collapsed="false">
      <c r="A2375" s="6" t="s">
        <v>5452</v>
      </c>
      <c r="B2375" s="6" t="s">
        <v>115</v>
      </c>
      <c r="C2375" s="6" t="s">
        <v>116</v>
      </c>
      <c r="D2375" s="6" t="s">
        <v>137</v>
      </c>
      <c r="E2375" s="6" t="s">
        <v>138</v>
      </c>
      <c r="F2375" s="6" t="s">
        <v>198</v>
      </c>
      <c r="G2375" s="6" t="s">
        <v>548</v>
      </c>
      <c r="H2375" s="6" t="s">
        <v>224</v>
      </c>
      <c r="I2375" s="6" t="s">
        <v>5453</v>
      </c>
      <c r="J2375" s="6" t="s">
        <v>238</v>
      </c>
      <c r="K2375" s="6" t="s">
        <v>5451</v>
      </c>
      <c r="L2375" s="6" t="s">
        <v>190</v>
      </c>
      <c r="M2375" s="6" t="s">
        <v>555</v>
      </c>
      <c r="N2375" s="6" t="s">
        <v>278</v>
      </c>
      <c r="O2375" s="6" t="s">
        <v>634</v>
      </c>
      <c r="P2375" s="6" t="str">
        <f aca="false">IF(J2375="S0","—",IF(K2375="","",IF(L2375="E0","QM",INDEX(10_ASIL_Matrix!$D$4:$F$15,MATCH(J2375&amp;"-"&amp;L2375,10_ASIL_Matrix!$C$4:$C$15,0),MATCH(N2375,10_ASIL_Matrix!$D$3:$F$3,0)))))</f>
        <v>—</v>
      </c>
      <c r="Q2375" s="6" t="s">
        <v>448</v>
      </c>
    </row>
    <row r="2376" customFormat="false" ht="35.05" hidden="false" customHeight="false" outlineLevel="0" collapsed="false">
      <c r="A2376" s="5" t="s">
        <v>5454</v>
      </c>
      <c r="B2376" s="5" t="s">
        <v>115</v>
      </c>
      <c r="C2376" s="5" t="s">
        <v>116</v>
      </c>
      <c r="D2376" s="5" t="s">
        <v>137</v>
      </c>
      <c r="E2376" s="5" t="s">
        <v>138</v>
      </c>
      <c r="F2376" s="5" t="s">
        <v>198</v>
      </c>
      <c r="G2376" s="5" t="s">
        <v>548</v>
      </c>
      <c r="H2376" s="5" t="s">
        <v>226</v>
      </c>
      <c r="I2376" s="5" t="s">
        <v>5455</v>
      </c>
      <c r="J2376" s="5" t="s">
        <v>238</v>
      </c>
      <c r="K2376" s="5" t="s">
        <v>5451</v>
      </c>
      <c r="L2376" s="5" t="s">
        <v>190</v>
      </c>
      <c r="M2376" s="5" t="s">
        <v>558</v>
      </c>
      <c r="N2376" s="5" t="s">
        <v>278</v>
      </c>
      <c r="O2376" s="5" t="s">
        <v>634</v>
      </c>
      <c r="P2376" s="5" t="str">
        <f aca="false">IF(J2376="S0","—",IF(K2376="","",IF(L2376="E0","QM",INDEX(10_ASIL_Matrix!$D$4:$F$15,MATCH(J2376&amp;"-"&amp;L2376,10_ASIL_Matrix!$C$4:$C$15,0),MATCH(N2376,10_ASIL_Matrix!$D$3:$F$3,0)))))</f>
        <v>—</v>
      </c>
      <c r="Q2376" s="5" t="s">
        <v>448</v>
      </c>
    </row>
    <row r="2377" customFormat="false" ht="35.05" hidden="false" customHeight="false" outlineLevel="0" collapsed="false">
      <c r="A2377" s="6" t="s">
        <v>5456</v>
      </c>
      <c r="B2377" s="6" t="s">
        <v>115</v>
      </c>
      <c r="C2377" s="6" t="s">
        <v>116</v>
      </c>
      <c r="D2377" s="6" t="s">
        <v>137</v>
      </c>
      <c r="E2377" s="6" t="s">
        <v>138</v>
      </c>
      <c r="F2377" s="6" t="s">
        <v>198</v>
      </c>
      <c r="G2377" s="6" t="s">
        <v>548</v>
      </c>
      <c r="H2377" s="6" t="s">
        <v>228</v>
      </c>
      <c r="I2377" s="6" t="s">
        <v>5457</v>
      </c>
      <c r="J2377" s="6" t="s">
        <v>238</v>
      </c>
      <c r="K2377" s="6" t="s">
        <v>5451</v>
      </c>
      <c r="L2377" s="6" t="s">
        <v>205</v>
      </c>
      <c r="M2377" s="6" t="s">
        <v>561</v>
      </c>
      <c r="N2377" s="6" t="s">
        <v>278</v>
      </c>
      <c r="O2377" s="6" t="s">
        <v>634</v>
      </c>
      <c r="P2377" s="6" t="str">
        <f aca="false">IF(J2377="S0","—",IF(K2377="","",IF(L2377="E0","QM",INDEX(10_ASIL_Matrix!$D$4:$F$15,MATCH(J2377&amp;"-"&amp;L2377,10_ASIL_Matrix!$C$4:$C$15,0),MATCH(N2377,10_ASIL_Matrix!$D$3:$F$3,0)))))</f>
        <v>—</v>
      </c>
      <c r="Q2377" s="6" t="s">
        <v>448</v>
      </c>
    </row>
    <row r="2378" customFormat="false" ht="35.05" hidden="false" customHeight="false" outlineLevel="0" collapsed="false">
      <c r="A2378" s="5" t="s">
        <v>5458</v>
      </c>
      <c r="B2378" s="5" t="s">
        <v>115</v>
      </c>
      <c r="C2378" s="5" t="s">
        <v>116</v>
      </c>
      <c r="D2378" s="5" t="s">
        <v>137</v>
      </c>
      <c r="E2378" s="5" t="s">
        <v>138</v>
      </c>
      <c r="F2378" s="5" t="s">
        <v>198</v>
      </c>
      <c r="G2378" s="5" t="s">
        <v>548</v>
      </c>
      <c r="H2378" s="5" t="s">
        <v>230</v>
      </c>
      <c r="I2378" s="5" t="s">
        <v>5459</v>
      </c>
      <c r="J2378" s="5" t="s">
        <v>238</v>
      </c>
      <c r="K2378" s="5" t="s">
        <v>5451</v>
      </c>
      <c r="L2378" s="5" t="s">
        <v>205</v>
      </c>
      <c r="M2378" s="5" t="s">
        <v>564</v>
      </c>
      <c r="N2378" s="5" t="s">
        <v>278</v>
      </c>
      <c r="O2378" s="5" t="s">
        <v>634</v>
      </c>
      <c r="P2378" s="5" t="str">
        <f aca="false">IF(J2378="S0","—",IF(K2378="","",IF(L2378="E0","QM",INDEX(10_ASIL_Matrix!$D$4:$F$15,MATCH(J2378&amp;"-"&amp;L2378,10_ASIL_Matrix!$C$4:$C$15,0),MATCH(N2378,10_ASIL_Matrix!$D$3:$F$3,0)))))</f>
        <v>—</v>
      </c>
      <c r="Q2378" s="5" t="s">
        <v>448</v>
      </c>
    </row>
    <row r="2379" customFormat="false" ht="46.25" hidden="false" customHeight="false" outlineLevel="0" collapsed="false">
      <c r="A2379" s="6" t="s">
        <v>5460</v>
      </c>
      <c r="B2379" s="6" t="s">
        <v>115</v>
      </c>
      <c r="C2379" s="6" t="s">
        <v>116</v>
      </c>
      <c r="D2379" s="6" t="s">
        <v>137</v>
      </c>
      <c r="E2379" s="6" t="s">
        <v>138</v>
      </c>
      <c r="F2379" s="6" t="s">
        <v>198</v>
      </c>
      <c r="G2379" s="6" t="s">
        <v>548</v>
      </c>
      <c r="H2379" s="6" t="s">
        <v>232</v>
      </c>
      <c r="I2379" s="6" t="s">
        <v>5461</v>
      </c>
      <c r="J2379" s="6" t="s">
        <v>238</v>
      </c>
      <c r="K2379" s="6" t="s">
        <v>5451</v>
      </c>
      <c r="L2379" s="6" t="s">
        <v>233</v>
      </c>
      <c r="M2379" s="6" t="s">
        <v>568</v>
      </c>
      <c r="N2379" s="6" t="s">
        <v>278</v>
      </c>
      <c r="O2379" s="6" t="s">
        <v>634</v>
      </c>
      <c r="P2379" s="6" t="str">
        <f aca="false">IF(J2379="S0","—",IF(K2379="","",IF(L2379="E0","QM",INDEX(10_ASIL_Matrix!$D$4:$F$15,MATCH(J2379&amp;"-"&amp;L2379,10_ASIL_Matrix!$C$4:$C$15,0),MATCH(N2379,10_ASIL_Matrix!$D$3:$F$3,0)))))</f>
        <v>—</v>
      </c>
      <c r="Q2379" s="6" t="s">
        <v>448</v>
      </c>
    </row>
    <row r="2380" customFormat="false" ht="35.05" hidden="false" customHeight="false" outlineLevel="0" collapsed="false">
      <c r="A2380" s="5" t="s">
        <v>5462</v>
      </c>
      <c r="B2380" s="5" t="s">
        <v>115</v>
      </c>
      <c r="C2380" s="5" t="s">
        <v>116</v>
      </c>
      <c r="D2380" s="5" t="s">
        <v>137</v>
      </c>
      <c r="E2380" s="5" t="s">
        <v>138</v>
      </c>
      <c r="F2380" s="5" t="s">
        <v>200</v>
      </c>
      <c r="G2380" s="5" t="s">
        <v>570</v>
      </c>
      <c r="H2380" s="5" t="s">
        <v>222</v>
      </c>
      <c r="I2380" s="5" t="s">
        <v>5463</v>
      </c>
      <c r="J2380" s="5" t="s">
        <v>250</v>
      </c>
      <c r="K2380" s="5" t="s">
        <v>5464</v>
      </c>
      <c r="L2380" s="5" t="s">
        <v>190</v>
      </c>
      <c r="M2380" s="5" t="s">
        <v>573</v>
      </c>
      <c r="N2380" s="5" t="s">
        <v>286</v>
      </c>
      <c r="O2380" s="5" t="s">
        <v>5437</v>
      </c>
      <c r="P2380" s="18" t="str">
        <f aca="false">IF(J2380="S0","—",IF(K2380="","",IF(L2380="E0","QM",INDEX(10_ASIL_Matrix!$D$4:$F$15,MATCH(J2380&amp;"-"&amp;L2380,10_ASIL_Matrix!$C$4:$C$15,0),MATCH(N2380,10_ASIL_Matrix!$D$3:$F$3,0)))))</f>
        <v>B</v>
      </c>
      <c r="Q2380" s="5" t="s">
        <v>448</v>
      </c>
    </row>
    <row r="2381" customFormat="false" ht="35.05" hidden="false" customHeight="false" outlineLevel="0" collapsed="false">
      <c r="A2381" s="6" t="s">
        <v>5465</v>
      </c>
      <c r="B2381" s="6" t="s">
        <v>115</v>
      </c>
      <c r="C2381" s="6" t="s">
        <v>116</v>
      </c>
      <c r="D2381" s="6" t="s">
        <v>137</v>
      </c>
      <c r="E2381" s="6" t="s">
        <v>138</v>
      </c>
      <c r="F2381" s="6" t="s">
        <v>200</v>
      </c>
      <c r="G2381" s="6" t="s">
        <v>570</v>
      </c>
      <c r="H2381" s="6" t="s">
        <v>224</v>
      </c>
      <c r="I2381" s="6" t="s">
        <v>5466</v>
      </c>
      <c r="J2381" s="6" t="s">
        <v>250</v>
      </c>
      <c r="K2381" s="6" t="s">
        <v>5464</v>
      </c>
      <c r="L2381" s="6" t="s">
        <v>190</v>
      </c>
      <c r="M2381" s="6" t="s">
        <v>576</v>
      </c>
      <c r="N2381" s="6" t="s">
        <v>286</v>
      </c>
      <c r="O2381" s="6" t="s">
        <v>5437</v>
      </c>
      <c r="P2381" s="18" t="str">
        <f aca="false">IF(J2381="S0","—",IF(K2381="","",IF(L2381="E0","QM",INDEX(10_ASIL_Matrix!$D$4:$F$15,MATCH(J2381&amp;"-"&amp;L2381,10_ASIL_Matrix!$C$4:$C$15,0),MATCH(N2381,10_ASIL_Matrix!$D$3:$F$3,0)))))</f>
        <v>B</v>
      </c>
      <c r="Q2381" s="6" t="s">
        <v>448</v>
      </c>
    </row>
    <row r="2382" customFormat="false" ht="35.05" hidden="false" customHeight="false" outlineLevel="0" collapsed="false">
      <c r="A2382" s="5" t="s">
        <v>5467</v>
      </c>
      <c r="B2382" s="5" t="s">
        <v>115</v>
      </c>
      <c r="C2382" s="5" t="s">
        <v>116</v>
      </c>
      <c r="D2382" s="5" t="s">
        <v>137</v>
      </c>
      <c r="E2382" s="5" t="s">
        <v>138</v>
      </c>
      <c r="F2382" s="5" t="s">
        <v>200</v>
      </c>
      <c r="G2382" s="5" t="s">
        <v>570</v>
      </c>
      <c r="H2382" s="5" t="s">
        <v>226</v>
      </c>
      <c r="I2382" s="5" t="s">
        <v>5468</v>
      </c>
      <c r="J2382" s="5" t="s">
        <v>250</v>
      </c>
      <c r="K2382" s="5" t="s">
        <v>5464</v>
      </c>
      <c r="L2382" s="5" t="s">
        <v>190</v>
      </c>
      <c r="M2382" s="5" t="s">
        <v>579</v>
      </c>
      <c r="N2382" s="5" t="s">
        <v>286</v>
      </c>
      <c r="O2382" s="5" t="s">
        <v>5437</v>
      </c>
      <c r="P2382" s="18" t="str">
        <f aca="false">IF(J2382="S0","—",IF(K2382="","",IF(L2382="E0","QM",INDEX(10_ASIL_Matrix!$D$4:$F$15,MATCH(J2382&amp;"-"&amp;L2382,10_ASIL_Matrix!$C$4:$C$15,0),MATCH(N2382,10_ASIL_Matrix!$D$3:$F$3,0)))))</f>
        <v>B</v>
      </c>
      <c r="Q2382" s="5" t="s">
        <v>448</v>
      </c>
    </row>
    <row r="2383" customFormat="false" ht="35.05" hidden="false" customHeight="false" outlineLevel="0" collapsed="false">
      <c r="A2383" s="6" t="s">
        <v>5469</v>
      </c>
      <c r="B2383" s="6" t="s">
        <v>115</v>
      </c>
      <c r="C2383" s="6" t="s">
        <v>116</v>
      </c>
      <c r="D2383" s="6" t="s">
        <v>137</v>
      </c>
      <c r="E2383" s="6" t="s">
        <v>138</v>
      </c>
      <c r="F2383" s="6" t="s">
        <v>200</v>
      </c>
      <c r="G2383" s="6" t="s">
        <v>570</v>
      </c>
      <c r="H2383" s="6" t="s">
        <v>228</v>
      </c>
      <c r="I2383" s="6" t="s">
        <v>5470</v>
      </c>
      <c r="J2383" s="6" t="s">
        <v>250</v>
      </c>
      <c r="K2383" s="6" t="s">
        <v>5464</v>
      </c>
      <c r="L2383" s="6" t="s">
        <v>205</v>
      </c>
      <c r="M2383" s="6" t="s">
        <v>582</v>
      </c>
      <c r="N2383" s="6" t="s">
        <v>286</v>
      </c>
      <c r="O2383" s="6" t="s">
        <v>5437</v>
      </c>
      <c r="P2383" s="19" t="str">
        <f aca="false">IF(J2383="S0","—",IF(K2383="","",IF(L2383="E0","QM",INDEX(10_ASIL_Matrix!$D$4:$F$15,MATCH(J2383&amp;"-"&amp;L2383,10_ASIL_Matrix!$C$4:$C$15,0),MATCH(N2383,10_ASIL_Matrix!$D$3:$F$3,0)))))</f>
        <v>A</v>
      </c>
      <c r="Q2383" s="6" t="s">
        <v>448</v>
      </c>
    </row>
    <row r="2384" customFormat="false" ht="35.05" hidden="false" customHeight="false" outlineLevel="0" collapsed="false">
      <c r="A2384" s="5" t="s">
        <v>5471</v>
      </c>
      <c r="B2384" s="5" t="s">
        <v>115</v>
      </c>
      <c r="C2384" s="5" t="s">
        <v>116</v>
      </c>
      <c r="D2384" s="5" t="s">
        <v>137</v>
      </c>
      <c r="E2384" s="5" t="s">
        <v>138</v>
      </c>
      <c r="F2384" s="5" t="s">
        <v>200</v>
      </c>
      <c r="G2384" s="5" t="s">
        <v>570</v>
      </c>
      <c r="H2384" s="5" t="s">
        <v>230</v>
      </c>
      <c r="I2384" s="5" t="s">
        <v>5472</v>
      </c>
      <c r="J2384" s="5" t="s">
        <v>250</v>
      </c>
      <c r="K2384" s="5" t="s">
        <v>5464</v>
      </c>
      <c r="L2384" s="5" t="s">
        <v>205</v>
      </c>
      <c r="M2384" s="5" t="s">
        <v>585</v>
      </c>
      <c r="N2384" s="5" t="s">
        <v>290</v>
      </c>
      <c r="O2384" s="5" t="s">
        <v>5446</v>
      </c>
      <c r="P2384" s="18" t="str">
        <f aca="false">IF(J2384="S0","—",IF(K2384="","",IF(L2384="E0","QM",INDEX(10_ASIL_Matrix!$D$4:$F$15,MATCH(J2384&amp;"-"&amp;L2384,10_ASIL_Matrix!$C$4:$C$15,0),MATCH(N2384,10_ASIL_Matrix!$D$3:$F$3,0)))))</f>
        <v>B</v>
      </c>
      <c r="Q2384" s="5" t="s">
        <v>448</v>
      </c>
    </row>
    <row r="2385" customFormat="false" ht="46.25" hidden="false" customHeight="false" outlineLevel="0" collapsed="false">
      <c r="A2385" s="6" t="s">
        <v>5473</v>
      </c>
      <c r="B2385" s="6" t="s">
        <v>115</v>
      </c>
      <c r="C2385" s="6" t="s">
        <v>116</v>
      </c>
      <c r="D2385" s="6" t="s">
        <v>137</v>
      </c>
      <c r="E2385" s="6" t="s">
        <v>138</v>
      </c>
      <c r="F2385" s="6" t="s">
        <v>200</v>
      </c>
      <c r="G2385" s="6" t="s">
        <v>570</v>
      </c>
      <c r="H2385" s="6" t="s">
        <v>232</v>
      </c>
      <c r="I2385" s="6" t="s">
        <v>5474</v>
      </c>
      <c r="J2385" s="6" t="s">
        <v>250</v>
      </c>
      <c r="K2385" s="6" t="s">
        <v>5464</v>
      </c>
      <c r="L2385" s="6" t="s">
        <v>233</v>
      </c>
      <c r="M2385" s="6" t="s">
        <v>588</v>
      </c>
      <c r="N2385" s="6" t="s">
        <v>286</v>
      </c>
      <c r="O2385" s="6" t="s">
        <v>5437</v>
      </c>
      <c r="P2385" s="6" t="str">
        <f aca="false">IF(J2385="S0","—",IF(K2385="","",IF(L2385="E0","QM",INDEX(10_ASIL_Matrix!$D$4:$F$15,MATCH(J2385&amp;"-"&amp;L2385,10_ASIL_Matrix!$C$4:$C$15,0),MATCH(N2385,10_ASIL_Matrix!$D$3:$F$3,0)))))</f>
        <v>QM</v>
      </c>
      <c r="Q2385" s="6" t="s">
        <v>448</v>
      </c>
    </row>
    <row r="2386" customFormat="false" ht="35.05" hidden="false" customHeight="false" outlineLevel="0" collapsed="false">
      <c r="A2386" s="5" t="s">
        <v>5475</v>
      </c>
      <c r="B2386" s="5" t="s">
        <v>115</v>
      </c>
      <c r="C2386" s="5" t="s">
        <v>116</v>
      </c>
      <c r="D2386" s="5" t="s">
        <v>137</v>
      </c>
      <c r="E2386" s="5" t="s">
        <v>138</v>
      </c>
      <c r="F2386" s="5" t="s">
        <v>202</v>
      </c>
      <c r="G2386" s="5" t="s">
        <v>590</v>
      </c>
      <c r="H2386" s="5" t="s">
        <v>222</v>
      </c>
      <c r="I2386" s="5" t="s">
        <v>5476</v>
      </c>
      <c r="J2386" s="5" t="s">
        <v>238</v>
      </c>
      <c r="K2386" s="5" t="s">
        <v>5451</v>
      </c>
      <c r="L2386" s="5" t="s">
        <v>187</v>
      </c>
      <c r="M2386" s="5" t="s">
        <v>592</v>
      </c>
      <c r="N2386" s="5" t="s">
        <v>278</v>
      </c>
      <c r="O2386" s="5" t="s">
        <v>634</v>
      </c>
      <c r="P2386" s="5" t="str">
        <f aca="false">IF(J2386="S0","—",IF(K2386="","",IF(L2386="E0","QM",INDEX(10_ASIL_Matrix!$D$4:$F$15,MATCH(J2386&amp;"-"&amp;L2386,10_ASIL_Matrix!$C$4:$C$15,0),MATCH(N2386,10_ASIL_Matrix!$D$3:$F$3,0)))))</f>
        <v>—</v>
      </c>
      <c r="Q2386" s="5" t="s">
        <v>448</v>
      </c>
    </row>
    <row r="2387" customFormat="false" ht="35.05" hidden="false" customHeight="false" outlineLevel="0" collapsed="false">
      <c r="A2387" s="6" t="s">
        <v>5477</v>
      </c>
      <c r="B2387" s="6" t="s">
        <v>115</v>
      </c>
      <c r="C2387" s="6" t="s">
        <v>116</v>
      </c>
      <c r="D2387" s="6" t="s">
        <v>137</v>
      </c>
      <c r="E2387" s="6" t="s">
        <v>138</v>
      </c>
      <c r="F2387" s="6" t="s">
        <v>202</v>
      </c>
      <c r="G2387" s="6" t="s">
        <v>590</v>
      </c>
      <c r="H2387" s="6" t="s">
        <v>224</v>
      </c>
      <c r="I2387" s="6" t="s">
        <v>5478</v>
      </c>
      <c r="J2387" s="6" t="s">
        <v>238</v>
      </c>
      <c r="K2387" s="6" t="s">
        <v>5451</v>
      </c>
      <c r="L2387" s="6" t="s">
        <v>190</v>
      </c>
      <c r="M2387" s="6" t="s">
        <v>595</v>
      </c>
      <c r="N2387" s="6" t="s">
        <v>278</v>
      </c>
      <c r="O2387" s="6" t="s">
        <v>634</v>
      </c>
      <c r="P2387" s="6" t="str">
        <f aca="false">IF(J2387="S0","—",IF(K2387="","",IF(L2387="E0","QM",INDEX(10_ASIL_Matrix!$D$4:$F$15,MATCH(J2387&amp;"-"&amp;L2387,10_ASIL_Matrix!$C$4:$C$15,0),MATCH(N2387,10_ASIL_Matrix!$D$3:$F$3,0)))))</f>
        <v>—</v>
      </c>
      <c r="Q2387" s="6" t="s">
        <v>448</v>
      </c>
    </row>
    <row r="2388" customFormat="false" ht="35.05" hidden="false" customHeight="false" outlineLevel="0" collapsed="false">
      <c r="A2388" s="5" t="s">
        <v>5479</v>
      </c>
      <c r="B2388" s="5" t="s">
        <v>115</v>
      </c>
      <c r="C2388" s="5" t="s">
        <v>116</v>
      </c>
      <c r="D2388" s="5" t="s">
        <v>137</v>
      </c>
      <c r="E2388" s="5" t="s">
        <v>138</v>
      </c>
      <c r="F2388" s="5" t="s">
        <v>202</v>
      </c>
      <c r="G2388" s="5" t="s">
        <v>590</v>
      </c>
      <c r="H2388" s="5" t="s">
        <v>226</v>
      </c>
      <c r="I2388" s="5" t="s">
        <v>5480</v>
      </c>
      <c r="J2388" s="5" t="s">
        <v>238</v>
      </c>
      <c r="K2388" s="5" t="s">
        <v>5451</v>
      </c>
      <c r="L2388" s="5" t="s">
        <v>190</v>
      </c>
      <c r="M2388" s="5" t="s">
        <v>598</v>
      </c>
      <c r="N2388" s="5" t="s">
        <v>278</v>
      </c>
      <c r="O2388" s="5" t="s">
        <v>634</v>
      </c>
      <c r="P2388" s="5" t="str">
        <f aca="false">IF(J2388="S0","—",IF(K2388="","",IF(L2388="E0","QM",INDEX(10_ASIL_Matrix!$D$4:$F$15,MATCH(J2388&amp;"-"&amp;L2388,10_ASIL_Matrix!$C$4:$C$15,0),MATCH(N2388,10_ASIL_Matrix!$D$3:$F$3,0)))))</f>
        <v>—</v>
      </c>
      <c r="Q2388" s="5" t="s">
        <v>448</v>
      </c>
    </row>
    <row r="2389" customFormat="false" ht="35.05" hidden="false" customHeight="false" outlineLevel="0" collapsed="false">
      <c r="A2389" s="6" t="s">
        <v>5481</v>
      </c>
      <c r="B2389" s="6" t="s">
        <v>115</v>
      </c>
      <c r="C2389" s="6" t="s">
        <v>116</v>
      </c>
      <c r="D2389" s="6" t="s">
        <v>137</v>
      </c>
      <c r="E2389" s="6" t="s">
        <v>138</v>
      </c>
      <c r="F2389" s="6" t="s">
        <v>202</v>
      </c>
      <c r="G2389" s="6" t="s">
        <v>590</v>
      </c>
      <c r="H2389" s="6" t="s">
        <v>228</v>
      </c>
      <c r="I2389" s="6" t="s">
        <v>5482</v>
      </c>
      <c r="J2389" s="6" t="s">
        <v>238</v>
      </c>
      <c r="K2389" s="6" t="s">
        <v>5451</v>
      </c>
      <c r="L2389" s="6" t="s">
        <v>205</v>
      </c>
      <c r="M2389" s="6" t="s">
        <v>601</v>
      </c>
      <c r="N2389" s="6" t="s">
        <v>278</v>
      </c>
      <c r="O2389" s="6" t="s">
        <v>634</v>
      </c>
      <c r="P2389" s="6" t="str">
        <f aca="false">IF(J2389="S0","—",IF(K2389="","",IF(L2389="E0","QM",INDEX(10_ASIL_Matrix!$D$4:$F$15,MATCH(J2389&amp;"-"&amp;L2389,10_ASIL_Matrix!$C$4:$C$15,0),MATCH(N2389,10_ASIL_Matrix!$D$3:$F$3,0)))))</f>
        <v>—</v>
      </c>
      <c r="Q2389" s="6" t="s">
        <v>448</v>
      </c>
    </row>
    <row r="2390" customFormat="false" ht="35.05" hidden="false" customHeight="false" outlineLevel="0" collapsed="false">
      <c r="A2390" s="5" t="s">
        <v>5483</v>
      </c>
      <c r="B2390" s="5" t="s">
        <v>115</v>
      </c>
      <c r="C2390" s="5" t="s">
        <v>116</v>
      </c>
      <c r="D2390" s="5" t="s">
        <v>137</v>
      </c>
      <c r="E2390" s="5" t="s">
        <v>138</v>
      </c>
      <c r="F2390" s="5" t="s">
        <v>202</v>
      </c>
      <c r="G2390" s="5" t="s">
        <v>590</v>
      </c>
      <c r="H2390" s="5" t="s">
        <v>230</v>
      </c>
      <c r="I2390" s="5" t="s">
        <v>5484</v>
      </c>
      <c r="J2390" s="5" t="s">
        <v>238</v>
      </c>
      <c r="K2390" s="5" t="s">
        <v>5451</v>
      </c>
      <c r="L2390" s="5" t="s">
        <v>205</v>
      </c>
      <c r="M2390" s="5" t="s">
        <v>604</v>
      </c>
      <c r="N2390" s="5" t="s">
        <v>278</v>
      </c>
      <c r="O2390" s="5" t="s">
        <v>634</v>
      </c>
      <c r="P2390" s="5" t="str">
        <f aca="false">IF(J2390="S0","—",IF(K2390="","",IF(L2390="E0","QM",INDEX(10_ASIL_Matrix!$D$4:$F$15,MATCH(J2390&amp;"-"&amp;L2390,10_ASIL_Matrix!$C$4:$C$15,0),MATCH(N2390,10_ASIL_Matrix!$D$3:$F$3,0)))))</f>
        <v>—</v>
      </c>
      <c r="Q2390" s="5" t="s">
        <v>448</v>
      </c>
    </row>
    <row r="2391" customFormat="false" ht="46.25" hidden="false" customHeight="false" outlineLevel="0" collapsed="false">
      <c r="A2391" s="6" t="s">
        <v>5485</v>
      </c>
      <c r="B2391" s="6" t="s">
        <v>115</v>
      </c>
      <c r="C2391" s="6" t="s">
        <v>116</v>
      </c>
      <c r="D2391" s="6" t="s">
        <v>137</v>
      </c>
      <c r="E2391" s="6" t="s">
        <v>138</v>
      </c>
      <c r="F2391" s="6" t="s">
        <v>202</v>
      </c>
      <c r="G2391" s="6" t="s">
        <v>590</v>
      </c>
      <c r="H2391" s="6" t="s">
        <v>232</v>
      </c>
      <c r="I2391" s="6" t="s">
        <v>5486</v>
      </c>
      <c r="J2391" s="6" t="s">
        <v>238</v>
      </c>
      <c r="K2391" s="6" t="s">
        <v>5451</v>
      </c>
      <c r="L2391" s="6" t="s">
        <v>233</v>
      </c>
      <c r="M2391" s="6" t="s">
        <v>607</v>
      </c>
      <c r="N2391" s="6" t="s">
        <v>278</v>
      </c>
      <c r="O2391" s="6" t="s">
        <v>634</v>
      </c>
      <c r="P2391" s="6" t="str">
        <f aca="false">IF(J2391="S0","—",IF(K2391="","",IF(L2391="E0","QM",INDEX(10_ASIL_Matrix!$D$4:$F$15,MATCH(J2391&amp;"-"&amp;L2391,10_ASIL_Matrix!$C$4:$C$15,0),MATCH(N2391,10_ASIL_Matrix!$D$3:$F$3,0)))))</f>
        <v>—</v>
      </c>
      <c r="Q2391" s="6" t="s">
        <v>448</v>
      </c>
    </row>
    <row r="2392" customFormat="false" ht="35.05" hidden="false" customHeight="false" outlineLevel="0" collapsed="false">
      <c r="A2392" s="5" t="s">
        <v>5487</v>
      </c>
      <c r="B2392" s="5" t="s">
        <v>115</v>
      </c>
      <c r="C2392" s="5" t="s">
        <v>116</v>
      </c>
      <c r="D2392" s="5" t="s">
        <v>137</v>
      </c>
      <c r="E2392" s="5" t="s">
        <v>138</v>
      </c>
      <c r="F2392" s="5" t="s">
        <v>204</v>
      </c>
      <c r="G2392" s="5" t="s">
        <v>609</v>
      </c>
      <c r="H2392" s="5" t="s">
        <v>222</v>
      </c>
      <c r="I2392" s="5" t="s">
        <v>5488</v>
      </c>
      <c r="J2392" s="5" t="s">
        <v>238</v>
      </c>
      <c r="K2392" s="5" t="s">
        <v>5451</v>
      </c>
      <c r="L2392" s="5" t="s">
        <v>205</v>
      </c>
      <c r="M2392" s="5" t="s">
        <v>612</v>
      </c>
      <c r="N2392" s="5" t="s">
        <v>278</v>
      </c>
      <c r="O2392" s="5" t="s">
        <v>634</v>
      </c>
      <c r="P2392" s="5" t="str">
        <f aca="false">IF(J2392="S0","—",IF(K2392="","",IF(L2392="E0","QM",INDEX(10_ASIL_Matrix!$D$4:$F$15,MATCH(J2392&amp;"-"&amp;L2392,10_ASIL_Matrix!$C$4:$C$15,0),MATCH(N2392,10_ASIL_Matrix!$D$3:$F$3,0)))))</f>
        <v>—</v>
      </c>
      <c r="Q2392" s="5" t="s">
        <v>448</v>
      </c>
    </row>
    <row r="2393" customFormat="false" ht="35.05" hidden="false" customHeight="false" outlineLevel="0" collapsed="false">
      <c r="A2393" s="6" t="s">
        <v>5489</v>
      </c>
      <c r="B2393" s="6" t="s">
        <v>115</v>
      </c>
      <c r="C2393" s="6" t="s">
        <v>116</v>
      </c>
      <c r="D2393" s="6" t="s">
        <v>137</v>
      </c>
      <c r="E2393" s="6" t="s">
        <v>138</v>
      </c>
      <c r="F2393" s="6" t="s">
        <v>204</v>
      </c>
      <c r="G2393" s="6" t="s">
        <v>609</v>
      </c>
      <c r="H2393" s="6" t="s">
        <v>224</v>
      </c>
      <c r="I2393" s="6" t="s">
        <v>5490</v>
      </c>
      <c r="J2393" s="6" t="s">
        <v>238</v>
      </c>
      <c r="K2393" s="6" t="s">
        <v>5451</v>
      </c>
      <c r="L2393" s="6" t="s">
        <v>205</v>
      </c>
      <c r="M2393" s="6" t="s">
        <v>616</v>
      </c>
      <c r="N2393" s="6" t="s">
        <v>278</v>
      </c>
      <c r="O2393" s="6" t="s">
        <v>634</v>
      </c>
      <c r="P2393" s="6" t="str">
        <f aca="false">IF(J2393="S0","—",IF(K2393="","",IF(L2393="E0","QM",INDEX(10_ASIL_Matrix!$D$4:$F$15,MATCH(J2393&amp;"-"&amp;L2393,10_ASIL_Matrix!$C$4:$C$15,0),MATCH(N2393,10_ASIL_Matrix!$D$3:$F$3,0)))))</f>
        <v>—</v>
      </c>
      <c r="Q2393" s="6" t="s">
        <v>448</v>
      </c>
    </row>
    <row r="2394" customFormat="false" ht="35.05" hidden="false" customHeight="false" outlineLevel="0" collapsed="false">
      <c r="A2394" s="5" t="s">
        <v>5491</v>
      </c>
      <c r="B2394" s="5" t="s">
        <v>115</v>
      </c>
      <c r="C2394" s="5" t="s">
        <v>116</v>
      </c>
      <c r="D2394" s="5" t="s">
        <v>137</v>
      </c>
      <c r="E2394" s="5" t="s">
        <v>138</v>
      </c>
      <c r="F2394" s="5" t="s">
        <v>204</v>
      </c>
      <c r="G2394" s="5" t="s">
        <v>609</v>
      </c>
      <c r="H2394" s="5" t="s">
        <v>226</v>
      </c>
      <c r="I2394" s="5" t="s">
        <v>5492</v>
      </c>
      <c r="J2394" s="5" t="s">
        <v>238</v>
      </c>
      <c r="K2394" s="5" t="s">
        <v>5451</v>
      </c>
      <c r="L2394" s="5" t="s">
        <v>205</v>
      </c>
      <c r="M2394" s="5" t="s">
        <v>619</v>
      </c>
      <c r="N2394" s="5" t="s">
        <v>278</v>
      </c>
      <c r="O2394" s="5" t="s">
        <v>634</v>
      </c>
      <c r="P2394" s="5" t="str">
        <f aca="false">IF(J2394="S0","—",IF(K2394="","",IF(L2394="E0","QM",INDEX(10_ASIL_Matrix!$D$4:$F$15,MATCH(J2394&amp;"-"&amp;L2394,10_ASIL_Matrix!$C$4:$C$15,0),MATCH(N2394,10_ASIL_Matrix!$D$3:$F$3,0)))))</f>
        <v>—</v>
      </c>
      <c r="Q2394" s="5" t="s">
        <v>448</v>
      </c>
    </row>
    <row r="2395" customFormat="false" ht="35.05" hidden="false" customHeight="false" outlineLevel="0" collapsed="false">
      <c r="A2395" s="6" t="s">
        <v>5493</v>
      </c>
      <c r="B2395" s="6" t="s">
        <v>115</v>
      </c>
      <c r="C2395" s="6" t="s">
        <v>116</v>
      </c>
      <c r="D2395" s="6" t="s">
        <v>137</v>
      </c>
      <c r="E2395" s="6" t="s">
        <v>138</v>
      </c>
      <c r="F2395" s="6" t="s">
        <v>204</v>
      </c>
      <c r="G2395" s="6" t="s">
        <v>609</v>
      </c>
      <c r="H2395" s="6" t="s">
        <v>228</v>
      </c>
      <c r="I2395" s="6" t="s">
        <v>5494</v>
      </c>
      <c r="J2395" s="6" t="s">
        <v>238</v>
      </c>
      <c r="K2395" s="6" t="s">
        <v>5451</v>
      </c>
      <c r="L2395" s="6" t="s">
        <v>205</v>
      </c>
      <c r="M2395" s="6" t="s">
        <v>622</v>
      </c>
      <c r="N2395" s="6" t="s">
        <v>278</v>
      </c>
      <c r="O2395" s="6" t="s">
        <v>634</v>
      </c>
      <c r="P2395" s="6" t="str">
        <f aca="false">IF(J2395="S0","—",IF(K2395="","",IF(L2395="E0","QM",INDEX(10_ASIL_Matrix!$D$4:$F$15,MATCH(J2395&amp;"-"&amp;L2395,10_ASIL_Matrix!$C$4:$C$15,0),MATCH(N2395,10_ASIL_Matrix!$D$3:$F$3,0)))))</f>
        <v>—</v>
      </c>
      <c r="Q2395" s="6" t="s">
        <v>448</v>
      </c>
    </row>
    <row r="2396" customFormat="false" ht="35.05" hidden="false" customHeight="false" outlineLevel="0" collapsed="false">
      <c r="A2396" s="5" t="s">
        <v>5495</v>
      </c>
      <c r="B2396" s="5" t="s">
        <v>115</v>
      </c>
      <c r="C2396" s="5" t="s">
        <v>116</v>
      </c>
      <c r="D2396" s="5" t="s">
        <v>137</v>
      </c>
      <c r="E2396" s="5" t="s">
        <v>138</v>
      </c>
      <c r="F2396" s="5" t="s">
        <v>204</v>
      </c>
      <c r="G2396" s="5" t="s">
        <v>609</v>
      </c>
      <c r="H2396" s="5" t="s">
        <v>230</v>
      </c>
      <c r="I2396" s="5" t="s">
        <v>5496</v>
      </c>
      <c r="J2396" s="5" t="s">
        <v>238</v>
      </c>
      <c r="K2396" s="5" t="s">
        <v>5451</v>
      </c>
      <c r="L2396" s="5" t="s">
        <v>205</v>
      </c>
      <c r="M2396" s="5" t="s">
        <v>625</v>
      </c>
      <c r="N2396" s="5" t="s">
        <v>278</v>
      </c>
      <c r="O2396" s="5" t="s">
        <v>634</v>
      </c>
      <c r="P2396" s="5" t="str">
        <f aca="false">IF(J2396="S0","—",IF(K2396="","",IF(L2396="E0","QM",INDEX(10_ASIL_Matrix!$D$4:$F$15,MATCH(J2396&amp;"-"&amp;L2396,10_ASIL_Matrix!$C$4:$C$15,0),MATCH(N2396,10_ASIL_Matrix!$D$3:$F$3,0)))))</f>
        <v>—</v>
      </c>
      <c r="Q2396" s="5" t="s">
        <v>448</v>
      </c>
    </row>
    <row r="2397" customFormat="false" ht="46.25" hidden="false" customHeight="false" outlineLevel="0" collapsed="false">
      <c r="A2397" s="6" t="s">
        <v>5497</v>
      </c>
      <c r="B2397" s="6" t="s">
        <v>115</v>
      </c>
      <c r="C2397" s="6" t="s">
        <v>116</v>
      </c>
      <c r="D2397" s="6" t="s">
        <v>137</v>
      </c>
      <c r="E2397" s="6" t="s">
        <v>138</v>
      </c>
      <c r="F2397" s="6" t="s">
        <v>204</v>
      </c>
      <c r="G2397" s="6" t="s">
        <v>609</v>
      </c>
      <c r="H2397" s="6" t="s">
        <v>232</v>
      </c>
      <c r="I2397" s="6" t="s">
        <v>5498</v>
      </c>
      <c r="J2397" s="6" t="s">
        <v>238</v>
      </c>
      <c r="K2397" s="6" t="s">
        <v>5451</v>
      </c>
      <c r="L2397" s="6" t="s">
        <v>233</v>
      </c>
      <c r="M2397" s="6" t="s">
        <v>629</v>
      </c>
      <c r="N2397" s="6" t="s">
        <v>278</v>
      </c>
      <c r="O2397" s="6" t="s">
        <v>634</v>
      </c>
      <c r="P2397" s="6" t="str">
        <f aca="false">IF(J2397="S0","—",IF(K2397="","",IF(L2397="E0","QM",INDEX(10_ASIL_Matrix!$D$4:$F$15,MATCH(J2397&amp;"-"&amp;L2397,10_ASIL_Matrix!$C$4:$C$15,0),MATCH(N2397,10_ASIL_Matrix!$D$3:$F$3,0)))))</f>
        <v>—</v>
      </c>
      <c r="Q2397" s="6" t="s">
        <v>448</v>
      </c>
    </row>
    <row r="2398" customFormat="false" ht="35.05" hidden="false" customHeight="false" outlineLevel="0" collapsed="false">
      <c r="A2398" s="5" t="s">
        <v>5499</v>
      </c>
      <c r="B2398" s="5" t="s">
        <v>115</v>
      </c>
      <c r="C2398" s="5" t="s">
        <v>116</v>
      </c>
      <c r="D2398" s="5" t="s">
        <v>137</v>
      </c>
      <c r="E2398" s="5" t="s">
        <v>138</v>
      </c>
      <c r="F2398" s="5" t="s">
        <v>207</v>
      </c>
      <c r="G2398" s="5" t="s">
        <v>609</v>
      </c>
      <c r="H2398" s="5" t="s">
        <v>222</v>
      </c>
      <c r="I2398" s="5" t="s">
        <v>5500</v>
      </c>
      <c r="J2398" s="5" t="s">
        <v>238</v>
      </c>
      <c r="K2398" s="5" t="s">
        <v>5451</v>
      </c>
      <c r="L2398" s="5" t="s">
        <v>190</v>
      </c>
      <c r="M2398" s="5" t="s">
        <v>633</v>
      </c>
      <c r="N2398" s="5" t="s">
        <v>278</v>
      </c>
      <c r="O2398" s="5" t="s">
        <v>634</v>
      </c>
      <c r="P2398" s="5" t="str">
        <f aca="false">IF(J2398="S0","—",IF(K2398="","",IF(L2398="E0","QM",INDEX(10_ASIL_Matrix!$D$4:$F$15,MATCH(J2398&amp;"-"&amp;L2398,10_ASIL_Matrix!$C$4:$C$15,0),MATCH(N2398,10_ASIL_Matrix!$D$3:$F$3,0)))))</f>
        <v>—</v>
      </c>
      <c r="Q2398" s="5" t="s">
        <v>448</v>
      </c>
    </row>
    <row r="2399" customFormat="false" ht="35.05" hidden="false" customHeight="false" outlineLevel="0" collapsed="false">
      <c r="A2399" s="6" t="s">
        <v>5501</v>
      </c>
      <c r="B2399" s="6" t="s">
        <v>115</v>
      </c>
      <c r="C2399" s="6" t="s">
        <v>116</v>
      </c>
      <c r="D2399" s="6" t="s">
        <v>137</v>
      </c>
      <c r="E2399" s="6" t="s">
        <v>138</v>
      </c>
      <c r="F2399" s="6" t="s">
        <v>207</v>
      </c>
      <c r="G2399" s="6" t="s">
        <v>609</v>
      </c>
      <c r="H2399" s="6" t="s">
        <v>224</v>
      </c>
      <c r="I2399" s="6" t="s">
        <v>5502</v>
      </c>
      <c r="J2399" s="6" t="s">
        <v>238</v>
      </c>
      <c r="K2399" s="6" t="s">
        <v>5451</v>
      </c>
      <c r="L2399" s="6" t="s">
        <v>190</v>
      </c>
      <c r="M2399" s="6" t="s">
        <v>637</v>
      </c>
      <c r="N2399" s="6" t="s">
        <v>278</v>
      </c>
      <c r="O2399" s="6" t="s">
        <v>634</v>
      </c>
      <c r="P2399" s="6" t="str">
        <f aca="false">IF(J2399="S0","—",IF(K2399="","",IF(L2399="E0","QM",INDEX(10_ASIL_Matrix!$D$4:$F$15,MATCH(J2399&amp;"-"&amp;L2399,10_ASIL_Matrix!$C$4:$C$15,0),MATCH(N2399,10_ASIL_Matrix!$D$3:$F$3,0)))))</f>
        <v>—</v>
      </c>
      <c r="Q2399" s="6" t="s">
        <v>448</v>
      </c>
    </row>
    <row r="2400" customFormat="false" ht="35.05" hidden="false" customHeight="false" outlineLevel="0" collapsed="false">
      <c r="A2400" s="5" t="s">
        <v>5503</v>
      </c>
      <c r="B2400" s="5" t="s">
        <v>115</v>
      </c>
      <c r="C2400" s="5" t="s">
        <v>116</v>
      </c>
      <c r="D2400" s="5" t="s">
        <v>137</v>
      </c>
      <c r="E2400" s="5" t="s">
        <v>138</v>
      </c>
      <c r="F2400" s="5" t="s">
        <v>207</v>
      </c>
      <c r="G2400" s="5" t="s">
        <v>609</v>
      </c>
      <c r="H2400" s="5" t="s">
        <v>226</v>
      </c>
      <c r="I2400" s="5" t="s">
        <v>5504</v>
      </c>
      <c r="J2400" s="5" t="s">
        <v>238</v>
      </c>
      <c r="K2400" s="5" t="s">
        <v>5451</v>
      </c>
      <c r="L2400" s="5" t="s">
        <v>190</v>
      </c>
      <c r="M2400" s="5" t="s">
        <v>640</v>
      </c>
      <c r="N2400" s="5" t="s">
        <v>278</v>
      </c>
      <c r="O2400" s="5" t="s">
        <v>634</v>
      </c>
      <c r="P2400" s="5" t="str">
        <f aca="false">IF(J2400="S0","—",IF(K2400="","",IF(L2400="E0","QM",INDEX(10_ASIL_Matrix!$D$4:$F$15,MATCH(J2400&amp;"-"&amp;L2400,10_ASIL_Matrix!$C$4:$C$15,0),MATCH(N2400,10_ASIL_Matrix!$D$3:$F$3,0)))))</f>
        <v>—</v>
      </c>
      <c r="Q2400" s="5" t="s">
        <v>448</v>
      </c>
    </row>
    <row r="2401" customFormat="false" ht="35.05" hidden="false" customHeight="false" outlineLevel="0" collapsed="false">
      <c r="A2401" s="6" t="s">
        <v>5505</v>
      </c>
      <c r="B2401" s="6" t="s">
        <v>115</v>
      </c>
      <c r="C2401" s="6" t="s">
        <v>116</v>
      </c>
      <c r="D2401" s="6" t="s">
        <v>137</v>
      </c>
      <c r="E2401" s="6" t="s">
        <v>138</v>
      </c>
      <c r="F2401" s="6" t="s">
        <v>207</v>
      </c>
      <c r="G2401" s="6" t="s">
        <v>609</v>
      </c>
      <c r="H2401" s="6" t="s">
        <v>228</v>
      </c>
      <c r="I2401" s="6" t="s">
        <v>5506</v>
      </c>
      <c r="J2401" s="6" t="s">
        <v>238</v>
      </c>
      <c r="K2401" s="6" t="s">
        <v>5451</v>
      </c>
      <c r="L2401" s="6" t="s">
        <v>205</v>
      </c>
      <c r="M2401" s="6" t="s">
        <v>643</v>
      </c>
      <c r="N2401" s="6" t="s">
        <v>278</v>
      </c>
      <c r="O2401" s="6" t="s">
        <v>634</v>
      </c>
      <c r="P2401" s="6" t="str">
        <f aca="false">IF(J2401="S0","—",IF(K2401="","",IF(L2401="E0","QM",INDEX(10_ASIL_Matrix!$D$4:$F$15,MATCH(J2401&amp;"-"&amp;L2401,10_ASIL_Matrix!$C$4:$C$15,0),MATCH(N2401,10_ASIL_Matrix!$D$3:$F$3,0)))))</f>
        <v>—</v>
      </c>
      <c r="Q2401" s="6" t="s">
        <v>448</v>
      </c>
    </row>
    <row r="2402" customFormat="false" ht="35.05" hidden="false" customHeight="false" outlineLevel="0" collapsed="false">
      <c r="A2402" s="5" t="s">
        <v>5507</v>
      </c>
      <c r="B2402" s="5" t="s">
        <v>115</v>
      </c>
      <c r="C2402" s="5" t="s">
        <v>116</v>
      </c>
      <c r="D2402" s="5" t="s">
        <v>137</v>
      </c>
      <c r="E2402" s="5" t="s">
        <v>138</v>
      </c>
      <c r="F2402" s="5" t="s">
        <v>207</v>
      </c>
      <c r="G2402" s="5" t="s">
        <v>609</v>
      </c>
      <c r="H2402" s="5" t="s">
        <v>230</v>
      </c>
      <c r="I2402" s="5" t="s">
        <v>5508</v>
      </c>
      <c r="J2402" s="5" t="s">
        <v>238</v>
      </c>
      <c r="K2402" s="5" t="s">
        <v>5451</v>
      </c>
      <c r="L2402" s="5" t="s">
        <v>205</v>
      </c>
      <c r="M2402" s="5" t="s">
        <v>646</v>
      </c>
      <c r="N2402" s="5" t="s">
        <v>278</v>
      </c>
      <c r="O2402" s="5" t="s">
        <v>634</v>
      </c>
      <c r="P2402" s="5" t="str">
        <f aca="false">IF(J2402="S0","—",IF(K2402="","",IF(L2402="E0","QM",INDEX(10_ASIL_Matrix!$D$4:$F$15,MATCH(J2402&amp;"-"&amp;L2402,10_ASIL_Matrix!$C$4:$C$15,0),MATCH(N2402,10_ASIL_Matrix!$D$3:$F$3,0)))))</f>
        <v>—</v>
      </c>
      <c r="Q2402" s="5" t="s">
        <v>448</v>
      </c>
    </row>
    <row r="2403" customFormat="false" ht="46.25" hidden="false" customHeight="false" outlineLevel="0" collapsed="false">
      <c r="A2403" s="6" t="s">
        <v>5509</v>
      </c>
      <c r="B2403" s="6" t="s">
        <v>115</v>
      </c>
      <c r="C2403" s="6" t="s">
        <v>116</v>
      </c>
      <c r="D2403" s="6" t="s">
        <v>137</v>
      </c>
      <c r="E2403" s="6" t="s">
        <v>138</v>
      </c>
      <c r="F2403" s="6" t="s">
        <v>207</v>
      </c>
      <c r="G2403" s="6" t="s">
        <v>609</v>
      </c>
      <c r="H2403" s="6" t="s">
        <v>232</v>
      </c>
      <c r="I2403" s="6" t="s">
        <v>5510</v>
      </c>
      <c r="J2403" s="6" t="s">
        <v>238</v>
      </c>
      <c r="K2403" s="6" t="s">
        <v>5451</v>
      </c>
      <c r="L2403" s="6" t="s">
        <v>233</v>
      </c>
      <c r="M2403" s="6" t="s">
        <v>649</v>
      </c>
      <c r="N2403" s="6" t="s">
        <v>278</v>
      </c>
      <c r="O2403" s="6" t="s">
        <v>634</v>
      </c>
      <c r="P2403" s="6" t="str">
        <f aca="false">IF(J2403="S0","—",IF(K2403="","",IF(L2403="E0","QM",INDEX(10_ASIL_Matrix!$D$4:$F$15,MATCH(J2403&amp;"-"&amp;L2403,10_ASIL_Matrix!$C$4:$C$15,0),MATCH(N2403,10_ASIL_Matrix!$D$3:$F$3,0)))))</f>
        <v>—</v>
      </c>
      <c r="Q2403" s="6" t="s">
        <v>448</v>
      </c>
    </row>
    <row r="2404" customFormat="false" ht="35.05" hidden="false" customHeight="false" outlineLevel="0" collapsed="false">
      <c r="A2404" s="5" t="s">
        <v>5511</v>
      </c>
      <c r="B2404" s="5" t="s">
        <v>115</v>
      </c>
      <c r="C2404" s="5" t="s">
        <v>116</v>
      </c>
      <c r="D2404" s="5" t="s">
        <v>137</v>
      </c>
      <c r="E2404" s="5" t="s">
        <v>138</v>
      </c>
      <c r="F2404" s="5" t="s">
        <v>209</v>
      </c>
      <c r="G2404" s="5" t="s">
        <v>570</v>
      </c>
      <c r="H2404" s="5" t="s">
        <v>222</v>
      </c>
      <c r="I2404" s="5" t="s">
        <v>5512</v>
      </c>
      <c r="J2404" s="5" t="s">
        <v>250</v>
      </c>
      <c r="K2404" s="5" t="s">
        <v>5513</v>
      </c>
      <c r="L2404" s="5" t="s">
        <v>190</v>
      </c>
      <c r="M2404" s="5" t="s">
        <v>653</v>
      </c>
      <c r="N2404" s="5" t="s">
        <v>286</v>
      </c>
      <c r="O2404" s="5" t="s">
        <v>5514</v>
      </c>
      <c r="P2404" s="18" t="str">
        <f aca="false">IF(J2404="S0","—",IF(K2404="","",IF(L2404="E0","QM",INDEX(10_ASIL_Matrix!$D$4:$F$15,MATCH(J2404&amp;"-"&amp;L2404,10_ASIL_Matrix!$C$4:$C$15,0),MATCH(N2404,10_ASIL_Matrix!$D$3:$F$3,0)))))</f>
        <v>B</v>
      </c>
      <c r="Q2404" s="5" t="s">
        <v>448</v>
      </c>
    </row>
    <row r="2405" customFormat="false" ht="35.05" hidden="false" customHeight="false" outlineLevel="0" collapsed="false">
      <c r="A2405" s="6" t="s">
        <v>5515</v>
      </c>
      <c r="B2405" s="6" t="s">
        <v>115</v>
      </c>
      <c r="C2405" s="6" t="s">
        <v>116</v>
      </c>
      <c r="D2405" s="6" t="s">
        <v>137</v>
      </c>
      <c r="E2405" s="6" t="s">
        <v>138</v>
      </c>
      <c r="F2405" s="6" t="s">
        <v>209</v>
      </c>
      <c r="G2405" s="6" t="s">
        <v>570</v>
      </c>
      <c r="H2405" s="6" t="s">
        <v>224</v>
      </c>
      <c r="I2405" s="6" t="s">
        <v>5516</v>
      </c>
      <c r="J2405" s="6" t="s">
        <v>250</v>
      </c>
      <c r="K2405" s="6" t="s">
        <v>5513</v>
      </c>
      <c r="L2405" s="6" t="s">
        <v>190</v>
      </c>
      <c r="M2405" s="6" t="s">
        <v>656</v>
      </c>
      <c r="N2405" s="6" t="s">
        <v>286</v>
      </c>
      <c r="O2405" s="6" t="s">
        <v>5514</v>
      </c>
      <c r="P2405" s="18" t="str">
        <f aca="false">IF(J2405="S0","—",IF(K2405="","",IF(L2405="E0","QM",INDEX(10_ASIL_Matrix!$D$4:$F$15,MATCH(J2405&amp;"-"&amp;L2405,10_ASIL_Matrix!$C$4:$C$15,0),MATCH(N2405,10_ASIL_Matrix!$D$3:$F$3,0)))))</f>
        <v>B</v>
      </c>
      <c r="Q2405" s="6" t="s">
        <v>448</v>
      </c>
    </row>
    <row r="2406" customFormat="false" ht="35.05" hidden="false" customHeight="false" outlineLevel="0" collapsed="false">
      <c r="A2406" s="5" t="s">
        <v>5517</v>
      </c>
      <c r="B2406" s="5" t="s">
        <v>115</v>
      </c>
      <c r="C2406" s="5" t="s">
        <v>116</v>
      </c>
      <c r="D2406" s="5" t="s">
        <v>137</v>
      </c>
      <c r="E2406" s="5" t="s">
        <v>138</v>
      </c>
      <c r="F2406" s="5" t="s">
        <v>209</v>
      </c>
      <c r="G2406" s="5" t="s">
        <v>570</v>
      </c>
      <c r="H2406" s="5" t="s">
        <v>226</v>
      </c>
      <c r="I2406" s="5" t="s">
        <v>5518</v>
      </c>
      <c r="J2406" s="5" t="s">
        <v>250</v>
      </c>
      <c r="K2406" s="5" t="s">
        <v>5513</v>
      </c>
      <c r="L2406" s="5" t="s">
        <v>190</v>
      </c>
      <c r="M2406" s="5" t="s">
        <v>659</v>
      </c>
      <c r="N2406" s="5" t="s">
        <v>286</v>
      </c>
      <c r="O2406" s="5" t="s">
        <v>5514</v>
      </c>
      <c r="P2406" s="18" t="str">
        <f aca="false">IF(J2406="S0","—",IF(K2406="","",IF(L2406="E0","QM",INDEX(10_ASIL_Matrix!$D$4:$F$15,MATCH(J2406&amp;"-"&amp;L2406,10_ASIL_Matrix!$C$4:$C$15,0),MATCH(N2406,10_ASIL_Matrix!$D$3:$F$3,0)))))</f>
        <v>B</v>
      </c>
      <c r="Q2406" s="5" t="s">
        <v>448</v>
      </c>
    </row>
    <row r="2407" customFormat="false" ht="35.05" hidden="false" customHeight="false" outlineLevel="0" collapsed="false">
      <c r="A2407" s="6" t="s">
        <v>5519</v>
      </c>
      <c r="B2407" s="6" t="s">
        <v>115</v>
      </c>
      <c r="C2407" s="6" t="s">
        <v>116</v>
      </c>
      <c r="D2407" s="6" t="s">
        <v>137</v>
      </c>
      <c r="E2407" s="6" t="s">
        <v>138</v>
      </c>
      <c r="F2407" s="6" t="s">
        <v>209</v>
      </c>
      <c r="G2407" s="6" t="s">
        <v>570</v>
      </c>
      <c r="H2407" s="6" t="s">
        <v>228</v>
      </c>
      <c r="I2407" s="6" t="s">
        <v>5520</v>
      </c>
      <c r="J2407" s="6" t="s">
        <v>250</v>
      </c>
      <c r="K2407" s="6" t="s">
        <v>5513</v>
      </c>
      <c r="L2407" s="6" t="s">
        <v>205</v>
      </c>
      <c r="M2407" s="6" t="s">
        <v>662</v>
      </c>
      <c r="N2407" s="6" t="s">
        <v>286</v>
      </c>
      <c r="O2407" s="6" t="s">
        <v>5514</v>
      </c>
      <c r="P2407" s="19" t="str">
        <f aca="false">IF(J2407="S0","—",IF(K2407="","",IF(L2407="E0","QM",INDEX(10_ASIL_Matrix!$D$4:$F$15,MATCH(J2407&amp;"-"&amp;L2407,10_ASIL_Matrix!$C$4:$C$15,0),MATCH(N2407,10_ASIL_Matrix!$D$3:$F$3,0)))))</f>
        <v>A</v>
      </c>
      <c r="Q2407" s="6" t="s">
        <v>448</v>
      </c>
    </row>
    <row r="2408" customFormat="false" ht="35.05" hidden="false" customHeight="false" outlineLevel="0" collapsed="false">
      <c r="A2408" s="5" t="s">
        <v>5521</v>
      </c>
      <c r="B2408" s="5" t="s">
        <v>115</v>
      </c>
      <c r="C2408" s="5" t="s">
        <v>116</v>
      </c>
      <c r="D2408" s="5" t="s">
        <v>137</v>
      </c>
      <c r="E2408" s="5" t="s">
        <v>138</v>
      </c>
      <c r="F2408" s="5" t="s">
        <v>209</v>
      </c>
      <c r="G2408" s="5" t="s">
        <v>570</v>
      </c>
      <c r="H2408" s="5" t="s">
        <v>230</v>
      </c>
      <c r="I2408" s="5" t="s">
        <v>5522</v>
      </c>
      <c r="J2408" s="5" t="s">
        <v>250</v>
      </c>
      <c r="K2408" s="5" t="s">
        <v>5513</v>
      </c>
      <c r="L2408" s="5" t="s">
        <v>205</v>
      </c>
      <c r="M2408" s="5" t="s">
        <v>665</v>
      </c>
      <c r="N2408" s="5" t="s">
        <v>290</v>
      </c>
      <c r="O2408" s="5" t="s">
        <v>5523</v>
      </c>
      <c r="P2408" s="18" t="str">
        <f aca="false">IF(J2408="S0","—",IF(K2408="","",IF(L2408="E0","QM",INDEX(10_ASIL_Matrix!$D$4:$F$15,MATCH(J2408&amp;"-"&amp;L2408,10_ASIL_Matrix!$C$4:$C$15,0),MATCH(N2408,10_ASIL_Matrix!$D$3:$F$3,0)))))</f>
        <v>B</v>
      </c>
      <c r="Q2408" s="5" t="s">
        <v>448</v>
      </c>
    </row>
    <row r="2409" customFormat="false" ht="46.25" hidden="false" customHeight="false" outlineLevel="0" collapsed="false">
      <c r="A2409" s="6" t="s">
        <v>5524</v>
      </c>
      <c r="B2409" s="6" t="s">
        <v>115</v>
      </c>
      <c r="C2409" s="6" t="s">
        <v>116</v>
      </c>
      <c r="D2409" s="6" t="s">
        <v>137</v>
      </c>
      <c r="E2409" s="6" t="s">
        <v>138</v>
      </c>
      <c r="F2409" s="6" t="s">
        <v>209</v>
      </c>
      <c r="G2409" s="6" t="s">
        <v>570</v>
      </c>
      <c r="H2409" s="6" t="s">
        <v>232</v>
      </c>
      <c r="I2409" s="6" t="s">
        <v>5525</v>
      </c>
      <c r="J2409" s="6" t="s">
        <v>250</v>
      </c>
      <c r="K2409" s="6" t="s">
        <v>5513</v>
      </c>
      <c r="L2409" s="6" t="s">
        <v>233</v>
      </c>
      <c r="M2409" s="6" t="s">
        <v>668</v>
      </c>
      <c r="N2409" s="6" t="s">
        <v>286</v>
      </c>
      <c r="O2409" s="6" t="s">
        <v>5514</v>
      </c>
      <c r="P2409" s="6" t="str">
        <f aca="false">IF(J2409="S0","—",IF(K2409="","",IF(L2409="E0","QM",INDEX(10_ASIL_Matrix!$D$4:$F$15,MATCH(J2409&amp;"-"&amp;L2409,10_ASIL_Matrix!$C$4:$C$15,0),MATCH(N2409,10_ASIL_Matrix!$D$3:$F$3,0)))))</f>
        <v>QM</v>
      </c>
      <c r="Q2409" s="6" t="s">
        <v>448</v>
      </c>
    </row>
    <row r="2410" customFormat="false" ht="35.05" hidden="false" customHeight="false" outlineLevel="0" collapsed="false">
      <c r="A2410" s="5" t="s">
        <v>5526</v>
      </c>
      <c r="B2410" s="5" t="s">
        <v>115</v>
      </c>
      <c r="C2410" s="5" t="s">
        <v>116</v>
      </c>
      <c r="D2410" s="5" t="s">
        <v>137</v>
      </c>
      <c r="E2410" s="5" t="s">
        <v>138</v>
      </c>
      <c r="F2410" s="5" t="s">
        <v>211</v>
      </c>
      <c r="G2410" s="5" t="s">
        <v>609</v>
      </c>
      <c r="H2410" s="5" t="s">
        <v>222</v>
      </c>
      <c r="I2410" s="5" t="s">
        <v>5527</v>
      </c>
      <c r="J2410" s="5" t="s">
        <v>238</v>
      </c>
      <c r="K2410" s="5" t="s">
        <v>671</v>
      </c>
      <c r="L2410" s="5" t="s">
        <v>187</v>
      </c>
      <c r="M2410" s="5" t="s">
        <v>672</v>
      </c>
      <c r="N2410" s="5" t="s">
        <v>278</v>
      </c>
      <c r="O2410" s="5" t="s">
        <v>634</v>
      </c>
      <c r="P2410" s="5" t="str">
        <f aca="false">IF(J2410="S0","—",IF(K2410="","",IF(L2410="E0","QM",INDEX(10_ASIL_Matrix!$D$4:$F$15,MATCH(J2410&amp;"-"&amp;L2410,10_ASIL_Matrix!$C$4:$C$15,0),MATCH(N2410,10_ASIL_Matrix!$D$3:$F$3,0)))))</f>
        <v>—</v>
      </c>
      <c r="Q2410" s="5" t="s">
        <v>448</v>
      </c>
    </row>
    <row r="2411" customFormat="false" ht="35.05" hidden="false" customHeight="false" outlineLevel="0" collapsed="false">
      <c r="A2411" s="6" t="s">
        <v>5528</v>
      </c>
      <c r="B2411" s="6" t="s">
        <v>115</v>
      </c>
      <c r="C2411" s="6" t="s">
        <v>116</v>
      </c>
      <c r="D2411" s="6" t="s">
        <v>137</v>
      </c>
      <c r="E2411" s="6" t="s">
        <v>138</v>
      </c>
      <c r="F2411" s="6" t="s">
        <v>211</v>
      </c>
      <c r="G2411" s="6" t="s">
        <v>609</v>
      </c>
      <c r="H2411" s="6" t="s">
        <v>224</v>
      </c>
      <c r="I2411" s="6" t="s">
        <v>5529</v>
      </c>
      <c r="J2411" s="6" t="s">
        <v>238</v>
      </c>
      <c r="K2411" s="6" t="s">
        <v>671</v>
      </c>
      <c r="L2411" s="6" t="s">
        <v>190</v>
      </c>
      <c r="M2411" s="6" t="s">
        <v>675</v>
      </c>
      <c r="N2411" s="6" t="s">
        <v>278</v>
      </c>
      <c r="O2411" s="6" t="s">
        <v>634</v>
      </c>
      <c r="P2411" s="6" t="str">
        <f aca="false">IF(J2411="S0","—",IF(K2411="","",IF(L2411="E0","QM",INDEX(10_ASIL_Matrix!$D$4:$F$15,MATCH(J2411&amp;"-"&amp;L2411,10_ASIL_Matrix!$C$4:$C$15,0),MATCH(N2411,10_ASIL_Matrix!$D$3:$F$3,0)))))</f>
        <v>—</v>
      </c>
      <c r="Q2411" s="6" t="s">
        <v>448</v>
      </c>
    </row>
    <row r="2412" customFormat="false" ht="35.05" hidden="false" customHeight="false" outlineLevel="0" collapsed="false">
      <c r="A2412" s="5" t="s">
        <v>5530</v>
      </c>
      <c r="B2412" s="5" t="s">
        <v>115</v>
      </c>
      <c r="C2412" s="5" t="s">
        <v>116</v>
      </c>
      <c r="D2412" s="5" t="s">
        <v>137</v>
      </c>
      <c r="E2412" s="5" t="s">
        <v>138</v>
      </c>
      <c r="F2412" s="5" t="s">
        <v>211</v>
      </c>
      <c r="G2412" s="5" t="s">
        <v>609</v>
      </c>
      <c r="H2412" s="5" t="s">
        <v>226</v>
      </c>
      <c r="I2412" s="5" t="s">
        <v>5531</v>
      </c>
      <c r="J2412" s="5" t="s">
        <v>238</v>
      </c>
      <c r="K2412" s="5" t="s">
        <v>671</v>
      </c>
      <c r="L2412" s="5" t="s">
        <v>190</v>
      </c>
      <c r="M2412" s="5" t="s">
        <v>678</v>
      </c>
      <c r="N2412" s="5" t="s">
        <v>278</v>
      </c>
      <c r="O2412" s="5" t="s">
        <v>634</v>
      </c>
      <c r="P2412" s="5" t="str">
        <f aca="false">IF(J2412="S0","—",IF(K2412="","",IF(L2412="E0","QM",INDEX(10_ASIL_Matrix!$D$4:$F$15,MATCH(J2412&amp;"-"&amp;L2412,10_ASIL_Matrix!$C$4:$C$15,0),MATCH(N2412,10_ASIL_Matrix!$D$3:$F$3,0)))))</f>
        <v>—</v>
      </c>
      <c r="Q2412" s="5" t="s">
        <v>448</v>
      </c>
    </row>
    <row r="2413" customFormat="false" ht="35.05" hidden="false" customHeight="false" outlineLevel="0" collapsed="false">
      <c r="A2413" s="6" t="s">
        <v>5532</v>
      </c>
      <c r="B2413" s="6" t="s">
        <v>115</v>
      </c>
      <c r="C2413" s="6" t="s">
        <v>116</v>
      </c>
      <c r="D2413" s="6" t="s">
        <v>137</v>
      </c>
      <c r="E2413" s="6" t="s">
        <v>138</v>
      </c>
      <c r="F2413" s="6" t="s">
        <v>211</v>
      </c>
      <c r="G2413" s="6" t="s">
        <v>609</v>
      </c>
      <c r="H2413" s="6" t="s">
        <v>228</v>
      </c>
      <c r="I2413" s="6" t="s">
        <v>5533</v>
      </c>
      <c r="J2413" s="6" t="s">
        <v>238</v>
      </c>
      <c r="K2413" s="6" t="s">
        <v>671</v>
      </c>
      <c r="L2413" s="6" t="s">
        <v>205</v>
      </c>
      <c r="M2413" s="6" t="s">
        <v>681</v>
      </c>
      <c r="N2413" s="6" t="s">
        <v>278</v>
      </c>
      <c r="O2413" s="6" t="s">
        <v>634</v>
      </c>
      <c r="P2413" s="6" t="str">
        <f aca="false">IF(J2413="S0","—",IF(K2413="","",IF(L2413="E0","QM",INDEX(10_ASIL_Matrix!$D$4:$F$15,MATCH(J2413&amp;"-"&amp;L2413,10_ASIL_Matrix!$C$4:$C$15,0),MATCH(N2413,10_ASIL_Matrix!$D$3:$F$3,0)))))</f>
        <v>—</v>
      </c>
      <c r="Q2413" s="6" t="s">
        <v>448</v>
      </c>
    </row>
    <row r="2414" customFormat="false" ht="35.05" hidden="false" customHeight="false" outlineLevel="0" collapsed="false">
      <c r="A2414" s="5" t="s">
        <v>5534</v>
      </c>
      <c r="B2414" s="5" t="s">
        <v>115</v>
      </c>
      <c r="C2414" s="5" t="s">
        <v>116</v>
      </c>
      <c r="D2414" s="5" t="s">
        <v>137</v>
      </c>
      <c r="E2414" s="5" t="s">
        <v>138</v>
      </c>
      <c r="F2414" s="5" t="s">
        <v>211</v>
      </c>
      <c r="G2414" s="5" t="s">
        <v>609</v>
      </c>
      <c r="H2414" s="5" t="s">
        <v>230</v>
      </c>
      <c r="I2414" s="5" t="s">
        <v>5535</v>
      </c>
      <c r="J2414" s="5" t="s">
        <v>238</v>
      </c>
      <c r="K2414" s="5" t="s">
        <v>671</v>
      </c>
      <c r="L2414" s="5" t="s">
        <v>205</v>
      </c>
      <c r="M2414" s="5" t="s">
        <v>684</v>
      </c>
      <c r="N2414" s="5" t="s">
        <v>278</v>
      </c>
      <c r="O2414" s="5" t="s">
        <v>634</v>
      </c>
      <c r="P2414" s="5" t="str">
        <f aca="false">IF(J2414="S0","—",IF(K2414="","",IF(L2414="E0","QM",INDEX(10_ASIL_Matrix!$D$4:$F$15,MATCH(J2414&amp;"-"&amp;L2414,10_ASIL_Matrix!$C$4:$C$15,0),MATCH(N2414,10_ASIL_Matrix!$D$3:$F$3,0)))))</f>
        <v>—</v>
      </c>
      <c r="Q2414" s="5" t="s">
        <v>448</v>
      </c>
    </row>
    <row r="2415" customFormat="false" ht="46.25" hidden="false" customHeight="false" outlineLevel="0" collapsed="false">
      <c r="A2415" s="6" t="s">
        <v>5536</v>
      </c>
      <c r="B2415" s="6" t="s">
        <v>115</v>
      </c>
      <c r="C2415" s="6" t="s">
        <v>116</v>
      </c>
      <c r="D2415" s="6" t="s">
        <v>137</v>
      </c>
      <c r="E2415" s="6" t="s">
        <v>138</v>
      </c>
      <c r="F2415" s="6" t="s">
        <v>211</v>
      </c>
      <c r="G2415" s="6" t="s">
        <v>609</v>
      </c>
      <c r="H2415" s="6" t="s">
        <v>232</v>
      </c>
      <c r="I2415" s="6" t="s">
        <v>5537</v>
      </c>
      <c r="J2415" s="6" t="s">
        <v>238</v>
      </c>
      <c r="K2415" s="6" t="s">
        <v>671</v>
      </c>
      <c r="L2415" s="6" t="s">
        <v>233</v>
      </c>
      <c r="M2415" s="6" t="s">
        <v>687</v>
      </c>
      <c r="N2415" s="6" t="s">
        <v>278</v>
      </c>
      <c r="O2415" s="6" t="s">
        <v>634</v>
      </c>
      <c r="P2415" s="6" t="str">
        <f aca="false">IF(J2415="S0","—",IF(K2415="","",IF(L2415="E0","QM",INDEX(10_ASIL_Matrix!$D$4:$F$15,MATCH(J2415&amp;"-"&amp;L2415,10_ASIL_Matrix!$C$4:$C$15,0),MATCH(N2415,10_ASIL_Matrix!$D$3:$F$3,0)))))</f>
        <v>—</v>
      </c>
      <c r="Q2415" s="6" t="s">
        <v>448</v>
      </c>
    </row>
    <row r="2416" customFormat="false" ht="46.25" hidden="false" customHeight="false" outlineLevel="0" collapsed="false">
      <c r="A2416" s="5" t="s">
        <v>5538</v>
      </c>
      <c r="B2416" s="5" t="s">
        <v>115</v>
      </c>
      <c r="C2416" s="5" t="s">
        <v>116</v>
      </c>
      <c r="D2416" s="5" t="s">
        <v>137</v>
      </c>
      <c r="E2416" s="5" t="s">
        <v>138</v>
      </c>
      <c r="F2416" s="5" t="s">
        <v>213</v>
      </c>
      <c r="G2416" s="5" t="s">
        <v>689</v>
      </c>
      <c r="H2416" s="5" t="s">
        <v>222</v>
      </c>
      <c r="I2416" s="5" t="s">
        <v>5539</v>
      </c>
      <c r="J2416" s="5" t="s">
        <v>238</v>
      </c>
      <c r="K2416" s="5" t="s">
        <v>5451</v>
      </c>
      <c r="L2416" s="5" t="s">
        <v>205</v>
      </c>
      <c r="M2416" s="5" t="s">
        <v>692</v>
      </c>
      <c r="N2416" s="5" t="s">
        <v>278</v>
      </c>
      <c r="O2416" s="5" t="s">
        <v>634</v>
      </c>
      <c r="P2416" s="5" t="str">
        <f aca="false">IF(J2416="S0","—",IF(K2416="","",IF(L2416="E0","QM",INDEX(10_ASIL_Matrix!$D$4:$F$15,MATCH(J2416&amp;"-"&amp;L2416,10_ASIL_Matrix!$C$4:$C$15,0),MATCH(N2416,10_ASIL_Matrix!$D$3:$F$3,0)))))</f>
        <v>—</v>
      </c>
      <c r="Q2416" s="5" t="s">
        <v>448</v>
      </c>
    </row>
    <row r="2417" customFormat="false" ht="46.25" hidden="false" customHeight="false" outlineLevel="0" collapsed="false">
      <c r="A2417" s="6" t="s">
        <v>5540</v>
      </c>
      <c r="B2417" s="6" t="s">
        <v>115</v>
      </c>
      <c r="C2417" s="6" t="s">
        <v>116</v>
      </c>
      <c r="D2417" s="6" t="s">
        <v>137</v>
      </c>
      <c r="E2417" s="6" t="s">
        <v>138</v>
      </c>
      <c r="F2417" s="6" t="s">
        <v>213</v>
      </c>
      <c r="G2417" s="6" t="s">
        <v>689</v>
      </c>
      <c r="H2417" s="6" t="s">
        <v>224</v>
      </c>
      <c r="I2417" s="6" t="s">
        <v>5541</v>
      </c>
      <c r="J2417" s="6" t="s">
        <v>238</v>
      </c>
      <c r="K2417" s="6" t="s">
        <v>5451</v>
      </c>
      <c r="L2417" s="6" t="s">
        <v>205</v>
      </c>
      <c r="M2417" s="6" t="s">
        <v>696</v>
      </c>
      <c r="N2417" s="6" t="s">
        <v>278</v>
      </c>
      <c r="O2417" s="6" t="s">
        <v>634</v>
      </c>
      <c r="P2417" s="6" t="str">
        <f aca="false">IF(J2417="S0","—",IF(K2417="","",IF(L2417="E0","QM",INDEX(10_ASIL_Matrix!$D$4:$F$15,MATCH(J2417&amp;"-"&amp;L2417,10_ASIL_Matrix!$C$4:$C$15,0),MATCH(N2417,10_ASIL_Matrix!$D$3:$F$3,0)))))</f>
        <v>—</v>
      </c>
      <c r="Q2417" s="6" t="s">
        <v>448</v>
      </c>
    </row>
    <row r="2418" customFormat="false" ht="46.25" hidden="false" customHeight="false" outlineLevel="0" collapsed="false">
      <c r="A2418" s="5" t="s">
        <v>5542</v>
      </c>
      <c r="B2418" s="5" t="s">
        <v>115</v>
      </c>
      <c r="C2418" s="5" t="s">
        <v>116</v>
      </c>
      <c r="D2418" s="5" t="s">
        <v>137</v>
      </c>
      <c r="E2418" s="5" t="s">
        <v>138</v>
      </c>
      <c r="F2418" s="5" t="s">
        <v>213</v>
      </c>
      <c r="G2418" s="5" t="s">
        <v>689</v>
      </c>
      <c r="H2418" s="5" t="s">
        <v>226</v>
      </c>
      <c r="I2418" s="5" t="s">
        <v>5543</v>
      </c>
      <c r="J2418" s="5" t="s">
        <v>238</v>
      </c>
      <c r="K2418" s="5" t="s">
        <v>5451</v>
      </c>
      <c r="L2418" s="5" t="s">
        <v>205</v>
      </c>
      <c r="M2418" s="5" t="s">
        <v>699</v>
      </c>
      <c r="N2418" s="5" t="s">
        <v>278</v>
      </c>
      <c r="O2418" s="5" t="s">
        <v>634</v>
      </c>
      <c r="P2418" s="5" t="str">
        <f aca="false">IF(J2418="S0","—",IF(K2418="","",IF(L2418="E0","QM",INDEX(10_ASIL_Matrix!$D$4:$F$15,MATCH(J2418&amp;"-"&amp;L2418,10_ASIL_Matrix!$C$4:$C$15,0),MATCH(N2418,10_ASIL_Matrix!$D$3:$F$3,0)))))</f>
        <v>—</v>
      </c>
      <c r="Q2418" s="5" t="s">
        <v>448</v>
      </c>
    </row>
    <row r="2419" customFormat="false" ht="46.25" hidden="false" customHeight="false" outlineLevel="0" collapsed="false">
      <c r="A2419" s="6" t="s">
        <v>5544</v>
      </c>
      <c r="B2419" s="6" t="s">
        <v>115</v>
      </c>
      <c r="C2419" s="6" t="s">
        <v>116</v>
      </c>
      <c r="D2419" s="6" t="s">
        <v>137</v>
      </c>
      <c r="E2419" s="6" t="s">
        <v>138</v>
      </c>
      <c r="F2419" s="6" t="s">
        <v>213</v>
      </c>
      <c r="G2419" s="6" t="s">
        <v>689</v>
      </c>
      <c r="H2419" s="6" t="s">
        <v>228</v>
      </c>
      <c r="I2419" s="6" t="s">
        <v>5545</v>
      </c>
      <c r="J2419" s="6" t="s">
        <v>238</v>
      </c>
      <c r="K2419" s="6" t="s">
        <v>5451</v>
      </c>
      <c r="L2419" s="6" t="s">
        <v>205</v>
      </c>
      <c r="M2419" s="6" t="s">
        <v>702</v>
      </c>
      <c r="N2419" s="6" t="s">
        <v>278</v>
      </c>
      <c r="O2419" s="6" t="s">
        <v>634</v>
      </c>
      <c r="P2419" s="6" t="str">
        <f aca="false">IF(J2419="S0","—",IF(K2419="","",IF(L2419="E0","QM",INDEX(10_ASIL_Matrix!$D$4:$F$15,MATCH(J2419&amp;"-"&amp;L2419,10_ASIL_Matrix!$C$4:$C$15,0),MATCH(N2419,10_ASIL_Matrix!$D$3:$F$3,0)))))</f>
        <v>—</v>
      </c>
      <c r="Q2419" s="6" t="s">
        <v>448</v>
      </c>
    </row>
    <row r="2420" customFormat="false" ht="46.25" hidden="false" customHeight="false" outlineLevel="0" collapsed="false">
      <c r="A2420" s="5" t="s">
        <v>5546</v>
      </c>
      <c r="B2420" s="5" t="s">
        <v>115</v>
      </c>
      <c r="C2420" s="5" t="s">
        <v>116</v>
      </c>
      <c r="D2420" s="5" t="s">
        <v>137</v>
      </c>
      <c r="E2420" s="5" t="s">
        <v>138</v>
      </c>
      <c r="F2420" s="5" t="s">
        <v>213</v>
      </c>
      <c r="G2420" s="5" t="s">
        <v>689</v>
      </c>
      <c r="H2420" s="5" t="s">
        <v>230</v>
      </c>
      <c r="I2420" s="5" t="s">
        <v>5547</v>
      </c>
      <c r="J2420" s="5" t="s">
        <v>238</v>
      </c>
      <c r="K2420" s="5" t="s">
        <v>5451</v>
      </c>
      <c r="L2420" s="5" t="s">
        <v>205</v>
      </c>
      <c r="M2420" s="5" t="s">
        <v>705</v>
      </c>
      <c r="N2420" s="5" t="s">
        <v>278</v>
      </c>
      <c r="O2420" s="5" t="s">
        <v>634</v>
      </c>
      <c r="P2420" s="5" t="str">
        <f aca="false">IF(J2420="S0","—",IF(K2420="","",IF(L2420="E0","QM",INDEX(10_ASIL_Matrix!$D$4:$F$15,MATCH(J2420&amp;"-"&amp;L2420,10_ASIL_Matrix!$C$4:$C$15,0),MATCH(N2420,10_ASIL_Matrix!$D$3:$F$3,0)))))</f>
        <v>—</v>
      </c>
      <c r="Q2420" s="5" t="s">
        <v>448</v>
      </c>
    </row>
    <row r="2421" customFormat="false" ht="46.25" hidden="false" customHeight="false" outlineLevel="0" collapsed="false">
      <c r="A2421" s="6" t="s">
        <v>5548</v>
      </c>
      <c r="B2421" s="6" t="s">
        <v>115</v>
      </c>
      <c r="C2421" s="6" t="s">
        <v>116</v>
      </c>
      <c r="D2421" s="6" t="s">
        <v>137</v>
      </c>
      <c r="E2421" s="6" t="s">
        <v>138</v>
      </c>
      <c r="F2421" s="6" t="s">
        <v>213</v>
      </c>
      <c r="G2421" s="6" t="s">
        <v>689</v>
      </c>
      <c r="H2421" s="6" t="s">
        <v>232</v>
      </c>
      <c r="I2421" s="6" t="s">
        <v>5549</v>
      </c>
      <c r="J2421" s="6" t="s">
        <v>238</v>
      </c>
      <c r="K2421" s="6" t="s">
        <v>5451</v>
      </c>
      <c r="L2421" s="6" t="s">
        <v>233</v>
      </c>
      <c r="M2421" s="6" t="s">
        <v>709</v>
      </c>
      <c r="N2421" s="6" t="s">
        <v>278</v>
      </c>
      <c r="O2421" s="6" t="s">
        <v>634</v>
      </c>
      <c r="P2421" s="6" t="str">
        <f aca="false">IF(J2421="S0","—",IF(K2421="","",IF(L2421="E0","QM",INDEX(10_ASIL_Matrix!$D$4:$F$15,MATCH(J2421&amp;"-"&amp;L2421,10_ASIL_Matrix!$C$4:$C$15,0),MATCH(N2421,10_ASIL_Matrix!$D$3:$F$3,0)))))</f>
        <v>—</v>
      </c>
      <c r="Q2421" s="6" t="s">
        <v>448</v>
      </c>
    </row>
    <row r="2422" customFormat="false" ht="35.05" hidden="false" customHeight="false" outlineLevel="0" collapsed="false">
      <c r="A2422" s="5" t="s">
        <v>5550</v>
      </c>
      <c r="B2422" s="5" t="s">
        <v>115</v>
      </c>
      <c r="C2422" s="5" t="s">
        <v>116</v>
      </c>
      <c r="D2422" s="5" t="s">
        <v>137</v>
      </c>
      <c r="E2422" s="5" t="s">
        <v>138</v>
      </c>
      <c r="F2422" s="5" t="s">
        <v>215</v>
      </c>
      <c r="G2422" s="5" t="s">
        <v>711</v>
      </c>
      <c r="H2422" s="5" t="s">
        <v>222</v>
      </c>
      <c r="I2422" s="5" t="s">
        <v>5551</v>
      </c>
      <c r="J2422" s="5" t="s">
        <v>250</v>
      </c>
      <c r="K2422" s="5" t="s">
        <v>5552</v>
      </c>
      <c r="L2422" s="5" t="s">
        <v>190</v>
      </c>
      <c r="M2422" s="5" t="s">
        <v>714</v>
      </c>
      <c r="N2422" s="5" t="s">
        <v>282</v>
      </c>
      <c r="O2422" s="5" t="s">
        <v>5553</v>
      </c>
      <c r="P2422" s="19" t="str">
        <f aca="false">IF(J2422="S0","—",IF(K2422="","",IF(L2422="E0","QM",INDEX(10_ASIL_Matrix!$D$4:$F$15,MATCH(J2422&amp;"-"&amp;L2422,10_ASIL_Matrix!$C$4:$C$15,0),MATCH(N2422,10_ASIL_Matrix!$D$3:$F$3,0)))))</f>
        <v>A</v>
      </c>
      <c r="Q2422" s="5" t="s">
        <v>448</v>
      </c>
    </row>
    <row r="2423" customFormat="false" ht="35.05" hidden="false" customHeight="false" outlineLevel="0" collapsed="false">
      <c r="A2423" s="6" t="s">
        <v>5554</v>
      </c>
      <c r="B2423" s="6" t="s">
        <v>115</v>
      </c>
      <c r="C2423" s="6" t="s">
        <v>116</v>
      </c>
      <c r="D2423" s="6" t="s">
        <v>137</v>
      </c>
      <c r="E2423" s="6" t="s">
        <v>138</v>
      </c>
      <c r="F2423" s="6" t="s">
        <v>215</v>
      </c>
      <c r="G2423" s="6" t="s">
        <v>711</v>
      </c>
      <c r="H2423" s="6" t="s">
        <v>224</v>
      </c>
      <c r="I2423" s="6" t="s">
        <v>5555</v>
      </c>
      <c r="J2423" s="6" t="s">
        <v>250</v>
      </c>
      <c r="K2423" s="6" t="s">
        <v>5552</v>
      </c>
      <c r="L2423" s="6" t="s">
        <v>190</v>
      </c>
      <c r="M2423" s="6" t="s">
        <v>717</v>
      </c>
      <c r="N2423" s="6" t="s">
        <v>282</v>
      </c>
      <c r="O2423" s="6" t="s">
        <v>5553</v>
      </c>
      <c r="P2423" s="19" t="str">
        <f aca="false">IF(J2423="S0","—",IF(K2423="","",IF(L2423="E0","QM",INDEX(10_ASIL_Matrix!$D$4:$F$15,MATCH(J2423&amp;"-"&amp;L2423,10_ASIL_Matrix!$C$4:$C$15,0),MATCH(N2423,10_ASIL_Matrix!$D$3:$F$3,0)))))</f>
        <v>A</v>
      </c>
      <c r="Q2423" s="6" t="s">
        <v>448</v>
      </c>
    </row>
    <row r="2424" customFormat="false" ht="35.05" hidden="false" customHeight="false" outlineLevel="0" collapsed="false">
      <c r="A2424" s="5" t="s">
        <v>5556</v>
      </c>
      <c r="B2424" s="5" t="s">
        <v>115</v>
      </c>
      <c r="C2424" s="5" t="s">
        <v>116</v>
      </c>
      <c r="D2424" s="5" t="s">
        <v>137</v>
      </c>
      <c r="E2424" s="5" t="s">
        <v>138</v>
      </c>
      <c r="F2424" s="5" t="s">
        <v>215</v>
      </c>
      <c r="G2424" s="5" t="s">
        <v>711</v>
      </c>
      <c r="H2424" s="5" t="s">
        <v>226</v>
      </c>
      <c r="I2424" s="5" t="s">
        <v>5557</v>
      </c>
      <c r="J2424" s="5" t="s">
        <v>250</v>
      </c>
      <c r="K2424" s="5" t="s">
        <v>5552</v>
      </c>
      <c r="L2424" s="5" t="s">
        <v>190</v>
      </c>
      <c r="M2424" s="5" t="s">
        <v>720</v>
      </c>
      <c r="N2424" s="5" t="s">
        <v>282</v>
      </c>
      <c r="O2424" s="5" t="s">
        <v>5553</v>
      </c>
      <c r="P2424" s="19" t="str">
        <f aca="false">IF(J2424="S0","—",IF(K2424="","",IF(L2424="E0","QM",INDEX(10_ASIL_Matrix!$D$4:$F$15,MATCH(J2424&amp;"-"&amp;L2424,10_ASIL_Matrix!$C$4:$C$15,0),MATCH(N2424,10_ASIL_Matrix!$D$3:$F$3,0)))))</f>
        <v>A</v>
      </c>
      <c r="Q2424" s="5" t="s">
        <v>448</v>
      </c>
    </row>
    <row r="2425" customFormat="false" ht="35.05" hidden="false" customHeight="false" outlineLevel="0" collapsed="false">
      <c r="A2425" s="6" t="s">
        <v>5558</v>
      </c>
      <c r="B2425" s="6" t="s">
        <v>115</v>
      </c>
      <c r="C2425" s="6" t="s">
        <v>116</v>
      </c>
      <c r="D2425" s="6" t="s">
        <v>137</v>
      </c>
      <c r="E2425" s="6" t="s">
        <v>138</v>
      </c>
      <c r="F2425" s="6" t="s">
        <v>215</v>
      </c>
      <c r="G2425" s="6" t="s">
        <v>711</v>
      </c>
      <c r="H2425" s="6" t="s">
        <v>228</v>
      </c>
      <c r="I2425" s="6" t="s">
        <v>5559</v>
      </c>
      <c r="J2425" s="6" t="s">
        <v>250</v>
      </c>
      <c r="K2425" s="6" t="s">
        <v>5552</v>
      </c>
      <c r="L2425" s="6" t="s">
        <v>205</v>
      </c>
      <c r="M2425" s="6" t="s">
        <v>723</v>
      </c>
      <c r="N2425" s="6" t="s">
        <v>282</v>
      </c>
      <c r="O2425" s="6" t="s">
        <v>5553</v>
      </c>
      <c r="P2425" s="6" t="str">
        <f aca="false">IF(J2425="S0","—",IF(K2425="","",IF(L2425="E0","QM",INDEX(10_ASIL_Matrix!$D$4:$F$15,MATCH(J2425&amp;"-"&amp;L2425,10_ASIL_Matrix!$C$4:$C$15,0),MATCH(N2425,10_ASIL_Matrix!$D$3:$F$3,0)))))</f>
        <v>QM</v>
      </c>
      <c r="Q2425" s="6" t="s">
        <v>448</v>
      </c>
    </row>
    <row r="2426" customFormat="false" ht="35.05" hidden="false" customHeight="false" outlineLevel="0" collapsed="false">
      <c r="A2426" s="5" t="s">
        <v>5560</v>
      </c>
      <c r="B2426" s="5" t="s">
        <v>115</v>
      </c>
      <c r="C2426" s="5" t="s">
        <v>116</v>
      </c>
      <c r="D2426" s="5" t="s">
        <v>137</v>
      </c>
      <c r="E2426" s="5" t="s">
        <v>138</v>
      </c>
      <c r="F2426" s="5" t="s">
        <v>215</v>
      </c>
      <c r="G2426" s="5" t="s">
        <v>711</v>
      </c>
      <c r="H2426" s="5" t="s">
        <v>230</v>
      </c>
      <c r="I2426" s="5" t="s">
        <v>5561</v>
      </c>
      <c r="J2426" s="5" t="s">
        <v>250</v>
      </c>
      <c r="K2426" s="5" t="s">
        <v>5552</v>
      </c>
      <c r="L2426" s="5" t="s">
        <v>205</v>
      </c>
      <c r="M2426" s="5" t="s">
        <v>726</v>
      </c>
      <c r="N2426" s="5" t="s">
        <v>286</v>
      </c>
      <c r="O2426" s="5" t="s">
        <v>5562</v>
      </c>
      <c r="P2426" s="19" t="str">
        <f aca="false">IF(J2426="S0","—",IF(K2426="","",IF(L2426="E0","QM",INDEX(10_ASIL_Matrix!$D$4:$F$15,MATCH(J2426&amp;"-"&amp;L2426,10_ASIL_Matrix!$C$4:$C$15,0),MATCH(N2426,10_ASIL_Matrix!$D$3:$F$3,0)))))</f>
        <v>A</v>
      </c>
      <c r="Q2426" s="5" t="s">
        <v>448</v>
      </c>
    </row>
    <row r="2427" customFormat="false" ht="46.25" hidden="false" customHeight="false" outlineLevel="0" collapsed="false">
      <c r="A2427" s="6" t="s">
        <v>5563</v>
      </c>
      <c r="B2427" s="6" t="s">
        <v>115</v>
      </c>
      <c r="C2427" s="6" t="s">
        <v>116</v>
      </c>
      <c r="D2427" s="6" t="s">
        <v>137</v>
      </c>
      <c r="E2427" s="6" t="s">
        <v>138</v>
      </c>
      <c r="F2427" s="6" t="s">
        <v>215</v>
      </c>
      <c r="G2427" s="6" t="s">
        <v>711</v>
      </c>
      <c r="H2427" s="6" t="s">
        <v>232</v>
      </c>
      <c r="I2427" s="6" t="s">
        <v>5564</v>
      </c>
      <c r="J2427" s="6" t="s">
        <v>250</v>
      </c>
      <c r="K2427" s="6" t="s">
        <v>5552</v>
      </c>
      <c r="L2427" s="6" t="s">
        <v>233</v>
      </c>
      <c r="M2427" s="6" t="s">
        <v>729</v>
      </c>
      <c r="N2427" s="6" t="s">
        <v>282</v>
      </c>
      <c r="O2427" s="6" t="s">
        <v>5553</v>
      </c>
      <c r="P2427" s="6" t="str">
        <f aca="false">IF(J2427="S0","—",IF(K2427="","",IF(L2427="E0","QM",INDEX(10_ASIL_Matrix!$D$4:$F$15,MATCH(J2427&amp;"-"&amp;L2427,10_ASIL_Matrix!$C$4:$C$15,0),MATCH(N2427,10_ASIL_Matrix!$D$3:$F$3,0)))))</f>
        <v>QM</v>
      </c>
      <c r="Q2427" s="6" t="s">
        <v>448</v>
      </c>
    </row>
    <row r="2428" customFormat="false" ht="35.05" hidden="false" customHeight="false" outlineLevel="0" collapsed="false">
      <c r="A2428" s="5" t="s">
        <v>5565</v>
      </c>
      <c r="B2428" s="5" t="s">
        <v>115</v>
      </c>
      <c r="C2428" s="5" t="s">
        <v>116</v>
      </c>
      <c r="D2428" s="5" t="s">
        <v>137</v>
      </c>
      <c r="E2428" s="5" t="s">
        <v>138</v>
      </c>
      <c r="F2428" s="5" t="s">
        <v>217</v>
      </c>
      <c r="G2428" s="5" t="s">
        <v>488</v>
      </c>
      <c r="H2428" s="5" t="s">
        <v>222</v>
      </c>
      <c r="I2428" s="5" t="s">
        <v>5566</v>
      </c>
      <c r="J2428" s="5" t="s">
        <v>250</v>
      </c>
      <c r="K2428" s="5" t="s">
        <v>5567</v>
      </c>
      <c r="L2428" s="5" t="s">
        <v>190</v>
      </c>
      <c r="M2428" s="5" t="s">
        <v>733</v>
      </c>
      <c r="N2428" s="5" t="s">
        <v>286</v>
      </c>
      <c r="O2428" s="5" t="s">
        <v>5514</v>
      </c>
      <c r="P2428" s="18" t="str">
        <f aca="false">IF(J2428="S0","—",IF(K2428="","",IF(L2428="E0","QM",INDEX(10_ASIL_Matrix!$D$4:$F$15,MATCH(J2428&amp;"-"&amp;L2428,10_ASIL_Matrix!$C$4:$C$15,0),MATCH(N2428,10_ASIL_Matrix!$D$3:$F$3,0)))))</f>
        <v>B</v>
      </c>
      <c r="Q2428" s="5" t="s">
        <v>448</v>
      </c>
    </row>
    <row r="2429" customFormat="false" ht="35.05" hidden="false" customHeight="false" outlineLevel="0" collapsed="false">
      <c r="A2429" s="6" t="s">
        <v>5568</v>
      </c>
      <c r="B2429" s="6" t="s">
        <v>115</v>
      </c>
      <c r="C2429" s="6" t="s">
        <v>116</v>
      </c>
      <c r="D2429" s="6" t="s">
        <v>137</v>
      </c>
      <c r="E2429" s="6" t="s">
        <v>138</v>
      </c>
      <c r="F2429" s="6" t="s">
        <v>217</v>
      </c>
      <c r="G2429" s="6" t="s">
        <v>488</v>
      </c>
      <c r="H2429" s="6" t="s">
        <v>224</v>
      </c>
      <c r="I2429" s="6" t="s">
        <v>5569</v>
      </c>
      <c r="J2429" s="6" t="s">
        <v>250</v>
      </c>
      <c r="K2429" s="6" t="s">
        <v>5567</v>
      </c>
      <c r="L2429" s="6" t="s">
        <v>190</v>
      </c>
      <c r="M2429" s="6" t="s">
        <v>736</v>
      </c>
      <c r="N2429" s="6" t="s">
        <v>286</v>
      </c>
      <c r="O2429" s="6" t="s">
        <v>5514</v>
      </c>
      <c r="P2429" s="18" t="str">
        <f aca="false">IF(J2429="S0","—",IF(K2429="","",IF(L2429="E0","QM",INDEX(10_ASIL_Matrix!$D$4:$F$15,MATCH(J2429&amp;"-"&amp;L2429,10_ASIL_Matrix!$C$4:$C$15,0),MATCH(N2429,10_ASIL_Matrix!$D$3:$F$3,0)))))</f>
        <v>B</v>
      </c>
      <c r="Q2429" s="6" t="s">
        <v>448</v>
      </c>
    </row>
    <row r="2430" customFormat="false" ht="35.05" hidden="false" customHeight="false" outlineLevel="0" collapsed="false">
      <c r="A2430" s="5" t="s">
        <v>5570</v>
      </c>
      <c r="B2430" s="5" t="s">
        <v>115</v>
      </c>
      <c r="C2430" s="5" t="s">
        <v>116</v>
      </c>
      <c r="D2430" s="5" t="s">
        <v>137</v>
      </c>
      <c r="E2430" s="5" t="s">
        <v>138</v>
      </c>
      <c r="F2430" s="5" t="s">
        <v>217</v>
      </c>
      <c r="G2430" s="5" t="s">
        <v>488</v>
      </c>
      <c r="H2430" s="5" t="s">
        <v>226</v>
      </c>
      <c r="I2430" s="5" t="s">
        <v>5571</v>
      </c>
      <c r="J2430" s="5" t="s">
        <v>250</v>
      </c>
      <c r="K2430" s="5" t="s">
        <v>5567</v>
      </c>
      <c r="L2430" s="5" t="s">
        <v>190</v>
      </c>
      <c r="M2430" s="5" t="s">
        <v>739</v>
      </c>
      <c r="N2430" s="5" t="s">
        <v>286</v>
      </c>
      <c r="O2430" s="5" t="s">
        <v>5514</v>
      </c>
      <c r="P2430" s="18" t="str">
        <f aca="false">IF(J2430="S0","—",IF(K2430="","",IF(L2430="E0","QM",INDEX(10_ASIL_Matrix!$D$4:$F$15,MATCH(J2430&amp;"-"&amp;L2430,10_ASIL_Matrix!$C$4:$C$15,0),MATCH(N2430,10_ASIL_Matrix!$D$3:$F$3,0)))))</f>
        <v>B</v>
      </c>
      <c r="Q2430" s="5" t="s">
        <v>448</v>
      </c>
    </row>
    <row r="2431" customFormat="false" ht="35.05" hidden="false" customHeight="false" outlineLevel="0" collapsed="false">
      <c r="A2431" s="6" t="s">
        <v>5572</v>
      </c>
      <c r="B2431" s="6" t="s">
        <v>115</v>
      </c>
      <c r="C2431" s="6" t="s">
        <v>116</v>
      </c>
      <c r="D2431" s="6" t="s">
        <v>137</v>
      </c>
      <c r="E2431" s="6" t="s">
        <v>138</v>
      </c>
      <c r="F2431" s="6" t="s">
        <v>217</v>
      </c>
      <c r="G2431" s="6" t="s">
        <v>488</v>
      </c>
      <c r="H2431" s="6" t="s">
        <v>228</v>
      </c>
      <c r="I2431" s="6" t="s">
        <v>5573</v>
      </c>
      <c r="J2431" s="6" t="s">
        <v>250</v>
      </c>
      <c r="K2431" s="6" t="s">
        <v>5567</v>
      </c>
      <c r="L2431" s="6" t="s">
        <v>205</v>
      </c>
      <c r="M2431" s="6" t="s">
        <v>742</v>
      </c>
      <c r="N2431" s="6" t="s">
        <v>286</v>
      </c>
      <c r="O2431" s="6" t="s">
        <v>5514</v>
      </c>
      <c r="P2431" s="19" t="str">
        <f aca="false">IF(J2431="S0","—",IF(K2431="","",IF(L2431="E0","QM",INDEX(10_ASIL_Matrix!$D$4:$F$15,MATCH(J2431&amp;"-"&amp;L2431,10_ASIL_Matrix!$C$4:$C$15,0),MATCH(N2431,10_ASIL_Matrix!$D$3:$F$3,0)))))</f>
        <v>A</v>
      </c>
      <c r="Q2431" s="6" t="s">
        <v>448</v>
      </c>
    </row>
    <row r="2432" customFormat="false" ht="35.05" hidden="false" customHeight="false" outlineLevel="0" collapsed="false">
      <c r="A2432" s="5" t="s">
        <v>5574</v>
      </c>
      <c r="B2432" s="5" t="s">
        <v>115</v>
      </c>
      <c r="C2432" s="5" t="s">
        <v>116</v>
      </c>
      <c r="D2432" s="5" t="s">
        <v>137</v>
      </c>
      <c r="E2432" s="5" t="s">
        <v>138</v>
      </c>
      <c r="F2432" s="5" t="s">
        <v>217</v>
      </c>
      <c r="G2432" s="5" t="s">
        <v>488</v>
      </c>
      <c r="H2432" s="5" t="s">
        <v>230</v>
      </c>
      <c r="I2432" s="5" t="s">
        <v>5575</v>
      </c>
      <c r="J2432" s="5" t="s">
        <v>250</v>
      </c>
      <c r="K2432" s="5" t="s">
        <v>5567</v>
      </c>
      <c r="L2432" s="5" t="s">
        <v>205</v>
      </c>
      <c r="M2432" s="5" t="s">
        <v>745</v>
      </c>
      <c r="N2432" s="5" t="s">
        <v>290</v>
      </c>
      <c r="O2432" s="5" t="s">
        <v>5523</v>
      </c>
      <c r="P2432" s="18" t="str">
        <f aca="false">IF(J2432="S0","—",IF(K2432="","",IF(L2432="E0","QM",INDEX(10_ASIL_Matrix!$D$4:$F$15,MATCH(J2432&amp;"-"&amp;L2432,10_ASIL_Matrix!$C$4:$C$15,0),MATCH(N2432,10_ASIL_Matrix!$D$3:$F$3,0)))))</f>
        <v>B</v>
      </c>
      <c r="Q2432" s="5" t="s">
        <v>448</v>
      </c>
    </row>
    <row r="2433" customFormat="false" ht="46.25" hidden="false" customHeight="false" outlineLevel="0" collapsed="false">
      <c r="A2433" s="6" t="s">
        <v>5576</v>
      </c>
      <c r="B2433" s="6" t="s">
        <v>115</v>
      </c>
      <c r="C2433" s="6" t="s">
        <v>116</v>
      </c>
      <c r="D2433" s="6" t="s">
        <v>137</v>
      </c>
      <c r="E2433" s="6" t="s">
        <v>138</v>
      </c>
      <c r="F2433" s="6" t="s">
        <v>217</v>
      </c>
      <c r="G2433" s="6" t="s">
        <v>488</v>
      </c>
      <c r="H2433" s="6" t="s">
        <v>232</v>
      </c>
      <c r="I2433" s="6" t="s">
        <v>5577</v>
      </c>
      <c r="J2433" s="6" t="s">
        <v>250</v>
      </c>
      <c r="K2433" s="6" t="s">
        <v>5567</v>
      </c>
      <c r="L2433" s="6" t="s">
        <v>233</v>
      </c>
      <c r="M2433" s="6" t="s">
        <v>748</v>
      </c>
      <c r="N2433" s="6" t="s">
        <v>286</v>
      </c>
      <c r="O2433" s="6" t="s">
        <v>5514</v>
      </c>
      <c r="P2433" s="6" t="str">
        <f aca="false">IF(J2433="S0","—",IF(K2433="","",IF(L2433="E0","QM",INDEX(10_ASIL_Matrix!$D$4:$F$15,MATCH(J2433&amp;"-"&amp;L2433,10_ASIL_Matrix!$C$4:$C$15,0),MATCH(N2433,10_ASIL_Matrix!$D$3:$F$3,0)))))</f>
        <v>QM</v>
      </c>
      <c r="Q2433" s="6" t="s">
        <v>448</v>
      </c>
    </row>
    <row r="2434" customFormat="false" ht="35.05" hidden="false" customHeight="false" outlineLevel="0" collapsed="false">
      <c r="A2434" s="5" t="s">
        <v>5578</v>
      </c>
      <c r="B2434" s="5" t="s">
        <v>115</v>
      </c>
      <c r="C2434" s="5" t="s">
        <v>116</v>
      </c>
      <c r="D2434" s="5" t="s">
        <v>146</v>
      </c>
      <c r="E2434" s="5" t="s">
        <v>147</v>
      </c>
      <c r="F2434" s="5" t="s">
        <v>186</v>
      </c>
      <c r="G2434" s="5" t="s">
        <v>443</v>
      </c>
      <c r="H2434" s="5" t="s">
        <v>222</v>
      </c>
      <c r="I2434" s="5" t="s">
        <v>5579</v>
      </c>
      <c r="J2434" s="5" t="s">
        <v>250</v>
      </c>
      <c r="K2434" s="5" t="s">
        <v>5376</v>
      </c>
      <c r="L2434" s="5" t="s">
        <v>187</v>
      </c>
      <c r="M2434" s="5" t="s">
        <v>446</v>
      </c>
      <c r="N2434" s="5" t="s">
        <v>282</v>
      </c>
      <c r="O2434" s="5" t="s">
        <v>5377</v>
      </c>
      <c r="P2434" s="18" t="str">
        <f aca="false">IF(J2434="S0","—",IF(K2434="","",IF(L2434="E0","QM",INDEX(10_ASIL_Matrix!$D$4:$F$15,MATCH(J2434&amp;"-"&amp;L2434,10_ASIL_Matrix!$C$4:$C$15,0),MATCH(N2434,10_ASIL_Matrix!$D$3:$F$3,0)))))</f>
        <v>B</v>
      </c>
      <c r="Q2434" s="5" t="s">
        <v>448</v>
      </c>
    </row>
    <row r="2435" customFormat="false" ht="35.05" hidden="false" customHeight="false" outlineLevel="0" collapsed="false">
      <c r="A2435" s="6" t="s">
        <v>5580</v>
      </c>
      <c r="B2435" s="6" t="s">
        <v>115</v>
      </c>
      <c r="C2435" s="6" t="s">
        <v>116</v>
      </c>
      <c r="D2435" s="6" t="s">
        <v>146</v>
      </c>
      <c r="E2435" s="6" t="s">
        <v>147</v>
      </c>
      <c r="F2435" s="6" t="s">
        <v>186</v>
      </c>
      <c r="G2435" s="6" t="s">
        <v>443</v>
      </c>
      <c r="H2435" s="6" t="s">
        <v>224</v>
      </c>
      <c r="I2435" s="6" t="s">
        <v>5581</v>
      </c>
      <c r="J2435" s="6" t="s">
        <v>250</v>
      </c>
      <c r="K2435" s="6" t="s">
        <v>5376</v>
      </c>
      <c r="L2435" s="6" t="s">
        <v>190</v>
      </c>
      <c r="M2435" s="6" t="s">
        <v>451</v>
      </c>
      <c r="N2435" s="6" t="s">
        <v>282</v>
      </c>
      <c r="O2435" s="6" t="s">
        <v>5377</v>
      </c>
      <c r="P2435" s="19" t="str">
        <f aca="false">IF(J2435="S0","—",IF(K2435="","",IF(L2435="E0","QM",INDEX(10_ASIL_Matrix!$D$4:$F$15,MATCH(J2435&amp;"-"&amp;L2435,10_ASIL_Matrix!$C$4:$C$15,0),MATCH(N2435,10_ASIL_Matrix!$D$3:$F$3,0)))))</f>
        <v>A</v>
      </c>
      <c r="Q2435" s="6" t="s">
        <v>448</v>
      </c>
    </row>
    <row r="2436" customFormat="false" ht="35.05" hidden="false" customHeight="false" outlineLevel="0" collapsed="false">
      <c r="A2436" s="5" t="s">
        <v>5582</v>
      </c>
      <c r="B2436" s="5" t="s">
        <v>115</v>
      </c>
      <c r="C2436" s="5" t="s">
        <v>116</v>
      </c>
      <c r="D2436" s="5" t="s">
        <v>146</v>
      </c>
      <c r="E2436" s="5" t="s">
        <v>147</v>
      </c>
      <c r="F2436" s="5" t="s">
        <v>186</v>
      </c>
      <c r="G2436" s="5" t="s">
        <v>443</v>
      </c>
      <c r="H2436" s="5" t="s">
        <v>226</v>
      </c>
      <c r="I2436" s="5" t="s">
        <v>5583</v>
      </c>
      <c r="J2436" s="5" t="s">
        <v>250</v>
      </c>
      <c r="K2436" s="5" t="s">
        <v>5376</v>
      </c>
      <c r="L2436" s="5" t="s">
        <v>190</v>
      </c>
      <c r="M2436" s="5" t="s">
        <v>454</v>
      </c>
      <c r="N2436" s="5" t="s">
        <v>282</v>
      </c>
      <c r="O2436" s="5" t="s">
        <v>5377</v>
      </c>
      <c r="P2436" s="19" t="str">
        <f aca="false">IF(J2436="S0","—",IF(K2436="","",IF(L2436="E0","QM",INDEX(10_ASIL_Matrix!$D$4:$F$15,MATCH(J2436&amp;"-"&amp;L2436,10_ASIL_Matrix!$C$4:$C$15,0),MATCH(N2436,10_ASIL_Matrix!$D$3:$F$3,0)))))</f>
        <v>A</v>
      </c>
      <c r="Q2436" s="5" t="s">
        <v>448</v>
      </c>
    </row>
    <row r="2437" customFormat="false" ht="35.05" hidden="false" customHeight="false" outlineLevel="0" collapsed="false">
      <c r="A2437" s="6" t="s">
        <v>5584</v>
      </c>
      <c r="B2437" s="6" t="s">
        <v>115</v>
      </c>
      <c r="C2437" s="6" t="s">
        <v>116</v>
      </c>
      <c r="D2437" s="6" t="s">
        <v>146</v>
      </c>
      <c r="E2437" s="6" t="s">
        <v>147</v>
      </c>
      <c r="F2437" s="6" t="s">
        <v>186</v>
      </c>
      <c r="G2437" s="6" t="s">
        <v>443</v>
      </c>
      <c r="H2437" s="6" t="s">
        <v>228</v>
      </c>
      <c r="I2437" s="6" t="s">
        <v>5585</v>
      </c>
      <c r="J2437" s="6" t="s">
        <v>250</v>
      </c>
      <c r="K2437" s="6" t="s">
        <v>5376</v>
      </c>
      <c r="L2437" s="6" t="s">
        <v>205</v>
      </c>
      <c r="M2437" s="6" t="s">
        <v>457</v>
      </c>
      <c r="N2437" s="6" t="s">
        <v>282</v>
      </c>
      <c r="O2437" s="6" t="s">
        <v>5377</v>
      </c>
      <c r="P2437" s="6" t="str">
        <f aca="false">IF(J2437="S0","—",IF(K2437="","",IF(L2437="E0","QM",INDEX(10_ASIL_Matrix!$D$4:$F$15,MATCH(J2437&amp;"-"&amp;L2437,10_ASIL_Matrix!$C$4:$C$15,0),MATCH(N2437,10_ASIL_Matrix!$D$3:$F$3,0)))))</f>
        <v>QM</v>
      </c>
      <c r="Q2437" s="6" t="s">
        <v>448</v>
      </c>
    </row>
    <row r="2438" customFormat="false" ht="35.05" hidden="false" customHeight="false" outlineLevel="0" collapsed="false">
      <c r="A2438" s="5" t="s">
        <v>5586</v>
      </c>
      <c r="B2438" s="5" t="s">
        <v>115</v>
      </c>
      <c r="C2438" s="5" t="s">
        <v>116</v>
      </c>
      <c r="D2438" s="5" t="s">
        <v>146</v>
      </c>
      <c r="E2438" s="5" t="s">
        <v>147</v>
      </c>
      <c r="F2438" s="5" t="s">
        <v>186</v>
      </c>
      <c r="G2438" s="5" t="s">
        <v>443</v>
      </c>
      <c r="H2438" s="5" t="s">
        <v>230</v>
      </c>
      <c r="I2438" s="5" t="s">
        <v>5587</v>
      </c>
      <c r="J2438" s="5" t="s">
        <v>250</v>
      </c>
      <c r="K2438" s="5" t="s">
        <v>5376</v>
      </c>
      <c r="L2438" s="5" t="s">
        <v>205</v>
      </c>
      <c r="M2438" s="5" t="s">
        <v>460</v>
      </c>
      <c r="N2438" s="5" t="s">
        <v>286</v>
      </c>
      <c r="O2438" s="5" t="s">
        <v>5386</v>
      </c>
      <c r="P2438" s="19" t="str">
        <f aca="false">IF(J2438="S0","—",IF(K2438="","",IF(L2438="E0","QM",INDEX(10_ASIL_Matrix!$D$4:$F$15,MATCH(J2438&amp;"-"&amp;L2438,10_ASIL_Matrix!$C$4:$C$15,0),MATCH(N2438,10_ASIL_Matrix!$D$3:$F$3,0)))))</f>
        <v>A</v>
      </c>
      <c r="Q2438" s="5" t="s">
        <v>448</v>
      </c>
    </row>
    <row r="2439" customFormat="false" ht="46.25" hidden="false" customHeight="false" outlineLevel="0" collapsed="false">
      <c r="A2439" s="6" t="s">
        <v>5588</v>
      </c>
      <c r="B2439" s="6" t="s">
        <v>115</v>
      </c>
      <c r="C2439" s="6" t="s">
        <v>116</v>
      </c>
      <c r="D2439" s="6" t="s">
        <v>146</v>
      </c>
      <c r="E2439" s="6" t="s">
        <v>147</v>
      </c>
      <c r="F2439" s="6" t="s">
        <v>186</v>
      </c>
      <c r="G2439" s="6" t="s">
        <v>443</v>
      </c>
      <c r="H2439" s="6" t="s">
        <v>232</v>
      </c>
      <c r="I2439" s="6" t="s">
        <v>5589</v>
      </c>
      <c r="J2439" s="6" t="s">
        <v>250</v>
      </c>
      <c r="K2439" s="6" t="s">
        <v>5376</v>
      </c>
      <c r="L2439" s="6" t="s">
        <v>233</v>
      </c>
      <c r="M2439" s="6" t="s">
        <v>464</v>
      </c>
      <c r="N2439" s="6" t="s">
        <v>282</v>
      </c>
      <c r="O2439" s="6" t="s">
        <v>5377</v>
      </c>
      <c r="P2439" s="6" t="str">
        <f aca="false">IF(J2439="S0","—",IF(K2439="","",IF(L2439="E0","QM",INDEX(10_ASIL_Matrix!$D$4:$F$15,MATCH(J2439&amp;"-"&amp;L2439,10_ASIL_Matrix!$C$4:$C$15,0),MATCH(N2439,10_ASIL_Matrix!$D$3:$F$3,0)))))</f>
        <v>QM</v>
      </c>
      <c r="Q2439" s="6" t="s">
        <v>448</v>
      </c>
    </row>
    <row r="2440" customFormat="false" ht="35.05" hidden="false" customHeight="false" outlineLevel="0" collapsed="false">
      <c r="A2440" s="5" t="s">
        <v>5590</v>
      </c>
      <c r="B2440" s="5" t="s">
        <v>115</v>
      </c>
      <c r="C2440" s="5" t="s">
        <v>116</v>
      </c>
      <c r="D2440" s="5" t="s">
        <v>146</v>
      </c>
      <c r="E2440" s="5" t="s">
        <v>147</v>
      </c>
      <c r="F2440" s="5" t="s">
        <v>189</v>
      </c>
      <c r="G2440" s="5" t="s">
        <v>466</v>
      </c>
      <c r="H2440" s="5" t="s">
        <v>222</v>
      </c>
      <c r="I2440" s="5" t="s">
        <v>5591</v>
      </c>
      <c r="J2440" s="5" t="s">
        <v>250</v>
      </c>
      <c r="K2440" s="5" t="s">
        <v>5391</v>
      </c>
      <c r="L2440" s="5" t="s">
        <v>190</v>
      </c>
      <c r="M2440" s="5" t="s">
        <v>469</v>
      </c>
      <c r="N2440" s="5" t="s">
        <v>286</v>
      </c>
      <c r="O2440" s="5" t="s">
        <v>5392</v>
      </c>
      <c r="P2440" s="18" t="str">
        <f aca="false">IF(J2440="S0","—",IF(K2440="","",IF(L2440="E0","QM",INDEX(10_ASIL_Matrix!$D$4:$F$15,MATCH(J2440&amp;"-"&amp;L2440,10_ASIL_Matrix!$C$4:$C$15,0),MATCH(N2440,10_ASIL_Matrix!$D$3:$F$3,0)))))</f>
        <v>B</v>
      </c>
      <c r="Q2440" s="5" t="s">
        <v>448</v>
      </c>
    </row>
    <row r="2441" customFormat="false" ht="35.05" hidden="false" customHeight="false" outlineLevel="0" collapsed="false">
      <c r="A2441" s="6" t="s">
        <v>5592</v>
      </c>
      <c r="B2441" s="6" t="s">
        <v>115</v>
      </c>
      <c r="C2441" s="6" t="s">
        <v>116</v>
      </c>
      <c r="D2441" s="6" t="s">
        <v>146</v>
      </c>
      <c r="E2441" s="6" t="s">
        <v>147</v>
      </c>
      <c r="F2441" s="6" t="s">
        <v>189</v>
      </c>
      <c r="G2441" s="6" t="s">
        <v>466</v>
      </c>
      <c r="H2441" s="6" t="s">
        <v>224</v>
      </c>
      <c r="I2441" s="6" t="s">
        <v>5593</v>
      </c>
      <c r="J2441" s="6" t="s">
        <v>250</v>
      </c>
      <c r="K2441" s="6" t="s">
        <v>5391</v>
      </c>
      <c r="L2441" s="6" t="s">
        <v>190</v>
      </c>
      <c r="M2441" s="6" t="s">
        <v>473</v>
      </c>
      <c r="N2441" s="6" t="s">
        <v>286</v>
      </c>
      <c r="O2441" s="6" t="s">
        <v>5392</v>
      </c>
      <c r="P2441" s="18" t="str">
        <f aca="false">IF(J2441="S0","—",IF(K2441="","",IF(L2441="E0","QM",INDEX(10_ASIL_Matrix!$D$4:$F$15,MATCH(J2441&amp;"-"&amp;L2441,10_ASIL_Matrix!$C$4:$C$15,0),MATCH(N2441,10_ASIL_Matrix!$D$3:$F$3,0)))))</f>
        <v>B</v>
      </c>
      <c r="Q2441" s="6" t="s">
        <v>448</v>
      </c>
    </row>
    <row r="2442" customFormat="false" ht="35.05" hidden="false" customHeight="false" outlineLevel="0" collapsed="false">
      <c r="A2442" s="5" t="s">
        <v>5594</v>
      </c>
      <c r="B2442" s="5" t="s">
        <v>115</v>
      </c>
      <c r="C2442" s="5" t="s">
        <v>116</v>
      </c>
      <c r="D2442" s="5" t="s">
        <v>146</v>
      </c>
      <c r="E2442" s="5" t="s">
        <v>147</v>
      </c>
      <c r="F2442" s="5" t="s">
        <v>189</v>
      </c>
      <c r="G2442" s="5" t="s">
        <v>466</v>
      </c>
      <c r="H2442" s="5" t="s">
        <v>226</v>
      </c>
      <c r="I2442" s="5" t="s">
        <v>5595</v>
      </c>
      <c r="J2442" s="5" t="s">
        <v>250</v>
      </c>
      <c r="K2442" s="5" t="s">
        <v>5391</v>
      </c>
      <c r="L2442" s="5" t="s">
        <v>190</v>
      </c>
      <c r="M2442" s="5" t="s">
        <v>476</v>
      </c>
      <c r="N2442" s="5" t="s">
        <v>286</v>
      </c>
      <c r="O2442" s="5" t="s">
        <v>5392</v>
      </c>
      <c r="P2442" s="18" t="str">
        <f aca="false">IF(J2442="S0","—",IF(K2442="","",IF(L2442="E0","QM",INDEX(10_ASIL_Matrix!$D$4:$F$15,MATCH(J2442&amp;"-"&amp;L2442,10_ASIL_Matrix!$C$4:$C$15,0),MATCH(N2442,10_ASIL_Matrix!$D$3:$F$3,0)))))</f>
        <v>B</v>
      </c>
      <c r="Q2442" s="5" t="s">
        <v>448</v>
      </c>
    </row>
    <row r="2443" customFormat="false" ht="35.05" hidden="false" customHeight="false" outlineLevel="0" collapsed="false">
      <c r="A2443" s="6" t="s">
        <v>5596</v>
      </c>
      <c r="B2443" s="6" t="s">
        <v>115</v>
      </c>
      <c r="C2443" s="6" t="s">
        <v>116</v>
      </c>
      <c r="D2443" s="6" t="s">
        <v>146</v>
      </c>
      <c r="E2443" s="6" t="s">
        <v>147</v>
      </c>
      <c r="F2443" s="6" t="s">
        <v>189</v>
      </c>
      <c r="G2443" s="6" t="s">
        <v>466</v>
      </c>
      <c r="H2443" s="6" t="s">
        <v>228</v>
      </c>
      <c r="I2443" s="6" t="s">
        <v>5597</v>
      </c>
      <c r="J2443" s="6" t="s">
        <v>250</v>
      </c>
      <c r="K2443" s="6" t="s">
        <v>5391</v>
      </c>
      <c r="L2443" s="6" t="s">
        <v>205</v>
      </c>
      <c r="M2443" s="6" t="s">
        <v>479</v>
      </c>
      <c r="N2443" s="6" t="s">
        <v>286</v>
      </c>
      <c r="O2443" s="6" t="s">
        <v>5392</v>
      </c>
      <c r="P2443" s="19" t="str">
        <f aca="false">IF(J2443="S0","—",IF(K2443="","",IF(L2443="E0","QM",INDEX(10_ASIL_Matrix!$D$4:$F$15,MATCH(J2443&amp;"-"&amp;L2443,10_ASIL_Matrix!$C$4:$C$15,0),MATCH(N2443,10_ASIL_Matrix!$D$3:$F$3,0)))))</f>
        <v>A</v>
      </c>
      <c r="Q2443" s="6" t="s">
        <v>448</v>
      </c>
    </row>
    <row r="2444" customFormat="false" ht="35.05" hidden="false" customHeight="false" outlineLevel="0" collapsed="false">
      <c r="A2444" s="5" t="s">
        <v>5598</v>
      </c>
      <c r="B2444" s="5" t="s">
        <v>115</v>
      </c>
      <c r="C2444" s="5" t="s">
        <v>116</v>
      </c>
      <c r="D2444" s="5" t="s">
        <v>146</v>
      </c>
      <c r="E2444" s="5" t="s">
        <v>147</v>
      </c>
      <c r="F2444" s="5" t="s">
        <v>189</v>
      </c>
      <c r="G2444" s="5" t="s">
        <v>466</v>
      </c>
      <c r="H2444" s="5" t="s">
        <v>230</v>
      </c>
      <c r="I2444" s="5" t="s">
        <v>5599</v>
      </c>
      <c r="J2444" s="5" t="s">
        <v>250</v>
      </c>
      <c r="K2444" s="5" t="s">
        <v>5391</v>
      </c>
      <c r="L2444" s="5" t="s">
        <v>205</v>
      </c>
      <c r="M2444" s="5" t="s">
        <v>482</v>
      </c>
      <c r="N2444" s="5" t="s">
        <v>290</v>
      </c>
      <c r="O2444" s="5" t="s">
        <v>5401</v>
      </c>
      <c r="P2444" s="18" t="str">
        <f aca="false">IF(J2444="S0","—",IF(K2444="","",IF(L2444="E0","QM",INDEX(10_ASIL_Matrix!$D$4:$F$15,MATCH(J2444&amp;"-"&amp;L2444,10_ASIL_Matrix!$C$4:$C$15,0),MATCH(N2444,10_ASIL_Matrix!$D$3:$F$3,0)))))</f>
        <v>B</v>
      </c>
      <c r="Q2444" s="5" t="s">
        <v>448</v>
      </c>
    </row>
    <row r="2445" customFormat="false" ht="46.25" hidden="false" customHeight="false" outlineLevel="0" collapsed="false">
      <c r="A2445" s="6" t="s">
        <v>5600</v>
      </c>
      <c r="B2445" s="6" t="s">
        <v>115</v>
      </c>
      <c r="C2445" s="6" t="s">
        <v>116</v>
      </c>
      <c r="D2445" s="6" t="s">
        <v>146</v>
      </c>
      <c r="E2445" s="6" t="s">
        <v>147</v>
      </c>
      <c r="F2445" s="6" t="s">
        <v>189</v>
      </c>
      <c r="G2445" s="6" t="s">
        <v>466</v>
      </c>
      <c r="H2445" s="6" t="s">
        <v>232</v>
      </c>
      <c r="I2445" s="6" t="s">
        <v>5601</v>
      </c>
      <c r="J2445" s="6" t="s">
        <v>250</v>
      </c>
      <c r="K2445" s="6" t="s">
        <v>5391</v>
      </c>
      <c r="L2445" s="6" t="s">
        <v>233</v>
      </c>
      <c r="M2445" s="6" t="s">
        <v>486</v>
      </c>
      <c r="N2445" s="6" t="s">
        <v>286</v>
      </c>
      <c r="O2445" s="6" t="s">
        <v>5392</v>
      </c>
      <c r="P2445" s="6" t="str">
        <f aca="false">IF(J2445="S0","—",IF(K2445="","",IF(L2445="E0","QM",INDEX(10_ASIL_Matrix!$D$4:$F$15,MATCH(J2445&amp;"-"&amp;L2445,10_ASIL_Matrix!$C$4:$C$15,0),MATCH(N2445,10_ASIL_Matrix!$D$3:$F$3,0)))))</f>
        <v>QM</v>
      </c>
      <c r="Q2445" s="6" t="s">
        <v>448</v>
      </c>
    </row>
    <row r="2446" customFormat="false" ht="35.05" hidden="false" customHeight="false" outlineLevel="0" collapsed="false">
      <c r="A2446" s="5" t="s">
        <v>5602</v>
      </c>
      <c r="B2446" s="5" t="s">
        <v>115</v>
      </c>
      <c r="C2446" s="5" t="s">
        <v>116</v>
      </c>
      <c r="D2446" s="5" t="s">
        <v>146</v>
      </c>
      <c r="E2446" s="5" t="s">
        <v>147</v>
      </c>
      <c r="F2446" s="5" t="s">
        <v>192</v>
      </c>
      <c r="G2446" s="5" t="s">
        <v>488</v>
      </c>
      <c r="H2446" s="5" t="s">
        <v>222</v>
      </c>
      <c r="I2446" s="5" t="s">
        <v>5603</v>
      </c>
      <c r="J2446" s="5" t="s">
        <v>250</v>
      </c>
      <c r="K2446" s="5" t="s">
        <v>5406</v>
      </c>
      <c r="L2446" s="5" t="s">
        <v>187</v>
      </c>
      <c r="M2446" s="5" t="s">
        <v>491</v>
      </c>
      <c r="N2446" s="5" t="s">
        <v>282</v>
      </c>
      <c r="O2446" s="5" t="s">
        <v>5407</v>
      </c>
      <c r="P2446" s="18" t="str">
        <f aca="false">IF(J2446="S0","—",IF(K2446="","",IF(L2446="E0","QM",INDEX(10_ASIL_Matrix!$D$4:$F$15,MATCH(J2446&amp;"-"&amp;L2446,10_ASIL_Matrix!$C$4:$C$15,0),MATCH(N2446,10_ASIL_Matrix!$D$3:$F$3,0)))))</f>
        <v>B</v>
      </c>
      <c r="Q2446" s="5" t="s">
        <v>448</v>
      </c>
    </row>
    <row r="2447" customFormat="false" ht="35.05" hidden="false" customHeight="false" outlineLevel="0" collapsed="false">
      <c r="A2447" s="6" t="s">
        <v>5604</v>
      </c>
      <c r="B2447" s="6" t="s">
        <v>115</v>
      </c>
      <c r="C2447" s="6" t="s">
        <v>116</v>
      </c>
      <c r="D2447" s="6" t="s">
        <v>146</v>
      </c>
      <c r="E2447" s="6" t="s">
        <v>147</v>
      </c>
      <c r="F2447" s="6" t="s">
        <v>192</v>
      </c>
      <c r="G2447" s="6" t="s">
        <v>488</v>
      </c>
      <c r="H2447" s="6" t="s">
        <v>224</v>
      </c>
      <c r="I2447" s="6" t="s">
        <v>5605</v>
      </c>
      <c r="J2447" s="6" t="s">
        <v>250</v>
      </c>
      <c r="K2447" s="6" t="s">
        <v>5406</v>
      </c>
      <c r="L2447" s="6" t="s">
        <v>190</v>
      </c>
      <c r="M2447" s="6" t="s">
        <v>494</v>
      </c>
      <c r="N2447" s="6" t="s">
        <v>282</v>
      </c>
      <c r="O2447" s="6" t="s">
        <v>5407</v>
      </c>
      <c r="P2447" s="19" t="str">
        <f aca="false">IF(J2447="S0","—",IF(K2447="","",IF(L2447="E0","QM",INDEX(10_ASIL_Matrix!$D$4:$F$15,MATCH(J2447&amp;"-"&amp;L2447,10_ASIL_Matrix!$C$4:$C$15,0),MATCH(N2447,10_ASIL_Matrix!$D$3:$F$3,0)))))</f>
        <v>A</v>
      </c>
      <c r="Q2447" s="6" t="s">
        <v>448</v>
      </c>
    </row>
    <row r="2448" customFormat="false" ht="35.05" hidden="false" customHeight="false" outlineLevel="0" collapsed="false">
      <c r="A2448" s="5" t="s">
        <v>5606</v>
      </c>
      <c r="B2448" s="5" t="s">
        <v>115</v>
      </c>
      <c r="C2448" s="5" t="s">
        <v>116</v>
      </c>
      <c r="D2448" s="5" t="s">
        <v>146</v>
      </c>
      <c r="E2448" s="5" t="s">
        <v>147</v>
      </c>
      <c r="F2448" s="5" t="s">
        <v>192</v>
      </c>
      <c r="G2448" s="5" t="s">
        <v>488</v>
      </c>
      <c r="H2448" s="5" t="s">
        <v>226</v>
      </c>
      <c r="I2448" s="5" t="s">
        <v>5607</v>
      </c>
      <c r="J2448" s="5" t="s">
        <v>250</v>
      </c>
      <c r="K2448" s="5" t="s">
        <v>5406</v>
      </c>
      <c r="L2448" s="5" t="s">
        <v>190</v>
      </c>
      <c r="M2448" s="5" t="s">
        <v>497</v>
      </c>
      <c r="N2448" s="5" t="s">
        <v>282</v>
      </c>
      <c r="O2448" s="5" t="s">
        <v>5407</v>
      </c>
      <c r="P2448" s="19" t="str">
        <f aca="false">IF(J2448="S0","—",IF(K2448="","",IF(L2448="E0","QM",INDEX(10_ASIL_Matrix!$D$4:$F$15,MATCH(J2448&amp;"-"&amp;L2448,10_ASIL_Matrix!$C$4:$C$15,0),MATCH(N2448,10_ASIL_Matrix!$D$3:$F$3,0)))))</f>
        <v>A</v>
      </c>
      <c r="Q2448" s="5" t="s">
        <v>448</v>
      </c>
    </row>
    <row r="2449" customFormat="false" ht="35.05" hidden="false" customHeight="false" outlineLevel="0" collapsed="false">
      <c r="A2449" s="6" t="s">
        <v>5608</v>
      </c>
      <c r="B2449" s="6" t="s">
        <v>115</v>
      </c>
      <c r="C2449" s="6" t="s">
        <v>116</v>
      </c>
      <c r="D2449" s="6" t="s">
        <v>146</v>
      </c>
      <c r="E2449" s="6" t="s">
        <v>147</v>
      </c>
      <c r="F2449" s="6" t="s">
        <v>192</v>
      </c>
      <c r="G2449" s="6" t="s">
        <v>488</v>
      </c>
      <c r="H2449" s="6" t="s">
        <v>228</v>
      </c>
      <c r="I2449" s="6" t="s">
        <v>5609</v>
      </c>
      <c r="J2449" s="6" t="s">
        <v>250</v>
      </c>
      <c r="K2449" s="6" t="s">
        <v>5406</v>
      </c>
      <c r="L2449" s="6" t="s">
        <v>205</v>
      </c>
      <c r="M2449" s="6" t="s">
        <v>500</v>
      </c>
      <c r="N2449" s="6" t="s">
        <v>282</v>
      </c>
      <c r="O2449" s="6" t="s">
        <v>5407</v>
      </c>
      <c r="P2449" s="6" t="str">
        <f aca="false">IF(J2449="S0","—",IF(K2449="","",IF(L2449="E0","QM",INDEX(10_ASIL_Matrix!$D$4:$F$15,MATCH(J2449&amp;"-"&amp;L2449,10_ASIL_Matrix!$C$4:$C$15,0),MATCH(N2449,10_ASIL_Matrix!$D$3:$F$3,0)))))</f>
        <v>QM</v>
      </c>
      <c r="Q2449" s="6" t="s">
        <v>448</v>
      </c>
    </row>
    <row r="2450" customFormat="false" ht="35.05" hidden="false" customHeight="false" outlineLevel="0" collapsed="false">
      <c r="A2450" s="5" t="s">
        <v>5610</v>
      </c>
      <c r="B2450" s="5" t="s">
        <v>115</v>
      </c>
      <c r="C2450" s="5" t="s">
        <v>116</v>
      </c>
      <c r="D2450" s="5" t="s">
        <v>146</v>
      </c>
      <c r="E2450" s="5" t="s">
        <v>147</v>
      </c>
      <c r="F2450" s="5" t="s">
        <v>192</v>
      </c>
      <c r="G2450" s="5" t="s">
        <v>488</v>
      </c>
      <c r="H2450" s="5" t="s">
        <v>230</v>
      </c>
      <c r="I2450" s="5" t="s">
        <v>5611</v>
      </c>
      <c r="J2450" s="5" t="s">
        <v>250</v>
      </c>
      <c r="K2450" s="5" t="s">
        <v>5406</v>
      </c>
      <c r="L2450" s="5" t="s">
        <v>205</v>
      </c>
      <c r="M2450" s="5" t="s">
        <v>503</v>
      </c>
      <c r="N2450" s="5" t="s">
        <v>286</v>
      </c>
      <c r="O2450" s="5" t="s">
        <v>5416</v>
      </c>
      <c r="P2450" s="19" t="str">
        <f aca="false">IF(J2450="S0","—",IF(K2450="","",IF(L2450="E0","QM",INDEX(10_ASIL_Matrix!$D$4:$F$15,MATCH(J2450&amp;"-"&amp;L2450,10_ASIL_Matrix!$C$4:$C$15,0),MATCH(N2450,10_ASIL_Matrix!$D$3:$F$3,0)))))</f>
        <v>A</v>
      </c>
      <c r="Q2450" s="5" t="s">
        <v>448</v>
      </c>
    </row>
    <row r="2451" customFormat="false" ht="46.25" hidden="false" customHeight="false" outlineLevel="0" collapsed="false">
      <c r="A2451" s="6" t="s">
        <v>5612</v>
      </c>
      <c r="B2451" s="6" t="s">
        <v>115</v>
      </c>
      <c r="C2451" s="6" t="s">
        <v>116</v>
      </c>
      <c r="D2451" s="6" t="s">
        <v>146</v>
      </c>
      <c r="E2451" s="6" t="s">
        <v>147</v>
      </c>
      <c r="F2451" s="6" t="s">
        <v>192</v>
      </c>
      <c r="G2451" s="6" t="s">
        <v>488</v>
      </c>
      <c r="H2451" s="6" t="s">
        <v>232</v>
      </c>
      <c r="I2451" s="6" t="s">
        <v>5613</v>
      </c>
      <c r="J2451" s="6" t="s">
        <v>250</v>
      </c>
      <c r="K2451" s="6" t="s">
        <v>5406</v>
      </c>
      <c r="L2451" s="6" t="s">
        <v>233</v>
      </c>
      <c r="M2451" s="6" t="s">
        <v>506</v>
      </c>
      <c r="N2451" s="6" t="s">
        <v>282</v>
      </c>
      <c r="O2451" s="6" t="s">
        <v>5407</v>
      </c>
      <c r="P2451" s="6" t="str">
        <f aca="false">IF(J2451="S0","—",IF(K2451="","",IF(L2451="E0","QM",INDEX(10_ASIL_Matrix!$D$4:$F$15,MATCH(J2451&amp;"-"&amp;L2451,10_ASIL_Matrix!$C$4:$C$15,0),MATCH(N2451,10_ASIL_Matrix!$D$3:$F$3,0)))))</f>
        <v>QM</v>
      </c>
      <c r="Q2451" s="6" t="s">
        <v>448</v>
      </c>
    </row>
    <row r="2452" customFormat="false" ht="35.05" hidden="false" customHeight="false" outlineLevel="0" collapsed="false">
      <c r="A2452" s="5" t="s">
        <v>5614</v>
      </c>
      <c r="B2452" s="5" t="s">
        <v>115</v>
      </c>
      <c r="C2452" s="5" t="s">
        <v>116</v>
      </c>
      <c r="D2452" s="5" t="s">
        <v>146</v>
      </c>
      <c r="E2452" s="5" t="s">
        <v>147</v>
      </c>
      <c r="F2452" s="5" t="s">
        <v>194</v>
      </c>
      <c r="G2452" s="5" t="s">
        <v>508</v>
      </c>
      <c r="H2452" s="5" t="s">
        <v>222</v>
      </c>
      <c r="I2452" s="5" t="s">
        <v>5615</v>
      </c>
      <c r="J2452" s="5" t="s">
        <v>250</v>
      </c>
      <c r="K2452" s="5" t="s">
        <v>5421</v>
      </c>
      <c r="L2452" s="5" t="s">
        <v>190</v>
      </c>
      <c r="M2452" s="5" t="s">
        <v>511</v>
      </c>
      <c r="N2452" s="5" t="s">
        <v>282</v>
      </c>
      <c r="O2452" s="5" t="s">
        <v>5422</v>
      </c>
      <c r="P2452" s="19" t="str">
        <f aca="false">IF(J2452="S0","—",IF(K2452="","",IF(L2452="E0","QM",INDEX(10_ASIL_Matrix!$D$4:$F$15,MATCH(J2452&amp;"-"&amp;L2452,10_ASIL_Matrix!$C$4:$C$15,0),MATCH(N2452,10_ASIL_Matrix!$D$3:$F$3,0)))))</f>
        <v>A</v>
      </c>
      <c r="Q2452" s="5" t="s">
        <v>448</v>
      </c>
    </row>
    <row r="2453" customFormat="false" ht="35.05" hidden="false" customHeight="false" outlineLevel="0" collapsed="false">
      <c r="A2453" s="6" t="s">
        <v>5616</v>
      </c>
      <c r="B2453" s="6" t="s">
        <v>115</v>
      </c>
      <c r="C2453" s="6" t="s">
        <v>116</v>
      </c>
      <c r="D2453" s="6" t="s">
        <v>146</v>
      </c>
      <c r="E2453" s="6" t="s">
        <v>147</v>
      </c>
      <c r="F2453" s="6" t="s">
        <v>194</v>
      </c>
      <c r="G2453" s="6" t="s">
        <v>508</v>
      </c>
      <c r="H2453" s="6" t="s">
        <v>224</v>
      </c>
      <c r="I2453" s="6" t="s">
        <v>5617</v>
      </c>
      <c r="J2453" s="6" t="s">
        <v>250</v>
      </c>
      <c r="K2453" s="6" t="s">
        <v>5421</v>
      </c>
      <c r="L2453" s="6" t="s">
        <v>190</v>
      </c>
      <c r="M2453" s="6" t="s">
        <v>514</v>
      </c>
      <c r="N2453" s="6" t="s">
        <v>282</v>
      </c>
      <c r="O2453" s="6" t="s">
        <v>5422</v>
      </c>
      <c r="P2453" s="19" t="str">
        <f aca="false">IF(J2453="S0","—",IF(K2453="","",IF(L2453="E0","QM",INDEX(10_ASIL_Matrix!$D$4:$F$15,MATCH(J2453&amp;"-"&amp;L2453,10_ASIL_Matrix!$C$4:$C$15,0),MATCH(N2453,10_ASIL_Matrix!$D$3:$F$3,0)))))</f>
        <v>A</v>
      </c>
      <c r="Q2453" s="6" t="s">
        <v>448</v>
      </c>
    </row>
    <row r="2454" customFormat="false" ht="35.05" hidden="false" customHeight="false" outlineLevel="0" collapsed="false">
      <c r="A2454" s="5" t="s">
        <v>5618</v>
      </c>
      <c r="B2454" s="5" t="s">
        <v>115</v>
      </c>
      <c r="C2454" s="5" t="s">
        <v>116</v>
      </c>
      <c r="D2454" s="5" t="s">
        <v>146</v>
      </c>
      <c r="E2454" s="5" t="s">
        <v>147</v>
      </c>
      <c r="F2454" s="5" t="s">
        <v>194</v>
      </c>
      <c r="G2454" s="5" t="s">
        <v>508</v>
      </c>
      <c r="H2454" s="5" t="s">
        <v>226</v>
      </c>
      <c r="I2454" s="5" t="s">
        <v>5619</v>
      </c>
      <c r="J2454" s="5" t="s">
        <v>250</v>
      </c>
      <c r="K2454" s="5" t="s">
        <v>5421</v>
      </c>
      <c r="L2454" s="5" t="s">
        <v>190</v>
      </c>
      <c r="M2454" s="5" t="s">
        <v>517</v>
      </c>
      <c r="N2454" s="5" t="s">
        <v>282</v>
      </c>
      <c r="O2454" s="5" t="s">
        <v>5422</v>
      </c>
      <c r="P2454" s="19" t="str">
        <f aca="false">IF(J2454="S0","—",IF(K2454="","",IF(L2454="E0","QM",INDEX(10_ASIL_Matrix!$D$4:$F$15,MATCH(J2454&amp;"-"&amp;L2454,10_ASIL_Matrix!$C$4:$C$15,0),MATCH(N2454,10_ASIL_Matrix!$D$3:$F$3,0)))))</f>
        <v>A</v>
      </c>
      <c r="Q2454" s="5" t="s">
        <v>448</v>
      </c>
    </row>
    <row r="2455" customFormat="false" ht="35.05" hidden="false" customHeight="false" outlineLevel="0" collapsed="false">
      <c r="A2455" s="6" t="s">
        <v>5620</v>
      </c>
      <c r="B2455" s="6" t="s">
        <v>115</v>
      </c>
      <c r="C2455" s="6" t="s">
        <v>116</v>
      </c>
      <c r="D2455" s="6" t="s">
        <v>146</v>
      </c>
      <c r="E2455" s="6" t="s">
        <v>147</v>
      </c>
      <c r="F2455" s="6" t="s">
        <v>194</v>
      </c>
      <c r="G2455" s="6" t="s">
        <v>508</v>
      </c>
      <c r="H2455" s="6" t="s">
        <v>228</v>
      </c>
      <c r="I2455" s="6" t="s">
        <v>5621</v>
      </c>
      <c r="J2455" s="6" t="s">
        <v>250</v>
      </c>
      <c r="K2455" s="6" t="s">
        <v>5421</v>
      </c>
      <c r="L2455" s="6" t="s">
        <v>205</v>
      </c>
      <c r="M2455" s="6" t="s">
        <v>520</v>
      </c>
      <c r="N2455" s="6" t="s">
        <v>282</v>
      </c>
      <c r="O2455" s="6" t="s">
        <v>5422</v>
      </c>
      <c r="P2455" s="6" t="str">
        <f aca="false">IF(J2455="S0","—",IF(K2455="","",IF(L2455="E0","QM",INDEX(10_ASIL_Matrix!$D$4:$F$15,MATCH(J2455&amp;"-"&amp;L2455,10_ASIL_Matrix!$C$4:$C$15,0),MATCH(N2455,10_ASIL_Matrix!$D$3:$F$3,0)))))</f>
        <v>QM</v>
      </c>
      <c r="Q2455" s="6" t="s">
        <v>448</v>
      </c>
    </row>
    <row r="2456" customFormat="false" ht="35.05" hidden="false" customHeight="false" outlineLevel="0" collapsed="false">
      <c r="A2456" s="5" t="s">
        <v>5622</v>
      </c>
      <c r="B2456" s="5" t="s">
        <v>115</v>
      </c>
      <c r="C2456" s="5" t="s">
        <v>116</v>
      </c>
      <c r="D2456" s="5" t="s">
        <v>146</v>
      </c>
      <c r="E2456" s="5" t="s">
        <v>147</v>
      </c>
      <c r="F2456" s="5" t="s">
        <v>194</v>
      </c>
      <c r="G2456" s="5" t="s">
        <v>508</v>
      </c>
      <c r="H2456" s="5" t="s">
        <v>230</v>
      </c>
      <c r="I2456" s="5" t="s">
        <v>5623</v>
      </c>
      <c r="J2456" s="5" t="s">
        <v>250</v>
      </c>
      <c r="K2456" s="5" t="s">
        <v>5421</v>
      </c>
      <c r="L2456" s="5" t="s">
        <v>205</v>
      </c>
      <c r="M2456" s="5" t="s">
        <v>523</v>
      </c>
      <c r="N2456" s="5" t="s">
        <v>286</v>
      </c>
      <c r="O2456" s="5" t="s">
        <v>5431</v>
      </c>
      <c r="P2456" s="19" t="str">
        <f aca="false">IF(J2456="S0","—",IF(K2456="","",IF(L2456="E0","QM",INDEX(10_ASIL_Matrix!$D$4:$F$15,MATCH(J2456&amp;"-"&amp;L2456,10_ASIL_Matrix!$C$4:$C$15,0),MATCH(N2456,10_ASIL_Matrix!$D$3:$F$3,0)))))</f>
        <v>A</v>
      </c>
      <c r="Q2456" s="5" t="s">
        <v>448</v>
      </c>
    </row>
    <row r="2457" customFormat="false" ht="46.25" hidden="false" customHeight="false" outlineLevel="0" collapsed="false">
      <c r="A2457" s="6" t="s">
        <v>5624</v>
      </c>
      <c r="B2457" s="6" t="s">
        <v>115</v>
      </c>
      <c r="C2457" s="6" t="s">
        <v>116</v>
      </c>
      <c r="D2457" s="6" t="s">
        <v>146</v>
      </c>
      <c r="E2457" s="6" t="s">
        <v>147</v>
      </c>
      <c r="F2457" s="6" t="s">
        <v>194</v>
      </c>
      <c r="G2457" s="6" t="s">
        <v>508</v>
      </c>
      <c r="H2457" s="6" t="s">
        <v>232</v>
      </c>
      <c r="I2457" s="6" t="s">
        <v>5625</v>
      </c>
      <c r="J2457" s="6" t="s">
        <v>250</v>
      </c>
      <c r="K2457" s="6" t="s">
        <v>5421</v>
      </c>
      <c r="L2457" s="6" t="s">
        <v>233</v>
      </c>
      <c r="M2457" s="6" t="s">
        <v>526</v>
      </c>
      <c r="N2457" s="6" t="s">
        <v>282</v>
      </c>
      <c r="O2457" s="6" t="s">
        <v>5422</v>
      </c>
      <c r="P2457" s="6" t="str">
        <f aca="false">IF(J2457="S0","—",IF(K2457="","",IF(L2457="E0","QM",INDEX(10_ASIL_Matrix!$D$4:$F$15,MATCH(J2457&amp;"-"&amp;L2457,10_ASIL_Matrix!$C$4:$C$15,0),MATCH(N2457,10_ASIL_Matrix!$D$3:$F$3,0)))))</f>
        <v>QM</v>
      </c>
      <c r="Q2457" s="6" t="s">
        <v>448</v>
      </c>
    </row>
    <row r="2458" customFormat="false" ht="35.05" hidden="false" customHeight="false" outlineLevel="0" collapsed="false">
      <c r="A2458" s="5" t="s">
        <v>5626</v>
      </c>
      <c r="B2458" s="5" t="s">
        <v>115</v>
      </c>
      <c r="C2458" s="5" t="s">
        <v>116</v>
      </c>
      <c r="D2458" s="5" t="s">
        <v>146</v>
      </c>
      <c r="E2458" s="5" t="s">
        <v>147</v>
      </c>
      <c r="F2458" s="5" t="s">
        <v>196</v>
      </c>
      <c r="G2458" s="5" t="s">
        <v>528</v>
      </c>
      <c r="H2458" s="5" t="s">
        <v>222</v>
      </c>
      <c r="I2458" s="5" t="s">
        <v>5627</v>
      </c>
      <c r="J2458" s="5" t="s">
        <v>246</v>
      </c>
      <c r="K2458" s="5" t="s">
        <v>5436</v>
      </c>
      <c r="L2458" s="5" t="s">
        <v>187</v>
      </c>
      <c r="M2458" s="5" t="s">
        <v>531</v>
      </c>
      <c r="N2458" s="5" t="s">
        <v>286</v>
      </c>
      <c r="O2458" s="5" t="s">
        <v>5437</v>
      </c>
      <c r="P2458" s="18" t="str">
        <f aca="false">IF(J2458="S0","—",IF(K2458="","",IF(L2458="E0","QM",INDEX(10_ASIL_Matrix!$D$4:$F$15,MATCH(J2458&amp;"-"&amp;L2458,10_ASIL_Matrix!$C$4:$C$15,0),MATCH(N2458,10_ASIL_Matrix!$D$3:$F$3,0)))))</f>
        <v>B</v>
      </c>
      <c r="Q2458" s="5" t="s">
        <v>448</v>
      </c>
    </row>
    <row r="2459" customFormat="false" ht="35.05" hidden="false" customHeight="false" outlineLevel="0" collapsed="false">
      <c r="A2459" s="6" t="s">
        <v>5628</v>
      </c>
      <c r="B2459" s="6" t="s">
        <v>115</v>
      </c>
      <c r="C2459" s="6" t="s">
        <v>116</v>
      </c>
      <c r="D2459" s="6" t="s">
        <v>146</v>
      </c>
      <c r="E2459" s="6" t="s">
        <v>147</v>
      </c>
      <c r="F2459" s="6" t="s">
        <v>196</v>
      </c>
      <c r="G2459" s="6" t="s">
        <v>528</v>
      </c>
      <c r="H2459" s="6" t="s">
        <v>224</v>
      </c>
      <c r="I2459" s="6" t="s">
        <v>5629</v>
      </c>
      <c r="J2459" s="6" t="s">
        <v>246</v>
      </c>
      <c r="K2459" s="6" t="s">
        <v>5436</v>
      </c>
      <c r="L2459" s="6" t="s">
        <v>190</v>
      </c>
      <c r="M2459" s="6" t="s">
        <v>534</v>
      </c>
      <c r="N2459" s="6" t="s">
        <v>286</v>
      </c>
      <c r="O2459" s="6" t="s">
        <v>5437</v>
      </c>
      <c r="P2459" s="19" t="str">
        <f aca="false">IF(J2459="S0","—",IF(K2459="","",IF(L2459="E0","QM",INDEX(10_ASIL_Matrix!$D$4:$F$15,MATCH(J2459&amp;"-"&amp;L2459,10_ASIL_Matrix!$C$4:$C$15,0),MATCH(N2459,10_ASIL_Matrix!$D$3:$F$3,0)))))</f>
        <v>A</v>
      </c>
      <c r="Q2459" s="6" t="s">
        <v>448</v>
      </c>
    </row>
    <row r="2460" customFormat="false" ht="35.05" hidden="false" customHeight="false" outlineLevel="0" collapsed="false">
      <c r="A2460" s="5" t="s">
        <v>5630</v>
      </c>
      <c r="B2460" s="5" t="s">
        <v>115</v>
      </c>
      <c r="C2460" s="5" t="s">
        <v>116</v>
      </c>
      <c r="D2460" s="5" t="s">
        <v>146</v>
      </c>
      <c r="E2460" s="5" t="s">
        <v>147</v>
      </c>
      <c r="F2460" s="5" t="s">
        <v>196</v>
      </c>
      <c r="G2460" s="5" t="s">
        <v>528</v>
      </c>
      <c r="H2460" s="5" t="s">
        <v>226</v>
      </c>
      <c r="I2460" s="5" t="s">
        <v>5631</v>
      </c>
      <c r="J2460" s="5" t="s">
        <v>246</v>
      </c>
      <c r="K2460" s="5" t="s">
        <v>5436</v>
      </c>
      <c r="L2460" s="5" t="s">
        <v>190</v>
      </c>
      <c r="M2460" s="5" t="s">
        <v>537</v>
      </c>
      <c r="N2460" s="5" t="s">
        <v>286</v>
      </c>
      <c r="O2460" s="5" t="s">
        <v>5437</v>
      </c>
      <c r="P2460" s="19" t="str">
        <f aca="false">IF(J2460="S0","—",IF(K2460="","",IF(L2460="E0","QM",INDEX(10_ASIL_Matrix!$D$4:$F$15,MATCH(J2460&amp;"-"&amp;L2460,10_ASIL_Matrix!$C$4:$C$15,0),MATCH(N2460,10_ASIL_Matrix!$D$3:$F$3,0)))))</f>
        <v>A</v>
      </c>
      <c r="Q2460" s="5" t="s">
        <v>448</v>
      </c>
    </row>
    <row r="2461" customFormat="false" ht="35.05" hidden="false" customHeight="false" outlineLevel="0" collapsed="false">
      <c r="A2461" s="6" t="s">
        <v>5632</v>
      </c>
      <c r="B2461" s="6" t="s">
        <v>115</v>
      </c>
      <c r="C2461" s="6" t="s">
        <v>116</v>
      </c>
      <c r="D2461" s="6" t="s">
        <v>146</v>
      </c>
      <c r="E2461" s="6" t="s">
        <v>147</v>
      </c>
      <c r="F2461" s="6" t="s">
        <v>196</v>
      </c>
      <c r="G2461" s="6" t="s">
        <v>528</v>
      </c>
      <c r="H2461" s="6" t="s">
        <v>228</v>
      </c>
      <c r="I2461" s="6" t="s">
        <v>5633</v>
      </c>
      <c r="J2461" s="6" t="s">
        <v>246</v>
      </c>
      <c r="K2461" s="6" t="s">
        <v>5436</v>
      </c>
      <c r="L2461" s="6" t="s">
        <v>205</v>
      </c>
      <c r="M2461" s="6" t="s">
        <v>540</v>
      </c>
      <c r="N2461" s="6" t="s">
        <v>286</v>
      </c>
      <c r="O2461" s="6" t="s">
        <v>5437</v>
      </c>
      <c r="P2461" s="6" t="str">
        <f aca="false">IF(J2461="S0","—",IF(K2461="","",IF(L2461="E0","QM",INDEX(10_ASIL_Matrix!$D$4:$F$15,MATCH(J2461&amp;"-"&amp;L2461,10_ASIL_Matrix!$C$4:$C$15,0),MATCH(N2461,10_ASIL_Matrix!$D$3:$F$3,0)))))</f>
        <v>QM</v>
      </c>
      <c r="Q2461" s="6" t="s">
        <v>448</v>
      </c>
    </row>
    <row r="2462" customFormat="false" ht="35.05" hidden="false" customHeight="false" outlineLevel="0" collapsed="false">
      <c r="A2462" s="5" t="s">
        <v>5634</v>
      </c>
      <c r="B2462" s="5" t="s">
        <v>115</v>
      </c>
      <c r="C2462" s="5" t="s">
        <v>116</v>
      </c>
      <c r="D2462" s="5" t="s">
        <v>146</v>
      </c>
      <c r="E2462" s="5" t="s">
        <v>147</v>
      </c>
      <c r="F2462" s="5" t="s">
        <v>196</v>
      </c>
      <c r="G2462" s="5" t="s">
        <v>528</v>
      </c>
      <c r="H2462" s="5" t="s">
        <v>230</v>
      </c>
      <c r="I2462" s="5" t="s">
        <v>5635</v>
      </c>
      <c r="J2462" s="5" t="s">
        <v>246</v>
      </c>
      <c r="K2462" s="5" t="s">
        <v>5436</v>
      </c>
      <c r="L2462" s="5" t="s">
        <v>205</v>
      </c>
      <c r="M2462" s="5" t="s">
        <v>543</v>
      </c>
      <c r="N2462" s="5" t="s">
        <v>290</v>
      </c>
      <c r="O2462" s="5" t="s">
        <v>5446</v>
      </c>
      <c r="P2462" s="19" t="str">
        <f aca="false">IF(J2462="S0","—",IF(K2462="","",IF(L2462="E0","QM",INDEX(10_ASIL_Matrix!$D$4:$F$15,MATCH(J2462&amp;"-"&amp;L2462,10_ASIL_Matrix!$C$4:$C$15,0),MATCH(N2462,10_ASIL_Matrix!$D$3:$F$3,0)))))</f>
        <v>A</v>
      </c>
      <c r="Q2462" s="5" t="s">
        <v>448</v>
      </c>
    </row>
    <row r="2463" customFormat="false" ht="46.25" hidden="false" customHeight="false" outlineLevel="0" collapsed="false">
      <c r="A2463" s="6" t="s">
        <v>5636</v>
      </c>
      <c r="B2463" s="6" t="s">
        <v>115</v>
      </c>
      <c r="C2463" s="6" t="s">
        <v>116</v>
      </c>
      <c r="D2463" s="6" t="s">
        <v>146</v>
      </c>
      <c r="E2463" s="6" t="s">
        <v>147</v>
      </c>
      <c r="F2463" s="6" t="s">
        <v>196</v>
      </c>
      <c r="G2463" s="6" t="s">
        <v>528</v>
      </c>
      <c r="H2463" s="6" t="s">
        <v>232</v>
      </c>
      <c r="I2463" s="6" t="s">
        <v>5637</v>
      </c>
      <c r="J2463" s="6" t="s">
        <v>246</v>
      </c>
      <c r="K2463" s="6" t="s">
        <v>5436</v>
      </c>
      <c r="L2463" s="6" t="s">
        <v>233</v>
      </c>
      <c r="M2463" s="6" t="s">
        <v>546</v>
      </c>
      <c r="N2463" s="6" t="s">
        <v>286</v>
      </c>
      <c r="O2463" s="6" t="s">
        <v>5437</v>
      </c>
      <c r="P2463" s="6" t="str">
        <f aca="false">IF(J2463="S0","—",IF(K2463="","",IF(L2463="E0","QM",INDEX(10_ASIL_Matrix!$D$4:$F$15,MATCH(J2463&amp;"-"&amp;L2463,10_ASIL_Matrix!$C$4:$C$15,0),MATCH(N2463,10_ASIL_Matrix!$D$3:$F$3,0)))))</f>
        <v>QM</v>
      </c>
      <c r="Q2463" s="6" t="s">
        <v>448</v>
      </c>
    </row>
    <row r="2464" customFormat="false" ht="35.05" hidden="false" customHeight="false" outlineLevel="0" collapsed="false">
      <c r="A2464" s="5" t="s">
        <v>5638</v>
      </c>
      <c r="B2464" s="5" t="s">
        <v>115</v>
      </c>
      <c r="C2464" s="5" t="s">
        <v>116</v>
      </c>
      <c r="D2464" s="5" t="s">
        <v>146</v>
      </c>
      <c r="E2464" s="5" t="s">
        <v>147</v>
      </c>
      <c r="F2464" s="5" t="s">
        <v>198</v>
      </c>
      <c r="G2464" s="5" t="s">
        <v>548</v>
      </c>
      <c r="H2464" s="5" t="s">
        <v>222</v>
      </c>
      <c r="I2464" s="5" t="s">
        <v>5639</v>
      </c>
      <c r="J2464" s="5" t="s">
        <v>238</v>
      </c>
      <c r="K2464" s="5" t="s">
        <v>5451</v>
      </c>
      <c r="L2464" s="5" t="s">
        <v>190</v>
      </c>
      <c r="M2464" s="5" t="s">
        <v>551</v>
      </c>
      <c r="N2464" s="5" t="s">
        <v>278</v>
      </c>
      <c r="O2464" s="5" t="s">
        <v>634</v>
      </c>
      <c r="P2464" s="5" t="str">
        <f aca="false">IF(J2464="S0","—",IF(K2464="","",IF(L2464="E0","QM",INDEX(10_ASIL_Matrix!$D$4:$F$15,MATCH(J2464&amp;"-"&amp;L2464,10_ASIL_Matrix!$C$4:$C$15,0),MATCH(N2464,10_ASIL_Matrix!$D$3:$F$3,0)))))</f>
        <v>—</v>
      </c>
      <c r="Q2464" s="5" t="s">
        <v>448</v>
      </c>
    </row>
    <row r="2465" customFormat="false" ht="35.05" hidden="false" customHeight="false" outlineLevel="0" collapsed="false">
      <c r="A2465" s="6" t="s">
        <v>5640</v>
      </c>
      <c r="B2465" s="6" t="s">
        <v>115</v>
      </c>
      <c r="C2465" s="6" t="s">
        <v>116</v>
      </c>
      <c r="D2465" s="6" t="s">
        <v>146</v>
      </c>
      <c r="E2465" s="6" t="s">
        <v>147</v>
      </c>
      <c r="F2465" s="6" t="s">
        <v>198</v>
      </c>
      <c r="G2465" s="6" t="s">
        <v>548</v>
      </c>
      <c r="H2465" s="6" t="s">
        <v>224</v>
      </c>
      <c r="I2465" s="6" t="s">
        <v>5641</v>
      </c>
      <c r="J2465" s="6" t="s">
        <v>238</v>
      </c>
      <c r="K2465" s="6" t="s">
        <v>5451</v>
      </c>
      <c r="L2465" s="6" t="s">
        <v>190</v>
      </c>
      <c r="M2465" s="6" t="s">
        <v>555</v>
      </c>
      <c r="N2465" s="6" t="s">
        <v>278</v>
      </c>
      <c r="O2465" s="6" t="s">
        <v>634</v>
      </c>
      <c r="P2465" s="6" t="str">
        <f aca="false">IF(J2465="S0","—",IF(K2465="","",IF(L2465="E0","QM",INDEX(10_ASIL_Matrix!$D$4:$F$15,MATCH(J2465&amp;"-"&amp;L2465,10_ASIL_Matrix!$C$4:$C$15,0),MATCH(N2465,10_ASIL_Matrix!$D$3:$F$3,0)))))</f>
        <v>—</v>
      </c>
      <c r="Q2465" s="6" t="s">
        <v>448</v>
      </c>
    </row>
    <row r="2466" customFormat="false" ht="35.05" hidden="false" customHeight="false" outlineLevel="0" collapsed="false">
      <c r="A2466" s="5" t="s">
        <v>5642</v>
      </c>
      <c r="B2466" s="5" t="s">
        <v>115</v>
      </c>
      <c r="C2466" s="5" t="s">
        <v>116</v>
      </c>
      <c r="D2466" s="5" t="s">
        <v>146</v>
      </c>
      <c r="E2466" s="5" t="s">
        <v>147</v>
      </c>
      <c r="F2466" s="5" t="s">
        <v>198</v>
      </c>
      <c r="G2466" s="5" t="s">
        <v>548</v>
      </c>
      <c r="H2466" s="5" t="s">
        <v>226</v>
      </c>
      <c r="I2466" s="5" t="s">
        <v>5643</v>
      </c>
      <c r="J2466" s="5" t="s">
        <v>238</v>
      </c>
      <c r="K2466" s="5" t="s">
        <v>5451</v>
      </c>
      <c r="L2466" s="5" t="s">
        <v>190</v>
      </c>
      <c r="M2466" s="5" t="s">
        <v>558</v>
      </c>
      <c r="N2466" s="5" t="s">
        <v>278</v>
      </c>
      <c r="O2466" s="5" t="s">
        <v>634</v>
      </c>
      <c r="P2466" s="5" t="str">
        <f aca="false">IF(J2466="S0","—",IF(K2466="","",IF(L2466="E0","QM",INDEX(10_ASIL_Matrix!$D$4:$F$15,MATCH(J2466&amp;"-"&amp;L2466,10_ASIL_Matrix!$C$4:$C$15,0),MATCH(N2466,10_ASIL_Matrix!$D$3:$F$3,0)))))</f>
        <v>—</v>
      </c>
      <c r="Q2466" s="5" t="s">
        <v>448</v>
      </c>
    </row>
    <row r="2467" customFormat="false" ht="35.05" hidden="false" customHeight="false" outlineLevel="0" collapsed="false">
      <c r="A2467" s="6" t="s">
        <v>5644</v>
      </c>
      <c r="B2467" s="6" t="s">
        <v>115</v>
      </c>
      <c r="C2467" s="6" t="s">
        <v>116</v>
      </c>
      <c r="D2467" s="6" t="s">
        <v>146</v>
      </c>
      <c r="E2467" s="6" t="s">
        <v>147</v>
      </c>
      <c r="F2467" s="6" t="s">
        <v>198</v>
      </c>
      <c r="G2467" s="6" t="s">
        <v>548</v>
      </c>
      <c r="H2467" s="6" t="s">
        <v>228</v>
      </c>
      <c r="I2467" s="6" t="s">
        <v>5645</v>
      </c>
      <c r="J2467" s="6" t="s">
        <v>238</v>
      </c>
      <c r="K2467" s="6" t="s">
        <v>5451</v>
      </c>
      <c r="L2467" s="6" t="s">
        <v>205</v>
      </c>
      <c r="M2467" s="6" t="s">
        <v>561</v>
      </c>
      <c r="N2467" s="6" t="s">
        <v>278</v>
      </c>
      <c r="O2467" s="6" t="s">
        <v>634</v>
      </c>
      <c r="P2467" s="6" t="str">
        <f aca="false">IF(J2467="S0","—",IF(K2467="","",IF(L2467="E0","QM",INDEX(10_ASIL_Matrix!$D$4:$F$15,MATCH(J2467&amp;"-"&amp;L2467,10_ASIL_Matrix!$C$4:$C$15,0),MATCH(N2467,10_ASIL_Matrix!$D$3:$F$3,0)))))</f>
        <v>—</v>
      </c>
      <c r="Q2467" s="6" t="s">
        <v>448</v>
      </c>
    </row>
    <row r="2468" customFormat="false" ht="35.05" hidden="false" customHeight="false" outlineLevel="0" collapsed="false">
      <c r="A2468" s="5" t="s">
        <v>5646</v>
      </c>
      <c r="B2468" s="5" t="s">
        <v>115</v>
      </c>
      <c r="C2468" s="5" t="s">
        <v>116</v>
      </c>
      <c r="D2468" s="5" t="s">
        <v>146</v>
      </c>
      <c r="E2468" s="5" t="s">
        <v>147</v>
      </c>
      <c r="F2468" s="5" t="s">
        <v>198</v>
      </c>
      <c r="G2468" s="5" t="s">
        <v>548</v>
      </c>
      <c r="H2468" s="5" t="s">
        <v>230</v>
      </c>
      <c r="I2468" s="5" t="s">
        <v>5647</v>
      </c>
      <c r="J2468" s="5" t="s">
        <v>238</v>
      </c>
      <c r="K2468" s="5" t="s">
        <v>5451</v>
      </c>
      <c r="L2468" s="5" t="s">
        <v>205</v>
      </c>
      <c r="M2468" s="5" t="s">
        <v>564</v>
      </c>
      <c r="N2468" s="5" t="s">
        <v>278</v>
      </c>
      <c r="O2468" s="5" t="s">
        <v>634</v>
      </c>
      <c r="P2468" s="5" t="str">
        <f aca="false">IF(J2468="S0","—",IF(K2468="","",IF(L2468="E0","QM",INDEX(10_ASIL_Matrix!$D$4:$F$15,MATCH(J2468&amp;"-"&amp;L2468,10_ASIL_Matrix!$C$4:$C$15,0),MATCH(N2468,10_ASIL_Matrix!$D$3:$F$3,0)))))</f>
        <v>—</v>
      </c>
      <c r="Q2468" s="5" t="s">
        <v>448</v>
      </c>
    </row>
    <row r="2469" customFormat="false" ht="46.25" hidden="false" customHeight="false" outlineLevel="0" collapsed="false">
      <c r="A2469" s="6" t="s">
        <v>5648</v>
      </c>
      <c r="B2469" s="6" t="s">
        <v>115</v>
      </c>
      <c r="C2469" s="6" t="s">
        <v>116</v>
      </c>
      <c r="D2469" s="6" t="s">
        <v>146</v>
      </c>
      <c r="E2469" s="6" t="s">
        <v>147</v>
      </c>
      <c r="F2469" s="6" t="s">
        <v>198</v>
      </c>
      <c r="G2469" s="6" t="s">
        <v>548</v>
      </c>
      <c r="H2469" s="6" t="s">
        <v>232</v>
      </c>
      <c r="I2469" s="6" t="s">
        <v>5649</v>
      </c>
      <c r="J2469" s="6" t="s">
        <v>238</v>
      </c>
      <c r="K2469" s="6" t="s">
        <v>5451</v>
      </c>
      <c r="L2469" s="6" t="s">
        <v>233</v>
      </c>
      <c r="M2469" s="6" t="s">
        <v>568</v>
      </c>
      <c r="N2469" s="6" t="s">
        <v>278</v>
      </c>
      <c r="O2469" s="6" t="s">
        <v>634</v>
      </c>
      <c r="P2469" s="6" t="str">
        <f aca="false">IF(J2469="S0","—",IF(K2469="","",IF(L2469="E0","QM",INDEX(10_ASIL_Matrix!$D$4:$F$15,MATCH(J2469&amp;"-"&amp;L2469,10_ASIL_Matrix!$C$4:$C$15,0),MATCH(N2469,10_ASIL_Matrix!$D$3:$F$3,0)))))</f>
        <v>—</v>
      </c>
      <c r="Q2469" s="6" t="s">
        <v>448</v>
      </c>
    </row>
    <row r="2470" customFormat="false" ht="35.05" hidden="false" customHeight="false" outlineLevel="0" collapsed="false">
      <c r="A2470" s="5" t="s">
        <v>5650</v>
      </c>
      <c r="B2470" s="5" t="s">
        <v>115</v>
      </c>
      <c r="C2470" s="5" t="s">
        <v>116</v>
      </c>
      <c r="D2470" s="5" t="s">
        <v>146</v>
      </c>
      <c r="E2470" s="5" t="s">
        <v>147</v>
      </c>
      <c r="F2470" s="5" t="s">
        <v>200</v>
      </c>
      <c r="G2470" s="5" t="s">
        <v>570</v>
      </c>
      <c r="H2470" s="5" t="s">
        <v>222</v>
      </c>
      <c r="I2470" s="5" t="s">
        <v>5651</v>
      </c>
      <c r="J2470" s="5" t="s">
        <v>250</v>
      </c>
      <c r="K2470" s="5" t="s">
        <v>5464</v>
      </c>
      <c r="L2470" s="5" t="s">
        <v>190</v>
      </c>
      <c r="M2470" s="5" t="s">
        <v>573</v>
      </c>
      <c r="N2470" s="5" t="s">
        <v>286</v>
      </c>
      <c r="O2470" s="5" t="s">
        <v>5437</v>
      </c>
      <c r="P2470" s="18" t="str">
        <f aca="false">IF(J2470="S0","—",IF(K2470="","",IF(L2470="E0","QM",INDEX(10_ASIL_Matrix!$D$4:$F$15,MATCH(J2470&amp;"-"&amp;L2470,10_ASIL_Matrix!$C$4:$C$15,0),MATCH(N2470,10_ASIL_Matrix!$D$3:$F$3,0)))))</f>
        <v>B</v>
      </c>
      <c r="Q2470" s="5" t="s">
        <v>448</v>
      </c>
    </row>
    <row r="2471" customFormat="false" ht="35.05" hidden="false" customHeight="false" outlineLevel="0" collapsed="false">
      <c r="A2471" s="6" t="s">
        <v>5652</v>
      </c>
      <c r="B2471" s="6" t="s">
        <v>115</v>
      </c>
      <c r="C2471" s="6" t="s">
        <v>116</v>
      </c>
      <c r="D2471" s="6" t="s">
        <v>146</v>
      </c>
      <c r="E2471" s="6" t="s">
        <v>147</v>
      </c>
      <c r="F2471" s="6" t="s">
        <v>200</v>
      </c>
      <c r="G2471" s="6" t="s">
        <v>570</v>
      </c>
      <c r="H2471" s="6" t="s">
        <v>224</v>
      </c>
      <c r="I2471" s="6" t="s">
        <v>5653</v>
      </c>
      <c r="J2471" s="6" t="s">
        <v>250</v>
      </c>
      <c r="K2471" s="6" t="s">
        <v>5464</v>
      </c>
      <c r="L2471" s="6" t="s">
        <v>190</v>
      </c>
      <c r="M2471" s="6" t="s">
        <v>576</v>
      </c>
      <c r="N2471" s="6" t="s">
        <v>286</v>
      </c>
      <c r="O2471" s="6" t="s">
        <v>5437</v>
      </c>
      <c r="P2471" s="18" t="str">
        <f aca="false">IF(J2471="S0","—",IF(K2471="","",IF(L2471="E0","QM",INDEX(10_ASIL_Matrix!$D$4:$F$15,MATCH(J2471&amp;"-"&amp;L2471,10_ASIL_Matrix!$C$4:$C$15,0),MATCH(N2471,10_ASIL_Matrix!$D$3:$F$3,0)))))</f>
        <v>B</v>
      </c>
      <c r="Q2471" s="6" t="s">
        <v>448</v>
      </c>
    </row>
    <row r="2472" customFormat="false" ht="35.05" hidden="false" customHeight="false" outlineLevel="0" collapsed="false">
      <c r="A2472" s="5" t="s">
        <v>5654</v>
      </c>
      <c r="B2472" s="5" t="s">
        <v>115</v>
      </c>
      <c r="C2472" s="5" t="s">
        <v>116</v>
      </c>
      <c r="D2472" s="5" t="s">
        <v>146</v>
      </c>
      <c r="E2472" s="5" t="s">
        <v>147</v>
      </c>
      <c r="F2472" s="5" t="s">
        <v>200</v>
      </c>
      <c r="G2472" s="5" t="s">
        <v>570</v>
      </c>
      <c r="H2472" s="5" t="s">
        <v>226</v>
      </c>
      <c r="I2472" s="5" t="s">
        <v>5655</v>
      </c>
      <c r="J2472" s="5" t="s">
        <v>250</v>
      </c>
      <c r="K2472" s="5" t="s">
        <v>5464</v>
      </c>
      <c r="L2472" s="5" t="s">
        <v>190</v>
      </c>
      <c r="M2472" s="5" t="s">
        <v>579</v>
      </c>
      <c r="N2472" s="5" t="s">
        <v>286</v>
      </c>
      <c r="O2472" s="5" t="s">
        <v>5437</v>
      </c>
      <c r="P2472" s="18" t="str">
        <f aca="false">IF(J2472="S0","—",IF(K2472="","",IF(L2472="E0","QM",INDEX(10_ASIL_Matrix!$D$4:$F$15,MATCH(J2472&amp;"-"&amp;L2472,10_ASIL_Matrix!$C$4:$C$15,0),MATCH(N2472,10_ASIL_Matrix!$D$3:$F$3,0)))))</f>
        <v>B</v>
      </c>
      <c r="Q2472" s="5" t="s">
        <v>448</v>
      </c>
    </row>
    <row r="2473" customFormat="false" ht="35.05" hidden="false" customHeight="false" outlineLevel="0" collapsed="false">
      <c r="A2473" s="6" t="s">
        <v>5656</v>
      </c>
      <c r="B2473" s="6" t="s">
        <v>115</v>
      </c>
      <c r="C2473" s="6" t="s">
        <v>116</v>
      </c>
      <c r="D2473" s="6" t="s">
        <v>146</v>
      </c>
      <c r="E2473" s="6" t="s">
        <v>147</v>
      </c>
      <c r="F2473" s="6" t="s">
        <v>200</v>
      </c>
      <c r="G2473" s="6" t="s">
        <v>570</v>
      </c>
      <c r="H2473" s="6" t="s">
        <v>228</v>
      </c>
      <c r="I2473" s="6" t="s">
        <v>5657</v>
      </c>
      <c r="J2473" s="6" t="s">
        <v>250</v>
      </c>
      <c r="K2473" s="6" t="s">
        <v>5464</v>
      </c>
      <c r="L2473" s="6" t="s">
        <v>205</v>
      </c>
      <c r="M2473" s="6" t="s">
        <v>582</v>
      </c>
      <c r="N2473" s="6" t="s">
        <v>286</v>
      </c>
      <c r="O2473" s="6" t="s">
        <v>5437</v>
      </c>
      <c r="P2473" s="19" t="str">
        <f aca="false">IF(J2473="S0","—",IF(K2473="","",IF(L2473="E0","QM",INDEX(10_ASIL_Matrix!$D$4:$F$15,MATCH(J2473&amp;"-"&amp;L2473,10_ASIL_Matrix!$C$4:$C$15,0),MATCH(N2473,10_ASIL_Matrix!$D$3:$F$3,0)))))</f>
        <v>A</v>
      </c>
      <c r="Q2473" s="6" t="s">
        <v>448</v>
      </c>
    </row>
    <row r="2474" customFormat="false" ht="35.05" hidden="false" customHeight="false" outlineLevel="0" collapsed="false">
      <c r="A2474" s="5" t="s">
        <v>5658</v>
      </c>
      <c r="B2474" s="5" t="s">
        <v>115</v>
      </c>
      <c r="C2474" s="5" t="s">
        <v>116</v>
      </c>
      <c r="D2474" s="5" t="s">
        <v>146</v>
      </c>
      <c r="E2474" s="5" t="s">
        <v>147</v>
      </c>
      <c r="F2474" s="5" t="s">
        <v>200</v>
      </c>
      <c r="G2474" s="5" t="s">
        <v>570</v>
      </c>
      <c r="H2474" s="5" t="s">
        <v>230</v>
      </c>
      <c r="I2474" s="5" t="s">
        <v>5659</v>
      </c>
      <c r="J2474" s="5" t="s">
        <v>250</v>
      </c>
      <c r="K2474" s="5" t="s">
        <v>5464</v>
      </c>
      <c r="L2474" s="5" t="s">
        <v>205</v>
      </c>
      <c r="M2474" s="5" t="s">
        <v>585</v>
      </c>
      <c r="N2474" s="5" t="s">
        <v>290</v>
      </c>
      <c r="O2474" s="5" t="s">
        <v>5446</v>
      </c>
      <c r="P2474" s="18" t="str">
        <f aca="false">IF(J2474="S0","—",IF(K2474="","",IF(L2474="E0","QM",INDEX(10_ASIL_Matrix!$D$4:$F$15,MATCH(J2474&amp;"-"&amp;L2474,10_ASIL_Matrix!$C$4:$C$15,0),MATCH(N2474,10_ASIL_Matrix!$D$3:$F$3,0)))))</f>
        <v>B</v>
      </c>
      <c r="Q2474" s="5" t="s">
        <v>448</v>
      </c>
    </row>
    <row r="2475" customFormat="false" ht="46.25" hidden="false" customHeight="false" outlineLevel="0" collapsed="false">
      <c r="A2475" s="6" t="s">
        <v>5660</v>
      </c>
      <c r="B2475" s="6" t="s">
        <v>115</v>
      </c>
      <c r="C2475" s="6" t="s">
        <v>116</v>
      </c>
      <c r="D2475" s="6" t="s">
        <v>146</v>
      </c>
      <c r="E2475" s="6" t="s">
        <v>147</v>
      </c>
      <c r="F2475" s="6" t="s">
        <v>200</v>
      </c>
      <c r="G2475" s="6" t="s">
        <v>570</v>
      </c>
      <c r="H2475" s="6" t="s">
        <v>232</v>
      </c>
      <c r="I2475" s="6" t="s">
        <v>5661</v>
      </c>
      <c r="J2475" s="6" t="s">
        <v>250</v>
      </c>
      <c r="K2475" s="6" t="s">
        <v>5464</v>
      </c>
      <c r="L2475" s="6" t="s">
        <v>233</v>
      </c>
      <c r="M2475" s="6" t="s">
        <v>588</v>
      </c>
      <c r="N2475" s="6" t="s">
        <v>286</v>
      </c>
      <c r="O2475" s="6" t="s">
        <v>5437</v>
      </c>
      <c r="P2475" s="6" t="str">
        <f aca="false">IF(J2475="S0","—",IF(K2475="","",IF(L2475="E0","QM",INDEX(10_ASIL_Matrix!$D$4:$F$15,MATCH(J2475&amp;"-"&amp;L2475,10_ASIL_Matrix!$C$4:$C$15,0),MATCH(N2475,10_ASIL_Matrix!$D$3:$F$3,0)))))</f>
        <v>QM</v>
      </c>
      <c r="Q2475" s="6" t="s">
        <v>448</v>
      </c>
    </row>
    <row r="2476" customFormat="false" ht="35.05" hidden="false" customHeight="false" outlineLevel="0" collapsed="false">
      <c r="A2476" s="5" t="s">
        <v>5662</v>
      </c>
      <c r="B2476" s="5" t="s">
        <v>115</v>
      </c>
      <c r="C2476" s="5" t="s">
        <v>116</v>
      </c>
      <c r="D2476" s="5" t="s">
        <v>146</v>
      </c>
      <c r="E2476" s="5" t="s">
        <v>147</v>
      </c>
      <c r="F2476" s="5" t="s">
        <v>202</v>
      </c>
      <c r="G2476" s="5" t="s">
        <v>590</v>
      </c>
      <c r="H2476" s="5" t="s">
        <v>222</v>
      </c>
      <c r="I2476" s="5" t="s">
        <v>5663</v>
      </c>
      <c r="J2476" s="5" t="s">
        <v>238</v>
      </c>
      <c r="K2476" s="5" t="s">
        <v>5451</v>
      </c>
      <c r="L2476" s="5" t="s">
        <v>187</v>
      </c>
      <c r="M2476" s="5" t="s">
        <v>592</v>
      </c>
      <c r="N2476" s="5" t="s">
        <v>278</v>
      </c>
      <c r="O2476" s="5" t="s">
        <v>634</v>
      </c>
      <c r="P2476" s="5" t="str">
        <f aca="false">IF(J2476="S0","—",IF(K2476="","",IF(L2476="E0","QM",INDEX(10_ASIL_Matrix!$D$4:$F$15,MATCH(J2476&amp;"-"&amp;L2476,10_ASIL_Matrix!$C$4:$C$15,0),MATCH(N2476,10_ASIL_Matrix!$D$3:$F$3,0)))))</f>
        <v>—</v>
      </c>
      <c r="Q2476" s="5" t="s">
        <v>448</v>
      </c>
    </row>
    <row r="2477" customFormat="false" ht="35.05" hidden="false" customHeight="false" outlineLevel="0" collapsed="false">
      <c r="A2477" s="6" t="s">
        <v>5664</v>
      </c>
      <c r="B2477" s="6" t="s">
        <v>115</v>
      </c>
      <c r="C2477" s="6" t="s">
        <v>116</v>
      </c>
      <c r="D2477" s="6" t="s">
        <v>146</v>
      </c>
      <c r="E2477" s="6" t="s">
        <v>147</v>
      </c>
      <c r="F2477" s="6" t="s">
        <v>202</v>
      </c>
      <c r="G2477" s="6" t="s">
        <v>590</v>
      </c>
      <c r="H2477" s="6" t="s">
        <v>224</v>
      </c>
      <c r="I2477" s="6" t="s">
        <v>5665</v>
      </c>
      <c r="J2477" s="6" t="s">
        <v>238</v>
      </c>
      <c r="K2477" s="6" t="s">
        <v>5451</v>
      </c>
      <c r="L2477" s="6" t="s">
        <v>190</v>
      </c>
      <c r="M2477" s="6" t="s">
        <v>595</v>
      </c>
      <c r="N2477" s="6" t="s">
        <v>278</v>
      </c>
      <c r="O2477" s="6" t="s">
        <v>634</v>
      </c>
      <c r="P2477" s="6" t="str">
        <f aca="false">IF(J2477="S0","—",IF(K2477="","",IF(L2477="E0","QM",INDEX(10_ASIL_Matrix!$D$4:$F$15,MATCH(J2477&amp;"-"&amp;L2477,10_ASIL_Matrix!$C$4:$C$15,0),MATCH(N2477,10_ASIL_Matrix!$D$3:$F$3,0)))))</f>
        <v>—</v>
      </c>
      <c r="Q2477" s="6" t="s">
        <v>448</v>
      </c>
    </row>
    <row r="2478" customFormat="false" ht="35.05" hidden="false" customHeight="false" outlineLevel="0" collapsed="false">
      <c r="A2478" s="5" t="s">
        <v>5666</v>
      </c>
      <c r="B2478" s="5" t="s">
        <v>115</v>
      </c>
      <c r="C2478" s="5" t="s">
        <v>116</v>
      </c>
      <c r="D2478" s="5" t="s">
        <v>146</v>
      </c>
      <c r="E2478" s="5" t="s">
        <v>147</v>
      </c>
      <c r="F2478" s="5" t="s">
        <v>202</v>
      </c>
      <c r="G2478" s="5" t="s">
        <v>590</v>
      </c>
      <c r="H2478" s="5" t="s">
        <v>226</v>
      </c>
      <c r="I2478" s="5" t="s">
        <v>5667</v>
      </c>
      <c r="J2478" s="5" t="s">
        <v>238</v>
      </c>
      <c r="K2478" s="5" t="s">
        <v>5451</v>
      </c>
      <c r="L2478" s="5" t="s">
        <v>190</v>
      </c>
      <c r="M2478" s="5" t="s">
        <v>598</v>
      </c>
      <c r="N2478" s="5" t="s">
        <v>278</v>
      </c>
      <c r="O2478" s="5" t="s">
        <v>634</v>
      </c>
      <c r="P2478" s="5" t="str">
        <f aca="false">IF(J2478="S0","—",IF(K2478="","",IF(L2478="E0","QM",INDEX(10_ASIL_Matrix!$D$4:$F$15,MATCH(J2478&amp;"-"&amp;L2478,10_ASIL_Matrix!$C$4:$C$15,0),MATCH(N2478,10_ASIL_Matrix!$D$3:$F$3,0)))))</f>
        <v>—</v>
      </c>
      <c r="Q2478" s="5" t="s">
        <v>448</v>
      </c>
    </row>
    <row r="2479" customFormat="false" ht="35.05" hidden="false" customHeight="false" outlineLevel="0" collapsed="false">
      <c r="A2479" s="6" t="s">
        <v>5668</v>
      </c>
      <c r="B2479" s="6" t="s">
        <v>115</v>
      </c>
      <c r="C2479" s="6" t="s">
        <v>116</v>
      </c>
      <c r="D2479" s="6" t="s">
        <v>146</v>
      </c>
      <c r="E2479" s="6" t="s">
        <v>147</v>
      </c>
      <c r="F2479" s="6" t="s">
        <v>202</v>
      </c>
      <c r="G2479" s="6" t="s">
        <v>590</v>
      </c>
      <c r="H2479" s="6" t="s">
        <v>228</v>
      </c>
      <c r="I2479" s="6" t="s">
        <v>5669</v>
      </c>
      <c r="J2479" s="6" t="s">
        <v>238</v>
      </c>
      <c r="K2479" s="6" t="s">
        <v>5451</v>
      </c>
      <c r="L2479" s="6" t="s">
        <v>205</v>
      </c>
      <c r="M2479" s="6" t="s">
        <v>601</v>
      </c>
      <c r="N2479" s="6" t="s">
        <v>278</v>
      </c>
      <c r="O2479" s="6" t="s">
        <v>634</v>
      </c>
      <c r="P2479" s="6" t="str">
        <f aca="false">IF(J2479="S0","—",IF(K2479="","",IF(L2479="E0","QM",INDEX(10_ASIL_Matrix!$D$4:$F$15,MATCH(J2479&amp;"-"&amp;L2479,10_ASIL_Matrix!$C$4:$C$15,0),MATCH(N2479,10_ASIL_Matrix!$D$3:$F$3,0)))))</f>
        <v>—</v>
      </c>
      <c r="Q2479" s="6" t="s">
        <v>448</v>
      </c>
    </row>
    <row r="2480" customFormat="false" ht="35.05" hidden="false" customHeight="false" outlineLevel="0" collapsed="false">
      <c r="A2480" s="5" t="s">
        <v>5670</v>
      </c>
      <c r="B2480" s="5" t="s">
        <v>115</v>
      </c>
      <c r="C2480" s="5" t="s">
        <v>116</v>
      </c>
      <c r="D2480" s="5" t="s">
        <v>146</v>
      </c>
      <c r="E2480" s="5" t="s">
        <v>147</v>
      </c>
      <c r="F2480" s="5" t="s">
        <v>202</v>
      </c>
      <c r="G2480" s="5" t="s">
        <v>590</v>
      </c>
      <c r="H2480" s="5" t="s">
        <v>230</v>
      </c>
      <c r="I2480" s="5" t="s">
        <v>5671</v>
      </c>
      <c r="J2480" s="5" t="s">
        <v>238</v>
      </c>
      <c r="K2480" s="5" t="s">
        <v>5451</v>
      </c>
      <c r="L2480" s="5" t="s">
        <v>205</v>
      </c>
      <c r="M2480" s="5" t="s">
        <v>604</v>
      </c>
      <c r="N2480" s="5" t="s">
        <v>278</v>
      </c>
      <c r="O2480" s="5" t="s">
        <v>634</v>
      </c>
      <c r="P2480" s="5" t="str">
        <f aca="false">IF(J2480="S0","—",IF(K2480="","",IF(L2480="E0","QM",INDEX(10_ASIL_Matrix!$D$4:$F$15,MATCH(J2480&amp;"-"&amp;L2480,10_ASIL_Matrix!$C$4:$C$15,0),MATCH(N2480,10_ASIL_Matrix!$D$3:$F$3,0)))))</f>
        <v>—</v>
      </c>
      <c r="Q2480" s="5" t="s">
        <v>448</v>
      </c>
    </row>
    <row r="2481" customFormat="false" ht="46.25" hidden="false" customHeight="false" outlineLevel="0" collapsed="false">
      <c r="A2481" s="6" t="s">
        <v>5672</v>
      </c>
      <c r="B2481" s="6" t="s">
        <v>115</v>
      </c>
      <c r="C2481" s="6" t="s">
        <v>116</v>
      </c>
      <c r="D2481" s="6" t="s">
        <v>146</v>
      </c>
      <c r="E2481" s="6" t="s">
        <v>147</v>
      </c>
      <c r="F2481" s="6" t="s">
        <v>202</v>
      </c>
      <c r="G2481" s="6" t="s">
        <v>590</v>
      </c>
      <c r="H2481" s="6" t="s">
        <v>232</v>
      </c>
      <c r="I2481" s="6" t="s">
        <v>5673</v>
      </c>
      <c r="J2481" s="6" t="s">
        <v>238</v>
      </c>
      <c r="K2481" s="6" t="s">
        <v>5451</v>
      </c>
      <c r="L2481" s="6" t="s">
        <v>233</v>
      </c>
      <c r="M2481" s="6" t="s">
        <v>607</v>
      </c>
      <c r="N2481" s="6" t="s">
        <v>278</v>
      </c>
      <c r="O2481" s="6" t="s">
        <v>634</v>
      </c>
      <c r="P2481" s="6" t="str">
        <f aca="false">IF(J2481="S0","—",IF(K2481="","",IF(L2481="E0","QM",INDEX(10_ASIL_Matrix!$D$4:$F$15,MATCH(J2481&amp;"-"&amp;L2481,10_ASIL_Matrix!$C$4:$C$15,0),MATCH(N2481,10_ASIL_Matrix!$D$3:$F$3,0)))))</f>
        <v>—</v>
      </c>
      <c r="Q2481" s="6" t="s">
        <v>448</v>
      </c>
    </row>
    <row r="2482" customFormat="false" ht="35.05" hidden="false" customHeight="false" outlineLevel="0" collapsed="false">
      <c r="A2482" s="5" t="s">
        <v>5674</v>
      </c>
      <c r="B2482" s="5" t="s">
        <v>115</v>
      </c>
      <c r="C2482" s="5" t="s">
        <v>116</v>
      </c>
      <c r="D2482" s="5" t="s">
        <v>146</v>
      </c>
      <c r="E2482" s="5" t="s">
        <v>147</v>
      </c>
      <c r="F2482" s="5" t="s">
        <v>204</v>
      </c>
      <c r="G2482" s="5" t="s">
        <v>609</v>
      </c>
      <c r="H2482" s="5" t="s">
        <v>222</v>
      </c>
      <c r="I2482" s="5" t="s">
        <v>5675</v>
      </c>
      <c r="J2482" s="5" t="s">
        <v>238</v>
      </c>
      <c r="K2482" s="5" t="s">
        <v>5451</v>
      </c>
      <c r="L2482" s="5" t="s">
        <v>205</v>
      </c>
      <c r="M2482" s="5" t="s">
        <v>612</v>
      </c>
      <c r="N2482" s="5" t="s">
        <v>278</v>
      </c>
      <c r="O2482" s="5" t="s">
        <v>634</v>
      </c>
      <c r="P2482" s="5" t="str">
        <f aca="false">IF(J2482="S0","—",IF(K2482="","",IF(L2482="E0","QM",INDEX(10_ASIL_Matrix!$D$4:$F$15,MATCH(J2482&amp;"-"&amp;L2482,10_ASIL_Matrix!$C$4:$C$15,0),MATCH(N2482,10_ASIL_Matrix!$D$3:$F$3,0)))))</f>
        <v>—</v>
      </c>
      <c r="Q2482" s="5" t="s">
        <v>448</v>
      </c>
    </row>
    <row r="2483" customFormat="false" ht="35.05" hidden="false" customHeight="false" outlineLevel="0" collapsed="false">
      <c r="A2483" s="6" t="s">
        <v>5676</v>
      </c>
      <c r="B2483" s="6" t="s">
        <v>115</v>
      </c>
      <c r="C2483" s="6" t="s">
        <v>116</v>
      </c>
      <c r="D2483" s="6" t="s">
        <v>146</v>
      </c>
      <c r="E2483" s="6" t="s">
        <v>147</v>
      </c>
      <c r="F2483" s="6" t="s">
        <v>204</v>
      </c>
      <c r="G2483" s="6" t="s">
        <v>609</v>
      </c>
      <c r="H2483" s="6" t="s">
        <v>224</v>
      </c>
      <c r="I2483" s="6" t="s">
        <v>5677</v>
      </c>
      <c r="J2483" s="6" t="s">
        <v>238</v>
      </c>
      <c r="K2483" s="6" t="s">
        <v>5451</v>
      </c>
      <c r="L2483" s="6" t="s">
        <v>205</v>
      </c>
      <c r="M2483" s="6" t="s">
        <v>616</v>
      </c>
      <c r="N2483" s="6" t="s">
        <v>278</v>
      </c>
      <c r="O2483" s="6" t="s">
        <v>634</v>
      </c>
      <c r="P2483" s="6" t="str">
        <f aca="false">IF(J2483="S0","—",IF(K2483="","",IF(L2483="E0","QM",INDEX(10_ASIL_Matrix!$D$4:$F$15,MATCH(J2483&amp;"-"&amp;L2483,10_ASIL_Matrix!$C$4:$C$15,0),MATCH(N2483,10_ASIL_Matrix!$D$3:$F$3,0)))))</f>
        <v>—</v>
      </c>
      <c r="Q2483" s="6" t="s">
        <v>448</v>
      </c>
    </row>
    <row r="2484" customFormat="false" ht="35.05" hidden="false" customHeight="false" outlineLevel="0" collapsed="false">
      <c r="A2484" s="5" t="s">
        <v>5678</v>
      </c>
      <c r="B2484" s="5" t="s">
        <v>115</v>
      </c>
      <c r="C2484" s="5" t="s">
        <v>116</v>
      </c>
      <c r="D2484" s="5" t="s">
        <v>146</v>
      </c>
      <c r="E2484" s="5" t="s">
        <v>147</v>
      </c>
      <c r="F2484" s="5" t="s">
        <v>204</v>
      </c>
      <c r="G2484" s="5" t="s">
        <v>609</v>
      </c>
      <c r="H2484" s="5" t="s">
        <v>226</v>
      </c>
      <c r="I2484" s="5" t="s">
        <v>5679</v>
      </c>
      <c r="J2484" s="5" t="s">
        <v>238</v>
      </c>
      <c r="K2484" s="5" t="s">
        <v>5451</v>
      </c>
      <c r="L2484" s="5" t="s">
        <v>205</v>
      </c>
      <c r="M2484" s="5" t="s">
        <v>619</v>
      </c>
      <c r="N2484" s="5" t="s">
        <v>278</v>
      </c>
      <c r="O2484" s="5" t="s">
        <v>634</v>
      </c>
      <c r="P2484" s="5" t="str">
        <f aca="false">IF(J2484="S0","—",IF(K2484="","",IF(L2484="E0","QM",INDEX(10_ASIL_Matrix!$D$4:$F$15,MATCH(J2484&amp;"-"&amp;L2484,10_ASIL_Matrix!$C$4:$C$15,0),MATCH(N2484,10_ASIL_Matrix!$D$3:$F$3,0)))))</f>
        <v>—</v>
      </c>
      <c r="Q2484" s="5" t="s">
        <v>448</v>
      </c>
    </row>
    <row r="2485" customFormat="false" ht="35.05" hidden="false" customHeight="false" outlineLevel="0" collapsed="false">
      <c r="A2485" s="6" t="s">
        <v>5680</v>
      </c>
      <c r="B2485" s="6" t="s">
        <v>115</v>
      </c>
      <c r="C2485" s="6" t="s">
        <v>116</v>
      </c>
      <c r="D2485" s="6" t="s">
        <v>146</v>
      </c>
      <c r="E2485" s="6" t="s">
        <v>147</v>
      </c>
      <c r="F2485" s="6" t="s">
        <v>204</v>
      </c>
      <c r="G2485" s="6" t="s">
        <v>609</v>
      </c>
      <c r="H2485" s="6" t="s">
        <v>228</v>
      </c>
      <c r="I2485" s="6" t="s">
        <v>5681</v>
      </c>
      <c r="J2485" s="6" t="s">
        <v>238</v>
      </c>
      <c r="K2485" s="6" t="s">
        <v>5451</v>
      </c>
      <c r="L2485" s="6" t="s">
        <v>205</v>
      </c>
      <c r="M2485" s="6" t="s">
        <v>622</v>
      </c>
      <c r="N2485" s="6" t="s">
        <v>278</v>
      </c>
      <c r="O2485" s="6" t="s">
        <v>634</v>
      </c>
      <c r="P2485" s="6" t="str">
        <f aca="false">IF(J2485="S0","—",IF(K2485="","",IF(L2485="E0","QM",INDEX(10_ASIL_Matrix!$D$4:$F$15,MATCH(J2485&amp;"-"&amp;L2485,10_ASIL_Matrix!$C$4:$C$15,0),MATCH(N2485,10_ASIL_Matrix!$D$3:$F$3,0)))))</f>
        <v>—</v>
      </c>
      <c r="Q2485" s="6" t="s">
        <v>448</v>
      </c>
    </row>
    <row r="2486" customFormat="false" ht="35.05" hidden="false" customHeight="false" outlineLevel="0" collapsed="false">
      <c r="A2486" s="5" t="s">
        <v>5682</v>
      </c>
      <c r="B2486" s="5" t="s">
        <v>115</v>
      </c>
      <c r="C2486" s="5" t="s">
        <v>116</v>
      </c>
      <c r="D2486" s="5" t="s">
        <v>146</v>
      </c>
      <c r="E2486" s="5" t="s">
        <v>147</v>
      </c>
      <c r="F2486" s="5" t="s">
        <v>204</v>
      </c>
      <c r="G2486" s="5" t="s">
        <v>609</v>
      </c>
      <c r="H2486" s="5" t="s">
        <v>230</v>
      </c>
      <c r="I2486" s="5" t="s">
        <v>5683</v>
      </c>
      <c r="J2486" s="5" t="s">
        <v>238</v>
      </c>
      <c r="K2486" s="5" t="s">
        <v>5451</v>
      </c>
      <c r="L2486" s="5" t="s">
        <v>205</v>
      </c>
      <c r="M2486" s="5" t="s">
        <v>625</v>
      </c>
      <c r="N2486" s="5" t="s">
        <v>278</v>
      </c>
      <c r="O2486" s="5" t="s">
        <v>634</v>
      </c>
      <c r="P2486" s="5" t="str">
        <f aca="false">IF(J2486="S0","—",IF(K2486="","",IF(L2486="E0","QM",INDEX(10_ASIL_Matrix!$D$4:$F$15,MATCH(J2486&amp;"-"&amp;L2486,10_ASIL_Matrix!$C$4:$C$15,0),MATCH(N2486,10_ASIL_Matrix!$D$3:$F$3,0)))))</f>
        <v>—</v>
      </c>
      <c r="Q2486" s="5" t="s">
        <v>448</v>
      </c>
    </row>
    <row r="2487" customFormat="false" ht="46.25" hidden="false" customHeight="false" outlineLevel="0" collapsed="false">
      <c r="A2487" s="6" t="s">
        <v>5684</v>
      </c>
      <c r="B2487" s="6" t="s">
        <v>115</v>
      </c>
      <c r="C2487" s="6" t="s">
        <v>116</v>
      </c>
      <c r="D2487" s="6" t="s">
        <v>146</v>
      </c>
      <c r="E2487" s="6" t="s">
        <v>147</v>
      </c>
      <c r="F2487" s="6" t="s">
        <v>204</v>
      </c>
      <c r="G2487" s="6" t="s">
        <v>609</v>
      </c>
      <c r="H2487" s="6" t="s">
        <v>232</v>
      </c>
      <c r="I2487" s="6" t="s">
        <v>5685</v>
      </c>
      <c r="J2487" s="6" t="s">
        <v>238</v>
      </c>
      <c r="K2487" s="6" t="s">
        <v>5451</v>
      </c>
      <c r="L2487" s="6" t="s">
        <v>233</v>
      </c>
      <c r="M2487" s="6" t="s">
        <v>629</v>
      </c>
      <c r="N2487" s="6" t="s">
        <v>278</v>
      </c>
      <c r="O2487" s="6" t="s">
        <v>634</v>
      </c>
      <c r="P2487" s="6" t="str">
        <f aca="false">IF(J2487="S0","—",IF(K2487="","",IF(L2487="E0","QM",INDEX(10_ASIL_Matrix!$D$4:$F$15,MATCH(J2487&amp;"-"&amp;L2487,10_ASIL_Matrix!$C$4:$C$15,0),MATCH(N2487,10_ASIL_Matrix!$D$3:$F$3,0)))))</f>
        <v>—</v>
      </c>
      <c r="Q2487" s="6" t="s">
        <v>448</v>
      </c>
    </row>
    <row r="2488" customFormat="false" ht="35.05" hidden="false" customHeight="false" outlineLevel="0" collapsed="false">
      <c r="A2488" s="5" t="s">
        <v>5686</v>
      </c>
      <c r="B2488" s="5" t="s">
        <v>115</v>
      </c>
      <c r="C2488" s="5" t="s">
        <v>116</v>
      </c>
      <c r="D2488" s="5" t="s">
        <v>146</v>
      </c>
      <c r="E2488" s="5" t="s">
        <v>147</v>
      </c>
      <c r="F2488" s="5" t="s">
        <v>207</v>
      </c>
      <c r="G2488" s="5" t="s">
        <v>609</v>
      </c>
      <c r="H2488" s="5" t="s">
        <v>222</v>
      </c>
      <c r="I2488" s="5" t="s">
        <v>5687</v>
      </c>
      <c r="J2488" s="5" t="s">
        <v>238</v>
      </c>
      <c r="K2488" s="5" t="s">
        <v>5451</v>
      </c>
      <c r="L2488" s="5" t="s">
        <v>190</v>
      </c>
      <c r="M2488" s="5" t="s">
        <v>633</v>
      </c>
      <c r="N2488" s="5" t="s">
        <v>278</v>
      </c>
      <c r="O2488" s="5" t="s">
        <v>634</v>
      </c>
      <c r="P2488" s="5" t="str">
        <f aca="false">IF(J2488="S0","—",IF(K2488="","",IF(L2488="E0","QM",INDEX(10_ASIL_Matrix!$D$4:$F$15,MATCH(J2488&amp;"-"&amp;L2488,10_ASIL_Matrix!$C$4:$C$15,0),MATCH(N2488,10_ASIL_Matrix!$D$3:$F$3,0)))))</f>
        <v>—</v>
      </c>
      <c r="Q2488" s="5" t="s">
        <v>448</v>
      </c>
    </row>
    <row r="2489" customFormat="false" ht="35.05" hidden="false" customHeight="false" outlineLevel="0" collapsed="false">
      <c r="A2489" s="6" t="s">
        <v>5688</v>
      </c>
      <c r="B2489" s="6" t="s">
        <v>115</v>
      </c>
      <c r="C2489" s="6" t="s">
        <v>116</v>
      </c>
      <c r="D2489" s="6" t="s">
        <v>146</v>
      </c>
      <c r="E2489" s="6" t="s">
        <v>147</v>
      </c>
      <c r="F2489" s="6" t="s">
        <v>207</v>
      </c>
      <c r="G2489" s="6" t="s">
        <v>609</v>
      </c>
      <c r="H2489" s="6" t="s">
        <v>224</v>
      </c>
      <c r="I2489" s="6" t="s">
        <v>5689</v>
      </c>
      <c r="J2489" s="6" t="s">
        <v>238</v>
      </c>
      <c r="K2489" s="6" t="s">
        <v>5451</v>
      </c>
      <c r="L2489" s="6" t="s">
        <v>190</v>
      </c>
      <c r="M2489" s="6" t="s">
        <v>637</v>
      </c>
      <c r="N2489" s="6" t="s">
        <v>278</v>
      </c>
      <c r="O2489" s="6" t="s">
        <v>634</v>
      </c>
      <c r="P2489" s="6" t="str">
        <f aca="false">IF(J2489="S0","—",IF(K2489="","",IF(L2489="E0","QM",INDEX(10_ASIL_Matrix!$D$4:$F$15,MATCH(J2489&amp;"-"&amp;L2489,10_ASIL_Matrix!$C$4:$C$15,0),MATCH(N2489,10_ASIL_Matrix!$D$3:$F$3,0)))))</f>
        <v>—</v>
      </c>
      <c r="Q2489" s="6" t="s">
        <v>448</v>
      </c>
    </row>
    <row r="2490" customFormat="false" ht="35.05" hidden="false" customHeight="false" outlineLevel="0" collapsed="false">
      <c r="A2490" s="5" t="s">
        <v>5690</v>
      </c>
      <c r="B2490" s="5" t="s">
        <v>115</v>
      </c>
      <c r="C2490" s="5" t="s">
        <v>116</v>
      </c>
      <c r="D2490" s="5" t="s">
        <v>146</v>
      </c>
      <c r="E2490" s="5" t="s">
        <v>147</v>
      </c>
      <c r="F2490" s="5" t="s">
        <v>207</v>
      </c>
      <c r="G2490" s="5" t="s">
        <v>609</v>
      </c>
      <c r="H2490" s="5" t="s">
        <v>226</v>
      </c>
      <c r="I2490" s="5" t="s">
        <v>5691</v>
      </c>
      <c r="J2490" s="5" t="s">
        <v>238</v>
      </c>
      <c r="K2490" s="5" t="s">
        <v>5451</v>
      </c>
      <c r="L2490" s="5" t="s">
        <v>190</v>
      </c>
      <c r="M2490" s="5" t="s">
        <v>640</v>
      </c>
      <c r="N2490" s="5" t="s">
        <v>278</v>
      </c>
      <c r="O2490" s="5" t="s">
        <v>634</v>
      </c>
      <c r="P2490" s="5" t="str">
        <f aca="false">IF(J2490="S0","—",IF(K2490="","",IF(L2490="E0","QM",INDEX(10_ASIL_Matrix!$D$4:$F$15,MATCH(J2490&amp;"-"&amp;L2490,10_ASIL_Matrix!$C$4:$C$15,0),MATCH(N2490,10_ASIL_Matrix!$D$3:$F$3,0)))))</f>
        <v>—</v>
      </c>
      <c r="Q2490" s="5" t="s">
        <v>448</v>
      </c>
    </row>
    <row r="2491" customFormat="false" ht="35.05" hidden="false" customHeight="false" outlineLevel="0" collapsed="false">
      <c r="A2491" s="6" t="s">
        <v>5692</v>
      </c>
      <c r="B2491" s="6" t="s">
        <v>115</v>
      </c>
      <c r="C2491" s="6" t="s">
        <v>116</v>
      </c>
      <c r="D2491" s="6" t="s">
        <v>146</v>
      </c>
      <c r="E2491" s="6" t="s">
        <v>147</v>
      </c>
      <c r="F2491" s="6" t="s">
        <v>207</v>
      </c>
      <c r="G2491" s="6" t="s">
        <v>609</v>
      </c>
      <c r="H2491" s="6" t="s">
        <v>228</v>
      </c>
      <c r="I2491" s="6" t="s">
        <v>5693</v>
      </c>
      <c r="J2491" s="6" t="s">
        <v>238</v>
      </c>
      <c r="K2491" s="6" t="s">
        <v>5451</v>
      </c>
      <c r="L2491" s="6" t="s">
        <v>205</v>
      </c>
      <c r="M2491" s="6" t="s">
        <v>643</v>
      </c>
      <c r="N2491" s="6" t="s">
        <v>278</v>
      </c>
      <c r="O2491" s="6" t="s">
        <v>634</v>
      </c>
      <c r="P2491" s="6" t="str">
        <f aca="false">IF(J2491="S0","—",IF(K2491="","",IF(L2491="E0","QM",INDEX(10_ASIL_Matrix!$D$4:$F$15,MATCH(J2491&amp;"-"&amp;L2491,10_ASIL_Matrix!$C$4:$C$15,0),MATCH(N2491,10_ASIL_Matrix!$D$3:$F$3,0)))))</f>
        <v>—</v>
      </c>
      <c r="Q2491" s="6" t="s">
        <v>448</v>
      </c>
    </row>
    <row r="2492" customFormat="false" ht="35.05" hidden="false" customHeight="false" outlineLevel="0" collapsed="false">
      <c r="A2492" s="5" t="s">
        <v>5694</v>
      </c>
      <c r="B2492" s="5" t="s">
        <v>115</v>
      </c>
      <c r="C2492" s="5" t="s">
        <v>116</v>
      </c>
      <c r="D2492" s="5" t="s">
        <v>146</v>
      </c>
      <c r="E2492" s="5" t="s">
        <v>147</v>
      </c>
      <c r="F2492" s="5" t="s">
        <v>207</v>
      </c>
      <c r="G2492" s="5" t="s">
        <v>609</v>
      </c>
      <c r="H2492" s="5" t="s">
        <v>230</v>
      </c>
      <c r="I2492" s="5" t="s">
        <v>5695</v>
      </c>
      <c r="J2492" s="5" t="s">
        <v>238</v>
      </c>
      <c r="K2492" s="5" t="s">
        <v>5451</v>
      </c>
      <c r="L2492" s="5" t="s">
        <v>205</v>
      </c>
      <c r="M2492" s="5" t="s">
        <v>646</v>
      </c>
      <c r="N2492" s="5" t="s">
        <v>278</v>
      </c>
      <c r="O2492" s="5" t="s">
        <v>634</v>
      </c>
      <c r="P2492" s="5" t="str">
        <f aca="false">IF(J2492="S0","—",IF(K2492="","",IF(L2492="E0","QM",INDEX(10_ASIL_Matrix!$D$4:$F$15,MATCH(J2492&amp;"-"&amp;L2492,10_ASIL_Matrix!$C$4:$C$15,0),MATCH(N2492,10_ASIL_Matrix!$D$3:$F$3,0)))))</f>
        <v>—</v>
      </c>
      <c r="Q2492" s="5" t="s">
        <v>448</v>
      </c>
    </row>
    <row r="2493" customFormat="false" ht="46.25" hidden="false" customHeight="false" outlineLevel="0" collapsed="false">
      <c r="A2493" s="6" t="s">
        <v>5696</v>
      </c>
      <c r="B2493" s="6" t="s">
        <v>115</v>
      </c>
      <c r="C2493" s="6" t="s">
        <v>116</v>
      </c>
      <c r="D2493" s="6" t="s">
        <v>146</v>
      </c>
      <c r="E2493" s="6" t="s">
        <v>147</v>
      </c>
      <c r="F2493" s="6" t="s">
        <v>207</v>
      </c>
      <c r="G2493" s="6" t="s">
        <v>609</v>
      </c>
      <c r="H2493" s="6" t="s">
        <v>232</v>
      </c>
      <c r="I2493" s="6" t="s">
        <v>5697</v>
      </c>
      <c r="J2493" s="6" t="s">
        <v>238</v>
      </c>
      <c r="K2493" s="6" t="s">
        <v>5451</v>
      </c>
      <c r="L2493" s="6" t="s">
        <v>233</v>
      </c>
      <c r="M2493" s="6" t="s">
        <v>649</v>
      </c>
      <c r="N2493" s="6" t="s">
        <v>278</v>
      </c>
      <c r="O2493" s="6" t="s">
        <v>634</v>
      </c>
      <c r="P2493" s="6" t="str">
        <f aca="false">IF(J2493="S0","—",IF(K2493="","",IF(L2493="E0","QM",INDEX(10_ASIL_Matrix!$D$4:$F$15,MATCH(J2493&amp;"-"&amp;L2493,10_ASIL_Matrix!$C$4:$C$15,0),MATCH(N2493,10_ASIL_Matrix!$D$3:$F$3,0)))))</f>
        <v>—</v>
      </c>
      <c r="Q2493" s="6" t="s">
        <v>448</v>
      </c>
    </row>
    <row r="2494" customFormat="false" ht="35.05" hidden="false" customHeight="false" outlineLevel="0" collapsed="false">
      <c r="A2494" s="5" t="s">
        <v>5698</v>
      </c>
      <c r="B2494" s="5" t="s">
        <v>115</v>
      </c>
      <c r="C2494" s="5" t="s">
        <v>116</v>
      </c>
      <c r="D2494" s="5" t="s">
        <v>146</v>
      </c>
      <c r="E2494" s="5" t="s">
        <v>147</v>
      </c>
      <c r="F2494" s="5" t="s">
        <v>209</v>
      </c>
      <c r="G2494" s="5" t="s">
        <v>570</v>
      </c>
      <c r="H2494" s="5" t="s">
        <v>222</v>
      </c>
      <c r="I2494" s="5" t="s">
        <v>5699</v>
      </c>
      <c r="J2494" s="5" t="s">
        <v>250</v>
      </c>
      <c r="K2494" s="5" t="s">
        <v>5513</v>
      </c>
      <c r="L2494" s="5" t="s">
        <v>190</v>
      </c>
      <c r="M2494" s="5" t="s">
        <v>653</v>
      </c>
      <c r="N2494" s="5" t="s">
        <v>286</v>
      </c>
      <c r="O2494" s="5" t="s">
        <v>5514</v>
      </c>
      <c r="P2494" s="18" t="str">
        <f aca="false">IF(J2494="S0","—",IF(K2494="","",IF(L2494="E0","QM",INDEX(10_ASIL_Matrix!$D$4:$F$15,MATCH(J2494&amp;"-"&amp;L2494,10_ASIL_Matrix!$C$4:$C$15,0),MATCH(N2494,10_ASIL_Matrix!$D$3:$F$3,0)))))</f>
        <v>B</v>
      </c>
      <c r="Q2494" s="5" t="s">
        <v>448</v>
      </c>
    </row>
    <row r="2495" customFormat="false" ht="35.05" hidden="false" customHeight="false" outlineLevel="0" collapsed="false">
      <c r="A2495" s="6" t="s">
        <v>5700</v>
      </c>
      <c r="B2495" s="6" t="s">
        <v>115</v>
      </c>
      <c r="C2495" s="6" t="s">
        <v>116</v>
      </c>
      <c r="D2495" s="6" t="s">
        <v>146</v>
      </c>
      <c r="E2495" s="6" t="s">
        <v>147</v>
      </c>
      <c r="F2495" s="6" t="s">
        <v>209</v>
      </c>
      <c r="G2495" s="6" t="s">
        <v>570</v>
      </c>
      <c r="H2495" s="6" t="s">
        <v>224</v>
      </c>
      <c r="I2495" s="6" t="s">
        <v>5701</v>
      </c>
      <c r="J2495" s="6" t="s">
        <v>250</v>
      </c>
      <c r="K2495" s="6" t="s">
        <v>5513</v>
      </c>
      <c r="L2495" s="6" t="s">
        <v>190</v>
      </c>
      <c r="M2495" s="6" t="s">
        <v>656</v>
      </c>
      <c r="N2495" s="6" t="s">
        <v>286</v>
      </c>
      <c r="O2495" s="6" t="s">
        <v>5514</v>
      </c>
      <c r="P2495" s="18" t="str">
        <f aca="false">IF(J2495="S0","—",IF(K2495="","",IF(L2495="E0","QM",INDEX(10_ASIL_Matrix!$D$4:$F$15,MATCH(J2495&amp;"-"&amp;L2495,10_ASIL_Matrix!$C$4:$C$15,0),MATCH(N2495,10_ASIL_Matrix!$D$3:$F$3,0)))))</f>
        <v>B</v>
      </c>
      <c r="Q2495" s="6" t="s">
        <v>448</v>
      </c>
    </row>
    <row r="2496" customFormat="false" ht="35.05" hidden="false" customHeight="false" outlineLevel="0" collapsed="false">
      <c r="A2496" s="5" t="s">
        <v>5702</v>
      </c>
      <c r="B2496" s="5" t="s">
        <v>115</v>
      </c>
      <c r="C2496" s="5" t="s">
        <v>116</v>
      </c>
      <c r="D2496" s="5" t="s">
        <v>146</v>
      </c>
      <c r="E2496" s="5" t="s">
        <v>147</v>
      </c>
      <c r="F2496" s="5" t="s">
        <v>209</v>
      </c>
      <c r="G2496" s="5" t="s">
        <v>570</v>
      </c>
      <c r="H2496" s="5" t="s">
        <v>226</v>
      </c>
      <c r="I2496" s="5" t="s">
        <v>5703</v>
      </c>
      <c r="J2496" s="5" t="s">
        <v>250</v>
      </c>
      <c r="K2496" s="5" t="s">
        <v>5513</v>
      </c>
      <c r="L2496" s="5" t="s">
        <v>190</v>
      </c>
      <c r="M2496" s="5" t="s">
        <v>659</v>
      </c>
      <c r="N2496" s="5" t="s">
        <v>286</v>
      </c>
      <c r="O2496" s="5" t="s">
        <v>5514</v>
      </c>
      <c r="P2496" s="18" t="str">
        <f aca="false">IF(J2496="S0","—",IF(K2496="","",IF(L2496="E0","QM",INDEX(10_ASIL_Matrix!$D$4:$F$15,MATCH(J2496&amp;"-"&amp;L2496,10_ASIL_Matrix!$C$4:$C$15,0),MATCH(N2496,10_ASIL_Matrix!$D$3:$F$3,0)))))</f>
        <v>B</v>
      </c>
      <c r="Q2496" s="5" t="s">
        <v>448</v>
      </c>
    </row>
    <row r="2497" customFormat="false" ht="35.05" hidden="false" customHeight="false" outlineLevel="0" collapsed="false">
      <c r="A2497" s="6" t="s">
        <v>5704</v>
      </c>
      <c r="B2497" s="6" t="s">
        <v>115</v>
      </c>
      <c r="C2497" s="6" t="s">
        <v>116</v>
      </c>
      <c r="D2497" s="6" t="s">
        <v>146</v>
      </c>
      <c r="E2497" s="6" t="s">
        <v>147</v>
      </c>
      <c r="F2497" s="6" t="s">
        <v>209</v>
      </c>
      <c r="G2497" s="6" t="s">
        <v>570</v>
      </c>
      <c r="H2497" s="6" t="s">
        <v>228</v>
      </c>
      <c r="I2497" s="6" t="s">
        <v>5705</v>
      </c>
      <c r="J2497" s="6" t="s">
        <v>250</v>
      </c>
      <c r="K2497" s="6" t="s">
        <v>5513</v>
      </c>
      <c r="L2497" s="6" t="s">
        <v>205</v>
      </c>
      <c r="M2497" s="6" t="s">
        <v>662</v>
      </c>
      <c r="N2497" s="6" t="s">
        <v>286</v>
      </c>
      <c r="O2497" s="6" t="s">
        <v>5514</v>
      </c>
      <c r="P2497" s="19" t="str">
        <f aca="false">IF(J2497="S0","—",IF(K2497="","",IF(L2497="E0","QM",INDEX(10_ASIL_Matrix!$D$4:$F$15,MATCH(J2497&amp;"-"&amp;L2497,10_ASIL_Matrix!$C$4:$C$15,0),MATCH(N2497,10_ASIL_Matrix!$D$3:$F$3,0)))))</f>
        <v>A</v>
      </c>
      <c r="Q2497" s="6" t="s">
        <v>448</v>
      </c>
    </row>
    <row r="2498" customFormat="false" ht="35.05" hidden="false" customHeight="false" outlineLevel="0" collapsed="false">
      <c r="A2498" s="5" t="s">
        <v>5706</v>
      </c>
      <c r="B2498" s="5" t="s">
        <v>115</v>
      </c>
      <c r="C2498" s="5" t="s">
        <v>116</v>
      </c>
      <c r="D2498" s="5" t="s">
        <v>146</v>
      </c>
      <c r="E2498" s="5" t="s">
        <v>147</v>
      </c>
      <c r="F2498" s="5" t="s">
        <v>209</v>
      </c>
      <c r="G2498" s="5" t="s">
        <v>570</v>
      </c>
      <c r="H2498" s="5" t="s">
        <v>230</v>
      </c>
      <c r="I2498" s="5" t="s">
        <v>5707</v>
      </c>
      <c r="J2498" s="5" t="s">
        <v>250</v>
      </c>
      <c r="K2498" s="5" t="s">
        <v>5513</v>
      </c>
      <c r="L2498" s="5" t="s">
        <v>205</v>
      </c>
      <c r="M2498" s="5" t="s">
        <v>665</v>
      </c>
      <c r="N2498" s="5" t="s">
        <v>290</v>
      </c>
      <c r="O2498" s="5" t="s">
        <v>5523</v>
      </c>
      <c r="P2498" s="18" t="str">
        <f aca="false">IF(J2498="S0","—",IF(K2498="","",IF(L2498="E0","QM",INDEX(10_ASIL_Matrix!$D$4:$F$15,MATCH(J2498&amp;"-"&amp;L2498,10_ASIL_Matrix!$C$4:$C$15,0),MATCH(N2498,10_ASIL_Matrix!$D$3:$F$3,0)))))</f>
        <v>B</v>
      </c>
      <c r="Q2498" s="5" t="s">
        <v>448</v>
      </c>
    </row>
    <row r="2499" customFormat="false" ht="46.25" hidden="false" customHeight="false" outlineLevel="0" collapsed="false">
      <c r="A2499" s="6" t="s">
        <v>5708</v>
      </c>
      <c r="B2499" s="6" t="s">
        <v>115</v>
      </c>
      <c r="C2499" s="6" t="s">
        <v>116</v>
      </c>
      <c r="D2499" s="6" t="s">
        <v>146</v>
      </c>
      <c r="E2499" s="6" t="s">
        <v>147</v>
      </c>
      <c r="F2499" s="6" t="s">
        <v>209</v>
      </c>
      <c r="G2499" s="6" t="s">
        <v>570</v>
      </c>
      <c r="H2499" s="6" t="s">
        <v>232</v>
      </c>
      <c r="I2499" s="6" t="s">
        <v>5709</v>
      </c>
      <c r="J2499" s="6" t="s">
        <v>250</v>
      </c>
      <c r="K2499" s="6" t="s">
        <v>5513</v>
      </c>
      <c r="L2499" s="6" t="s">
        <v>233</v>
      </c>
      <c r="M2499" s="6" t="s">
        <v>668</v>
      </c>
      <c r="N2499" s="6" t="s">
        <v>286</v>
      </c>
      <c r="O2499" s="6" t="s">
        <v>5514</v>
      </c>
      <c r="P2499" s="6" t="str">
        <f aca="false">IF(J2499="S0","—",IF(K2499="","",IF(L2499="E0","QM",INDEX(10_ASIL_Matrix!$D$4:$F$15,MATCH(J2499&amp;"-"&amp;L2499,10_ASIL_Matrix!$C$4:$C$15,0),MATCH(N2499,10_ASIL_Matrix!$D$3:$F$3,0)))))</f>
        <v>QM</v>
      </c>
      <c r="Q2499" s="6" t="s">
        <v>448</v>
      </c>
    </row>
    <row r="2500" customFormat="false" ht="35.05" hidden="false" customHeight="false" outlineLevel="0" collapsed="false">
      <c r="A2500" s="5" t="s">
        <v>5710</v>
      </c>
      <c r="B2500" s="5" t="s">
        <v>115</v>
      </c>
      <c r="C2500" s="5" t="s">
        <v>116</v>
      </c>
      <c r="D2500" s="5" t="s">
        <v>146</v>
      </c>
      <c r="E2500" s="5" t="s">
        <v>147</v>
      </c>
      <c r="F2500" s="5" t="s">
        <v>211</v>
      </c>
      <c r="G2500" s="5" t="s">
        <v>609</v>
      </c>
      <c r="H2500" s="5" t="s">
        <v>222</v>
      </c>
      <c r="I2500" s="5" t="s">
        <v>5711</v>
      </c>
      <c r="J2500" s="5" t="s">
        <v>238</v>
      </c>
      <c r="K2500" s="5" t="s">
        <v>1273</v>
      </c>
      <c r="L2500" s="5" t="s">
        <v>187</v>
      </c>
      <c r="M2500" s="5" t="s">
        <v>672</v>
      </c>
      <c r="N2500" s="5" t="s">
        <v>278</v>
      </c>
      <c r="O2500" s="5" t="s">
        <v>634</v>
      </c>
      <c r="P2500" s="5" t="str">
        <f aca="false">IF(J2500="S0","—",IF(K2500="","",IF(L2500="E0","QM",INDEX(10_ASIL_Matrix!$D$4:$F$15,MATCH(J2500&amp;"-"&amp;L2500,10_ASIL_Matrix!$C$4:$C$15,0),MATCH(N2500,10_ASIL_Matrix!$D$3:$F$3,0)))))</f>
        <v>—</v>
      </c>
      <c r="Q2500" s="5" t="s">
        <v>448</v>
      </c>
    </row>
    <row r="2501" customFormat="false" ht="35.05" hidden="false" customHeight="false" outlineLevel="0" collapsed="false">
      <c r="A2501" s="6" t="s">
        <v>5712</v>
      </c>
      <c r="B2501" s="6" t="s">
        <v>115</v>
      </c>
      <c r="C2501" s="6" t="s">
        <v>116</v>
      </c>
      <c r="D2501" s="6" t="s">
        <v>146</v>
      </c>
      <c r="E2501" s="6" t="s">
        <v>147</v>
      </c>
      <c r="F2501" s="6" t="s">
        <v>211</v>
      </c>
      <c r="G2501" s="6" t="s">
        <v>609</v>
      </c>
      <c r="H2501" s="6" t="s">
        <v>224</v>
      </c>
      <c r="I2501" s="6" t="s">
        <v>5713</v>
      </c>
      <c r="J2501" s="6" t="s">
        <v>238</v>
      </c>
      <c r="K2501" s="6" t="s">
        <v>1273</v>
      </c>
      <c r="L2501" s="6" t="s">
        <v>190</v>
      </c>
      <c r="M2501" s="6" t="s">
        <v>675</v>
      </c>
      <c r="N2501" s="6" t="s">
        <v>278</v>
      </c>
      <c r="O2501" s="6" t="s">
        <v>634</v>
      </c>
      <c r="P2501" s="6" t="str">
        <f aca="false">IF(J2501="S0","—",IF(K2501="","",IF(L2501="E0","QM",INDEX(10_ASIL_Matrix!$D$4:$F$15,MATCH(J2501&amp;"-"&amp;L2501,10_ASIL_Matrix!$C$4:$C$15,0),MATCH(N2501,10_ASIL_Matrix!$D$3:$F$3,0)))))</f>
        <v>—</v>
      </c>
      <c r="Q2501" s="6" t="s">
        <v>448</v>
      </c>
    </row>
    <row r="2502" customFormat="false" ht="35.05" hidden="false" customHeight="false" outlineLevel="0" collapsed="false">
      <c r="A2502" s="5" t="s">
        <v>5714</v>
      </c>
      <c r="B2502" s="5" t="s">
        <v>115</v>
      </c>
      <c r="C2502" s="5" t="s">
        <v>116</v>
      </c>
      <c r="D2502" s="5" t="s">
        <v>146</v>
      </c>
      <c r="E2502" s="5" t="s">
        <v>147</v>
      </c>
      <c r="F2502" s="5" t="s">
        <v>211</v>
      </c>
      <c r="G2502" s="5" t="s">
        <v>609</v>
      </c>
      <c r="H2502" s="5" t="s">
        <v>226</v>
      </c>
      <c r="I2502" s="5" t="s">
        <v>5715</v>
      </c>
      <c r="J2502" s="5" t="s">
        <v>238</v>
      </c>
      <c r="K2502" s="5" t="s">
        <v>1273</v>
      </c>
      <c r="L2502" s="5" t="s">
        <v>190</v>
      </c>
      <c r="M2502" s="5" t="s">
        <v>678</v>
      </c>
      <c r="N2502" s="5" t="s">
        <v>278</v>
      </c>
      <c r="O2502" s="5" t="s">
        <v>634</v>
      </c>
      <c r="P2502" s="5" t="str">
        <f aca="false">IF(J2502="S0","—",IF(K2502="","",IF(L2502="E0","QM",INDEX(10_ASIL_Matrix!$D$4:$F$15,MATCH(J2502&amp;"-"&amp;L2502,10_ASIL_Matrix!$C$4:$C$15,0),MATCH(N2502,10_ASIL_Matrix!$D$3:$F$3,0)))))</f>
        <v>—</v>
      </c>
      <c r="Q2502" s="5" t="s">
        <v>448</v>
      </c>
    </row>
    <row r="2503" customFormat="false" ht="35.05" hidden="false" customHeight="false" outlineLevel="0" collapsed="false">
      <c r="A2503" s="6" t="s">
        <v>5716</v>
      </c>
      <c r="B2503" s="6" t="s">
        <v>115</v>
      </c>
      <c r="C2503" s="6" t="s">
        <v>116</v>
      </c>
      <c r="D2503" s="6" t="s">
        <v>146</v>
      </c>
      <c r="E2503" s="6" t="s">
        <v>147</v>
      </c>
      <c r="F2503" s="6" t="s">
        <v>211</v>
      </c>
      <c r="G2503" s="6" t="s">
        <v>609</v>
      </c>
      <c r="H2503" s="6" t="s">
        <v>228</v>
      </c>
      <c r="I2503" s="6" t="s">
        <v>5717</v>
      </c>
      <c r="J2503" s="6" t="s">
        <v>238</v>
      </c>
      <c r="K2503" s="6" t="s">
        <v>1273</v>
      </c>
      <c r="L2503" s="6" t="s">
        <v>205</v>
      </c>
      <c r="M2503" s="6" t="s">
        <v>681</v>
      </c>
      <c r="N2503" s="6" t="s">
        <v>278</v>
      </c>
      <c r="O2503" s="6" t="s">
        <v>634</v>
      </c>
      <c r="P2503" s="6" t="str">
        <f aca="false">IF(J2503="S0","—",IF(K2503="","",IF(L2503="E0","QM",INDEX(10_ASIL_Matrix!$D$4:$F$15,MATCH(J2503&amp;"-"&amp;L2503,10_ASIL_Matrix!$C$4:$C$15,0),MATCH(N2503,10_ASIL_Matrix!$D$3:$F$3,0)))))</f>
        <v>—</v>
      </c>
      <c r="Q2503" s="6" t="s">
        <v>448</v>
      </c>
    </row>
    <row r="2504" customFormat="false" ht="35.05" hidden="false" customHeight="false" outlineLevel="0" collapsed="false">
      <c r="A2504" s="5" t="s">
        <v>5718</v>
      </c>
      <c r="B2504" s="5" t="s">
        <v>115</v>
      </c>
      <c r="C2504" s="5" t="s">
        <v>116</v>
      </c>
      <c r="D2504" s="5" t="s">
        <v>146</v>
      </c>
      <c r="E2504" s="5" t="s">
        <v>147</v>
      </c>
      <c r="F2504" s="5" t="s">
        <v>211</v>
      </c>
      <c r="G2504" s="5" t="s">
        <v>609</v>
      </c>
      <c r="H2504" s="5" t="s">
        <v>230</v>
      </c>
      <c r="I2504" s="5" t="s">
        <v>5719</v>
      </c>
      <c r="J2504" s="5" t="s">
        <v>238</v>
      </c>
      <c r="K2504" s="5" t="s">
        <v>1273</v>
      </c>
      <c r="L2504" s="5" t="s">
        <v>205</v>
      </c>
      <c r="M2504" s="5" t="s">
        <v>684</v>
      </c>
      <c r="N2504" s="5" t="s">
        <v>278</v>
      </c>
      <c r="O2504" s="5" t="s">
        <v>634</v>
      </c>
      <c r="P2504" s="5" t="str">
        <f aca="false">IF(J2504="S0","—",IF(K2504="","",IF(L2504="E0","QM",INDEX(10_ASIL_Matrix!$D$4:$F$15,MATCH(J2504&amp;"-"&amp;L2504,10_ASIL_Matrix!$C$4:$C$15,0),MATCH(N2504,10_ASIL_Matrix!$D$3:$F$3,0)))))</f>
        <v>—</v>
      </c>
      <c r="Q2504" s="5" t="s">
        <v>448</v>
      </c>
    </row>
    <row r="2505" customFormat="false" ht="46.25" hidden="false" customHeight="false" outlineLevel="0" collapsed="false">
      <c r="A2505" s="6" t="s">
        <v>5720</v>
      </c>
      <c r="B2505" s="6" t="s">
        <v>115</v>
      </c>
      <c r="C2505" s="6" t="s">
        <v>116</v>
      </c>
      <c r="D2505" s="6" t="s">
        <v>146</v>
      </c>
      <c r="E2505" s="6" t="s">
        <v>147</v>
      </c>
      <c r="F2505" s="6" t="s">
        <v>211</v>
      </c>
      <c r="G2505" s="6" t="s">
        <v>609</v>
      </c>
      <c r="H2505" s="6" t="s">
        <v>232</v>
      </c>
      <c r="I2505" s="6" t="s">
        <v>5721</v>
      </c>
      <c r="J2505" s="6" t="s">
        <v>238</v>
      </c>
      <c r="K2505" s="6" t="s">
        <v>1273</v>
      </c>
      <c r="L2505" s="6" t="s">
        <v>233</v>
      </c>
      <c r="M2505" s="6" t="s">
        <v>687</v>
      </c>
      <c r="N2505" s="6" t="s">
        <v>278</v>
      </c>
      <c r="O2505" s="6" t="s">
        <v>634</v>
      </c>
      <c r="P2505" s="6" t="str">
        <f aca="false">IF(J2505="S0","—",IF(K2505="","",IF(L2505="E0","QM",INDEX(10_ASIL_Matrix!$D$4:$F$15,MATCH(J2505&amp;"-"&amp;L2505,10_ASIL_Matrix!$C$4:$C$15,0),MATCH(N2505,10_ASIL_Matrix!$D$3:$F$3,0)))))</f>
        <v>—</v>
      </c>
      <c r="Q2505" s="6" t="s">
        <v>448</v>
      </c>
    </row>
    <row r="2506" customFormat="false" ht="46.25" hidden="false" customHeight="false" outlineLevel="0" collapsed="false">
      <c r="A2506" s="5" t="s">
        <v>5722</v>
      </c>
      <c r="B2506" s="5" t="s">
        <v>115</v>
      </c>
      <c r="C2506" s="5" t="s">
        <v>116</v>
      </c>
      <c r="D2506" s="5" t="s">
        <v>146</v>
      </c>
      <c r="E2506" s="5" t="s">
        <v>147</v>
      </c>
      <c r="F2506" s="5" t="s">
        <v>213</v>
      </c>
      <c r="G2506" s="5" t="s">
        <v>689</v>
      </c>
      <c r="H2506" s="5" t="s">
        <v>222</v>
      </c>
      <c r="I2506" s="5" t="s">
        <v>5723</v>
      </c>
      <c r="J2506" s="5" t="s">
        <v>238</v>
      </c>
      <c r="K2506" s="5" t="s">
        <v>5451</v>
      </c>
      <c r="L2506" s="5" t="s">
        <v>205</v>
      </c>
      <c r="M2506" s="5" t="s">
        <v>692</v>
      </c>
      <c r="N2506" s="5" t="s">
        <v>278</v>
      </c>
      <c r="O2506" s="5" t="s">
        <v>634</v>
      </c>
      <c r="P2506" s="5" t="str">
        <f aca="false">IF(J2506="S0","—",IF(K2506="","",IF(L2506="E0","QM",INDEX(10_ASIL_Matrix!$D$4:$F$15,MATCH(J2506&amp;"-"&amp;L2506,10_ASIL_Matrix!$C$4:$C$15,0),MATCH(N2506,10_ASIL_Matrix!$D$3:$F$3,0)))))</f>
        <v>—</v>
      </c>
      <c r="Q2506" s="5" t="s">
        <v>448</v>
      </c>
    </row>
    <row r="2507" customFormat="false" ht="46.25" hidden="false" customHeight="false" outlineLevel="0" collapsed="false">
      <c r="A2507" s="6" t="s">
        <v>5724</v>
      </c>
      <c r="B2507" s="6" t="s">
        <v>115</v>
      </c>
      <c r="C2507" s="6" t="s">
        <v>116</v>
      </c>
      <c r="D2507" s="6" t="s">
        <v>146</v>
      </c>
      <c r="E2507" s="6" t="s">
        <v>147</v>
      </c>
      <c r="F2507" s="6" t="s">
        <v>213</v>
      </c>
      <c r="G2507" s="6" t="s">
        <v>689</v>
      </c>
      <c r="H2507" s="6" t="s">
        <v>224</v>
      </c>
      <c r="I2507" s="6" t="s">
        <v>5725</v>
      </c>
      <c r="J2507" s="6" t="s">
        <v>238</v>
      </c>
      <c r="K2507" s="6" t="s">
        <v>5451</v>
      </c>
      <c r="L2507" s="6" t="s">
        <v>205</v>
      </c>
      <c r="M2507" s="6" t="s">
        <v>696</v>
      </c>
      <c r="N2507" s="6" t="s">
        <v>278</v>
      </c>
      <c r="O2507" s="6" t="s">
        <v>634</v>
      </c>
      <c r="P2507" s="6" t="str">
        <f aca="false">IF(J2507="S0","—",IF(K2507="","",IF(L2507="E0","QM",INDEX(10_ASIL_Matrix!$D$4:$F$15,MATCH(J2507&amp;"-"&amp;L2507,10_ASIL_Matrix!$C$4:$C$15,0),MATCH(N2507,10_ASIL_Matrix!$D$3:$F$3,0)))))</f>
        <v>—</v>
      </c>
      <c r="Q2507" s="6" t="s">
        <v>448</v>
      </c>
    </row>
    <row r="2508" customFormat="false" ht="46.25" hidden="false" customHeight="false" outlineLevel="0" collapsed="false">
      <c r="A2508" s="5" t="s">
        <v>5726</v>
      </c>
      <c r="B2508" s="5" t="s">
        <v>115</v>
      </c>
      <c r="C2508" s="5" t="s">
        <v>116</v>
      </c>
      <c r="D2508" s="5" t="s">
        <v>146</v>
      </c>
      <c r="E2508" s="5" t="s">
        <v>147</v>
      </c>
      <c r="F2508" s="5" t="s">
        <v>213</v>
      </c>
      <c r="G2508" s="5" t="s">
        <v>689</v>
      </c>
      <c r="H2508" s="5" t="s">
        <v>226</v>
      </c>
      <c r="I2508" s="5" t="s">
        <v>5727</v>
      </c>
      <c r="J2508" s="5" t="s">
        <v>238</v>
      </c>
      <c r="K2508" s="5" t="s">
        <v>5451</v>
      </c>
      <c r="L2508" s="5" t="s">
        <v>205</v>
      </c>
      <c r="M2508" s="5" t="s">
        <v>699</v>
      </c>
      <c r="N2508" s="5" t="s">
        <v>278</v>
      </c>
      <c r="O2508" s="5" t="s">
        <v>634</v>
      </c>
      <c r="P2508" s="5" t="str">
        <f aca="false">IF(J2508="S0","—",IF(K2508="","",IF(L2508="E0","QM",INDEX(10_ASIL_Matrix!$D$4:$F$15,MATCH(J2508&amp;"-"&amp;L2508,10_ASIL_Matrix!$C$4:$C$15,0),MATCH(N2508,10_ASIL_Matrix!$D$3:$F$3,0)))))</f>
        <v>—</v>
      </c>
      <c r="Q2508" s="5" t="s">
        <v>448</v>
      </c>
    </row>
    <row r="2509" customFormat="false" ht="46.25" hidden="false" customHeight="false" outlineLevel="0" collapsed="false">
      <c r="A2509" s="6" t="s">
        <v>5728</v>
      </c>
      <c r="B2509" s="6" t="s">
        <v>115</v>
      </c>
      <c r="C2509" s="6" t="s">
        <v>116</v>
      </c>
      <c r="D2509" s="6" t="s">
        <v>146</v>
      </c>
      <c r="E2509" s="6" t="s">
        <v>147</v>
      </c>
      <c r="F2509" s="6" t="s">
        <v>213</v>
      </c>
      <c r="G2509" s="6" t="s">
        <v>689</v>
      </c>
      <c r="H2509" s="6" t="s">
        <v>228</v>
      </c>
      <c r="I2509" s="6" t="s">
        <v>5729</v>
      </c>
      <c r="J2509" s="6" t="s">
        <v>238</v>
      </c>
      <c r="K2509" s="6" t="s">
        <v>5451</v>
      </c>
      <c r="L2509" s="6" t="s">
        <v>205</v>
      </c>
      <c r="M2509" s="6" t="s">
        <v>702</v>
      </c>
      <c r="N2509" s="6" t="s">
        <v>278</v>
      </c>
      <c r="O2509" s="6" t="s">
        <v>634</v>
      </c>
      <c r="P2509" s="6" t="str">
        <f aca="false">IF(J2509="S0","—",IF(K2509="","",IF(L2509="E0","QM",INDEX(10_ASIL_Matrix!$D$4:$F$15,MATCH(J2509&amp;"-"&amp;L2509,10_ASIL_Matrix!$C$4:$C$15,0),MATCH(N2509,10_ASIL_Matrix!$D$3:$F$3,0)))))</f>
        <v>—</v>
      </c>
      <c r="Q2509" s="6" t="s">
        <v>448</v>
      </c>
    </row>
    <row r="2510" customFormat="false" ht="46.25" hidden="false" customHeight="false" outlineLevel="0" collapsed="false">
      <c r="A2510" s="5" t="s">
        <v>5730</v>
      </c>
      <c r="B2510" s="5" t="s">
        <v>115</v>
      </c>
      <c r="C2510" s="5" t="s">
        <v>116</v>
      </c>
      <c r="D2510" s="5" t="s">
        <v>146</v>
      </c>
      <c r="E2510" s="5" t="s">
        <v>147</v>
      </c>
      <c r="F2510" s="5" t="s">
        <v>213</v>
      </c>
      <c r="G2510" s="5" t="s">
        <v>689</v>
      </c>
      <c r="H2510" s="5" t="s">
        <v>230</v>
      </c>
      <c r="I2510" s="5" t="s">
        <v>5731</v>
      </c>
      <c r="J2510" s="5" t="s">
        <v>238</v>
      </c>
      <c r="K2510" s="5" t="s">
        <v>5451</v>
      </c>
      <c r="L2510" s="5" t="s">
        <v>205</v>
      </c>
      <c r="M2510" s="5" t="s">
        <v>705</v>
      </c>
      <c r="N2510" s="5" t="s">
        <v>278</v>
      </c>
      <c r="O2510" s="5" t="s">
        <v>634</v>
      </c>
      <c r="P2510" s="5" t="str">
        <f aca="false">IF(J2510="S0","—",IF(K2510="","",IF(L2510="E0","QM",INDEX(10_ASIL_Matrix!$D$4:$F$15,MATCH(J2510&amp;"-"&amp;L2510,10_ASIL_Matrix!$C$4:$C$15,0),MATCH(N2510,10_ASIL_Matrix!$D$3:$F$3,0)))))</f>
        <v>—</v>
      </c>
      <c r="Q2510" s="5" t="s">
        <v>448</v>
      </c>
    </row>
    <row r="2511" customFormat="false" ht="46.25" hidden="false" customHeight="false" outlineLevel="0" collapsed="false">
      <c r="A2511" s="6" t="s">
        <v>5732</v>
      </c>
      <c r="B2511" s="6" t="s">
        <v>115</v>
      </c>
      <c r="C2511" s="6" t="s">
        <v>116</v>
      </c>
      <c r="D2511" s="6" t="s">
        <v>146</v>
      </c>
      <c r="E2511" s="6" t="s">
        <v>147</v>
      </c>
      <c r="F2511" s="6" t="s">
        <v>213</v>
      </c>
      <c r="G2511" s="6" t="s">
        <v>689</v>
      </c>
      <c r="H2511" s="6" t="s">
        <v>232</v>
      </c>
      <c r="I2511" s="6" t="s">
        <v>5733</v>
      </c>
      <c r="J2511" s="6" t="s">
        <v>238</v>
      </c>
      <c r="K2511" s="6" t="s">
        <v>5451</v>
      </c>
      <c r="L2511" s="6" t="s">
        <v>233</v>
      </c>
      <c r="M2511" s="6" t="s">
        <v>709</v>
      </c>
      <c r="N2511" s="6" t="s">
        <v>278</v>
      </c>
      <c r="O2511" s="6" t="s">
        <v>634</v>
      </c>
      <c r="P2511" s="6" t="str">
        <f aca="false">IF(J2511="S0","—",IF(K2511="","",IF(L2511="E0","QM",INDEX(10_ASIL_Matrix!$D$4:$F$15,MATCH(J2511&amp;"-"&amp;L2511,10_ASIL_Matrix!$C$4:$C$15,0),MATCH(N2511,10_ASIL_Matrix!$D$3:$F$3,0)))))</f>
        <v>—</v>
      </c>
      <c r="Q2511" s="6" t="s">
        <v>448</v>
      </c>
    </row>
    <row r="2512" customFormat="false" ht="35.05" hidden="false" customHeight="false" outlineLevel="0" collapsed="false">
      <c r="A2512" s="5" t="s">
        <v>5734</v>
      </c>
      <c r="B2512" s="5" t="s">
        <v>115</v>
      </c>
      <c r="C2512" s="5" t="s">
        <v>116</v>
      </c>
      <c r="D2512" s="5" t="s">
        <v>146</v>
      </c>
      <c r="E2512" s="5" t="s">
        <v>147</v>
      </c>
      <c r="F2512" s="5" t="s">
        <v>215</v>
      </c>
      <c r="G2512" s="5" t="s">
        <v>711</v>
      </c>
      <c r="H2512" s="5" t="s">
        <v>222</v>
      </c>
      <c r="I2512" s="5" t="s">
        <v>5735</v>
      </c>
      <c r="J2512" s="5" t="s">
        <v>250</v>
      </c>
      <c r="K2512" s="5" t="s">
        <v>5552</v>
      </c>
      <c r="L2512" s="5" t="s">
        <v>190</v>
      </c>
      <c r="M2512" s="5" t="s">
        <v>714</v>
      </c>
      <c r="N2512" s="5" t="s">
        <v>282</v>
      </c>
      <c r="O2512" s="5" t="s">
        <v>5553</v>
      </c>
      <c r="P2512" s="19" t="str">
        <f aca="false">IF(J2512="S0","—",IF(K2512="","",IF(L2512="E0","QM",INDEX(10_ASIL_Matrix!$D$4:$F$15,MATCH(J2512&amp;"-"&amp;L2512,10_ASIL_Matrix!$C$4:$C$15,0),MATCH(N2512,10_ASIL_Matrix!$D$3:$F$3,0)))))</f>
        <v>A</v>
      </c>
      <c r="Q2512" s="5" t="s">
        <v>448</v>
      </c>
    </row>
    <row r="2513" customFormat="false" ht="35.05" hidden="false" customHeight="false" outlineLevel="0" collapsed="false">
      <c r="A2513" s="6" t="s">
        <v>5736</v>
      </c>
      <c r="B2513" s="6" t="s">
        <v>115</v>
      </c>
      <c r="C2513" s="6" t="s">
        <v>116</v>
      </c>
      <c r="D2513" s="6" t="s">
        <v>146</v>
      </c>
      <c r="E2513" s="6" t="s">
        <v>147</v>
      </c>
      <c r="F2513" s="6" t="s">
        <v>215</v>
      </c>
      <c r="G2513" s="6" t="s">
        <v>711</v>
      </c>
      <c r="H2513" s="6" t="s">
        <v>224</v>
      </c>
      <c r="I2513" s="6" t="s">
        <v>5737</v>
      </c>
      <c r="J2513" s="6" t="s">
        <v>250</v>
      </c>
      <c r="K2513" s="6" t="s">
        <v>5552</v>
      </c>
      <c r="L2513" s="6" t="s">
        <v>190</v>
      </c>
      <c r="M2513" s="6" t="s">
        <v>717</v>
      </c>
      <c r="N2513" s="6" t="s">
        <v>282</v>
      </c>
      <c r="O2513" s="6" t="s">
        <v>5553</v>
      </c>
      <c r="P2513" s="19" t="str">
        <f aca="false">IF(J2513="S0","—",IF(K2513="","",IF(L2513="E0","QM",INDEX(10_ASIL_Matrix!$D$4:$F$15,MATCH(J2513&amp;"-"&amp;L2513,10_ASIL_Matrix!$C$4:$C$15,0),MATCH(N2513,10_ASIL_Matrix!$D$3:$F$3,0)))))</f>
        <v>A</v>
      </c>
      <c r="Q2513" s="6" t="s">
        <v>448</v>
      </c>
    </row>
    <row r="2514" customFormat="false" ht="35.05" hidden="false" customHeight="false" outlineLevel="0" collapsed="false">
      <c r="A2514" s="5" t="s">
        <v>5738</v>
      </c>
      <c r="B2514" s="5" t="s">
        <v>115</v>
      </c>
      <c r="C2514" s="5" t="s">
        <v>116</v>
      </c>
      <c r="D2514" s="5" t="s">
        <v>146</v>
      </c>
      <c r="E2514" s="5" t="s">
        <v>147</v>
      </c>
      <c r="F2514" s="5" t="s">
        <v>215</v>
      </c>
      <c r="G2514" s="5" t="s">
        <v>711</v>
      </c>
      <c r="H2514" s="5" t="s">
        <v>226</v>
      </c>
      <c r="I2514" s="5" t="s">
        <v>5739</v>
      </c>
      <c r="J2514" s="5" t="s">
        <v>250</v>
      </c>
      <c r="K2514" s="5" t="s">
        <v>5552</v>
      </c>
      <c r="L2514" s="5" t="s">
        <v>190</v>
      </c>
      <c r="M2514" s="5" t="s">
        <v>720</v>
      </c>
      <c r="N2514" s="5" t="s">
        <v>282</v>
      </c>
      <c r="O2514" s="5" t="s">
        <v>5553</v>
      </c>
      <c r="P2514" s="19" t="str">
        <f aca="false">IF(J2514="S0","—",IF(K2514="","",IF(L2514="E0","QM",INDEX(10_ASIL_Matrix!$D$4:$F$15,MATCH(J2514&amp;"-"&amp;L2514,10_ASIL_Matrix!$C$4:$C$15,0),MATCH(N2514,10_ASIL_Matrix!$D$3:$F$3,0)))))</f>
        <v>A</v>
      </c>
      <c r="Q2514" s="5" t="s">
        <v>448</v>
      </c>
    </row>
    <row r="2515" customFormat="false" ht="35.05" hidden="false" customHeight="false" outlineLevel="0" collapsed="false">
      <c r="A2515" s="6" t="s">
        <v>5740</v>
      </c>
      <c r="B2515" s="6" t="s">
        <v>115</v>
      </c>
      <c r="C2515" s="6" t="s">
        <v>116</v>
      </c>
      <c r="D2515" s="6" t="s">
        <v>146</v>
      </c>
      <c r="E2515" s="6" t="s">
        <v>147</v>
      </c>
      <c r="F2515" s="6" t="s">
        <v>215</v>
      </c>
      <c r="G2515" s="6" t="s">
        <v>711</v>
      </c>
      <c r="H2515" s="6" t="s">
        <v>228</v>
      </c>
      <c r="I2515" s="6" t="s">
        <v>5741</v>
      </c>
      <c r="J2515" s="6" t="s">
        <v>250</v>
      </c>
      <c r="K2515" s="6" t="s">
        <v>5552</v>
      </c>
      <c r="L2515" s="6" t="s">
        <v>205</v>
      </c>
      <c r="M2515" s="6" t="s">
        <v>723</v>
      </c>
      <c r="N2515" s="6" t="s">
        <v>282</v>
      </c>
      <c r="O2515" s="6" t="s">
        <v>5553</v>
      </c>
      <c r="P2515" s="6" t="str">
        <f aca="false">IF(J2515="S0","—",IF(K2515="","",IF(L2515="E0","QM",INDEX(10_ASIL_Matrix!$D$4:$F$15,MATCH(J2515&amp;"-"&amp;L2515,10_ASIL_Matrix!$C$4:$C$15,0),MATCH(N2515,10_ASIL_Matrix!$D$3:$F$3,0)))))</f>
        <v>QM</v>
      </c>
      <c r="Q2515" s="6" t="s">
        <v>448</v>
      </c>
    </row>
    <row r="2516" customFormat="false" ht="35.05" hidden="false" customHeight="false" outlineLevel="0" collapsed="false">
      <c r="A2516" s="5" t="s">
        <v>5742</v>
      </c>
      <c r="B2516" s="5" t="s">
        <v>115</v>
      </c>
      <c r="C2516" s="5" t="s">
        <v>116</v>
      </c>
      <c r="D2516" s="5" t="s">
        <v>146</v>
      </c>
      <c r="E2516" s="5" t="s">
        <v>147</v>
      </c>
      <c r="F2516" s="5" t="s">
        <v>215</v>
      </c>
      <c r="G2516" s="5" t="s">
        <v>711</v>
      </c>
      <c r="H2516" s="5" t="s">
        <v>230</v>
      </c>
      <c r="I2516" s="5" t="s">
        <v>5743</v>
      </c>
      <c r="J2516" s="5" t="s">
        <v>250</v>
      </c>
      <c r="K2516" s="5" t="s">
        <v>5552</v>
      </c>
      <c r="L2516" s="5" t="s">
        <v>205</v>
      </c>
      <c r="M2516" s="5" t="s">
        <v>726</v>
      </c>
      <c r="N2516" s="5" t="s">
        <v>286</v>
      </c>
      <c r="O2516" s="5" t="s">
        <v>5562</v>
      </c>
      <c r="P2516" s="19" t="str">
        <f aca="false">IF(J2516="S0","—",IF(K2516="","",IF(L2516="E0","QM",INDEX(10_ASIL_Matrix!$D$4:$F$15,MATCH(J2516&amp;"-"&amp;L2516,10_ASIL_Matrix!$C$4:$C$15,0),MATCH(N2516,10_ASIL_Matrix!$D$3:$F$3,0)))))</f>
        <v>A</v>
      </c>
      <c r="Q2516" s="5" t="s">
        <v>448</v>
      </c>
    </row>
    <row r="2517" customFormat="false" ht="46.25" hidden="false" customHeight="false" outlineLevel="0" collapsed="false">
      <c r="A2517" s="6" t="s">
        <v>5744</v>
      </c>
      <c r="B2517" s="6" t="s">
        <v>115</v>
      </c>
      <c r="C2517" s="6" t="s">
        <v>116</v>
      </c>
      <c r="D2517" s="6" t="s">
        <v>146</v>
      </c>
      <c r="E2517" s="6" t="s">
        <v>147</v>
      </c>
      <c r="F2517" s="6" t="s">
        <v>215</v>
      </c>
      <c r="G2517" s="6" t="s">
        <v>711</v>
      </c>
      <c r="H2517" s="6" t="s">
        <v>232</v>
      </c>
      <c r="I2517" s="6" t="s">
        <v>5745</v>
      </c>
      <c r="J2517" s="6" t="s">
        <v>250</v>
      </c>
      <c r="K2517" s="6" t="s">
        <v>5552</v>
      </c>
      <c r="L2517" s="6" t="s">
        <v>233</v>
      </c>
      <c r="M2517" s="6" t="s">
        <v>729</v>
      </c>
      <c r="N2517" s="6" t="s">
        <v>282</v>
      </c>
      <c r="O2517" s="6" t="s">
        <v>5553</v>
      </c>
      <c r="P2517" s="6" t="str">
        <f aca="false">IF(J2517="S0","—",IF(K2517="","",IF(L2517="E0","QM",INDEX(10_ASIL_Matrix!$D$4:$F$15,MATCH(J2517&amp;"-"&amp;L2517,10_ASIL_Matrix!$C$4:$C$15,0),MATCH(N2517,10_ASIL_Matrix!$D$3:$F$3,0)))))</f>
        <v>QM</v>
      </c>
      <c r="Q2517" s="6" t="s">
        <v>448</v>
      </c>
    </row>
    <row r="2518" customFormat="false" ht="35.05" hidden="false" customHeight="false" outlineLevel="0" collapsed="false">
      <c r="A2518" s="5" t="s">
        <v>5746</v>
      </c>
      <c r="B2518" s="5" t="s">
        <v>115</v>
      </c>
      <c r="C2518" s="5" t="s">
        <v>116</v>
      </c>
      <c r="D2518" s="5" t="s">
        <v>146</v>
      </c>
      <c r="E2518" s="5" t="s">
        <v>147</v>
      </c>
      <c r="F2518" s="5" t="s">
        <v>217</v>
      </c>
      <c r="G2518" s="5" t="s">
        <v>488</v>
      </c>
      <c r="H2518" s="5" t="s">
        <v>222</v>
      </c>
      <c r="I2518" s="5" t="s">
        <v>5747</v>
      </c>
      <c r="J2518" s="5" t="s">
        <v>250</v>
      </c>
      <c r="K2518" s="5" t="s">
        <v>5567</v>
      </c>
      <c r="L2518" s="5" t="s">
        <v>190</v>
      </c>
      <c r="M2518" s="5" t="s">
        <v>733</v>
      </c>
      <c r="N2518" s="5" t="s">
        <v>286</v>
      </c>
      <c r="O2518" s="5" t="s">
        <v>5514</v>
      </c>
      <c r="P2518" s="18" t="str">
        <f aca="false">IF(J2518="S0","—",IF(K2518="","",IF(L2518="E0","QM",INDEX(10_ASIL_Matrix!$D$4:$F$15,MATCH(J2518&amp;"-"&amp;L2518,10_ASIL_Matrix!$C$4:$C$15,0),MATCH(N2518,10_ASIL_Matrix!$D$3:$F$3,0)))))</f>
        <v>B</v>
      </c>
      <c r="Q2518" s="5" t="s">
        <v>448</v>
      </c>
    </row>
    <row r="2519" customFormat="false" ht="35.05" hidden="false" customHeight="false" outlineLevel="0" collapsed="false">
      <c r="A2519" s="6" t="s">
        <v>5748</v>
      </c>
      <c r="B2519" s="6" t="s">
        <v>115</v>
      </c>
      <c r="C2519" s="6" t="s">
        <v>116</v>
      </c>
      <c r="D2519" s="6" t="s">
        <v>146</v>
      </c>
      <c r="E2519" s="6" t="s">
        <v>147</v>
      </c>
      <c r="F2519" s="6" t="s">
        <v>217</v>
      </c>
      <c r="G2519" s="6" t="s">
        <v>488</v>
      </c>
      <c r="H2519" s="6" t="s">
        <v>224</v>
      </c>
      <c r="I2519" s="6" t="s">
        <v>5749</v>
      </c>
      <c r="J2519" s="6" t="s">
        <v>250</v>
      </c>
      <c r="K2519" s="6" t="s">
        <v>5567</v>
      </c>
      <c r="L2519" s="6" t="s">
        <v>190</v>
      </c>
      <c r="M2519" s="6" t="s">
        <v>736</v>
      </c>
      <c r="N2519" s="6" t="s">
        <v>286</v>
      </c>
      <c r="O2519" s="6" t="s">
        <v>5514</v>
      </c>
      <c r="P2519" s="18" t="str">
        <f aca="false">IF(J2519="S0","—",IF(K2519="","",IF(L2519="E0","QM",INDEX(10_ASIL_Matrix!$D$4:$F$15,MATCH(J2519&amp;"-"&amp;L2519,10_ASIL_Matrix!$C$4:$C$15,0),MATCH(N2519,10_ASIL_Matrix!$D$3:$F$3,0)))))</f>
        <v>B</v>
      </c>
      <c r="Q2519" s="6" t="s">
        <v>448</v>
      </c>
    </row>
    <row r="2520" customFormat="false" ht="35.05" hidden="false" customHeight="false" outlineLevel="0" collapsed="false">
      <c r="A2520" s="5" t="s">
        <v>5750</v>
      </c>
      <c r="B2520" s="5" t="s">
        <v>115</v>
      </c>
      <c r="C2520" s="5" t="s">
        <v>116</v>
      </c>
      <c r="D2520" s="5" t="s">
        <v>146</v>
      </c>
      <c r="E2520" s="5" t="s">
        <v>147</v>
      </c>
      <c r="F2520" s="5" t="s">
        <v>217</v>
      </c>
      <c r="G2520" s="5" t="s">
        <v>488</v>
      </c>
      <c r="H2520" s="5" t="s">
        <v>226</v>
      </c>
      <c r="I2520" s="5" t="s">
        <v>5751</v>
      </c>
      <c r="J2520" s="5" t="s">
        <v>250</v>
      </c>
      <c r="K2520" s="5" t="s">
        <v>5567</v>
      </c>
      <c r="L2520" s="5" t="s">
        <v>190</v>
      </c>
      <c r="M2520" s="5" t="s">
        <v>739</v>
      </c>
      <c r="N2520" s="5" t="s">
        <v>286</v>
      </c>
      <c r="O2520" s="5" t="s">
        <v>5514</v>
      </c>
      <c r="P2520" s="18" t="str">
        <f aca="false">IF(J2520="S0","—",IF(K2520="","",IF(L2520="E0","QM",INDEX(10_ASIL_Matrix!$D$4:$F$15,MATCH(J2520&amp;"-"&amp;L2520,10_ASIL_Matrix!$C$4:$C$15,0),MATCH(N2520,10_ASIL_Matrix!$D$3:$F$3,0)))))</f>
        <v>B</v>
      </c>
      <c r="Q2520" s="5" t="s">
        <v>448</v>
      </c>
    </row>
    <row r="2521" customFormat="false" ht="35.05" hidden="false" customHeight="false" outlineLevel="0" collapsed="false">
      <c r="A2521" s="6" t="s">
        <v>5752</v>
      </c>
      <c r="B2521" s="6" t="s">
        <v>115</v>
      </c>
      <c r="C2521" s="6" t="s">
        <v>116</v>
      </c>
      <c r="D2521" s="6" t="s">
        <v>146</v>
      </c>
      <c r="E2521" s="6" t="s">
        <v>147</v>
      </c>
      <c r="F2521" s="6" t="s">
        <v>217</v>
      </c>
      <c r="G2521" s="6" t="s">
        <v>488</v>
      </c>
      <c r="H2521" s="6" t="s">
        <v>228</v>
      </c>
      <c r="I2521" s="6" t="s">
        <v>5753</v>
      </c>
      <c r="J2521" s="6" t="s">
        <v>250</v>
      </c>
      <c r="K2521" s="6" t="s">
        <v>5567</v>
      </c>
      <c r="L2521" s="6" t="s">
        <v>205</v>
      </c>
      <c r="M2521" s="6" t="s">
        <v>742</v>
      </c>
      <c r="N2521" s="6" t="s">
        <v>286</v>
      </c>
      <c r="O2521" s="6" t="s">
        <v>5514</v>
      </c>
      <c r="P2521" s="19" t="str">
        <f aca="false">IF(J2521="S0","—",IF(K2521="","",IF(L2521="E0","QM",INDEX(10_ASIL_Matrix!$D$4:$F$15,MATCH(J2521&amp;"-"&amp;L2521,10_ASIL_Matrix!$C$4:$C$15,0),MATCH(N2521,10_ASIL_Matrix!$D$3:$F$3,0)))))</f>
        <v>A</v>
      </c>
      <c r="Q2521" s="6" t="s">
        <v>448</v>
      </c>
    </row>
    <row r="2522" customFormat="false" ht="35.05" hidden="false" customHeight="false" outlineLevel="0" collapsed="false">
      <c r="A2522" s="5" t="s">
        <v>5754</v>
      </c>
      <c r="B2522" s="5" t="s">
        <v>115</v>
      </c>
      <c r="C2522" s="5" t="s">
        <v>116</v>
      </c>
      <c r="D2522" s="5" t="s">
        <v>146</v>
      </c>
      <c r="E2522" s="5" t="s">
        <v>147</v>
      </c>
      <c r="F2522" s="5" t="s">
        <v>217</v>
      </c>
      <c r="G2522" s="5" t="s">
        <v>488</v>
      </c>
      <c r="H2522" s="5" t="s">
        <v>230</v>
      </c>
      <c r="I2522" s="5" t="s">
        <v>5755</v>
      </c>
      <c r="J2522" s="5" t="s">
        <v>250</v>
      </c>
      <c r="K2522" s="5" t="s">
        <v>5567</v>
      </c>
      <c r="L2522" s="5" t="s">
        <v>205</v>
      </c>
      <c r="M2522" s="5" t="s">
        <v>745</v>
      </c>
      <c r="N2522" s="5" t="s">
        <v>290</v>
      </c>
      <c r="O2522" s="5" t="s">
        <v>5523</v>
      </c>
      <c r="P2522" s="18" t="str">
        <f aca="false">IF(J2522="S0","—",IF(K2522="","",IF(L2522="E0","QM",INDEX(10_ASIL_Matrix!$D$4:$F$15,MATCH(J2522&amp;"-"&amp;L2522,10_ASIL_Matrix!$C$4:$C$15,0),MATCH(N2522,10_ASIL_Matrix!$D$3:$F$3,0)))))</f>
        <v>B</v>
      </c>
      <c r="Q2522" s="5" t="s">
        <v>448</v>
      </c>
    </row>
    <row r="2523" customFormat="false" ht="46.25" hidden="false" customHeight="false" outlineLevel="0" collapsed="false">
      <c r="A2523" s="6" t="s">
        <v>5756</v>
      </c>
      <c r="B2523" s="6" t="s">
        <v>115</v>
      </c>
      <c r="C2523" s="6" t="s">
        <v>116</v>
      </c>
      <c r="D2523" s="6" t="s">
        <v>146</v>
      </c>
      <c r="E2523" s="6" t="s">
        <v>147</v>
      </c>
      <c r="F2523" s="6" t="s">
        <v>217</v>
      </c>
      <c r="G2523" s="6" t="s">
        <v>488</v>
      </c>
      <c r="H2523" s="6" t="s">
        <v>232</v>
      </c>
      <c r="I2523" s="6" t="s">
        <v>5757</v>
      </c>
      <c r="J2523" s="6" t="s">
        <v>250</v>
      </c>
      <c r="K2523" s="6" t="s">
        <v>5567</v>
      </c>
      <c r="L2523" s="6" t="s">
        <v>233</v>
      </c>
      <c r="M2523" s="6" t="s">
        <v>748</v>
      </c>
      <c r="N2523" s="6" t="s">
        <v>286</v>
      </c>
      <c r="O2523" s="6" t="s">
        <v>5514</v>
      </c>
      <c r="P2523" s="6" t="str">
        <f aca="false">IF(J2523="S0","—",IF(K2523="","",IF(L2523="E0","QM",INDEX(10_ASIL_Matrix!$D$4:$F$15,MATCH(J2523&amp;"-"&amp;L2523,10_ASIL_Matrix!$C$4:$C$15,0),MATCH(N2523,10_ASIL_Matrix!$D$3:$F$3,0)))))</f>
        <v>QM</v>
      </c>
      <c r="Q2523" s="6" t="s">
        <v>448</v>
      </c>
    </row>
    <row r="2524" customFormat="false" ht="35.05" hidden="false" customHeight="false" outlineLevel="0" collapsed="false">
      <c r="A2524" s="5" t="s">
        <v>5758</v>
      </c>
      <c r="B2524" s="5" t="s">
        <v>119</v>
      </c>
      <c r="C2524" s="5" t="s">
        <v>120</v>
      </c>
      <c r="D2524" s="5" t="s">
        <v>143</v>
      </c>
      <c r="E2524" s="5" t="s">
        <v>144</v>
      </c>
      <c r="F2524" s="5" t="s">
        <v>186</v>
      </c>
      <c r="G2524" s="5" t="s">
        <v>443</v>
      </c>
      <c r="H2524" s="5" t="s">
        <v>222</v>
      </c>
      <c r="I2524" s="5" t="s">
        <v>5759</v>
      </c>
      <c r="J2524" s="5" t="s">
        <v>238</v>
      </c>
      <c r="K2524" s="5" t="s">
        <v>5760</v>
      </c>
      <c r="L2524" s="5" t="s">
        <v>187</v>
      </c>
      <c r="M2524" s="5" t="s">
        <v>446</v>
      </c>
      <c r="N2524" s="5" t="s">
        <v>278</v>
      </c>
      <c r="O2524" s="5" t="s">
        <v>634</v>
      </c>
      <c r="P2524" s="5" t="str">
        <f aca="false">IF(J2524="S0","—",IF(K2524="","",IF(L2524="E0","QM",INDEX(10_ASIL_Matrix!$D$4:$F$15,MATCH(J2524&amp;"-"&amp;L2524,10_ASIL_Matrix!$C$4:$C$15,0),MATCH(N2524,10_ASIL_Matrix!$D$3:$F$3,0)))))</f>
        <v>—</v>
      </c>
      <c r="Q2524" s="5" t="s">
        <v>448</v>
      </c>
    </row>
    <row r="2525" customFormat="false" ht="35.05" hidden="false" customHeight="false" outlineLevel="0" collapsed="false">
      <c r="A2525" s="6" t="s">
        <v>5761</v>
      </c>
      <c r="B2525" s="6" t="s">
        <v>119</v>
      </c>
      <c r="C2525" s="6" t="s">
        <v>120</v>
      </c>
      <c r="D2525" s="6" t="s">
        <v>143</v>
      </c>
      <c r="E2525" s="6" t="s">
        <v>144</v>
      </c>
      <c r="F2525" s="6" t="s">
        <v>186</v>
      </c>
      <c r="G2525" s="6" t="s">
        <v>443</v>
      </c>
      <c r="H2525" s="6" t="s">
        <v>224</v>
      </c>
      <c r="I2525" s="6" t="s">
        <v>5762</v>
      </c>
      <c r="J2525" s="6" t="s">
        <v>238</v>
      </c>
      <c r="K2525" s="6" t="s">
        <v>5760</v>
      </c>
      <c r="L2525" s="6" t="s">
        <v>190</v>
      </c>
      <c r="M2525" s="6" t="s">
        <v>451</v>
      </c>
      <c r="N2525" s="6" t="s">
        <v>278</v>
      </c>
      <c r="O2525" s="6" t="s">
        <v>634</v>
      </c>
      <c r="P2525" s="6" t="str">
        <f aca="false">IF(J2525="S0","—",IF(K2525="","",IF(L2525="E0","QM",INDEX(10_ASIL_Matrix!$D$4:$F$15,MATCH(J2525&amp;"-"&amp;L2525,10_ASIL_Matrix!$C$4:$C$15,0),MATCH(N2525,10_ASIL_Matrix!$D$3:$F$3,0)))))</f>
        <v>—</v>
      </c>
      <c r="Q2525" s="6" t="s">
        <v>448</v>
      </c>
    </row>
    <row r="2526" customFormat="false" ht="35.05" hidden="false" customHeight="false" outlineLevel="0" collapsed="false">
      <c r="A2526" s="5" t="s">
        <v>5763</v>
      </c>
      <c r="B2526" s="5" t="s">
        <v>119</v>
      </c>
      <c r="C2526" s="5" t="s">
        <v>120</v>
      </c>
      <c r="D2526" s="5" t="s">
        <v>143</v>
      </c>
      <c r="E2526" s="5" t="s">
        <v>144</v>
      </c>
      <c r="F2526" s="5" t="s">
        <v>186</v>
      </c>
      <c r="G2526" s="5" t="s">
        <v>443</v>
      </c>
      <c r="H2526" s="5" t="s">
        <v>226</v>
      </c>
      <c r="I2526" s="5" t="s">
        <v>5764</v>
      </c>
      <c r="J2526" s="5" t="s">
        <v>238</v>
      </c>
      <c r="K2526" s="5" t="s">
        <v>5760</v>
      </c>
      <c r="L2526" s="5" t="s">
        <v>190</v>
      </c>
      <c r="M2526" s="5" t="s">
        <v>454</v>
      </c>
      <c r="N2526" s="5" t="s">
        <v>278</v>
      </c>
      <c r="O2526" s="5" t="s">
        <v>634</v>
      </c>
      <c r="P2526" s="5" t="str">
        <f aca="false">IF(J2526="S0","—",IF(K2526="","",IF(L2526="E0","QM",INDEX(10_ASIL_Matrix!$D$4:$F$15,MATCH(J2526&amp;"-"&amp;L2526,10_ASIL_Matrix!$C$4:$C$15,0),MATCH(N2526,10_ASIL_Matrix!$D$3:$F$3,0)))))</f>
        <v>—</v>
      </c>
      <c r="Q2526" s="5" t="s">
        <v>448</v>
      </c>
    </row>
    <row r="2527" customFormat="false" ht="35.05" hidden="false" customHeight="false" outlineLevel="0" collapsed="false">
      <c r="A2527" s="6" t="s">
        <v>5765</v>
      </c>
      <c r="B2527" s="6" t="s">
        <v>119</v>
      </c>
      <c r="C2527" s="6" t="s">
        <v>120</v>
      </c>
      <c r="D2527" s="6" t="s">
        <v>143</v>
      </c>
      <c r="E2527" s="6" t="s">
        <v>144</v>
      </c>
      <c r="F2527" s="6" t="s">
        <v>186</v>
      </c>
      <c r="G2527" s="6" t="s">
        <v>443</v>
      </c>
      <c r="H2527" s="6" t="s">
        <v>228</v>
      </c>
      <c r="I2527" s="6" t="s">
        <v>5766</v>
      </c>
      <c r="J2527" s="6" t="s">
        <v>238</v>
      </c>
      <c r="K2527" s="6" t="s">
        <v>5760</v>
      </c>
      <c r="L2527" s="6" t="s">
        <v>205</v>
      </c>
      <c r="M2527" s="6" t="s">
        <v>457</v>
      </c>
      <c r="N2527" s="6" t="s">
        <v>278</v>
      </c>
      <c r="O2527" s="6" t="s">
        <v>634</v>
      </c>
      <c r="P2527" s="6" t="str">
        <f aca="false">IF(J2527="S0","—",IF(K2527="","",IF(L2527="E0","QM",INDEX(10_ASIL_Matrix!$D$4:$F$15,MATCH(J2527&amp;"-"&amp;L2527,10_ASIL_Matrix!$C$4:$C$15,0),MATCH(N2527,10_ASIL_Matrix!$D$3:$F$3,0)))))</f>
        <v>—</v>
      </c>
      <c r="Q2527" s="6" t="s">
        <v>448</v>
      </c>
    </row>
    <row r="2528" customFormat="false" ht="35.05" hidden="false" customHeight="false" outlineLevel="0" collapsed="false">
      <c r="A2528" s="5" t="s">
        <v>5767</v>
      </c>
      <c r="B2528" s="5" t="s">
        <v>119</v>
      </c>
      <c r="C2528" s="5" t="s">
        <v>120</v>
      </c>
      <c r="D2528" s="5" t="s">
        <v>143</v>
      </c>
      <c r="E2528" s="5" t="s">
        <v>144</v>
      </c>
      <c r="F2528" s="5" t="s">
        <v>186</v>
      </c>
      <c r="G2528" s="5" t="s">
        <v>443</v>
      </c>
      <c r="H2528" s="5" t="s">
        <v>230</v>
      </c>
      <c r="I2528" s="5" t="s">
        <v>5768</v>
      </c>
      <c r="J2528" s="5" t="s">
        <v>238</v>
      </c>
      <c r="K2528" s="5" t="s">
        <v>5760</v>
      </c>
      <c r="L2528" s="5" t="s">
        <v>205</v>
      </c>
      <c r="M2528" s="5" t="s">
        <v>460</v>
      </c>
      <c r="N2528" s="5" t="s">
        <v>278</v>
      </c>
      <c r="O2528" s="5" t="s">
        <v>634</v>
      </c>
      <c r="P2528" s="5" t="str">
        <f aca="false">IF(J2528="S0","—",IF(K2528="","",IF(L2528="E0","QM",INDEX(10_ASIL_Matrix!$D$4:$F$15,MATCH(J2528&amp;"-"&amp;L2528,10_ASIL_Matrix!$C$4:$C$15,0),MATCH(N2528,10_ASIL_Matrix!$D$3:$F$3,0)))))</f>
        <v>—</v>
      </c>
      <c r="Q2528" s="5" t="s">
        <v>448</v>
      </c>
    </row>
    <row r="2529" customFormat="false" ht="46.25" hidden="false" customHeight="false" outlineLevel="0" collapsed="false">
      <c r="A2529" s="6" t="s">
        <v>5769</v>
      </c>
      <c r="B2529" s="6" t="s">
        <v>119</v>
      </c>
      <c r="C2529" s="6" t="s">
        <v>120</v>
      </c>
      <c r="D2529" s="6" t="s">
        <v>143</v>
      </c>
      <c r="E2529" s="6" t="s">
        <v>144</v>
      </c>
      <c r="F2529" s="6" t="s">
        <v>186</v>
      </c>
      <c r="G2529" s="6" t="s">
        <v>443</v>
      </c>
      <c r="H2529" s="6" t="s">
        <v>232</v>
      </c>
      <c r="I2529" s="6" t="s">
        <v>5770</v>
      </c>
      <c r="J2529" s="6" t="s">
        <v>238</v>
      </c>
      <c r="K2529" s="6" t="s">
        <v>5760</v>
      </c>
      <c r="L2529" s="6" t="s">
        <v>233</v>
      </c>
      <c r="M2529" s="6" t="s">
        <v>464</v>
      </c>
      <c r="N2529" s="6" t="s">
        <v>278</v>
      </c>
      <c r="O2529" s="6" t="s">
        <v>634</v>
      </c>
      <c r="P2529" s="6" t="str">
        <f aca="false">IF(J2529="S0","—",IF(K2529="","",IF(L2529="E0","QM",INDEX(10_ASIL_Matrix!$D$4:$F$15,MATCH(J2529&amp;"-"&amp;L2529,10_ASIL_Matrix!$C$4:$C$15,0),MATCH(N2529,10_ASIL_Matrix!$D$3:$F$3,0)))))</f>
        <v>—</v>
      </c>
      <c r="Q2529" s="6" t="s">
        <v>448</v>
      </c>
    </row>
    <row r="2530" customFormat="false" ht="35.05" hidden="false" customHeight="false" outlineLevel="0" collapsed="false">
      <c r="A2530" s="5" t="s">
        <v>5771</v>
      </c>
      <c r="B2530" s="5" t="s">
        <v>119</v>
      </c>
      <c r="C2530" s="5" t="s">
        <v>120</v>
      </c>
      <c r="D2530" s="5" t="s">
        <v>143</v>
      </c>
      <c r="E2530" s="5" t="s">
        <v>144</v>
      </c>
      <c r="F2530" s="5" t="s">
        <v>189</v>
      </c>
      <c r="G2530" s="5" t="s">
        <v>466</v>
      </c>
      <c r="H2530" s="5" t="s">
        <v>222</v>
      </c>
      <c r="I2530" s="5" t="s">
        <v>5772</v>
      </c>
      <c r="J2530" s="5" t="s">
        <v>238</v>
      </c>
      <c r="K2530" s="5" t="s">
        <v>5760</v>
      </c>
      <c r="L2530" s="5" t="s">
        <v>190</v>
      </c>
      <c r="M2530" s="5" t="s">
        <v>469</v>
      </c>
      <c r="N2530" s="5" t="s">
        <v>278</v>
      </c>
      <c r="O2530" s="5" t="s">
        <v>634</v>
      </c>
      <c r="P2530" s="5" t="str">
        <f aca="false">IF(J2530="S0","—",IF(K2530="","",IF(L2530="E0","QM",INDEX(10_ASIL_Matrix!$D$4:$F$15,MATCH(J2530&amp;"-"&amp;L2530,10_ASIL_Matrix!$C$4:$C$15,0),MATCH(N2530,10_ASIL_Matrix!$D$3:$F$3,0)))))</f>
        <v>—</v>
      </c>
      <c r="Q2530" s="5" t="s">
        <v>448</v>
      </c>
    </row>
    <row r="2531" customFormat="false" ht="35.05" hidden="false" customHeight="false" outlineLevel="0" collapsed="false">
      <c r="A2531" s="6" t="s">
        <v>5773</v>
      </c>
      <c r="B2531" s="6" t="s">
        <v>119</v>
      </c>
      <c r="C2531" s="6" t="s">
        <v>120</v>
      </c>
      <c r="D2531" s="6" t="s">
        <v>143</v>
      </c>
      <c r="E2531" s="6" t="s">
        <v>144</v>
      </c>
      <c r="F2531" s="6" t="s">
        <v>189</v>
      </c>
      <c r="G2531" s="6" t="s">
        <v>466</v>
      </c>
      <c r="H2531" s="6" t="s">
        <v>224</v>
      </c>
      <c r="I2531" s="6" t="s">
        <v>5774</v>
      </c>
      <c r="J2531" s="6" t="s">
        <v>238</v>
      </c>
      <c r="K2531" s="6" t="s">
        <v>5760</v>
      </c>
      <c r="L2531" s="6" t="s">
        <v>190</v>
      </c>
      <c r="M2531" s="6" t="s">
        <v>473</v>
      </c>
      <c r="N2531" s="6" t="s">
        <v>278</v>
      </c>
      <c r="O2531" s="6" t="s">
        <v>634</v>
      </c>
      <c r="P2531" s="6" t="str">
        <f aca="false">IF(J2531="S0","—",IF(K2531="","",IF(L2531="E0","QM",INDEX(10_ASIL_Matrix!$D$4:$F$15,MATCH(J2531&amp;"-"&amp;L2531,10_ASIL_Matrix!$C$4:$C$15,0),MATCH(N2531,10_ASIL_Matrix!$D$3:$F$3,0)))))</f>
        <v>—</v>
      </c>
      <c r="Q2531" s="6" t="s">
        <v>448</v>
      </c>
    </row>
    <row r="2532" customFormat="false" ht="35.05" hidden="false" customHeight="false" outlineLevel="0" collapsed="false">
      <c r="A2532" s="5" t="s">
        <v>5775</v>
      </c>
      <c r="B2532" s="5" t="s">
        <v>119</v>
      </c>
      <c r="C2532" s="5" t="s">
        <v>120</v>
      </c>
      <c r="D2532" s="5" t="s">
        <v>143</v>
      </c>
      <c r="E2532" s="5" t="s">
        <v>144</v>
      </c>
      <c r="F2532" s="5" t="s">
        <v>189</v>
      </c>
      <c r="G2532" s="5" t="s">
        <v>466</v>
      </c>
      <c r="H2532" s="5" t="s">
        <v>226</v>
      </c>
      <c r="I2532" s="5" t="s">
        <v>5776</v>
      </c>
      <c r="J2532" s="5" t="s">
        <v>238</v>
      </c>
      <c r="K2532" s="5" t="s">
        <v>5760</v>
      </c>
      <c r="L2532" s="5" t="s">
        <v>190</v>
      </c>
      <c r="M2532" s="5" t="s">
        <v>476</v>
      </c>
      <c r="N2532" s="5" t="s">
        <v>278</v>
      </c>
      <c r="O2532" s="5" t="s">
        <v>634</v>
      </c>
      <c r="P2532" s="5" t="str">
        <f aca="false">IF(J2532="S0","—",IF(K2532="","",IF(L2532="E0","QM",INDEX(10_ASIL_Matrix!$D$4:$F$15,MATCH(J2532&amp;"-"&amp;L2532,10_ASIL_Matrix!$C$4:$C$15,0),MATCH(N2532,10_ASIL_Matrix!$D$3:$F$3,0)))))</f>
        <v>—</v>
      </c>
      <c r="Q2532" s="5" t="s">
        <v>448</v>
      </c>
    </row>
    <row r="2533" customFormat="false" ht="35.05" hidden="false" customHeight="false" outlineLevel="0" collapsed="false">
      <c r="A2533" s="6" t="s">
        <v>5777</v>
      </c>
      <c r="B2533" s="6" t="s">
        <v>119</v>
      </c>
      <c r="C2533" s="6" t="s">
        <v>120</v>
      </c>
      <c r="D2533" s="6" t="s">
        <v>143</v>
      </c>
      <c r="E2533" s="6" t="s">
        <v>144</v>
      </c>
      <c r="F2533" s="6" t="s">
        <v>189</v>
      </c>
      <c r="G2533" s="6" t="s">
        <v>466</v>
      </c>
      <c r="H2533" s="6" t="s">
        <v>228</v>
      </c>
      <c r="I2533" s="6" t="s">
        <v>5778</v>
      </c>
      <c r="J2533" s="6" t="s">
        <v>238</v>
      </c>
      <c r="K2533" s="6" t="s">
        <v>5760</v>
      </c>
      <c r="L2533" s="6" t="s">
        <v>205</v>
      </c>
      <c r="M2533" s="6" t="s">
        <v>479</v>
      </c>
      <c r="N2533" s="6" t="s">
        <v>278</v>
      </c>
      <c r="O2533" s="6" t="s">
        <v>634</v>
      </c>
      <c r="P2533" s="6" t="str">
        <f aca="false">IF(J2533="S0","—",IF(K2533="","",IF(L2533="E0","QM",INDEX(10_ASIL_Matrix!$D$4:$F$15,MATCH(J2533&amp;"-"&amp;L2533,10_ASIL_Matrix!$C$4:$C$15,0),MATCH(N2533,10_ASIL_Matrix!$D$3:$F$3,0)))))</f>
        <v>—</v>
      </c>
      <c r="Q2533" s="6" t="s">
        <v>448</v>
      </c>
    </row>
    <row r="2534" customFormat="false" ht="35.05" hidden="false" customHeight="false" outlineLevel="0" collapsed="false">
      <c r="A2534" s="5" t="s">
        <v>5779</v>
      </c>
      <c r="B2534" s="5" t="s">
        <v>119</v>
      </c>
      <c r="C2534" s="5" t="s">
        <v>120</v>
      </c>
      <c r="D2534" s="5" t="s">
        <v>143</v>
      </c>
      <c r="E2534" s="5" t="s">
        <v>144</v>
      </c>
      <c r="F2534" s="5" t="s">
        <v>189</v>
      </c>
      <c r="G2534" s="5" t="s">
        <v>466</v>
      </c>
      <c r="H2534" s="5" t="s">
        <v>230</v>
      </c>
      <c r="I2534" s="5" t="s">
        <v>5780</v>
      </c>
      <c r="J2534" s="5" t="s">
        <v>238</v>
      </c>
      <c r="K2534" s="5" t="s">
        <v>5760</v>
      </c>
      <c r="L2534" s="5" t="s">
        <v>205</v>
      </c>
      <c r="M2534" s="5" t="s">
        <v>482</v>
      </c>
      <c r="N2534" s="5" t="s">
        <v>278</v>
      </c>
      <c r="O2534" s="5" t="s">
        <v>634</v>
      </c>
      <c r="P2534" s="5" t="str">
        <f aca="false">IF(J2534="S0","—",IF(K2534="","",IF(L2534="E0","QM",INDEX(10_ASIL_Matrix!$D$4:$F$15,MATCH(J2534&amp;"-"&amp;L2534,10_ASIL_Matrix!$C$4:$C$15,0),MATCH(N2534,10_ASIL_Matrix!$D$3:$F$3,0)))))</f>
        <v>—</v>
      </c>
      <c r="Q2534" s="5" t="s">
        <v>448</v>
      </c>
    </row>
    <row r="2535" customFormat="false" ht="46.25" hidden="false" customHeight="false" outlineLevel="0" collapsed="false">
      <c r="A2535" s="6" t="s">
        <v>5781</v>
      </c>
      <c r="B2535" s="6" t="s">
        <v>119</v>
      </c>
      <c r="C2535" s="6" t="s">
        <v>120</v>
      </c>
      <c r="D2535" s="6" t="s">
        <v>143</v>
      </c>
      <c r="E2535" s="6" t="s">
        <v>144</v>
      </c>
      <c r="F2535" s="6" t="s">
        <v>189</v>
      </c>
      <c r="G2535" s="6" t="s">
        <v>466</v>
      </c>
      <c r="H2535" s="6" t="s">
        <v>232</v>
      </c>
      <c r="I2535" s="6" t="s">
        <v>5782</v>
      </c>
      <c r="J2535" s="6" t="s">
        <v>238</v>
      </c>
      <c r="K2535" s="6" t="s">
        <v>5760</v>
      </c>
      <c r="L2535" s="6" t="s">
        <v>233</v>
      </c>
      <c r="M2535" s="6" t="s">
        <v>486</v>
      </c>
      <c r="N2535" s="6" t="s">
        <v>278</v>
      </c>
      <c r="O2535" s="6" t="s">
        <v>634</v>
      </c>
      <c r="P2535" s="6" t="str">
        <f aca="false">IF(J2535="S0","—",IF(K2535="","",IF(L2535="E0","QM",INDEX(10_ASIL_Matrix!$D$4:$F$15,MATCH(J2535&amp;"-"&amp;L2535,10_ASIL_Matrix!$C$4:$C$15,0),MATCH(N2535,10_ASIL_Matrix!$D$3:$F$3,0)))))</f>
        <v>—</v>
      </c>
      <c r="Q2535" s="6" t="s">
        <v>448</v>
      </c>
    </row>
    <row r="2536" customFormat="false" ht="35.05" hidden="false" customHeight="false" outlineLevel="0" collapsed="false">
      <c r="A2536" s="5" t="s">
        <v>5783</v>
      </c>
      <c r="B2536" s="5" t="s">
        <v>119</v>
      </c>
      <c r="C2536" s="5" t="s">
        <v>120</v>
      </c>
      <c r="D2536" s="5" t="s">
        <v>143</v>
      </c>
      <c r="E2536" s="5" t="s">
        <v>144</v>
      </c>
      <c r="F2536" s="5" t="s">
        <v>192</v>
      </c>
      <c r="G2536" s="5" t="s">
        <v>488</v>
      </c>
      <c r="H2536" s="5" t="s">
        <v>222</v>
      </c>
      <c r="I2536" s="5" t="s">
        <v>5784</v>
      </c>
      <c r="J2536" s="5" t="s">
        <v>238</v>
      </c>
      <c r="K2536" s="5" t="s">
        <v>5760</v>
      </c>
      <c r="L2536" s="5" t="s">
        <v>187</v>
      </c>
      <c r="M2536" s="5" t="s">
        <v>491</v>
      </c>
      <c r="N2536" s="5" t="s">
        <v>278</v>
      </c>
      <c r="O2536" s="5" t="s">
        <v>634</v>
      </c>
      <c r="P2536" s="5" t="str">
        <f aca="false">IF(J2536="S0","—",IF(K2536="","",IF(L2536="E0","QM",INDEX(10_ASIL_Matrix!$D$4:$F$15,MATCH(J2536&amp;"-"&amp;L2536,10_ASIL_Matrix!$C$4:$C$15,0),MATCH(N2536,10_ASIL_Matrix!$D$3:$F$3,0)))))</f>
        <v>—</v>
      </c>
      <c r="Q2536" s="5" t="s">
        <v>448</v>
      </c>
    </row>
    <row r="2537" customFormat="false" ht="35.05" hidden="false" customHeight="false" outlineLevel="0" collapsed="false">
      <c r="A2537" s="6" t="s">
        <v>5785</v>
      </c>
      <c r="B2537" s="6" t="s">
        <v>119</v>
      </c>
      <c r="C2537" s="6" t="s">
        <v>120</v>
      </c>
      <c r="D2537" s="6" t="s">
        <v>143</v>
      </c>
      <c r="E2537" s="6" t="s">
        <v>144</v>
      </c>
      <c r="F2537" s="6" t="s">
        <v>192</v>
      </c>
      <c r="G2537" s="6" t="s">
        <v>488</v>
      </c>
      <c r="H2537" s="6" t="s">
        <v>224</v>
      </c>
      <c r="I2537" s="6" t="s">
        <v>5786</v>
      </c>
      <c r="J2537" s="6" t="s">
        <v>238</v>
      </c>
      <c r="K2537" s="6" t="s">
        <v>5760</v>
      </c>
      <c r="L2537" s="6" t="s">
        <v>190</v>
      </c>
      <c r="M2537" s="6" t="s">
        <v>494</v>
      </c>
      <c r="N2537" s="6" t="s">
        <v>278</v>
      </c>
      <c r="O2537" s="6" t="s">
        <v>634</v>
      </c>
      <c r="P2537" s="6" t="str">
        <f aca="false">IF(J2537="S0","—",IF(K2537="","",IF(L2537="E0","QM",INDEX(10_ASIL_Matrix!$D$4:$F$15,MATCH(J2537&amp;"-"&amp;L2537,10_ASIL_Matrix!$C$4:$C$15,0),MATCH(N2537,10_ASIL_Matrix!$D$3:$F$3,0)))))</f>
        <v>—</v>
      </c>
      <c r="Q2537" s="6" t="s">
        <v>448</v>
      </c>
    </row>
    <row r="2538" customFormat="false" ht="35.05" hidden="false" customHeight="false" outlineLevel="0" collapsed="false">
      <c r="A2538" s="5" t="s">
        <v>5787</v>
      </c>
      <c r="B2538" s="5" t="s">
        <v>119</v>
      </c>
      <c r="C2538" s="5" t="s">
        <v>120</v>
      </c>
      <c r="D2538" s="5" t="s">
        <v>143</v>
      </c>
      <c r="E2538" s="5" t="s">
        <v>144</v>
      </c>
      <c r="F2538" s="5" t="s">
        <v>192</v>
      </c>
      <c r="G2538" s="5" t="s">
        <v>488</v>
      </c>
      <c r="H2538" s="5" t="s">
        <v>226</v>
      </c>
      <c r="I2538" s="5" t="s">
        <v>5788</v>
      </c>
      <c r="J2538" s="5" t="s">
        <v>238</v>
      </c>
      <c r="K2538" s="5" t="s">
        <v>5760</v>
      </c>
      <c r="L2538" s="5" t="s">
        <v>190</v>
      </c>
      <c r="M2538" s="5" t="s">
        <v>497</v>
      </c>
      <c r="N2538" s="5" t="s">
        <v>278</v>
      </c>
      <c r="O2538" s="5" t="s">
        <v>634</v>
      </c>
      <c r="P2538" s="5" t="str">
        <f aca="false">IF(J2538="S0","—",IF(K2538="","",IF(L2538="E0","QM",INDEX(10_ASIL_Matrix!$D$4:$F$15,MATCH(J2538&amp;"-"&amp;L2538,10_ASIL_Matrix!$C$4:$C$15,0),MATCH(N2538,10_ASIL_Matrix!$D$3:$F$3,0)))))</f>
        <v>—</v>
      </c>
      <c r="Q2538" s="5" t="s">
        <v>448</v>
      </c>
    </row>
    <row r="2539" customFormat="false" ht="35.05" hidden="false" customHeight="false" outlineLevel="0" collapsed="false">
      <c r="A2539" s="6" t="s">
        <v>5789</v>
      </c>
      <c r="B2539" s="6" t="s">
        <v>119</v>
      </c>
      <c r="C2539" s="6" t="s">
        <v>120</v>
      </c>
      <c r="D2539" s="6" t="s">
        <v>143</v>
      </c>
      <c r="E2539" s="6" t="s">
        <v>144</v>
      </c>
      <c r="F2539" s="6" t="s">
        <v>192</v>
      </c>
      <c r="G2539" s="6" t="s">
        <v>488</v>
      </c>
      <c r="H2539" s="6" t="s">
        <v>228</v>
      </c>
      <c r="I2539" s="6" t="s">
        <v>5790</v>
      </c>
      <c r="J2539" s="6" t="s">
        <v>238</v>
      </c>
      <c r="K2539" s="6" t="s">
        <v>5760</v>
      </c>
      <c r="L2539" s="6" t="s">
        <v>205</v>
      </c>
      <c r="M2539" s="6" t="s">
        <v>500</v>
      </c>
      <c r="N2539" s="6" t="s">
        <v>278</v>
      </c>
      <c r="O2539" s="6" t="s">
        <v>634</v>
      </c>
      <c r="P2539" s="6" t="str">
        <f aca="false">IF(J2539="S0","—",IF(K2539="","",IF(L2539="E0","QM",INDEX(10_ASIL_Matrix!$D$4:$F$15,MATCH(J2539&amp;"-"&amp;L2539,10_ASIL_Matrix!$C$4:$C$15,0),MATCH(N2539,10_ASIL_Matrix!$D$3:$F$3,0)))))</f>
        <v>—</v>
      </c>
      <c r="Q2539" s="6" t="s">
        <v>448</v>
      </c>
    </row>
    <row r="2540" customFormat="false" ht="35.05" hidden="false" customHeight="false" outlineLevel="0" collapsed="false">
      <c r="A2540" s="5" t="s">
        <v>5791</v>
      </c>
      <c r="B2540" s="5" t="s">
        <v>119</v>
      </c>
      <c r="C2540" s="5" t="s">
        <v>120</v>
      </c>
      <c r="D2540" s="5" t="s">
        <v>143</v>
      </c>
      <c r="E2540" s="5" t="s">
        <v>144</v>
      </c>
      <c r="F2540" s="5" t="s">
        <v>192</v>
      </c>
      <c r="G2540" s="5" t="s">
        <v>488</v>
      </c>
      <c r="H2540" s="5" t="s">
        <v>230</v>
      </c>
      <c r="I2540" s="5" t="s">
        <v>5792</v>
      </c>
      <c r="J2540" s="5" t="s">
        <v>238</v>
      </c>
      <c r="K2540" s="5" t="s">
        <v>5760</v>
      </c>
      <c r="L2540" s="5" t="s">
        <v>205</v>
      </c>
      <c r="M2540" s="5" t="s">
        <v>503</v>
      </c>
      <c r="N2540" s="5" t="s">
        <v>278</v>
      </c>
      <c r="O2540" s="5" t="s">
        <v>634</v>
      </c>
      <c r="P2540" s="5" t="str">
        <f aca="false">IF(J2540="S0","—",IF(K2540="","",IF(L2540="E0","QM",INDEX(10_ASIL_Matrix!$D$4:$F$15,MATCH(J2540&amp;"-"&amp;L2540,10_ASIL_Matrix!$C$4:$C$15,0),MATCH(N2540,10_ASIL_Matrix!$D$3:$F$3,0)))))</f>
        <v>—</v>
      </c>
      <c r="Q2540" s="5" t="s">
        <v>448</v>
      </c>
    </row>
    <row r="2541" customFormat="false" ht="46.25" hidden="false" customHeight="false" outlineLevel="0" collapsed="false">
      <c r="A2541" s="6" t="s">
        <v>5793</v>
      </c>
      <c r="B2541" s="6" t="s">
        <v>119</v>
      </c>
      <c r="C2541" s="6" t="s">
        <v>120</v>
      </c>
      <c r="D2541" s="6" t="s">
        <v>143</v>
      </c>
      <c r="E2541" s="6" t="s">
        <v>144</v>
      </c>
      <c r="F2541" s="6" t="s">
        <v>192</v>
      </c>
      <c r="G2541" s="6" t="s">
        <v>488</v>
      </c>
      <c r="H2541" s="6" t="s">
        <v>232</v>
      </c>
      <c r="I2541" s="6" t="s">
        <v>5794</v>
      </c>
      <c r="J2541" s="6" t="s">
        <v>238</v>
      </c>
      <c r="K2541" s="6" t="s">
        <v>5760</v>
      </c>
      <c r="L2541" s="6" t="s">
        <v>233</v>
      </c>
      <c r="M2541" s="6" t="s">
        <v>506</v>
      </c>
      <c r="N2541" s="6" t="s">
        <v>278</v>
      </c>
      <c r="O2541" s="6" t="s">
        <v>634</v>
      </c>
      <c r="P2541" s="6" t="str">
        <f aca="false">IF(J2541="S0","—",IF(K2541="","",IF(L2541="E0","QM",INDEX(10_ASIL_Matrix!$D$4:$F$15,MATCH(J2541&amp;"-"&amp;L2541,10_ASIL_Matrix!$C$4:$C$15,0),MATCH(N2541,10_ASIL_Matrix!$D$3:$F$3,0)))))</f>
        <v>—</v>
      </c>
      <c r="Q2541" s="6" t="s">
        <v>448</v>
      </c>
    </row>
    <row r="2542" customFormat="false" ht="35.05" hidden="false" customHeight="false" outlineLevel="0" collapsed="false">
      <c r="A2542" s="5" t="s">
        <v>5795</v>
      </c>
      <c r="B2542" s="5" t="s">
        <v>119</v>
      </c>
      <c r="C2542" s="5" t="s">
        <v>120</v>
      </c>
      <c r="D2542" s="5" t="s">
        <v>143</v>
      </c>
      <c r="E2542" s="5" t="s">
        <v>144</v>
      </c>
      <c r="F2542" s="5" t="s">
        <v>194</v>
      </c>
      <c r="G2542" s="5" t="s">
        <v>508</v>
      </c>
      <c r="H2542" s="5" t="s">
        <v>222</v>
      </c>
      <c r="I2542" s="5" t="s">
        <v>5796</v>
      </c>
      <c r="J2542" s="5" t="s">
        <v>238</v>
      </c>
      <c r="K2542" s="5" t="s">
        <v>5760</v>
      </c>
      <c r="L2542" s="5" t="s">
        <v>190</v>
      </c>
      <c r="M2542" s="5" t="s">
        <v>511</v>
      </c>
      <c r="N2542" s="5" t="s">
        <v>278</v>
      </c>
      <c r="O2542" s="5" t="s">
        <v>634</v>
      </c>
      <c r="P2542" s="5" t="str">
        <f aca="false">IF(J2542="S0","—",IF(K2542="","",IF(L2542="E0","QM",INDEX(10_ASIL_Matrix!$D$4:$F$15,MATCH(J2542&amp;"-"&amp;L2542,10_ASIL_Matrix!$C$4:$C$15,0),MATCH(N2542,10_ASIL_Matrix!$D$3:$F$3,0)))))</f>
        <v>—</v>
      </c>
      <c r="Q2542" s="5" t="s">
        <v>448</v>
      </c>
    </row>
    <row r="2543" customFormat="false" ht="35.05" hidden="false" customHeight="false" outlineLevel="0" collapsed="false">
      <c r="A2543" s="6" t="s">
        <v>5797</v>
      </c>
      <c r="B2543" s="6" t="s">
        <v>119</v>
      </c>
      <c r="C2543" s="6" t="s">
        <v>120</v>
      </c>
      <c r="D2543" s="6" t="s">
        <v>143</v>
      </c>
      <c r="E2543" s="6" t="s">
        <v>144</v>
      </c>
      <c r="F2543" s="6" t="s">
        <v>194</v>
      </c>
      <c r="G2543" s="6" t="s">
        <v>508</v>
      </c>
      <c r="H2543" s="6" t="s">
        <v>224</v>
      </c>
      <c r="I2543" s="6" t="s">
        <v>5798</v>
      </c>
      <c r="J2543" s="6" t="s">
        <v>238</v>
      </c>
      <c r="K2543" s="6" t="s">
        <v>5760</v>
      </c>
      <c r="L2543" s="6" t="s">
        <v>190</v>
      </c>
      <c r="M2543" s="6" t="s">
        <v>514</v>
      </c>
      <c r="N2543" s="6" t="s">
        <v>278</v>
      </c>
      <c r="O2543" s="6" t="s">
        <v>634</v>
      </c>
      <c r="P2543" s="6" t="str">
        <f aca="false">IF(J2543="S0","—",IF(K2543="","",IF(L2543="E0","QM",INDEX(10_ASIL_Matrix!$D$4:$F$15,MATCH(J2543&amp;"-"&amp;L2543,10_ASIL_Matrix!$C$4:$C$15,0),MATCH(N2543,10_ASIL_Matrix!$D$3:$F$3,0)))))</f>
        <v>—</v>
      </c>
      <c r="Q2543" s="6" t="s">
        <v>448</v>
      </c>
    </row>
    <row r="2544" customFormat="false" ht="35.05" hidden="false" customHeight="false" outlineLevel="0" collapsed="false">
      <c r="A2544" s="5" t="s">
        <v>5799</v>
      </c>
      <c r="B2544" s="5" t="s">
        <v>119</v>
      </c>
      <c r="C2544" s="5" t="s">
        <v>120</v>
      </c>
      <c r="D2544" s="5" t="s">
        <v>143</v>
      </c>
      <c r="E2544" s="5" t="s">
        <v>144</v>
      </c>
      <c r="F2544" s="5" t="s">
        <v>194</v>
      </c>
      <c r="G2544" s="5" t="s">
        <v>508</v>
      </c>
      <c r="H2544" s="5" t="s">
        <v>226</v>
      </c>
      <c r="I2544" s="5" t="s">
        <v>5800</v>
      </c>
      <c r="J2544" s="5" t="s">
        <v>238</v>
      </c>
      <c r="K2544" s="5" t="s">
        <v>5760</v>
      </c>
      <c r="L2544" s="5" t="s">
        <v>190</v>
      </c>
      <c r="M2544" s="5" t="s">
        <v>517</v>
      </c>
      <c r="N2544" s="5" t="s">
        <v>278</v>
      </c>
      <c r="O2544" s="5" t="s">
        <v>634</v>
      </c>
      <c r="P2544" s="5" t="str">
        <f aca="false">IF(J2544="S0","—",IF(K2544="","",IF(L2544="E0","QM",INDEX(10_ASIL_Matrix!$D$4:$F$15,MATCH(J2544&amp;"-"&amp;L2544,10_ASIL_Matrix!$C$4:$C$15,0),MATCH(N2544,10_ASIL_Matrix!$D$3:$F$3,0)))))</f>
        <v>—</v>
      </c>
      <c r="Q2544" s="5" t="s">
        <v>448</v>
      </c>
    </row>
    <row r="2545" customFormat="false" ht="35.05" hidden="false" customHeight="false" outlineLevel="0" collapsed="false">
      <c r="A2545" s="6" t="s">
        <v>5801</v>
      </c>
      <c r="B2545" s="6" t="s">
        <v>119</v>
      </c>
      <c r="C2545" s="6" t="s">
        <v>120</v>
      </c>
      <c r="D2545" s="6" t="s">
        <v>143</v>
      </c>
      <c r="E2545" s="6" t="s">
        <v>144</v>
      </c>
      <c r="F2545" s="6" t="s">
        <v>194</v>
      </c>
      <c r="G2545" s="6" t="s">
        <v>508</v>
      </c>
      <c r="H2545" s="6" t="s">
        <v>228</v>
      </c>
      <c r="I2545" s="6" t="s">
        <v>5802</v>
      </c>
      <c r="J2545" s="6" t="s">
        <v>238</v>
      </c>
      <c r="K2545" s="6" t="s">
        <v>5760</v>
      </c>
      <c r="L2545" s="6" t="s">
        <v>205</v>
      </c>
      <c r="M2545" s="6" t="s">
        <v>520</v>
      </c>
      <c r="N2545" s="6" t="s">
        <v>278</v>
      </c>
      <c r="O2545" s="6" t="s">
        <v>634</v>
      </c>
      <c r="P2545" s="6" t="str">
        <f aca="false">IF(J2545="S0","—",IF(K2545="","",IF(L2545="E0","QM",INDEX(10_ASIL_Matrix!$D$4:$F$15,MATCH(J2545&amp;"-"&amp;L2545,10_ASIL_Matrix!$C$4:$C$15,0),MATCH(N2545,10_ASIL_Matrix!$D$3:$F$3,0)))))</f>
        <v>—</v>
      </c>
      <c r="Q2545" s="6" t="s">
        <v>448</v>
      </c>
    </row>
    <row r="2546" customFormat="false" ht="35.05" hidden="false" customHeight="false" outlineLevel="0" collapsed="false">
      <c r="A2546" s="5" t="s">
        <v>5803</v>
      </c>
      <c r="B2546" s="5" t="s">
        <v>119</v>
      </c>
      <c r="C2546" s="5" t="s">
        <v>120</v>
      </c>
      <c r="D2546" s="5" t="s">
        <v>143</v>
      </c>
      <c r="E2546" s="5" t="s">
        <v>144</v>
      </c>
      <c r="F2546" s="5" t="s">
        <v>194</v>
      </c>
      <c r="G2546" s="5" t="s">
        <v>508</v>
      </c>
      <c r="H2546" s="5" t="s">
        <v>230</v>
      </c>
      <c r="I2546" s="5" t="s">
        <v>5804</v>
      </c>
      <c r="J2546" s="5" t="s">
        <v>238</v>
      </c>
      <c r="K2546" s="5" t="s">
        <v>5760</v>
      </c>
      <c r="L2546" s="5" t="s">
        <v>205</v>
      </c>
      <c r="M2546" s="5" t="s">
        <v>523</v>
      </c>
      <c r="N2546" s="5" t="s">
        <v>278</v>
      </c>
      <c r="O2546" s="5" t="s">
        <v>634</v>
      </c>
      <c r="P2546" s="5" t="str">
        <f aca="false">IF(J2546="S0","—",IF(K2546="","",IF(L2546="E0","QM",INDEX(10_ASIL_Matrix!$D$4:$F$15,MATCH(J2546&amp;"-"&amp;L2546,10_ASIL_Matrix!$C$4:$C$15,0),MATCH(N2546,10_ASIL_Matrix!$D$3:$F$3,0)))))</f>
        <v>—</v>
      </c>
      <c r="Q2546" s="5" t="s">
        <v>448</v>
      </c>
    </row>
    <row r="2547" customFormat="false" ht="46.25" hidden="false" customHeight="false" outlineLevel="0" collapsed="false">
      <c r="A2547" s="6" t="s">
        <v>5805</v>
      </c>
      <c r="B2547" s="6" t="s">
        <v>119</v>
      </c>
      <c r="C2547" s="6" t="s">
        <v>120</v>
      </c>
      <c r="D2547" s="6" t="s">
        <v>143</v>
      </c>
      <c r="E2547" s="6" t="s">
        <v>144</v>
      </c>
      <c r="F2547" s="6" t="s">
        <v>194</v>
      </c>
      <c r="G2547" s="6" t="s">
        <v>508</v>
      </c>
      <c r="H2547" s="6" t="s">
        <v>232</v>
      </c>
      <c r="I2547" s="6" t="s">
        <v>5806</v>
      </c>
      <c r="J2547" s="6" t="s">
        <v>238</v>
      </c>
      <c r="K2547" s="6" t="s">
        <v>5760</v>
      </c>
      <c r="L2547" s="6" t="s">
        <v>233</v>
      </c>
      <c r="M2547" s="6" t="s">
        <v>526</v>
      </c>
      <c r="N2547" s="6" t="s">
        <v>278</v>
      </c>
      <c r="O2547" s="6" t="s">
        <v>634</v>
      </c>
      <c r="P2547" s="6" t="str">
        <f aca="false">IF(J2547="S0","—",IF(K2547="","",IF(L2547="E0","QM",INDEX(10_ASIL_Matrix!$D$4:$F$15,MATCH(J2547&amp;"-"&amp;L2547,10_ASIL_Matrix!$C$4:$C$15,0),MATCH(N2547,10_ASIL_Matrix!$D$3:$F$3,0)))))</f>
        <v>—</v>
      </c>
      <c r="Q2547" s="6" t="s">
        <v>448</v>
      </c>
    </row>
    <row r="2548" customFormat="false" ht="35.05" hidden="false" customHeight="false" outlineLevel="0" collapsed="false">
      <c r="A2548" s="5" t="s">
        <v>5807</v>
      </c>
      <c r="B2548" s="5" t="s">
        <v>119</v>
      </c>
      <c r="C2548" s="5" t="s">
        <v>120</v>
      </c>
      <c r="D2548" s="5" t="s">
        <v>143</v>
      </c>
      <c r="E2548" s="5" t="s">
        <v>144</v>
      </c>
      <c r="F2548" s="5" t="s">
        <v>196</v>
      </c>
      <c r="G2548" s="5" t="s">
        <v>528</v>
      </c>
      <c r="H2548" s="5" t="s">
        <v>222</v>
      </c>
      <c r="I2548" s="5" t="s">
        <v>5808</v>
      </c>
      <c r="J2548" s="5" t="s">
        <v>246</v>
      </c>
      <c r="K2548" s="5" t="s">
        <v>5809</v>
      </c>
      <c r="L2548" s="5" t="s">
        <v>187</v>
      </c>
      <c r="M2548" s="5" t="s">
        <v>531</v>
      </c>
      <c r="N2548" s="5" t="s">
        <v>282</v>
      </c>
      <c r="O2548" s="5" t="s">
        <v>5810</v>
      </c>
      <c r="P2548" s="19" t="str">
        <f aca="false">IF(J2548="S0","—",IF(K2548="","",IF(L2548="E0","QM",INDEX(10_ASIL_Matrix!$D$4:$F$15,MATCH(J2548&amp;"-"&amp;L2548,10_ASIL_Matrix!$C$4:$C$15,0),MATCH(N2548,10_ASIL_Matrix!$D$3:$F$3,0)))))</f>
        <v>A</v>
      </c>
      <c r="Q2548" s="5" t="s">
        <v>448</v>
      </c>
    </row>
    <row r="2549" customFormat="false" ht="35.05" hidden="false" customHeight="false" outlineLevel="0" collapsed="false">
      <c r="A2549" s="6" t="s">
        <v>5811</v>
      </c>
      <c r="B2549" s="6" t="s">
        <v>119</v>
      </c>
      <c r="C2549" s="6" t="s">
        <v>120</v>
      </c>
      <c r="D2549" s="6" t="s">
        <v>143</v>
      </c>
      <c r="E2549" s="6" t="s">
        <v>144</v>
      </c>
      <c r="F2549" s="6" t="s">
        <v>196</v>
      </c>
      <c r="G2549" s="6" t="s">
        <v>528</v>
      </c>
      <c r="H2549" s="6" t="s">
        <v>224</v>
      </c>
      <c r="I2549" s="6" t="s">
        <v>5812</v>
      </c>
      <c r="J2549" s="6" t="s">
        <v>246</v>
      </c>
      <c r="K2549" s="6" t="s">
        <v>5809</v>
      </c>
      <c r="L2549" s="6" t="s">
        <v>190</v>
      </c>
      <c r="M2549" s="6" t="s">
        <v>534</v>
      </c>
      <c r="N2549" s="6" t="s">
        <v>282</v>
      </c>
      <c r="O2549" s="6" t="s">
        <v>5810</v>
      </c>
      <c r="P2549" s="6" t="str">
        <f aca="false">IF(J2549="S0","—",IF(K2549="","",IF(L2549="E0","QM",INDEX(10_ASIL_Matrix!$D$4:$F$15,MATCH(J2549&amp;"-"&amp;L2549,10_ASIL_Matrix!$C$4:$C$15,0),MATCH(N2549,10_ASIL_Matrix!$D$3:$F$3,0)))))</f>
        <v>QM</v>
      </c>
      <c r="Q2549" s="6" t="s">
        <v>448</v>
      </c>
    </row>
    <row r="2550" customFormat="false" ht="35.05" hidden="false" customHeight="false" outlineLevel="0" collapsed="false">
      <c r="A2550" s="5" t="s">
        <v>5813</v>
      </c>
      <c r="B2550" s="5" t="s">
        <v>119</v>
      </c>
      <c r="C2550" s="5" t="s">
        <v>120</v>
      </c>
      <c r="D2550" s="5" t="s">
        <v>143</v>
      </c>
      <c r="E2550" s="5" t="s">
        <v>144</v>
      </c>
      <c r="F2550" s="5" t="s">
        <v>196</v>
      </c>
      <c r="G2550" s="5" t="s">
        <v>528</v>
      </c>
      <c r="H2550" s="5" t="s">
        <v>226</v>
      </c>
      <c r="I2550" s="5" t="s">
        <v>5814</v>
      </c>
      <c r="J2550" s="5" t="s">
        <v>246</v>
      </c>
      <c r="K2550" s="5" t="s">
        <v>5809</v>
      </c>
      <c r="L2550" s="5" t="s">
        <v>190</v>
      </c>
      <c r="M2550" s="5" t="s">
        <v>537</v>
      </c>
      <c r="N2550" s="5" t="s">
        <v>282</v>
      </c>
      <c r="O2550" s="5" t="s">
        <v>5810</v>
      </c>
      <c r="P2550" s="5" t="str">
        <f aca="false">IF(J2550="S0","—",IF(K2550="","",IF(L2550="E0","QM",INDEX(10_ASIL_Matrix!$D$4:$F$15,MATCH(J2550&amp;"-"&amp;L2550,10_ASIL_Matrix!$C$4:$C$15,0),MATCH(N2550,10_ASIL_Matrix!$D$3:$F$3,0)))))</f>
        <v>QM</v>
      </c>
      <c r="Q2550" s="5" t="s">
        <v>448</v>
      </c>
    </row>
    <row r="2551" customFormat="false" ht="35.05" hidden="false" customHeight="false" outlineLevel="0" collapsed="false">
      <c r="A2551" s="6" t="s">
        <v>5815</v>
      </c>
      <c r="B2551" s="6" t="s">
        <v>119</v>
      </c>
      <c r="C2551" s="6" t="s">
        <v>120</v>
      </c>
      <c r="D2551" s="6" t="s">
        <v>143</v>
      </c>
      <c r="E2551" s="6" t="s">
        <v>144</v>
      </c>
      <c r="F2551" s="6" t="s">
        <v>196</v>
      </c>
      <c r="G2551" s="6" t="s">
        <v>528</v>
      </c>
      <c r="H2551" s="6" t="s">
        <v>228</v>
      </c>
      <c r="I2551" s="6" t="s">
        <v>5816</v>
      </c>
      <c r="J2551" s="6" t="s">
        <v>246</v>
      </c>
      <c r="K2551" s="6" t="s">
        <v>5809</v>
      </c>
      <c r="L2551" s="6" t="s">
        <v>205</v>
      </c>
      <c r="M2551" s="6" t="s">
        <v>540</v>
      </c>
      <c r="N2551" s="6" t="s">
        <v>282</v>
      </c>
      <c r="O2551" s="6" t="s">
        <v>5810</v>
      </c>
      <c r="P2551" s="6" t="str">
        <f aca="false">IF(J2551="S0","—",IF(K2551="","",IF(L2551="E0","QM",INDEX(10_ASIL_Matrix!$D$4:$F$15,MATCH(J2551&amp;"-"&amp;L2551,10_ASIL_Matrix!$C$4:$C$15,0),MATCH(N2551,10_ASIL_Matrix!$D$3:$F$3,0)))))</f>
        <v>QM</v>
      </c>
      <c r="Q2551" s="6" t="s">
        <v>448</v>
      </c>
    </row>
    <row r="2552" customFormat="false" ht="35.05" hidden="false" customHeight="false" outlineLevel="0" collapsed="false">
      <c r="A2552" s="5" t="s">
        <v>5817</v>
      </c>
      <c r="B2552" s="5" t="s">
        <v>119</v>
      </c>
      <c r="C2552" s="5" t="s">
        <v>120</v>
      </c>
      <c r="D2552" s="5" t="s">
        <v>143</v>
      </c>
      <c r="E2552" s="5" t="s">
        <v>144</v>
      </c>
      <c r="F2552" s="5" t="s">
        <v>196</v>
      </c>
      <c r="G2552" s="5" t="s">
        <v>528</v>
      </c>
      <c r="H2552" s="5" t="s">
        <v>230</v>
      </c>
      <c r="I2552" s="5" t="s">
        <v>5818</v>
      </c>
      <c r="J2552" s="5" t="s">
        <v>250</v>
      </c>
      <c r="K2552" s="5" t="s">
        <v>5819</v>
      </c>
      <c r="L2552" s="5" t="s">
        <v>205</v>
      </c>
      <c r="M2552" s="5" t="s">
        <v>543</v>
      </c>
      <c r="N2552" s="5" t="s">
        <v>286</v>
      </c>
      <c r="O2552" s="5" t="s">
        <v>5820</v>
      </c>
      <c r="P2552" s="19" t="str">
        <f aca="false">IF(J2552="S0","—",IF(K2552="","",IF(L2552="E0","QM",INDEX(10_ASIL_Matrix!$D$4:$F$15,MATCH(J2552&amp;"-"&amp;L2552,10_ASIL_Matrix!$C$4:$C$15,0),MATCH(N2552,10_ASIL_Matrix!$D$3:$F$3,0)))))</f>
        <v>A</v>
      </c>
      <c r="Q2552" s="5" t="s">
        <v>448</v>
      </c>
    </row>
    <row r="2553" customFormat="false" ht="46.25" hidden="false" customHeight="false" outlineLevel="0" collapsed="false">
      <c r="A2553" s="6" t="s">
        <v>5821</v>
      </c>
      <c r="B2553" s="6" t="s">
        <v>119</v>
      </c>
      <c r="C2553" s="6" t="s">
        <v>120</v>
      </c>
      <c r="D2553" s="6" t="s">
        <v>143</v>
      </c>
      <c r="E2553" s="6" t="s">
        <v>144</v>
      </c>
      <c r="F2553" s="6" t="s">
        <v>196</v>
      </c>
      <c r="G2553" s="6" t="s">
        <v>528</v>
      </c>
      <c r="H2553" s="6" t="s">
        <v>232</v>
      </c>
      <c r="I2553" s="6" t="s">
        <v>5822</v>
      </c>
      <c r="J2553" s="6" t="s">
        <v>246</v>
      </c>
      <c r="K2553" s="6" t="s">
        <v>5809</v>
      </c>
      <c r="L2553" s="6" t="s">
        <v>233</v>
      </c>
      <c r="M2553" s="6" t="s">
        <v>546</v>
      </c>
      <c r="N2553" s="6" t="s">
        <v>282</v>
      </c>
      <c r="O2553" s="6" t="s">
        <v>5810</v>
      </c>
      <c r="P2553" s="6" t="str">
        <f aca="false">IF(J2553="S0","—",IF(K2553="","",IF(L2553="E0","QM",INDEX(10_ASIL_Matrix!$D$4:$F$15,MATCH(J2553&amp;"-"&amp;L2553,10_ASIL_Matrix!$C$4:$C$15,0),MATCH(N2553,10_ASIL_Matrix!$D$3:$F$3,0)))))</f>
        <v>QM</v>
      </c>
      <c r="Q2553" s="6" t="s">
        <v>448</v>
      </c>
    </row>
    <row r="2554" customFormat="false" ht="35.05" hidden="false" customHeight="false" outlineLevel="0" collapsed="false">
      <c r="A2554" s="5" t="s">
        <v>5823</v>
      </c>
      <c r="B2554" s="5" t="s">
        <v>119</v>
      </c>
      <c r="C2554" s="5" t="s">
        <v>120</v>
      </c>
      <c r="D2554" s="5" t="s">
        <v>143</v>
      </c>
      <c r="E2554" s="5" t="s">
        <v>144</v>
      </c>
      <c r="F2554" s="5" t="s">
        <v>198</v>
      </c>
      <c r="G2554" s="5" t="s">
        <v>548</v>
      </c>
      <c r="H2554" s="5" t="s">
        <v>222</v>
      </c>
      <c r="I2554" s="5" t="s">
        <v>5824</v>
      </c>
      <c r="J2554" s="5" t="s">
        <v>238</v>
      </c>
      <c r="K2554" s="5" t="s">
        <v>5760</v>
      </c>
      <c r="L2554" s="5" t="s">
        <v>190</v>
      </c>
      <c r="M2554" s="5" t="s">
        <v>551</v>
      </c>
      <c r="N2554" s="5" t="s">
        <v>278</v>
      </c>
      <c r="O2554" s="5" t="s">
        <v>634</v>
      </c>
      <c r="P2554" s="5" t="str">
        <f aca="false">IF(J2554="S0","—",IF(K2554="","",IF(L2554="E0","QM",INDEX(10_ASIL_Matrix!$D$4:$F$15,MATCH(J2554&amp;"-"&amp;L2554,10_ASIL_Matrix!$C$4:$C$15,0),MATCH(N2554,10_ASIL_Matrix!$D$3:$F$3,0)))))</f>
        <v>—</v>
      </c>
      <c r="Q2554" s="5" t="s">
        <v>448</v>
      </c>
    </row>
    <row r="2555" customFormat="false" ht="35.05" hidden="false" customHeight="false" outlineLevel="0" collapsed="false">
      <c r="A2555" s="6" t="s">
        <v>5825</v>
      </c>
      <c r="B2555" s="6" t="s">
        <v>119</v>
      </c>
      <c r="C2555" s="6" t="s">
        <v>120</v>
      </c>
      <c r="D2555" s="6" t="s">
        <v>143</v>
      </c>
      <c r="E2555" s="6" t="s">
        <v>144</v>
      </c>
      <c r="F2555" s="6" t="s">
        <v>198</v>
      </c>
      <c r="G2555" s="6" t="s">
        <v>548</v>
      </c>
      <c r="H2555" s="6" t="s">
        <v>224</v>
      </c>
      <c r="I2555" s="6" t="s">
        <v>5826</v>
      </c>
      <c r="J2555" s="6" t="s">
        <v>238</v>
      </c>
      <c r="K2555" s="6" t="s">
        <v>5760</v>
      </c>
      <c r="L2555" s="6" t="s">
        <v>190</v>
      </c>
      <c r="M2555" s="6" t="s">
        <v>555</v>
      </c>
      <c r="N2555" s="6" t="s">
        <v>278</v>
      </c>
      <c r="O2555" s="6" t="s">
        <v>634</v>
      </c>
      <c r="P2555" s="6" t="str">
        <f aca="false">IF(J2555="S0","—",IF(K2555="","",IF(L2555="E0","QM",INDEX(10_ASIL_Matrix!$D$4:$F$15,MATCH(J2555&amp;"-"&amp;L2555,10_ASIL_Matrix!$C$4:$C$15,0),MATCH(N2555,10_ASIL_Matrix!$D$3:$F$3,0)))))</f>
        <v>—</v>
      </c>
      <c r="Q2555" s="6" t="s">
        <v>448</v>
      </c>
    </row>
    <row r="2556" customFormat="false" ht="35.05" hidden="false" customHeight="false" outlineLevel="0" collapsed="false">
      <c r="A2556" s="5" t="s">
        <v>5827</v>
      </c>
      <c r="B2556" s="5" t="s">
        <v>119</v>
      </c>
      <c r="C2556" s="5" t="s">
        <v>120</v>
      </c>
      <c r="D2556" s="5" t="s">
        <v>143</v>
      </c>
      <c r="E2556" s="5" t="s">
        <v>144</v>
      </c>
      <c r="F2556" s="5" t="s">
        <v>198</v>
      </c>
      <c r="G2556" s="5" t="s">
        <v>548</v>
      </c>
      <c r="H2556" s="5" t="s">
        <v>226</v>
      </c>
      <c r="I2556" s="5" t="s">
        <v>5828</v>
      </c>
      <c r="J2556" s="5" t="s">
        <v>238</v>
      </c>
      <c r="K2556" s="5" t="s">
        <v>5760</v>
      </c>
      <c r="L2556" s="5" t="s">
        <v>190</v>
      </c>
      <c r="M2556" s="5" t="s">
        <v>558</v>
      </c>
      <c r="N2556" s="5" t="s">
        <v>278</v>
      </c>
      <c r="O2556" s="5" t="s">
        <v>634</v>
      </c>
      <c r="P2556" s="5" t="str">
        <f aca="false">IF(J2556="S0","—",IF(K2556="","",IF(L2556="E0","QM",INDEX(10_ASIL_Matrix!$D$4:$F$15,MATCH(J2556&amp;"-"&amp;L2556,10_ASIL_Matrix!$C$4:$C$15,0),MATCH(N2556,10_ASIL_Matrix!$D$3:$F$3,0)))))</f>
        <v>—</v>
      </c>
      <c r="Q2556" s="5" t="s">
        <v>448</v>
      </c>
    </row>
    <row r="2557" customFormat="false" ht="35.05" hidden="false" customHeight="false" outlineLevel="0" collapsed="false">
      <c r="A2557" s="6" t="s">
        <v>5829</v>
      </c>
      <c r="B2557" s="6" t="s">
        <v>119</v>
      </c>
      <c r="C2557" s="6" t="s">
        <v>120</v>
      </c>
      <c r="D2557" s="6" t="s">
        <v>143</v>
      </c>
      <c r="E2557" s="6" t="s">
        <v>144</v>
      </c>
      <c r="F2557" s="6" t="s">
        <v>198</v>
      </c>
      <c r="G2557" s="6" t="s">
        <v>548</v>
      </c>
      <c r="H2557" s="6" t="s">
        <v>228</v>
      </c>
      <c r="I2557" s="6" t="s">
        <v>5830</v>
      </c>
      <c r="J2557" s="6" t="s">
        <v>238</v>
      </c>
      <c r="K2557" s="6" t="s">
        <v>5760</v>
      </c>
      <c r="L2557" s="6" t="s">
        <v>205</v>
      </c>
      <c r="M2557" s="6" t="s">
        <v>561</v>
      </c>
      <c r="N2557" s="6" t="s">
        <v>278</v>
      </c>
      <c r="O2557" s="6" t="s">
        <v>634</v>
      </c>
      <c r="P2557" s="6" t="str">
        <f aca="false">IF(J2557="S0","—",IF(K2557="","",IF(L2557="E0","QM",INDEX(10_ASIL_Matrix!$D$4:$F$15,MATCH(J2557&amp;"-"&amp;L2557,10_ASIL_Matrix!$C$4:$C$15,0),MATCH(N2557,10_ASIL_Matrix!$D$3:$F$3,0)))))</f>
        <v>—</v>
      </c>
      <c r="Q2557" s="6" t="s">
        <v>448</v>
      </c>
    </row>
    <row r="2558" customFormat="false" ht="35.05" hidden="false" customHeight="false" outlineLevel="0" collapsed="false">
      <c r="A2558" s="5" t="s">
        <v>5831</v>
      </c>
      <c r="B2558" s="5" t="s">
        <v>119</v>
      </c>
      <c r="C2558" s="5" t="s">
        <v>120</v>
      </c>
      <c r="D2558" s="5" t="s">
        <v>143</v>
      </c>
      <c r="E2558" s="5" t="s">
        <v>144</v>
      </c>
      <c r="F2558" s="5" t="s">
        <v>198</v>
      </c>
      <c r="G2558" s="5" t="s">
        <v>548</v>
      </c>
      <c r="H2558" s="5" t="s">
        <v>230</v>
      </c>
      <c r="I2558" s="5" t="s">
        <v>5832</v>
      </c>
      <c r="J2558" s="5" t="s">
        <v>238</v>
      </c>
      <c r="K2558" s="5" t="s">
        <v>5760</v>
      </c>
      <c r="L2558" s="5" t="s">
        <v>205</v>
      </c>
      <c r="M2558" s="5" t="s">
        <v>564</v>
      </c>
      <c r="N2558" s="5" t="s">
        <v>278</v>
      </c>
      <c r="O2558" s="5" t="s">
        <v>634</v>
      </c>
      <c r="P2558" s="5" t="str">
        <f aca="false">IF(J2558="S0","—",IF(K2558="","",IF(L2558="E0","QM",INDEX(10_ASIL_Matrix!$D$4:$F$15,MATCH(J2558&amp;"-"&amp;L2558,10_ASIL_Matrix!$C$4:$C$15,0),MATCH(N2558,10_ASIL_Matrix!$D$3:$F$3,0)))))</f>
        <v>—</v>
      </c>
      <c r="Q2558" s="5" t="s">
        <v>448</v>
      </c>
    </row>
    <row r="2559" customFormat="false" ht="46.25" hidden="false" customHeight="false" outlineLevel="0" collapsed="false">
      <c r="A2559" s="6" t="s">
        <v>5833</v>
      </c>
      <c r="B2559" s="6" t="s">
        <v>119</v>
      </c>
      <c r="C2559" s="6" t="s">
        <v>120</v>
      </c>
      <c r="D2559" s="6" t="s">
        <v>143</v>
      </c>
      <c r="E2559" s="6" t="s">
        <v>144</v>
      </c>
      <c r="F2559" s="6" t="s">
        <v>198</v>
      </c>
      <c r="G2559" s="6" t="s">
        <v>548</v>
      </c>
      <c r="H2559" s="6" t="s">
        <v>232</v>
      </c>
      <c r="I2559" s="6" t="s">
        <v>5834</v>
      </c>
      <c r="J2559" s="6" t="s">
        <v>238</v>
      </c>
      <c r="K2559" s="6" t="s">
        <v>5760</v>
      </c>
      <c r="L2559" s="6" t="s">
        <v>233</v>
      </c>
      <c r="M2559" s="6" t="s">
        <v>568</v>
      </c>
      <c r="N2559" s="6" t="s">
        <v>278</v>
      </c>
      <c r="O2559" s="6" t="s">
        <v>634</v>
      </c>
      <c r="P2559" s="6" t="str">
        <f aca="false">IF(J2559="S0","—",IF(K2559="","",IF(L2559="E0","QM",INDEX(10_ASIL_Matrix!$D$4:$F$15,MATCH(J2559&amp;"-"&amp;L2559,10_ASIL_Matrix!$C$4:$C$15,0),MATCH(N2559,10_ASIL_Matrix!$D$3:$F$3,0)))))</f>
        <v>—</v>
      </c>
      <c r="Q2559" s="6" t="s">
        <v>448</v>
      </c>
    </row>
    <row r="2560" customFormat="false" ht="35.05" hidden="false" customHeight="false" outlineLevel="0" collapsed="false">
      <c r="A2560" s="5" t="s">
        <v>5835</v>
      </c>
      <c r="B2560" s="5" t="s">
        <v>119</v>
      </c>
      <c r="C2560" s="5" t="s">
        <v>120</v>
      </c>
      <c r="D2560" s="5" t="s">
        <v>143</v>
      </c>
      <c r="E2560" s="5" t="s">
        <v>144</v>
      </c>
      <c r="F2560" s="5" t="s">
        <v>200</v>
      </c>
      <c r="G2560" s="5" t="s">
        <v>570</v>
      </c>
      <c r="H2560" s="5" t="s">
        <v>222</v>
      </c>
      <c r="I2560" s="5" t="s">
        <v>5836</v>
      </c>
      <c r="J2560" s="5" t="s">
        <v>238</v>
      </c>
      <c r="K2560" s="5" t="s">
        <v>5760</v>
      </c>
      <c r="L2560" s="5" t="s">
        <v>190</v>
      </c>
      <c r="M2560" s="5" t="s">
        <v>573</v>
      </c>
      <c r="N2560" s="5" t="s">
        <v>278</v>
      </c>
      <c r="O2560" s="5" t="s">
        <v>634</v>
      </c>
      <c r="P2560" s="5" t="str">
        <f aca="false">IF(J2560="S0","—",IF(K2560="","",IF(L2560="E0","QM",INDEX(10_ASIL_Matrix!$D$4:$F$15,MATCH(J2560&amp;"-"&amp;L2560,10_ASIL_Matrix!$C$4:$C$15,0),MATCH(N2560,10_ASIL_Matrix!$D$3:$F$3,0)))))</f>
        <v>—</v>
      </c>
      <c r="Q2560" s="5" t="s">
        <v>448</v>
      </c>
    </row>
    <row r="2561" customFormat="false" ht="35.05" hidden="false" customHeight="false" outlineLevel="0" collapsed="false">
      <c r="A2561" s="6" t="s">
        <v>5837</v>
      </c>
      <c r="B2561" s="6" t="s">
        <v>119</v>
      </c>
      <c r="C2561" s="6" t="s">
        <v>120</v>
      </c>
      <c r="D2561" s="6" t="s">
        <v>143</v>
      </c>
      <c r="E2561" s="6" t="s">
        <v>144</v>
      </c>
      <c r="F2561" s="6" t="s">
        <v>200</v>
      </c>
      <c r="G2561" s="6" t="s">
        <v>570</v>
      </c>
      <c r="H2561" s="6" t="s">
        <v>224</v>
      </c>
      <c r="I2561" s="6" t="s">
        <v>5838</v>
      </c>
      <c r="J2561" s="6" t="s">
        <v>238</v>
      </c>
      <c r="K2561" s="6" t="s">
        <v>5760</v>
      </c>
      <c r="L2561" s="6" t="s">
        <v>190</v>
      </c>
      <c r="M2561" s="6" t="s">
        <v>576</v>
      </c>
      <c r="N2561" s="6" t="s">
        <v>278</v>
      </c>
      <c r="O2561" s="6" t="s">
        <v>634</v>
      </c>
      <c r="P2561" s="6" t="str">
        <f aca="false">IF(J2561="S0","—",IF(K2561="","",IF(L2561="E0","QM",INDEX(10_ASIL_Matrix!$D$4:$F$15,MATCH(J2561&amp;"-"&amp;L2561,10_ASIL_Matrix!$C$4:$C$15,0),MATCH(N2561,10_ASIL_Matrix!$D$3:$F$3,0)))))</f>
        <v>—</v>
      </c>
      <c r="Q2561" s="6" t="s">
        <v>448</v>
      </c>
    </row>
    <row r="2562" customFormat="false" ht="35.05" hidden="false" customHeight="false" outlineLevel="0" collapsed="false">
      <c r="A2562" s="5" t="s">
        <v>5839</v>
      </c>
      <c r="B2562" s="5" t="s">
        <v>119</v>
      </c>
      <c r="C2562" s="5" t="s">
        <v>120</v>
      </c>
      <c r="D2562" s="5" t="s">
        <v>143</v>
      </c>
      <c r="E2562" s="5" t="s">
        <v>144</v>
      </c>
      <c r="F2562" s="5" t="s">
        <v>200</v>
      </c>
      <c r="G2562" s="5" t="s">
        <v>570</v>
      </c>
      <c r="H2562" s="5" t="s">
        <v>226</v>
      </c>
      <c r="I2562" s="5" t="s">
        <v>5840</v>
      </c>
      <c r="J2562" s="5" t="s">
        <v>238</v>
      </c>
      <c r="K2562" s="5" t="s">
        <v>5760</v>
      </c>
      <c r="L2562" s="5" t="s">
        <v>190</v>
      </c>
      <c r="M2562" s="5" t="s">
        <v>579</v>
      </c>
      <c r="N2562" s="5" t="s">
        <v>278</v>
      </c>
      <c r="O2562" s="5" t="s">
        <v>634</v>
      </c>
      <c r="P2562" s="5" t="str">
        <f aca="false">IF(J2562="S0","—",IF(K2562="","",IF(L2562="E0","QM",INDEX(10_ASIL_Matrix!$D$4:$F$15,MATCH(J2562&amp;"-"&amp;L2562,10_ASIL_Matrix!$C$4:$C$15,0),MATCH(N2562,10_ASIL_Matrix!$D$3:$F$3,0)))))</f>
        <v>—</v>
      </c>
      <c r="Q2562" s="5" t="s">
        <v>448</v>
      </c>
    </row>
    <row r="2563" customFormat="false" ht="35.05" hidden="false" customHeight="false" outlineLevel="0" collapsed="false">
      <c r="A2563" s="6" t="s">
        <v>5841</v>
      </c>
      <c r="B2563" s="6" t="s">
        <v>119</v>
      </c>
      <c r="C2563" s="6" t="s">
        <v>120</v>
      </c>
      <c r="D2563" s="6" t="s">
        <v>143</v>
      </c>
      <c r="E2563" s="6" t="s">
        <v>144</v>
      </c>
      <c r="F2563" s="6" t="s">
        <v>200</v>
      </c>
      <c r="G2563" s="6" t="s">
        <v>570</v>
      </c>
      <c r="H2563" s="6" t="s">
        <v>228</v>
      </c>
      <c r="I2563" s="6" t="s">
        <v>5842</v>
      </c>
      <c r="J2563" s="6" t="s">
        <v>238</v>
      </c>
      <c r="K2563" s="6" t="s">
        <v>5760</v>
      </c>
      <c r="L2563" s="6" t="s">
        <v>205</v>
      </c>
      <c r="M2563" s="6" t="s">
        <v>582</v>
      </c>
      <c r="N2563" s="6" t="s">
        <v>278</v>
      </c>
      <c r="O2563" s="6" t="s">
        <v>634</v>
      </c>
      <c r="P2563" s="6" t="str">
        <f aca="false">IF(J2563="S0","—",IF(K2563="","",IF(L2563="E0","QM",INDEX(10_ASIL_Matrix!$D$4:$F$15,MATCH(J2563&amp;"-"&amp;L2563,10_ASIL_Matrix!$C$4:$C$15,0),MATCH(N2563,10_ASIL_Matrix!$D$3:$F$3,0)))))</f>
        <v>—</v>
      </c>
      <c r="Q2563" s="6" t="s">
        <v>448</v>
      </c>
    </row>
    <row r="2564" customFormat="false" ht="35.05" hidden="false" customHeight="false" outlineLevel="0" collapsed="false">
      <c r="A2564" s="5" t="s">
        <v>5843</v>
      </c>
      <c r="B2564" s="5" t="s">
        <v>119</v>
      </c>
      <c r="C2564" s="5" t="s">
        <v>120</v>
      </c>
      <c r="D2564" s="5" t="s">
        <v>143</v>
      </c>
      <c r="E2564" s="5" t="s">
        <v>144</v>
      </c>
      <c r="F2564" s="5" t="s">
        <v>200</v>
      </c>
      <c r="G2564" s="5" t="s">
        <v>570</v>
      </c>
      <c r="H2564" s="5" t="s">
        <v>230</v>
      </c>
      <c r="I2564" s="5" t="s">
        <v>5844</v>
      </c>
      <c r="J2564" s="5" t="s">
        <v>238</v>
      </c>
      <c r="K2564" s="5" t="s">
        <v>5760</v>
      </c>
      <c r="L2564" s="5" t="s">
        <v>205</v>
      </c>
      <c r="M2564" s="5" t="s">
        <v>585</v>
      </c>
      <c r="N2564" s="5" t="s">
        <v>278</v>
      </c>
      <c r="O2564" s="5" t="s">
        <v>634</v>
      </c>
      <c r="P2564" s="5" t="str">
        <f aca="false">IF(J2564="S0","—",IF(K2564="","",IF(L2564="E0","QM",INDEX(10_ASIL_Matrix!$D$4:$F$15,MATCH(J2564&amp;"-"&amp;L2564,10_ASIL_Matrix!$C$4:$C$15,0),MATCH(N2564,10_ASIL_Matrix!$D$3:$F$3,0)))))</f>
        <v>—</v>
      </c>
      <c r="Q2564" s="5" t="s">
        <v>448</v>
      </c>
    </row>
    <row r="2565" customFormat="false" ht="46.25" hidden="false" customHeight="false" outlineLevel="0" collapsed="false">
      <c r="A2565" s="6" t="s">
        <v>5845</v>
      </c>
      <c r="B2565" s="6" t="s">
        <v>119</v>
      </c>
      <c r="C2565" s="6" t="s">
        <v>120</v>
      </c>
      <c r="D2565" s="6" t="s">
        <v>143</v>
      </c>
      <c r="E2565" s="6" t="s">
        <v>144</v>
      </c>
      <c r="F2565" s="6" t="s">
        <v>200</v>
      </c>
      <c r="G2565" s="6" t="s">
        <v>570</v>
      </c>
      <c r="H2565" s="6" t="s">
        <v>232</v>
      </c>
      <c r="I2565" s="6" t="s">
        <v>5846</v>
      </c>
      <c r="J2565" s="6" t="s">
        <v>238</v>
      </c>
      <c r="K2565" s="6" t="s">
        <v>5760</v>
      </c>
      <c r="L2565" s="6" t="s">
        <v>233</v>
      </c>
      <c r="M2565" s="6" t="s">
        <v>588</v>
      </c>
      <c r="N2565" s="6" t="s">
        <v>278</v>
      </c>
      <c r="O2565" s="6" t="s">
        <v>634</v>
      </c>
      <c r="P2565" s="6" t="str">
        <f aca="false">IF(J2565="S0","—",IF(K2565="","",IF(L2565="E0","QM",INDEX(10_ASIL_Matrix!$D$4:$F$15,MATCH(J2565&amp;"-"&amp;L2565,10_ASIL_Matrix!$C$4:$C$15,0),MATCH(N2565,10_ASIL_Matrix!$D$3:$F$3,0)))))</f>
        <v>—</v>
      </c>
      <c r="Q2565" s="6" t="s">
        <v>448</v>
      </c>
    </row>
    <row r="2566" customFormat="false" ht="35.05" hidden="false" customHeight="false" outlineLevel="0" collapsed="false">
      <c r="A2566" s="5" t="s">
        <v>5847</v>
      </c>
      <c r="B2566" s="5" t="s">
        <v>119</v>
      </c>
      <c r="C2566" s="5" t="s">
        <v>120</v>
      </c>
      <c r="D2566" s="5" t="s">
        <v>143</v>
      </c>
      <c r="E2566" s="5" t="s">
        <v>144</v>
      </c>
      <c r="F2566" s="5" t="s">
        <v>202</v>
      </c>
      <c r="G2566" s="5" t="s">
        <v>590</v>
      </c>
      <c r="H2566" s="5" t="s">
        <v>222</v>
      </c>
      <c r="I2566" s="5" t="s">
        <v>5848</v>
      </c>
      <c r="J2566" s="5" t="s">
        <v>246</v>
      </c>
      <c r="K2566" s="5" t="s">
        <v>5849</v>
      </c>
      <c r="L2566" s="5" t="s">
        <v>187</v>
      </c>
      <c r="M2566" s="5" t="s">
        <v>592</v>
      </c>
      <c r="N2566" s="5" t="s">
        <v>282</v>
      </c>
      <c r="O2566" s="5" t="s">
        <v>5850</v>
      </c>
      <c r="P2566" s="19" t="str">
        <f aca="false">IF(J2566="S0","—",IF(K2566="","",IF(L2566="E0","QM",INDEX(10_ASIL_Matrix!$D$4:$F$15,MATCH(J2566&amp;"-"&amp;L2566,10_ASIL_Matrix!$C$4:$C$15,0),MATCH(N2566,10_ASIL_Matrix!$D$3:$F$3,0)))))</f>
        <v>A</v>
      </c>
      <c r="Q2566" s="5" t="s">
        <v>448</v>
      </c>
    </row>
    <row r="2567" customFormat="false" ht="35.05" hidden="false" customHeight="false" outlineLevel="0" collapsed="false">
      <c r="A2567" s="6" t="s">
        <v>5851</v>
      </c>
      <c r="B2567" s="6" t="s">
        <v>119</v>
      </c>
      <c r="C2567" s="6" t="s">
        <v>120</v>
      </c>
      <c r="D2567" s="6" t="s">
        <v>143</v>
      </c>
      <c r="E2567" s="6" t="s">
        <v>144</v>
      </c>
      <c r="F2567" s="6" t="s">
        <v>202</v>
      </c>
      <c r="G2567" s="6" t="s">
        <v>590</v>
      </c>
      <c r="H2567" s="6" t="s">
        <v>224</v>
      </c>
      <c r="I2567" s="6" t="s">
        <v>5852</v>
      </c>
      <c r="J2567" s="6" t="s">
        <v>246</v>
      </c>
      <c r="K2567" s="6" t="s">
        <v>5849</v>
      </c>
      <c r="L2567" s="6" t="s">
        <v>190</v>
      </c>
      <c r="M2567" s="6" t="s">
        <v>595</v>
      </c>
      <c r="N2567" s="6" t="s">
        <v>282</v>
      </c>
      <c r="O2567" s="6" t="s">
        <v>5850</v>
      </c>
      <c r="P2567" s="6" t="str">
        <f aca="false">IF(J2567="S0","—",IF(K2567="","",IF(L2567="E0","QM",INDEX(10_ASIL_Matrix!$D$4:$F$15,MATCH(J2567&amp;"-"&amp;L2567,10_ASIL_Matrix!$C$4:$C$15,0),MATCH(N2567,10_ASIL_Matrix!$D$3:$F$3,0)))))</f>
        <v>QM</v>
      </c>
      <c r="Q2567" s="6" t="s">
        <v>448</v>
      </c>
    </row>
    <row r="2568" customFormat="false" ht="35.05" hidden="false" customHeight="false" outlineLevel="0" collapsed="false">
      <c r="A2568" s="5" t="s">
        <v>5853</v>
      </c>
      <c r="B2568" s="5" t="s">
        <v>119</v>
      </c>
      <c r="C2568" s="5" t="s">
        <v>120</v>
      </c>
      <c r="D2568" s="5" t="s">
        <v>143</v>
      </c>
      <c r="E2568" s="5" t="s">
        <v>144</v>
      </c>
      <c r="F2568" s="5" t="s">
        <v>202</v>
      </c>
      <c r="G2568" s="5" t="s">
        <v>590</v>
      </c>
      <c r="H2568" s="5" t="s">
        <v>226</v>
      </c>
      <c r="I2568" s="5" t="s">
        <v>5854</v>
      </c>
      <c r="J2568" s="5" t="s">
        <v>246</v>
      </c>
      <c r="K2568" s="5" t="s">
        <v>5849</v>
      </c>
      <c r="L2568" s="5" t="s">
        <v>190</v>
      </c>
      <c r="M2568" s="5" t="s">
        <v>598</v>
      </c>
      <c r="N2568" s="5" t="s">
        <v>282</v>
      </c>
      <c r="O2568" s="5" t="s">
        <v>5850</v>
      </c>
      <c r="P2568" s="5" t="str">
        <f aca="false">IF(J2568="S0","—",IF(K2568="","",IF(L2568="E0","QM",INDEX(10_ASIL_Matrix!$D$4:$F$15,MATCH(J2568&amp;"-"&amp;L2568,10_ASIL_Matrix!$C$4:$C$15,0),MATCH(N2568,10_ASIL_Matrix!$D$3:$F$3,0)))))</f>
        <v>QM</v>
      </c>
      <c r="Q2568" s="5" t="s">
        <v>448</v>
      </c>
    </row>
    <row r="2569" customFormat="false" ht="35.05" hidden="false" customHeight="false" outlineLevel="0" collapsed="false">
      <c r="A2569" s="6" t="s">
        <v>5855</v>
      </c>
      <c r="B2569" s="6" t="s">
        <v>119</v>
      </c>
      <c r="C2569" s="6" t="s">
        <v>120</v>
      </c>
      <c r="D2569" s="6" t="s">
        <v>143</v>
      </c>
      <c r="E2569" s="6" t="s">
        <v>144</v>
      </c>
      <c r="F2569" s="6" t="s">
        <v>202</v>
      </c>
      <c r="G2569" s="6" t="s">
        <v>590</v>
      </c>
      <c r="H2569" s="6" t="s">
        <v>228</v>
      </c>
      <c r="I2569" s="6" t="s">
        <v>5856</v>
      </c>
      <c r="J2569" s="6" t="s">
        <v>246</v>
      </c>
      <c r="K2569" s="6" t="s">
        <v>5849</v>
      </c>
      <c r="L2569" s="6" t="s">
        <v>205</v>
      </c>
      <c r="M2569" s="6" t="s">
        <v>601</v>
      </c>
      <c r="N2569" s="6" t="s">
        <v>282</v>
      </c>
      <c r="O2569" s="6" t="s">
        <v>5850</v>
      </c>
      <c r="P2569" s="6" t="str">
        <f aca="false">IF(J2569="S0","—",IF(K2569="","",IF(L2569="E0","QM",INDEX(10_ASIL_Matrix!$D$4:$F$15,MATCH(J2569&amp;"-"&amp;L2569,10_ASIL_Matrix!$C$4:$C$15,0),MATCH(N2569,10_ASIL_Matrix!$D$3:$F$3,0)))))</f>
        <v>QM</v>
      </c>
      <c r="Q2569" s="6" t="s">
        <v>448</v>
      </c>
    </row>
    <row r="2570" customFormat="false" ht="35.05" hidden="false" customHeight="false" outlineLevel="0" collapsed="false">
      <c r="A2570" s="5" t="s">
        <v>5857</v>
      </c>
      <c r="B2570" s="5" t="s">
        <v>119</v>
      </c>
      <c r="C2570" s="5" t="s">
        <v>120</v>
      </c>
      <c r="D2570" s="5" t="s">
        <v>143</v>
      </c>
      <c r="E2570" s="5" t="s">
        <v>144</v>
      </c>
      <c r="F2570" s="5" t="s">
        <v>202</v>
      </c>
      <c r="G2570" s="5" t="s">
        <v>590</v>
      </c>
      <c r="H2570" s="5" t="s">
        <v>230</v>
      </c>
      <c r="I2570" s="5" t="s">
        <v>5858</v>
      </c>
      <c r="J2570" s="5" t="s">
        <v>250</v>
      </c>
      <c r="K2570" s="5" t="s">
        <v>5859</v>
      </c>
      <c r="L2570" s="5" t="s">
        <v>205</v>
      </c>
      <c r="M2570" s="5" t="s">
        <v>604</v>
      </c>
      <c r="N2570" s="5" t="s">
        <v>286</v>
      </c>
      <c r="O2570" s="5" t="s">
        <v>5860</v>
      </c>
      <c r="P2570" s="19" t="str">
        <f aca="false">IF(J2570="S0","—",IF(K2570="","",IF(L2570="E0","QM",INDEX(10_ASIL_Matrix!$D$4:$F$15,MATCH(J2570&amp;"-"&amp;L2570,10_ASIL_Matrix!$C$4:$C$15,0),MATCH(N2570,10_ASIL_Matrix!$D$3:$F$3,0)))))</f>
        <v>A</v>
      </c>
      <c r="Q2570" s="5" t="s">
        <v>448</v>
      </c>
    </row>
    <row r="2571" customFormat="false" ht="46.25" hidden="false" customHeight="false" outlineLevel="0" collapsed="false">
      <c r="A2571" s="6" t="s">
        <v>5861</v>
      </c>
      <c r="B2571" s="6" t="s">
        <v>119</v>
      </c>
      <c r="C2571" s="6" t="s">
        <v>120</v>
      </c>
      <c r="D2571" s="6" t="s">
        <v>143</v>
      </c>
      <c r="E2571" s="6" t="s">
        <v>144</v>
      </c>
      <c r="F2571" s="6" t="s">
        <v>202</v>
      </c>
      <c r="G2571" s="6" t="s">
        <v>590</v>
      </c>
      <c r="H2571" s="6" t="s">
        <v>232</v>
      </c>
      <c r="I2571" s="6" t="s">
        <v>5862</v>
      </c>
      <c r="J2571" s="6" t="s">
        <v>246</v>
      </c>
      <c r="K2571" s="6" t="s">
        <v>5849</v>
      </c>
      <c r="L2571" s="6" t="s">
        <v>233</v>
      </c>
      <c r="M2571" s="6" t="s">
        <v>607</v>
      </c>
      <c r="N2571" s="6" t="s">
        <v>282</v>
      </c>
      <c r="O2571" s="6" t="s">
        <v>5850</v>
      </c>
      <c r="P2571" s="6" t="str">
        <f aca="false">IF(J2571="S0","—",IF(K2571="","",IF(L2571="E0","QM",INDEX(10_ASIL_Matrix!$D$4:$F$15,MATCH(J2571&amp;"-"&amp;L2571,10_ASIL_Matrix!$C$4:$C$15,0),MATCH(N2571,10_ASIL_Matrix!$D$3:$F$3,0)))))</f>
        <v>QM</v>
      </c>
      <c r="Q2571" s="6" t="s">
        <v>448</v>
      </c>
    </row>
    <row r="2572" customFormat="false" ht="35.05" hidden="false" customHeight="false" outlineLevel="0" collapsed="false">
      <c r="A2572" s="5" t="s">
        <v>5863</v>
      </c>
      <c r="B2572" s="5" t="s">
        <v>119</v>
      </c>
      <c r="C2572" s="5" t="s">
        <v>120</v>
      </c>
      <c r="D2572" s="5" t="s">
        <v>143</v>
      </c>
      <c r="E2572" s="5" t="s">
        <v>144</v>
      </c>
      <c r="F2572" s="5" t="s">
        <v>204</v>
      </c>
      <c r="G2572" s="5" t="s">
        <v>609</v>
      </c>
      <c r="H2572" s="5" t="s">
        <v>222</v>
      </c>
      <c r="I2572" s="5" t="s">
        <v>5864</v>
      </c>
      <c r="J2572" s="5" t="s">
        <v>238</v>
      </c>
      <c r="K2572" s="5" t="s">
        <v>5760</v>
      </c>
      <c r="L2572" s="5" t="s">
        <v>205</v>
      </c>
      <c r="M2572" s="5" t="s">
        <v>612</v>
      </c>
      <c r="N2572" s="5" t="s">
        <v>278</v>
      </c>
      <c r="O2572" s="5" t="s">
        <v>634</v>
      </c>
      <c r="P2572" s="5" t="str">
        <f aca="false">IF(J2572="S0","—",IF(K2572="","",IF(L2572="E0","QM",INDEX(10_ASIL_Matrix!$D$4:$F$15,MATCH(J2572&amp;"-"&amp;L2572,10_ASIL_Matrix!$C$4:$C$15,0),MATCH(N2572,10_ASIL_Matrix!$D$3:$F$3,0)))))</f>
        <v>—</v>
      </c>
      <c r="Q2572" s="5" t="s">
        <v>448</v>
      </c>
    </row>
    <row r="2573" customFormat="false" ht="35.05" hidden="false" customHeight="false" outlineLevel="0" collapsed="false">
      <c r="A2573" s="6" t="s">
        <v>5865</v>
      </c>
      <c r="B2573" s="6" t="s">
        <v>119</v>
      </c>
      <c r="C2573" s="6" t="s">
        <v>120</v>
      </c>
      <c r="D2573" s="6" t="s">
        <v>143</v>
      </c>
      <c r="E2573" s="6" t="s">
        <v>144</v>
      </c>
      <c r="F2573" s="6" t="s">
        <v>204</v>
      </c>
      <c r="G2573" s="6" t="s">
        <v>609</v>
      </c>
      <c r="H2573" s="6" t="s">
        <v>224</v>
      </c>
      <c r="I2573" s="6" t="s">
        <v>5866</v>
      </c>
      <c r="J2573" s="6" t="s">
        <v>238</v>
      </c>
      <c r="K2573" s="6" t="s">
        <v>5760</v>
      </c>
      <c r="L2573" s="6" t="s">
        <v>205</v>
      </c>
      <c r="M2573" s="6" t="s">
        <v>616</v>
      </c>
      <c r="N2573" s="6" t="s">
        <v>278</v>
      </c>
      <c r="O2573" s="6" t="s">
        <v>634</v>
      </c>
      <c r="P2573" s="6" t="str">
        <f aca="false">IF(J2573="S0","—",IF(K2573="","",IF(L2573="E0","QM",INDEX(10_ASIL_Matrix!$D$4:$F$15,MATCH(J2573&amp;"-"&amp;L2573,10_ASIL_Matrix!$C$4:$C$15,0),MATCH(N2573,10_ASIL_Matrix!$D$3:$F$3,0)))))</f>
        <v>—</v>
      </c>
      <c r="Q2573" s="6" t="s">
        <v>448</v>
      </c>
    </row>
    <row r="2574" customFormat="false" ht="35.05" hidden="false" customHeight="false" outlineLevel="0" collapsed="false">
      <c r="A2574" s="5" t="s">
        <v>5867</v>
      </c>
      <c r="B2574" s="5" t="s">
        <v>119</v>
      </c>
      <c r="C2574" s="5" t="s">
        <v>120</v>
      </c>
      <c r="D2574" s="5" t="s">
        <v>143</v>
      </c>
      <c r="E2574" s="5" t="s">
        <v>144</v>
      </c>
      <c r="F2574" s="5" t="s">
        <v>204</v>
      </c>
      <c r="G2574" s="5" t="s">
        <v>609</v>
      </c>
      <c r="H2574" s="5" t="s">
        <v>226</v>
      </c>
      <c r="I2574" s="5" t="s">
        <v>5868</v>
      </c>
      <c r="J2574" s="5" t="s">
        <v>238</v>
      </c>
      <c r="K2574" s="5" t="s">
        <v>5760</v>
      </c>
      <c r="L2574" s="5" t="s">
        <v>205</v>
      </c>
      <c r="M2574" s="5" t="s">
        <v>619</v>
      </c>
      <c r="N2574" s="5" t="s">
        <v>278</v>
      </c>
      <c r="O2574" s="5" t="s">
        <v>634</v>
      </c>
      <c r="P2574" s="5" t="str">
        <f aca="false">IF(J2574="S0","—",IF(K2574="","",IF(L2574="E0","QM",INDEX(10_ASIL_Matrix!$D$4:$F$15,MATCH(J2574&amp;"-"&amp;L2574,10_ASIL_Matrix!$C$4:$C$15,0),MATCH(N2574,10_ASIL_Matrix!$D$3:$F$3,0)))))</f>
        <v>—</v>
      </c>
      <c r="Q2574" s="5" t="s">
        <v>448</v>
      </c>
    </row>
    <row r="2575" customFormat="false" ht="35.05" hidden="false" customHeight="false" outlineLevel="0" collapsed="false">
      <c r="A2575" s="6" t="s">
        <v>5869</v>
      </c>
      <c r="B2575" s="6" t="s">
        <v>119</v>
      </c>
      <c r="C2575" s="6" t="s">
        <v>120</v>
      </c>
      <c r="D2575" s="6" t="s">
        <v>143</v>
      </c>
      <c r="E2575" s="6" t="s">
        <v>144</v>
      </c>
      <c r="F2575" s="6" t="s">
        <v>204</v>
      </c>
      <c r="G2575" s="6" t="s">
        <v>609</v>
      </c>
      <c r="H2575" s="6" t="s">
        <v>228</v>
      </c>
      <c r="I2575" s="6" t="s">
        <v>5870</v>
      </c>
      <c r="J2575" s="6" t="s">
        <v>238</v>
      </c>
      <c r="K2575" s="6" t="s">
        <v>5760</v>
      </c>
      <c r="L2575" s="6" t="s">
        <v>205</v>
      </c>
      <c r="M2575" s="6" t="s">
        <v>622</v>
      </c>
      <c r="N2575" s="6" t="s">
        <v>278</v>
      </c>
      <c r="O2575" s="6" t="s">
        <v>634</v>
      </c>
      <c r="P2575" s="6" t="str">
        <f aca="false">IF(J2575="S0","—",IF(K2575="","",IF(L2575="E0","QM",INDEX(10_ASIL_Matrix!$D$4:$F$15,MATCH(J2575&amp;"-"&amp;L2575,10_ASIL_Matrix!$C$4:$C$15,0),MATCH(N2575,10_ASIL_Matrix!$D$3:$F$3,0)))))</f>
        <v>—</v>
      </c>
      <c r="Q2575" s="6" t="s">
        <v>448</v>
      </c>
    </row>
    <row r="2576" customFormat="false" ht="35.05" hidden="false" customHeight="false" outlineLevel="0" collapsed="false">
      <c r="A2576" s="5" t="s">
        <v>5871</v>
      </c>
      <c r="B2576" s="5" t="s">
        <v>119</v>
      </c>
      <c r="C2576" s="5" t="s">
        <v>120</v>
      </c>
      <c r="D2576" s="5" t="s">
        <v>143</v>
      </c>
      <c r="E2576" s="5" t="s">
        <v>144</v>
      </c>
      <c r="F2576" s="5" t="s">
        <v>204</v>
      </c>
      <c r="G2576" s="5" t="s">
        <v>609</v>
      </c>
      <c r="H2576" s="5" t="s">
        <v>230</v>
      </c>
      <c r="I2576" s="5" t="s">
        <v>5872</v>
      </c>
      <c r="J2576" s="5" t="s">
        <v>238</v>
      </c>
      <c r="K2576" s="5" t="s">
        <v>5760</v>
      </c>
      <c r="L2576" s="5" t="s">
        <v>205</v>
      </c>
      <c r="M2576" s="5" t="s">
        <v>625</v>
      </c>
      <c r="N2576" s="5" t="s">
        <v>278</v>
      </c>
      <c r="O2576" s="5" t="s">
        <v>634</v>
      </c>
      <c r="P2576" s="5" t="str">
        <f aca="false">IF(J2576="S0","—",IF(K2576="","",IF(L2576="E0","QM",INDEX(10_ASIL_Matrix!$D$4:$F$15,MATCH(J2576&amp;"-"&amp;L2576,10_ASIL_Matrix!$C$4:$C$15,0),MATCH(N2576,10_ASIL_Matrix!$D$3:$F$3,0)))))</f>
        <v>—</v>
      </c>
      <c r="Q2576" s="5" t="s">
        <v>448</v>
      </c>
    </row>
    <row r="2577" customFormat="false" ht="46.25" hidden="false" customHeight="false" outlineLevel="0" collapsed="false">
      <c r="A2577" s="6" t="s">
        <v>5873</v>
      </c>
      <c r="B2577" s="6" t="s">
        <v>119</v>
      </c>
      <c r="C2577" s="6" t="s">
        <v>120</v>
      </c>
      <c r="D2577" s="6" t="s">
        <v>143</v>
      </c>
      <c r="E2577" s="6" t="s">
        <v>144</v>
      </c>
      <c r="F2577" s="6" t="s">
        <v>204</v>
      </c>
      <c r="G2577" s="6" t="s">
        <v>609</v>
      </c>
      <c r="H2577" s="6" t="s">
        <v>232</v>
      </c>
      <c r="I2577" s="6" t="s">
        <v>5874</v>
      </c>
      <c r="J2577" s="6" t="s">
        <v>238</v>
      </c>
      <c r="K2577" s="6" t="s">
        <v>5760</v>
      </c>
      <c r="L2577" s="6" t="s">
        <v>233</v>
      </c>
      <c r="M2577" s="6" t="s">
        <v>629</v>
      </c>
      <c r="N2577" s="6" t="s">
        <v>278</v>
      </c>
      <c r="O2577" s="6" t="s">
        <v>634</v>
      </c>
      <c r="P2577" s="6" t="str">
        <f aca="false">IF(J2577="S0","—",IF(K2577="","",IF(L2577="E0","QM",INDEX(10_ASIL_Matrix!$D$4:$F$15,MATCH(J2577&amp;"-"&amp;L2577,10_ASIL_Matrix!$C$4:$C$15,0),MATCH(N2577,10_ASIL_Matrix!$D$3:$F$3,0)))))</f>
        <v>—</v>
      </c>
      <c r="Q2577" s="6" t="s">
        <v>448</v>
      </c>
    </row>
    <row r="2578" customFormat="false" ht="35.05" hidden="false" customHeight="false" outlineLevel="0" collapsed="false">
      <c r="A2578" s="5" t="s">
        <v>5875</v>
      </c>
      <c r="B2578" s="5" t="s">
        <v>119</v>
      </c>
      <c r="C2578" s="5" t="s">
        <v>120</v>
      </c>
      <c r="D2578" s="5" t="s">
        <v>143</v>
      </c>
      <c r="E2578" s="5" t="s">
        <v>144</v>
      </c>
      <c r="F2578" s="5" t="s">
        <v>207</v>
      </c>
      <c r="G2578" s="5" t="s">
        <v>609</v>
      </c>
      <c r="H2578" s="5" t="s">
        <v>222</v>
      </c>
      <c r="I2578" s="5" t="s">
        <v>5876</v>
      </c>
      <c r="J2578" s="5" t="s">
        <v>238</v>
      </c>
      <c r="K2578" s="5" t="s">
        <v>5760</v>
      </c>
      <c r="L2578" s="5" t="s">
        <v>190</v>
      </c>
      <c r="M2578" s="5" t="s">
        <v>633</v>
      </c>
      <c r="N2578" s="5" t="s">
        <v>278</v>
      </c>
      <c r="O2578" s="5" t="s">
        <v>634</v>
      </c>
      <c r="P2578" s="5" t="str">
        <f aca="false">IF(J2578="S0","—",IF(K2578="","",IF(L2578="E0","QM",INDEX(10_ASIL_Matrix!$D$4:$F$15,MATCH(J2578&amp;"-"&amp;L2578,10_ASIL_Matrix!$C$4:$C$15,0),MATCH(N2578,10_ASIL_Matrix!$D$3:$F$3,0)))))</f>
        <v>—</v>
      </c>
      <c r="Q2578" s="5" t="s">
        <v>448</v>
      </c>
    </row>
    <row r="2579" customFormat="false" ht="35.05" hidden="false" customHeight="false" outlineLevel="0" collapsed="false">
      <c r="A2579" s="6" t="s">
        <v>5877</v>
      </c>
      <c r="B2579" s="6" t="s">
        <v>119</v>
      </c>
      <c r="C2579" s="6" t="s">
        <v>120</v>
      </c>
      <c r="D2579" s="6" t="s">
        <v>143</v>
      </c>
      <c r="E2579" s="6" t="s">
        <v>144</v>
      </c>
      <c r="F2579" s="6" t="s">
        <v>207</v>
      </c>
      <c r="G2579" s="6" t="s">
        <v>609</v>
      </c>
      <c r="H2579" s="6" t="s">
        <v>224</v>
      </c>
      <c r="I2579" s="6" t="s">
        <v>5878</v>
      </c>
      <c r="J2579" s="6" t="s">
        <v>238</v>
      </c>
      <c r="K2579" s="6" t="s">
        <v>5760</v>
      </c>
      <c r="L2579" s="6" t="s">
        <v>190</v>
      </c>
      <c r="M2579" s="6" t="s">
        <v>637</v>
      </c>
      <c r="N2579" s="6" t="s">
        <v>278</v>
      </c>
      <c r="O2579" s="6" t="s">
        <v>634</v>
      </c>
      <c r="P2579" s="6" t="str">
        <f aca="false">IF(J2579="S0","—",IF(K2579="","",IF(L2579="E0","QM",INDEX(10_ASIL_Matrix!$D$4:$F$15,MATCH(J2579&amp;"-"&amp;L2579,10_ASIL_Matrix!$C$4:$C$15,0),MATCH(N2579,10_ASIL_Matrix!$D$3:$F$3,0)))))</f>
        <v>—</v>
      </c>
      <c r="Q2579" s="6" t="s">
        <v>448</v>
      </c>
    </row>
    <row r="2580" customFormat="false" ht="35.05" hidden="false" customHeight="false" outlineLevel="0" collapsed="false">
      <c r="A2580" s="5" t="s">
        <v>5879</v>
      </c>
      <c r="B2580" s="5" t="s">
        <v>119</v>
      </c>
      <c r="C2580" s="5" t="s">
        <v>120</v>
      </c>
      <c r="D2580" s="5" t="s">
        <v>143</v>
      </c>
      <c r="E2580" s="5" t="s">
        <v>144</v>
      </c>
      <c r="F2580" s="5" t="s">
        <v>207</v>
      </c>
      <c r="G2580" s="5" t="s">
        <v>609</v>
      </c>
      <c r="H2580" s="5" t="s">
        <v>226</v>
      </c>
      <c r="I2580" s="5" t="s">
        <v>5880</v>
      </c>
      <c r="J2580" s="5" t="s">
        <v>238</v>
      </c>
      <c r="K2580" s="5" t="s">
        <v>5760</v>
      </c>
      <c r="L2580" s="5" t="s">
        <v>190</v>
      </c>
      <c r="M2580" s="5" t="s">
        <v>640</v>
      </c>
      <c r="N2580" s="5" t="s">
        <v>278</v>
      </c>
      <c r="O2580" s="5" t="s">
        <v>634</v>
      </c>
      <c r="P2580" s="5" t="str">
        <f aca="false">IF(J2580="S0","—",IF(K2580="","",IF(L2580="E0","QM",INDEX(10_ASIL_Matrix!$D$4:$F$15,MATCH(J2580&amp;"-"&amp;L2580,10_ASIL_Matrix!$C$4:$C$15,0),MATCH(N2580,10_ASIL_Matrix!$D$3:$F$3,0)))))</f>
        <v>—</v>
      </c>
      <c r="Q2580" s="5" t="s">
        <v>448</v>
      </c>
    </row>
    <row r="2581" customFormat="false" ht="35.05" hidden="false" customHeight="false" outlineLevel="0" collapsed="false">
      <c r="A2581" s="6" t="s">
        <v>5881</v>
      </c>
      <c r="B2581" s="6" t="s">
        <v>119</v>
      </c>
      <c r="C2581" s="6" t="s">
        <v>120</v>
      </c>
      <c r="D2581" s="6" t="s">
        <v>143</v>
      </c>
      <c r="E2581" s="6" t="s">
        <v>144</v>
      </c>
      <c r="F2581" s="6" t="s">
        <v>207</v>
      </c>
      <c r="G2581" s="6" t="s">
        <v>609</v>
      </c>
      <c r="H2581" s="6" t="s">
        <v>228</v>
      </c>
      <c r="I2581" s="6" t="s">
        <v>5882</v>
      </c>
      <c r="J2581" s="6" t="s">
        <v>238</v>
      </c>
      <c r="K2581" s="6" t="s">
        <v>5760</v>
      </c>
      <c r="L2581" s="6" t="s">
        <v>205</v>
      </c>
      <c r="M2581" s="6" t="s">
        <v>643</v>
      </c>
      <c r="N2581" s="6" t="s">
        <v>278</v>
      </c>
      <c r="O2581" s="6" t="s">
        <v>634</v>
      </c>
      <c r="P2581" s="6" t="str">
        <f aca="false">IF(J2581="S0","—",IF(K2581="","",IF(L2581="E0","QM",INDEX(10_ASIL_Matrix!$D$4:$F$15,MATCH(J2581&amp;"-"&amp;L2581,10_ASIL_Matrix!$C$4:$C$15,0),MATCH(N2581,10_ASIL_Matrix!$D$3:$F$3,0)))))</f>
        <v>—</v>
      </c>
      <c r="Q2581" s="6" t="s">
        <v>448</v>
      </c>
    </row>
    <row r="2582" customFormat="false" ht="35.05" hidden="false" customHeight="false" outlineLevel="0" collapsed="false">
      <c r="A2582" s="5" t="s">
        <v>5883</v>
      </c>
      <c r="B2582" s="5" t="s">
        <v>119</v>
      </c>
      <c r="C2582" s="5" t="s">
        <v>120</v>
      </c>
      <c r="D2582" s="5" t="s">
        <v>143</v>
      </c>
      <c r="E2582" s="5" t="s">
        <v>144</v>
      </c>
      <c r="F2582" s="5" t="s">
        <v>207</v>
      </c>
      <c r="G2582" s="5" t="s">
        <v>609</v>
      </c>
      <c r="H2582" s="5" t="s">
        <v>230</v>
      </c>
      <c r="I2582" s="5" t="s">
        <v>5884</v>
      </c>
      <c r="J2582" s="5" t="s">
        <v>238</v>
      </c>
      <c r="K2582" s="5" t="s">
        <v>5760</v>
      </c>
      <c r="L2582" s="5" t="s">
        <v>205</v>
      </c>
      <c r="M2582" s="5" t="s">
        <v>646</v>
      </c>
      <c r="N2582" s="5" t="s">
        <v>278</v>
      </c>
      <c r="O2582" s="5" t="s">
        <v>634</v>
      </c>
      <c r="P2582" s="5" t="str">
        <f aca="false">IF(J2582="S0","—",IF(K2582="","",IF(L2582="E0","QM",INDEX(10_ASIL_Matrix!$D$4:$F$15,MATCH(J2582&amp;"-"&amp;L2582,10_ASIL_Matrix!$C$4:$C$15,0),MATCH(N2582,10_ASIL_Matrix!$D$3:$F$3,0)))))</f>
        <v>—</v>
      </c>
      <c r="Q2582" s="5" t="s">
        <v>448</v>
      </c>
    </row>
    <row r="2583" customFormat="false" ht="46.25" hidden="false" customHeight="false" outlineLevel="0" collapsed="false">
      <c r="A2583" s="6" t="s">
        <v>5885</v>
      </c>
      <c r="B2583" s="6" t="s">
        <v>119</v>
      </c>
      <c r="C2583" s="6" t="s">
        <v>120</v>
      </c>
      <c r="D2583" s="6" t="s">
        <v>143</v>
      </c>
      <c r="E2583" s="6" t="s">
        <v>144</v>
      </c>
      <c r="F2583" s="6" t="s">
        <v>207</v>
      </c>
      <c r="G2583" s="6" t="s">
        <v>609</v>
      </c>
      <c r="H2583" s="6" t="s">
        <v>232</v>
      </c>
      <c r="I2583" s="6" t="s">
        <v>5886</v>
      </c>
      <c r="J2583" s="6" t="s">
        <v>238</v>
      </c>
      <c r="K2583" s="6" t="s">
        <v>5760</v>
      </c>
      <c r="L2583" s="6" t="s">
        <v>233</v>
      </c>
      <c r="M2583" s="6" t="s">
        <v>649</v>
      </c>
      <c r="N2583" s="6" t="s">
        <v>278</v>
      </c>
      <c r="O2583" s="6" t="s">
        <v>634</v>
      </c>
      <c r="P2583" s="6" t="str">
        <f aca="false">IF(J2583="S0","—",IF(K2583="","",IF(L2583="E0","QM",INDEX(10_ASIL_Matrix!$D$4:$F$15,MATCH(J2583&amp;"-"&amp;L2583,10_ASIL_Matrix!$C$4:$C$15,0),MATCH(N2583,10_ASIL_Matrix!$D$3:$F$3,0)))))</f>
        <v>—</v>
      </c>
      <c r="Q2583" s="6" t="s">
        <v>448</v>
      </c>
    </row>
    <row r="2584" customFormat="false" ht="35.05" hidden="false" customHeight="false" outlineLevel="0" collapsed="false">
      <c r="A2584" s="5" t="s">
        <v>5887</v>
      </c>
      <c r="B2584" s="5" t="s">
        <v>119</v>
      </c>
      <c r="C2584" s="5" t="s">
        <v>120</v>
      </c>
      <c r="D2584" s="5" t="s">
        <v>143</v>
      </c>
      <c r="E2584" s="5" t="s">
        <v>144</v>
      </c>
      <c r="F2584" s="5" t="s">
        <v>209</v>
      </c>
      <c r="G2584" s="5" t="s">
        <v>570</v>
      </c>
      <c r="H2584" s="5" t="s">
        <v>222</v>
      </c>
      <c r="I2584" s="5" t="s">
        <v>5888</v>
      </c>
      <c r="J2584" s="5" t="s">
        <v>246</v>
      </c>
      <c r="K2584" s="5" t="s">
        <v>5889</v>
      </c>
      <c r="L2584" s="5" t="s">
        <v>190</v>
      </c>
      <c r="M2584" s="5" t="s">
        <v>653</v>
      </c>
      <c r="N2584" s="5" t="s">
        <v>282</v>
      </c>
      <c r="O2584" s="5" t="s">
        <v>5850</v>
      </c>
      <c r="P2584" s="5" t="str">
        <f aca="false">IF(J2584="S0","—",IF(K2584="","",IF(L2584="E0","QM",INDEX(10_ASIL_Matrix!$D$4:$F$15,MATCH(J2584&amp;"-"&amp;L2584,10_ASIL_Matrix!$C$4:$C$15,0),MATCH(N2584,10_ASIL_Matrix!$D$3:$F$3,0)))))</f>
        <v>QM</v>
      </c>
      <c r="Q2584" s="5" t="s">
        <v>448</v>
      </c>
    </row>
    <row r="2585" customFormat="false" ht="35.05" hidden="false" customHeight="false" outlineLevel="0" collapsed="false">
      <c r="A2585" s="6" t="s">
        <v>5890</v>
      </c>
      <c r="B2585" s="6" t="s">
        <v>119</v>
      </c>
      <c r="C2585" s="6" t="s">
        <v>120</v>
      </c>
      <c r="D2585" s="6" t="s">
        <v>143</v>
      </c>
      <c r="E2585" s="6" t="s">
        <v>144</v>
      </c>
      <c r="F2585" s="6" t="s">
        <v>209</v>
      </c>
      <c r="G2585" s="6" t="s">
        <v>570</v>
      </c>
      <c r="H2585" s="6" t="s">
        <v>224</v>
      </c>
      <c r="I2585" s="6" t="s">
        <v>5891</v>
      </c>
      <c r="J2585" s="6" t="s">
        <v>246</v>
      </c>
      <c r="K2585" s="6" t="s">
        <v>5889</v>
      </c>
      <c r="L2585" s="6" t="s">
        <v>190</v>
      </c>
      <c r="M2585" s="6" t="s">
        <v>656</v>
      </c>
      <c r="N2585" s="6" t="s">
        <v>282</v>
      </c>
      <c r="O2585" s="6" t="s">
        <v>5850</v>
      </c>
      <c r="P2585" s="6" t="str">
        <f aca="false">IF(J2585="S0","—",IF(K2585="","",IF(L2585="E0","QM",INDEX(10_ASIL_Matrix!$D$4:$F$15,MATCH(J2585&amp;"-"&amp;L2585,10_ASIL_Matrix!$C$4:$C$15,0),MATCH(N2585,10_ASIL_Matrix!$D$3:$F$3,0)))))</f>
        <v>QM</v>
      </c>
      <c r="Q2585" s="6" t="s">
        <v>448</v>
      </c>
    </row>
    <row r="2586" customFormat="false" ht="35.05" hidden="false" customHeight="false" outlineLevel="0" collapsed="false">
      <c r="A2586" s="5" t="s">
        <v>5892</v>
      </c>
      <c r="B2586" s="5" t="s">
        <v>119</v>
      </c>
      <c r="C2586" s="5" t="s">
        <v>120</v>
      </c>
      <c r="D2586" s="5" t="s">
        <v>143</v>
      </c>
      <c r="E2586" s="5" t="s">
        <v>144</v>
      </c>
      <c r="F2586" s="5" t="s">
        <v>209</v>
      </c>
      <c r="G2586" s="5" t="s">
        <v>570</v>
      </c>
      <c r="H2586" s="5" t="s">
        <v>226</v>
      </c>
      <c r="I2586" s="5" t="s">
        <v>5893</v>
      </c>
      <c r="J2586" s="5" t="s">
        <v>246</v>
      </c>
      <c r="K2586" s="5" t="s">
        <v>5889</v>
      </c>
      <c r="L2586" s="5" t="s">
        <v>190</v>
      </c>
      <c r="M2586" s="5" t="s">
        <v>659</v>
      </c>
      <c r="N2586" s="5" t="s">
        <v>282</v>
      </c>
      <c r="O2586" s="5" t="s">
        <v>5850</v>
      </c>
      <c r="P2586" s="5" t="str">
        <f aca="false">IF(J2586="S0","—",IF(K2586="","",IF(L2586="E0","QM",INDEX(10_ASIL_Matrix!$D$4:$F$15,MATCH(J2586&amp;"-"&amp;L2586,10_ASIL_Matrix!$C$4:$C$15,0),MATCH(N2586,10_ASIL_Matrix!$D$3:$F$3,0)))))</f>
        <v>QM</v>
      </c>
      <c r="Q2586" s="5" t="s">
        <v>448</v>
      </c>
    </row>
    <row r="2587" customFormat="false" ht="35.05" hidden="false" customHeight="false" outlineLevel="0" collapsed="false">
      <c r="A2587" s="6" t="s">
        <v>5894</v>
      </c>
      <c r="B2587" s="6" t="s">
        <v>119</v>
      </c>
      <c r="C2587" s="6" t="s">
        <v>120</v>
      </c>
      <c r="D2587" s="6" t="s">
        <v>143</v>
      </c>
      <c r="E2587" s="6" t="s">
        <v>144</v>
      </c>
      <c r="F2587" s="6" t="s">
        <v>209</v>
      </c>
      <c r="G2587" s="6" t="s">
        <v>570</v>
      </c>
      <c r="H2587" s="6" t="s">
        <v>228</v>
      </c>
      <c r="I2587" s="6" t="s">
        <v>5895</v>
      </c>
      <c r="J2587" s="6" t="s">
        <v>246</v>
      </c>
      <c r="K2587" s="6" t="s">
        <v>5889</v>
      </c>
      <c r="L2587" s="6" t="s">
        <v>205</v>
      </c>
      <c r="M2587" s="6" t="s">
        <v>662</v>
      </c>
      <c r="N2587" s="6" t="s">
        <v>282</v>
      </c>
      <c r="O2587" s="6" t="s">
        <v>5850</v>
      </c>
      <c r="P2587" s="6" t="str">
        <f aca="false">IF(J2587="S0","—",IF(K2587="","",IF(L2587="E0","QM",INDEX(10_ASIL_Matrix!$D$4:$F$15,MATCH(J2587&amp;"-"&amp;L2587,10_ASIL_Matrix!$C$4:$C$15,0),MATCH(N2587,10_ASIL_Matrix!$D$3:$F$3,0)))))</f>
        <v>QM</v>
      </c>
      <c r="Q2587" s="6" t="s">
        <v>448</v>
      </c>
    </row>
    <row r="2588" customFormat="false" ht="35.05" hidden="false" customHeight="false" outlineLevel="0" collapsed="false">
      <c r="A2588" s="5" t="s">
        <v>5896</v>
      </c>
      <c r="B2588" s="5" t="s">
        <v>119</v>
      </c>
      <c r="C2588" s="5" t="s">
        <v>120</v>
      </c>
      <c r="D2588" s="5" t="s">
        <v>143</v>
      </c>
      <c r="E2588" s="5" t="s">
        <v>144</v>
      </c>
      <c r="F2588" s="5" t="s">
        <v>209</v>
      </c>
      <c r="G2588" s="5" t="s">
        <v>570</v>
      </c>
      <c r="H2588" s="5" t="s">
        <v>230</v>
      </c>
      <c r="I2588" s="5" t="s">
        <v>5897</v>
      </c>
      <c r="J2588" s="5" t="s">
        <v>250</v>
      </c>
      <c r="K2588" s="5" t="s">
        <v>5898</v>
      </c>
      <c r="L2588" s="5" t="s">
        <v>205</v>
      </c>
      <c r="M2588" s="5" t="s">
        <v>665</v>
      </c>
      <c r="N2588" s="5" t="s">
        <v>286</v>
      </c>
      <c r="O2588" s="5" t="s">
        <v>5860</v>
      </c>
      <c r="P2588" s="19" t="str">
        <f aca="false">IF(J2588="S0","—",IF(K2588="","",IF(L2588="E0","QM",INDEX(10_ASIL_Matrix!$D$4:$F$15,MATCH(J2588&amp;"-"&amp;L2588,10_ASIL_Matrix!$C$4:$C$15,0),MATCH(N2588,10_ASIL_Matrix!$D$3:$F$3,0)))))</f>
        <v>A</v>
      </c>
      <c r="Q2588" s="5" t="s">
        <v>448</v>
      </c>
    </row>
    <row r="2589" customFormat="false" ht="46.25" hidden="false" customHeight="false" outlineLevel="0" collapsed="false">
      <c r="A2589" s="6" t="s">
        <v>5899</v>
      </c>
      <c r="B2589" s="6" t="s">
        <v>119</v>
      </c>
      <c r="C2589" s="6" t="s">
        <v>120</v>
      </c>
      <c r="D2589" s="6" t="s">
        <v>143</v>
      </c>
      <c r="E2589" s="6" t="s">
        <v>144</v>
      </c>
      <c r="F2589" s="6" t="s">
        <v>209</v>
      </c>
      <c r="G2589" s="6" t="s">
        <v>570</v>
      </c>
      <c r="H2589" s="6" t="s">
        <v>232</v>
      </c>
      <c r="I2589" s="6" t="s">
        <v>5900</v>
      </c>
      <c r="J2589" s="6" t="s">
        <v>246</v>
      </c>
      <c r="K2589" s="6" t="s">
        <v>5889</v>
      </c>
      <c r="L2589" s="6" t="s">
        <v>233</v>
      </c>
      <c r="M2589" s="6" t="s">
        <v>668</v>
      </c>
      <c r="N2589" s="6" t="s">
        <v>282</v>
      </c>
      <c r="O2589" s="6" t="s">
        <v>5850</v>
      </c>
      <c r="P2589" s="6" t="str">
        <f aca="false">IF(J2589="S0","—",IF(K2589="","",IF(L2589="E0","QM",INDEX(10_ASIL_Matrix!$D$4:$F$15,MATCH(J2589&amp;"-"&amp;L2589,10_ASIL_Matrix!$C$4:$C$15,0),MATCH(N2589,10_ASIL_Matrix!$D$3:$F$3,0)))))</f>
        <v>QM</v>
      </c>
      <c r="Q2589" s="6" t="s">
        <v>448</v>
      </c>
    </row>
    <row r="2590" customFormat="false" ht="35.05" hidden="false" customHeight="false" outlineLevel="0" collapsed="false">
      <c r="A2590" s="5" t="s">
        <v>5901</v>
      </c>
      <c r="B2590" s="5" t="s">
        <v>119</v>
      </c>
      <c r="C2590" s="5" t="s">
        <v>120</v>
      </c>
      <c r="D2590" s="5" t="s">
        <v>143</v>
      </c>
      <c r="E2590" s="5" t="s">
        <v>144</v>
      </c>
      <c r="F2590" s="5" t="s">
        <v>211</v>
      </c>
      <c r="G2590" s="5" t="s">
        <v>609</v>
      </c>
      <c r="H2590" s="5" t="s">
        <v>222</v>
      </c>
      <c r="I2590" s="5" t="s">
        <v>5902</v>
      </c>
      <c r="J2590" s="5" t="s">
        <v>246</v>
      </c>
      <c r="K2590" s="5" t="s">
        <v>5903</v>
      </c>
      <c r="L2590" s="5" t="s">
        <v>187</v>
      </c>
      <c r="M2590" s="5" t="s">
        <v>672</v>
      </c>
      <c r="N2590" s="5" t="s">
        <v>282</v>
      </c>
      <c r="O2590" s="5" t="s">
        <v>5850</v>
      </c>
      <c r="P2590" s="19" t="str">
        <f aca="false">IF(J2590="S0","—",IF(K2590="","",IF(L2590="E0","QM",INDEX(10_ASIL_Matrix!$D$4:$F$15,MATCH(J2590&amp;"-"&amp;L2590,10_ASIL_Matrix!$C$4:$C$15,0),MATCH(N2590,10_ASIL_Matrix!$D$3:$F$3,0)))))</f>
        <v>A</v>
      </c>
      <c r="Q2590" s="5" t="s">
        <v>448</v>
      </c>
    </row>
    <row r="2591" customFormat="false" ht="35.05" hidden="false" customHeight="false" outlineLevel="0" collapsed="false">
      <c r="A2591" s="6" t="s">
        <v>5904</v>
      </c>
      <c r="B2591" s="6" t="s">
        <v>119</v>
      </c>
      <c r="C2591" s="6" t="s">
        <v>120</v>
      </c>
      <c r="D2591" s="6" t="s">
        <v>143</v>
      </c>
      <c r="E2591" s="6" t="s">
        <v>144</v>
      </c>
      <c r="F2591" s="6" t="s">
        <v>211</v>
      </c>
      <c r="G2591" s="6" t="s">
        <v>609</v>
      </c>
      <c r="H2591" s="6" t="s">
        <v>224</v>
      </c>
      <c r="I2591" s="6" t="s">
        <v>5905</v>
      </c>
      <c r="J2591" s="6" t="s">
        <v>246</v>
      </c>
      <c r="K2591" s="6" t="s">
        <v>5903</v>
      </c>
      <c r="L2591" s="6" t="s">
        <v>190</v>
      </c>
      <c r="M2591" s="6" t="s">
        <v>675</v>
      </c>
      <c r="N2591" s="6" t="s">
        <v>282</v>
      </c>
      <c r="O2591" s="6" t="s">
        <v>5850</v>
      </c>
      <c r="P2591" s="6" t="str">
        <f aca="false">IF(J2591="S0","—",IF(K2591="","",IF(L2591="E0","QM",INDEX(10_ASIL_Matrix!$D$4:$F$15,MATCH(J2591&amp;"-"&amp;L2591,10_ASIL_Matrix!$C$4:$C$15,0),MATCH(N2591,10_ASIL_Matrix!$D$3:$F$3,0)))))</f>
        <v>QM</v>
      </c>
      <c r="Q2591" s="6" t="s">
        <v>448</v>
      </c>
    </row>
    <row r="2592" customFormat="false" ht="35.05" hidden="false" customHeight="false" outlineLevel="0" collapsed="false">
      <c r="A2592" s="5" t="s">
        <v>5906</v>
      </c>
      <c r="B2592" s="5" t="s">
        <v>119</v>
      </c>
      <c r="C2592" s="5" t="s">
        <v>120</v>
      </c>
      <c r="D2592" s="5" t="s">
        <v>143</v>
      </c>
      <c r="E2592" s="5" t="s">
        <v>144</v>
      </c>
      <c r="F2592" s="5" t="s">
        <v>211</v>
      </c>
      <c r="G2592" s="5" t="s">
        <v>609</v>
      </c>
      <c r="H2592" s="5" t="s">
        <v>226</v>
      </c>
      <c r="I2592" s="5" t="s">
        <v>5907</v>
      </c>
      <c r="J2592" s="5" t="s">
        <v>246</v>
      </c>
      <c r="K2592" s="5" t="s">
        <v>5903</v>
      </c>
      <c r="L2592" s="5" t="s">
        <v>190</v>
      </c>
      <c r="M2592" s="5" t="s">
        <v>678</v>
      </c>
      <c r="N2592" s="5" t="s">
        <v>282</v>
      </c>
      <c r="O2592" s="5" t="s">
        <v>5850</v>
      </c>
      <c r="P2592" s="5" t="str">
        <f aca="false">IF(J2592="S0","—",IF(K2592="","",IF(L2592="E0","QM",INDEX(10_ASIL_Matrix!$D$4:$F$15,MATCH(J2592&amp;"-"&amp;L2592,10_ASIL_Matrix!$C$4:$C$15,0),MATCH(N2592,10_ASIL_Matrix!$D$3:$F$3,0)))))</f>
        <v>QM</v>
      </c>
      <c r="Q2592" s="5" t="s">
        <v>448</v>
      </c>
    </row>
    <row r="2593" customFormat="false" ht="35.05" hidden="false" customHeight="false" outlineLevel="0" collapsed="false">
      <c r="A2593" s="6" t="s">
        <v>5908</v>
      </c>
      <c r="B2593" s="6" t="s">
        <v>119</v>
      </c>
      <c r="C2593" s="6" t="s">
        <v>120</v>
      </c>
      <c r="D2593" s="6" t="s">
        <v>143</v>
      </c>
      <c r="E2593" s="6" t="s">
        <v>144</v>
      </c>
      <c r="F2593" s="6" t="s">
        <v>211</v>
      </c>
      <c r="G2593" s="6" t="s">
        <v>609</v>
      </c>
      <c r="H2593" s="6" t="s">
        <v>228</v>
      </c>
      <c r="I2593" s="6" t="s">
        <v>5909</v>
      </c>
      <c r="J2593" s="6" t="s">
        <v>246</v>
      </c>
      <c r="K2593" s="6" t="s">
        <v>5903</v>
      </c>
      <c r="L2593" s="6" t="s">
        <v>205</v>
      </c>
      <c r="M2593" s="6" t="s">
        <v>681</v>
      </c>
      <c r="N2593" s="6" t="s">
        <v>282</v>
      </c>
      <c r="O2593" s="6" t="s">
        <v>5850</v>
      </c>
      <c r="P2593" s="6" t="str">
        <f aca="false">IF(J2593="S0","—",IF(K2593="","",IF(L2593="E0","QM",INDEX(10_ASIL_Matrix!$D$4:$F$15,MATCH(J2593&amp;"-"&amp;L2593,10_ASIL_Matrix!$C$4:$C$15,0),MATCH(N2593,10_ASIL_Matrix!$D$3:$F$3,0)))))</f>
        <v>QM</v>
      </c>
      <c r="Q2593" s="6" t="s">
        <v>448</v>
      </c>
    </row>
    <row r="2594" customFormat="false" ht="35.05" hidden="false" customHeight="false" outlineLevel="0" collapsed="false">
      <c r="A2594" s="5" t="s">
        <v>5910</v>
      </c>
      <c r="B2594" s="5" t="s">
        <v>119</v>
      </c>
      <c r="C2594" s="5" t="s">
        <v>120</v>
      </c>
      <c r="D2594" s="5" t="s">
        <v>143</v>
      </c>
      <c r="E2594" s="5" t="s">
        <v>144</v>
      </c>
      <c r="F2594" s="5" t="s">
        <v>211</v>
      </c>
      <c r="G2594" s="5" t="s">
        <v>609</v>
      </c>
      <c r="H2594" s="5" t="s">
        <v>230</v>
      </c>
      <c r="I2594" s="5" t="s">
        <v>5911</v>
      </c>
      <c r="J2594" s="5" t="s">
        <v>250</v>
      </c>
      <c r="K2594" s="5" t="s">
        <v>5912</v>
      </c>
      <c r="L2594" s="5" t="s">
        <v>205</v>
      </c>
      <c r="M2594" s="5" t="s">
        <v>684</v>
      </c>
      <c r="N2594" s="5" t="s">
        <v>286</v>
      </c>
      <c r="O2594" s="5" t="s">
        <v>5860</v>
      </c>
      <c r="P2594" s="19" t="str">
        <f aca="false">IF(J2594="S0","—",IF(K2594="","",IF(L2594="E0","QM",INDEX(10_ASIL_Matrix!$D$4:$F$15,MATCH(J2594&amp;"-"&amp;L2594,10_ASIL_Matrix!$C$4:$C$15,0),MATCH(N2594,10_ASIL_Matrix!$D$3:$F$3,0)))))</f>
        <v>A</v>
      </c>
      <c r="Q2594" s="5" t="s">
        <v>448</v>
      </c>
    </row>
    <row r="2595" customFormat="false" ht="46.25" hidden="false" customHeight="false" outlineLevel="0" collapsed="false">
      <c r="A2595" s="6" t="s">
        <v>5913</v>
      </c>
      <c r="B2595" s="6" t="s">
        <v>119</v>
      </c>
      <c r="C2595" s="6" t="s">
        <v>120</v>
      </c>
      <c r="D2595" s="6" t="s">
        <v>143</v>
      </c>
      <c r="E2595" s="6" t="s">
        <v>144</v>
      </c>
      <c r="F2595" s="6" t="s">
        <v>211</v>
      </c>
      <c r="G2595" s="6" t="s">
        <v>609</v>
      </c>
      <c r="H2595" s="6" t="s">
        <v>232</v>
      </c>
      <c r="I2595" s="6" t="s">
        <v>5914</v>
      </c>
      <c r="J2595" s="6" t="s">
        <v>246</v>
      </c>
      <c r="K2595" s="6" t="s">
        <v>5903</v>
      </c>
      <c r="L2595" s="6" t="s">
        <v>233</v>
      </c>
      <c r="M2595" s="6" t="s">
        <v>687</v>
      </c>
      <c r="N2595" s="6" t="s">
        <v>282</v>
      </c>
      <c r="O2595" s="6" t="s">
        <v>5850</v>
      </c>
      <c r="P2595" s="6" t="str">
        <f aca="false">IF(J2595="S0","—",IF(K2595="","",IF(L2595="E0","QM",INDEX(10_ASIL_Matrix!$D$4:$F$15,MATCH(J2595&amp;"-"&amp;L2595,10_ASIL_Matrix!$C$4:$C$15,0),MATCH(N2595,10_ASIL_Matrix!$D$3:$F$3,0)))))</f>
        <v>QM</v>
      </c>
      <c r="Q2595" s="6" t="s">
        <v>448</v>
      </c>
    </row>
    <row r="2596" customFormat="false" ht="46.25" hidden="false" customHeight="false" outlineLevel="0" collapsed="false">
      <c r="A2596" s="5" t="s">
        <v>5915</v>
      </c>
      <c r="B2596" s="5" t="s">
        <v>119</v>
      </c>
      <c r="C2596" s="5" t="s">
        <v>120</v>
      </c>
      <c r="D2596" s="5" t="s">
        <v>143</v>
      </c>
      <c r="E2596" s="5" t="s">
        <v>144</v>
      </c>
      <c r="F2596" s="5" t="s">
        <v>213</v>
      </c>
      <c r="G2596" s="5" t="s">
        <v>689</v>
      </c>
      <c r="H2596" s="5" t="s">
        <v>222</v>
      </c>
      <c r="I2596" s="5" t="s">
        <v>5916</v>
      </c>
      <c r="J2596" s="5" t="s">
        <v>238</v>
      </c>
      <c r="K2596" s="5" t="s">
        <v>5760</v>
      </c>
      <c r="L2596" s="5" t="s">
        <v>205</v>
      </c>
      <c r="M2596" s="5" t="s">
        <v>692</v>
      </c>
      <c r="N2596" s="5" t="s">
        <v>278</v>
      </c>
      <c r="O2596" s="5" t="s">
        <v>634</v>
      </c>
      <c r="P2596" s="5" t="str">
        <f aca="false">IF(J2596="S0","—",IF(K2596="","",IF(L2596="E0","QM",INDEX(10_ASIL_Matrix!$D$4:$F$15,MATCH(J2596&amp;"-"&amp;L2596,10_ASIL_Matrix!$C$4:$C$15,0),MATCH(N2596,10_ASIL_Matrix!$D$3:$F$3,0)))))</f>
        <v>—</v>
      </c>
      <c r="Q2596" s="5" t="s">
        <v>448</v>
      </c>
    </row>
    <row r="2597" customFormat="false" ht="46.25" hidden="false" customHeight="false" outlineLevel="0" collapsed="false">
      <c r="A2597" s="6" t="s">
        <v>5917</v>
      </c>
      <c r="B2597" s="6" t="s">
        <v>119</v>
      </c>
      <c r="C2597" s="6" t="s">
        <v>120</v>
      </c>
      <c r="D2597" s="6" t="s">
        <v>143</v>
      </c>
      <c r="E2597" s="6" t="s">
        <v>144</v>
      </c>
      <c r="F2597" s="6" t="s">
        <v>213</v>
      </c>
      <c r="G2597" s="6" t="s">
        <v>689</v>
      </c>
      <c r="H2597" s="6" t="s">
        <v>224</v>
      </c>
      <c r="I2597" s="6" t="s">
        <v>5918</v>
      </c>
      <c r="J2597" s="6" t="s">
        <v>238</v>
      </c>
      <c r="K2597" s="6" t="s">
        <v>5760</v>
      </c>
      <c r="L2597" s="6" t="s">
        <v>205</v>
      </c>
      <c r="M2597" s="6" t="s">
        <v>696</v>
      </c>
      <c r="N2597" s="6" t="s">
        <v>278</v>
      </c>
      <c r="O2597" s="6" t="s">
        <v>634</v>
      </c>
      <c r="P2597" s="6" t="str">
        <f aca="false">IF(J2597="S0","—",IF(K2597="","",IF(L2597="E0","QM",INDEX(10_ASIL_Matrix!$D$4:$F$15,MATCH(J2597&amp;"-"&amp;L2597,10_ASIL_Matrix!$C$4:$C$15,0),MATCH(N2597,10_ASIL_Matrix!$D$3:$F$3,0)))))</f>
        <v>—</v>
      </c>
      <c r="Q2597" s="6" t="s">
        <v>448</v>
      </c>
    </row>
    <row r="2598" customFormat="false" ht="46.25" hidden="false" customHeight="false" outlineLevel="0" collapsed="false">
      <c r="A2598" s="5" t="s">
        <v>5919</v>
      </c>
      <c r="B2598" s="5" t="s">
        <v>119</v>
      </c>
      <c r="C2598" s="5" t="s">
        <v>120</v>
      </c>
      <c r="D2598" s="5" t="s">
        <v>143</v>
      </c>
      <c r="E2598" s="5" t="s">
        <v>144</v>
      </c>
      <c r="F2598" s="5" t="s">
        <v>213</v>
      </c>
      <c r="G2598" s="5" t="s">
        <v>689</v>
      </c>
      <c r="H2598" s="5" t="s">
        <v>226</v>
      </c>
      <c r="I2598" s="5" t="s">
        <v>5920</v>
      </c>
      <c r="J2598" s="5" t="s">
        <v>238</v>
      </c>
      <c r="K2598" s="5" t="s">
        <v>5760</v>
      </c>
      <c r="L2598" s="5" t="s">
        <v>205</v>
      </c>
      <c r="M2598" s="5" t="s">
        <v>699</v>
      </c>
      <c r="N2598" s="5" t="s">
        <v>278</v>
      </c>
      <c r="O2598" s="5" t="s">
        <v>634</v>
      </c>
      <c r="P2598" s="5" t="str">
        <f aca="false">IF(J2598="S0","—",IF(K2598="","",IF(L2598="E0","QM",INDEX(10_ASIL_Matrix!$D$4:$F$15,MATCH(J2598&amp;"-"&amp;L2598,10_ASIL_Matrix!$C$4:$C$15,0),MATCH(N2598,10_ASIL_Matrix!$D$3:$F$3,0)))))</f>
        <v>—</v>
      </c>
      <c r="Q2598" s="5" t="s">
        <v>448</v>
      </c>
    </row>
    <row r="2599" customFormat="false" ht="46.25" hidden="false" customHeight="false" outlineLevel="0" collapsed="false">
      <c r="A2599" s="6" t="s">
        <v>5921</v>
      </c>
      <c r="B2599" s="6" t="s">
        <v>119</v>
      </c>
      <c r="C2599" s="6" t="s">
        <v>120</v>
      </c>
      <c r="D2599" s="6" t="s">
        <v>143</v>
      </c>
      <c r="E2599" s="6" t="s">
        <v>144</v>
      </c>
      <c r="F2599" s="6" t="s">
        <v>213</v>
      </c>
      <c r="G2599" s="6" t="s">
        <v>689</v>
      </c>
      <c r="H2599" s="6" t="s">
        <v>228</v>
      </c>
      <c r="I2599" s="6" t="s">
        <v>5922</v>
      </c>
      <c r="J2599" s="6" t="s">
        <v>238</v>
      </c>
      <c r="K2599" s="6" t="s">
        <v>5760</v>
      </c>
      <c r="L2599" s="6" t="s">
        <v>205</v>
      </c>
      <c r="M2599" s="6" t="s">
        <v>702</v>
      </c>
      <c r="N2599" s="6" t="s">
        <v>278</v>
      </c>
      <c r="O2599" s="6" t="s">
        <v>634</v>
      </c>
      <c r="P2599" s="6" t="str">
        <f aca="false">IF(J2599="S0","—",IF(K2599="","",IF(L2599="E0","QM",INDEX(10_ASIL_Matrix!$D$4:$F$15,MATCH(J2599&amp;"-"&amp;L2599,10_ASIL_Matrix!$C$4:$C$15,0),MATCH(N2599,10_ASIL_Matrix!$D$3:$F$3,0)))))</f>
        <v>—</v>
      </c>
      <c r="Q2599" s="6" t="s">
        <v>448</v>
      </c>
    </row>
    <row r="2600" customFormat="false" ht="46.25" hidden="false" customHeight="false" outlineLevel="0" collapsed="false">
      <c r="A2600" s="5" t="s">
        <v>5923</v>
      </c>
      <c r="B2600" s="5" t="s">
        <v>119</v>
      </c>
      <c r="C2600" s="5" t="s">
        <v>120</v>
      </c>
      <c r="D2600" s="5" t="s">
        <v>143</v>
      </c>
      <c r="E2600" s="5" t="s">
        <v>144</v>
      </c>
      <c r="F2600" s="5" t="s">
        <v>213</v>
      </c>
      <c r="G2600" s="5" t="s">
        <v>689</v>
      </c>
      <c r="H2600" s="5" t="s">
        <v>230</v>
      </c>
      <c r="I2600" s="5" t="s">
        <v>5924</v>
      </c>
      <c r="J2600" s="5" t="s">
        <v>238</v>
      </c>
      <c r="K2600" s="5" t="s">
        <v>5760</v>
      </c>
      <c r="L2600" s="5" t="s">
        <v>205</v>
      </c>
      <c r="M2600" s="5" t="s">
        <v>705</v>
      </c>
      <c r="N2600" s="5" t="s">
        <v>278</v>
      </c>
      <c r="O2600" s="5" t="s">
        <v>634</v>
      </c>
      <c r="P2600" s="5" t="str">
        <f aca="false">IF(J2600="S0","—",IF(K2600="","",IF(L2600="E0","QM",INDEX(10_ASIL_Matrix!$D$4:$F$15,MATCH(J2600&amp;"-"&amp;L2600,10_ASIL_Matrix!$C$4:$C$15,0),MATCH(N2600,10_ASIL_Matrix!$D$3:$F$3,0)))))</f>
        <v>—</v>
      </c>
      <c r="Q2600" s="5" t="s">
        <v>448</v>
      </c>
    </row>
    <row r="2601" customFormat="false" ht="46.25" hidden="false" customHeight="false" outlineLevel="0" collapsed="false">
      <c r="A2601" s="6" t="s">
        <v>5925</v>
      </c>
      <c r="B2601" s="6" t="s">
        <v>119</v>
      </c>
      <c r="C2601" s="6" t="s">
        <v>120</v>
      </c>
      <c r="D2601" s="6" t="s">
        <v>143</v>
      </c>
      <c r="E2601" s="6" t="s">
        <v>144</v>
      </c>
      <c r="F2601" s="6" t="s">
        <v>213</v>
      </c>
      <c r="G2601" s="6" t="s">
        <v>689</v>
      </c>
      <c r="H2601" s="6" t="s">
        <v>232</v>
      </c>
      <c r="I2601" s="6" t="s">
        <v>5926</v>
      </c>
      <c r="J2601" s="6" t="s">
        <v>238</v>
      </c>
      <c r="K2601" s="6" t="s">
        <v>5760</v>
      </c>
      <c r="L2601" s="6" t="s">
        <v>233</v>
      </c>
      <c r="M2601" s="6" t="s">
        <v>709</v>
      </c>
      <c r="N2601" s="6" t="s">
        <v>278</v>
      </c>
      <c r="O2601" s="6" t="s">
        <v>634</v>
      </c>
      <c r="P2601" s="6" t="str">
        <f aca="false">IF(J2601="S0","—",IF(K2601="","",IF(L2601="E0","QM",INDEX(10_ASIL_Matrix!$D$4:$F$15,MATCH(J2601&amp;"-"&amp;L2601,10_ASIL_Matrix!$C$4:$C$15,0),MATCH(N2601,10_ASIL_Matrix!$D$3:$F$3,0)))))</f>
        <v>—</v>
      </c>
      <c r="Q2601" s="6" t="s">
        <v>448</v>
      </c>
    </row>
    <row r="2602" customFormat="false" ht="35.05" hidden="false" customHeight="false" outlineLevel="0" collapsed="false">
      <c r="A2602" s="5" t="s">
        <v>5927</v>
      </c>
      <c r="B2602" s="5" t="s">
        <v>119</v>
      </c>
      <c r="C2602" s="5" t="s">
        <v>120</v>
      </c>
      <c r="D2602" s="5" t="s">
        <v>143</v>
      </c>
      <c r="E2602" s="5" t="s">
        <v>144</v>
      </c>
      <c r="F2602" s="5" t="s">
        <v>215</v>
      </c>
      <c r="G2602" s="5" t="s">
        <v>711</v>
      </c>
      <c r="H2602" s="5" t="s">
        <v>222</v>
      </c>
      <c r="I2602" s="5" t="s">
        <v>5928</v>
      </c>
      <c r="J2602" s="5" t="s">
        <v>238</v>
      </c>
      <c r="K2602" s="5" t="s">
        <v>5760</v>
      </c>
      <c r="L2602" s="5" t="s">
        <v>190</v>
      </c>
      <c r="M2602" s="5" t="s">
        <v>714</v>
      </c>
      <c r="N2602" s="5" t="s">
        <v>278</v>
      </c>
      <c r="O2602" s="5" t="s">
        <v>634</v>
      </c>
      <c r="P2602" s="5" t="str">
        <f aca="false">IF(J2602="S0","—",IF(K2602="","",IF(L2602="E0","QM",INDEX(10_ASIL_Matrix!$D$4:$F$15,MATCH(J2602&amp;"-"&amp;L2602,10_ASIL_Matrix!$C$4:$C$15,0),MATCH(N2602,10_ASIL_Matrix!$D$3:$F$3,0)))))</f>
        <v>—</v>
      </c>
      <c r="Q2602" s="5" t="s">
        <v>448</v>
      </c>
    </row>
    <row r="2603" customFormat="false" ht="35.05" hidden="false" customHeight="false" outlineLevel="0" collapsed="false">
      <c r="A2603" s="6" t="s">
        <v>5929</v>
      </c>
      <c r="B2603" s="6" t="s">
        <v>119</v>
      </c>
      <c r="C2603" s="6" t="s">
        <v>120</v>
      </c>
      <c r="D2603" s="6" t="s">
        <v>143</v>
      </c>
      <c r="E2603" s="6" t="s">
        <v>144</v>
      </c>
      <c r="F2603" s="6" t="s">
        <v>215</v>
      </c>
      <c r="G2603" s="6" t="s">
        <v>711</v>
      </c>
      <c r="H2603" s="6" t="s">
        <v>224</v>
      </c>
      <c r="I2603" s="6" t="s">
        <v>5930</v>
      </c>
      <c r="J2603" s="6" t="s">
        <v>238</v>
      </c>
      <c r="K2603" s="6" t="s">
        <v>5760</v>
      </c>
      <c r="L2603" s="6" t="s">
        <v>190</v>
      </c>
      <c r="M2603" s="6" t="s">
        <v>717</v>
      </c>
      <c r="N2603" s="6" t="s">
        <v>278</v>
      </c>
      <c r="O2603" s="6" t="s">
        <v>634</v>
      </c>
      <c r="P2603" s="6" t="str">
        <f aca="false">IF(J2603="S0","—",IF(K2603="","",IF(L2603="E0","QM",INDEX(10_ASIL_Matrix!$D$4:$F$15,MATCH(J2603&amp;"-"&amp;L2603,10_ASIL_Matrix!$C$4:$C$15,0),MATCH(N2603,10_ASIL_Matrix!$D$3:$F$3,0)))))</f>
        <v>—</v>
      </c>
      <c r="Q2603" s="6" t="s">
        <v>448</v>
      </c>
    </row>
    <row r="2604" customFormat="false" ht="35.05" hidden="false" customHeight="false" outlineLevel="0" collapsed="false">
      <c r="A2604" s="5" t="s">
        <v>5931</v>
      </c>
      <c r="B2604" s="5" t="s">
        <v>119</v>
      </c>
      <c r="C2604" s="5" t="s">
        <v>120</v>
      </c>
      <c r="D2604" s="5" t="s">
        <v>143</v>
      </c>
      <c r="E2604" s="5" t="s">
        <v>144</v>
      </c>
      <c r="F2604" s="5" t="s">
        <v>215</v>
      </c>
      <c r="G2604" s="5" t="s">
        <v>711</v>
      </c>
      <c r="H2604" s="5" t="s">
        <v>226</v>
      </c>
      <c r="I2604" s="5" t="s">
        <v>5932</v>
      </c>
      <c r="J2604" s="5" t="s">
        <v>238</v>
      </c>
      <c r="K2604" s="5" t="s">
        <v>5760</v>
      </c>
      <c r="L2604" s="5" t="s">
        <v>190</v>
      </c>
      <c r="M2604" s="5" t="s">
        <v>720</v>
      </c>
      <c r="N2604" s="5" t="s">
        <v>278</v>
      </c>
      <c r="O2604" s="5" t="s">
        <v>634</v>
      </c>
      <c r="P2604" s="5" t="str">
        <f aca="false">IF(J2604="S0","—",IF(K2604="","",IF(L2604="E0","QM",INDEX(10_ASIL_Matrix!$D$4:$F$15,MATCH(J2604&amp;"-"&amp;L2604,10_ASIL_Matrix!$C$4:$C$15,0),MATCH(N2604,10_ASIL_Matrix!$D$3:$F$3,0)))))</f>
        <v>—</v>
      </c>
      <c r="Q2604" s="5" t="s">
        <v>448</v>
      </c>
    </row>
    <row r="2605" customFormat="false" ht="35.05" hidden="false" customHeight="false" outlineLevel="0" collapsed="false">
      <c r="A2605" s="6" t="s">
        <v>5933</v>
      </c>
      <c r="B2605" s="6" t="s">
        <v>119</v>
      </c>
      <c r="C2605" s="6" t="s">
        <v>120</v>
      </c>
      <c r="D2605" s="6" t="s">
        <v>143</v>
      </c>
      <c r="E2605" s="6" t="s">
        <v>144</v>
      </c>
      <c r="F2605" s="6" t="s">
        <v>215</v>
      </c>
      <c r="G2605" s="6" t="s">
        <v>711</v>
      </c>
      <c r="H2605" s="6" t="s">
        <v>228</v>
      </c>
      <c r="I2605" s="6" t="s">
        <v>5934</v>
      </c>
      <c r="J2605" s="6" t="s">
        <v>238</v>
      </c>
      <c r="K2605" s="6" t="s">
        <v>5760</v>
      </c>
      <c r="L2605" s="6" t="s">
        <v>205</v>
      </c>
      <c r="M2605" s="6" t="s">
        <v>723</v>
      </c>
      <c r="N2605" s="6" t="s">
        <v>278</v>
      </c>
      <c r="O2605" s="6" t="s">
        <v>634</v>
      </c>
      <c r="P2605" s="6" t="str">
        <f aca="false">IF(J2605="S0","—",IF(K2605="","",IF(L2605="E0","QM",INDEX(10_ASIL_Matrix!$D$4:$F$15,MATCH(J2605&amp;"-"&amp;L2605,10_ASIL_Matrix!$C$4:$C$15,0),MATCH(N2605,10_ASIL_Matrix!$D$3:$F$3,0)))))</f>
        <v>—</v>
      </c>
      <c r="Q2605" s="6" t="s">
        <v>448</v>
      </c>
    </row>
    <row r="2606" customFormat="false" ht="35.05" hidden="false" customHeight="false" outlineLevel="0" collapsed="false">
      <c r="A2606" s="5" t="s">
        <v>5935</v>
      </c>
      <c r="B2606" s="5" t="s">
        <v>119</v>
      </c>
      <c r="C2606" s="5" t="s">
        <v>120</v>
      </c>
      <c r="D2606" s="5" t="s">
        <v>143</v>
      </c>
      <c r="E2606" s="5" t="s">
        <v>144</v>
      </c>
      <c r="F2606" s="5" t="s">
        <v>215</v>
      </c>
      <c r="G2606" s="5" t="s">
        <v>711</v>
      </c>
      <c r="H2606" s="5" t="s">
        <v>230</v>
      </c>
      <c r="I2606" s="5" t="s">
        <v>5936</v>
      </c>
      <c r="J2606" s="5" t="s">
        <v>238</v>
      </c>
      <c r="K2606" s="5" t="s">
        <v>5760</v>
      </c>
      <c r="L2606" s="5" t="s">
        <v>205</v>
      </c>
      <c r="M2606" s="5" t="s">
        <v>726</v>
      </c>
      <c r="N2606" s="5" t="s">
        <v>278</v>
      </c>
      <c r="O2606" s="5" t="s">
        <v>634</v>
      </c>
      <c r="P2606" s="5" t="str">
        <f aca="false">IF(J2606="S0","—",IF(K2606="","",IF(L2606="E0","QM",INDEX(10_ASIL_Matrix!$D$4:$F$15,MATCH(J2606&amp;"-"&amp;L2606,10_ASIL_Matrix!$C$4:$C$15,0),MATCH(N2606,10_ASIL_Matrix!$D$3:$F$3,0)))))</f>
        <v>—</v>
      </c>
      <c r="Q2606" s="5" t="s">
        <v>448</v>
      </c>
    </row>
    <row r="2607" customFormat="false" ht="46.25" hidden="false" customHeight="false" outlineLevel="0" collapsed="false">
      <c r="A2607" s="6" t="s">
        <v>5937</v>
      </c>
      <c r="B2607" s="6" t="s">
        <v>119</v>
      </c>
      <c r="C2607" s="6" t="s">
        <v>120</v>
      </c>
      <c r="D2607" s="6" t="s">
        <v>143</v>
      </c>
      <c r="E2607" s="6" t="s">
        <v>144</v>
      </c>
      <c r="F2607" s="6" t="s">
        <v>215</v>
      </c>
      <c r="G2607" s="6" t="s">
        <v>711</v>
      </c>
      <c r="H2607" s="6" t="s">
        <v>232</v>
      </c>
      <c r="I2607" s="6" t="s">
        <v>5938</v>
      </c>
      <c r="J2607" s="6" t="s">
        <v>238</v>
      </c>
      <c r="K2607" s="6" t="s">
        <v>5760</v>
      </c>
      <c r="L2607" s="6" t="s">
        <v>233</v>
      </c>
      <c r="M2607" s="6" t="s">
        <v>729</v>
      </c>
      <c r="N2607" s="6" t="s">
        <v>278</v>
      </c>
      <c r="O2607" s="6" t="s">
        <v>634</v>
      </c>
      <c r="P2607" s="6" t="str">
        <f aca="false">IF(J2607="S0","—",IF(K2607="","",IF(L2607="E0","QM",INDEX(10_ASIL_Matrix!$D$4:$F$15,MATCH(J2607&amp;"-"&amp;L2607,10_ASIL_Matrix!$C$4:$C$15,0),MATCH(N2607,10_ASIL_Matrix!$D$3:$F$3,0)))))</f>
        <v>—</v>
      </c>
      <c r="Q2607" s="6" t="s">
        <v>448</v>
      </c>
    </row>
    <row r="2608" customFormat="false" ht="35.05" hidden="false" customHeight="false" outlineLevel="0" collapsed="false">
      <c r="A2608" s="5" t="s">
        <v>5939</v>
      </c>
      <c r="B2608" s="5" t="s">
        <v>119</v>
      </c>
      <c r="C2608" s="5" t="s">
        <v>120</v>
      </c>
      <c r="D2608" s="5" t="s">
        <v>143</v>
      </c>
      <c r="E2608" s="5" t="s">
        <v>144</v>
      </c>
      <c r="F2608" s="5" t="s">
        <v>217</v>
      </c>
      <c r="G2608" s="5" t="s">
        <v>488</v>
      </c>
      <c r="H2608" s="5" t="s">
        <v>222</v>
      </c>
      <c r="I2608" s="5" t="s">
        <v>5940</v>
      </c>
      <c r="J2608" s="5" t="s">
        <v>238</v>
      </c>
      <c r="K2608" s="5" t="s">
        <v>5760</v>
      </c>
      <c r="L2608" s="5" t="s">
        <v>190</v>
      </c>
      <c r="M2608" s="5" t="s">
        <v>733</v>
      </c>
      <c r="N2608" s="5" t="s">
        <v>278</v>
      </c>
      <c r="O2608" s="5" t="s">
        <v>634</v>
      </c>
      <c r="P2608" s="5" t="str">
        <f aca="false">IF(J2608="S0","—",IF(K2608="","",IF(L2608="E0","QM",INDEX(10_ASIL_Matrix!$D$4:$F$15,MATCH(J2608&amp;"-"&amp;L2608,10_ASIL_Matrix!$C$4:$C$15,0),MATCH(N2608,10_ASIL_Matrix!$D$3:$F$3,0)))))</f>
        <v>—</v>
      </c>
      <c r="Q2608" s="5" t="s">
        <v>448</v>
      </c>
    </row>
    <row r="2609" customFormat="false" ht="35.05" hidden="false" customHeight="false" outlineLevel="0" collapsed="false">
      <c r="A2609" s="6" t="s">
        <v>5941</v>
      </c>
      <c r="B2609" s="6" t="s">
        <v>119</v>
      </c>
      <c r="C2609" s="6" t="s">
        <v>120</v>
      </c>
      <c r="D2609" s="6" t="s">
        <v>143</v>
      </c>
      <c r="E2609" s="6" t="s">
        <v>144</v>
      </c>
      <c r="F2609" s="6" t="s">
        <v>217</v>
      </c>
      <c r="G2609" s="6" t="s">
        <v>488</v>
      </c>
      <c r="H2609" s="6" t="s">
        <v>224</v>
      </c>
      <c r="I2609" s="6" t="s">
        <v>5942</v>
      </c>
      <c r="J2609" s="6" t="s">
        <v>238</v>
      </c>
      <c r="K2609" s="6" t="s">
        <v>5760</v>
      </c>
      <c r="L2609" s="6" t="s">
        <v>190</v>
      </c>
      <c r="M2609" s="6" t="s">
        <v>736</v>
      </c>
      <c r="N2609" s="6" t="s">
        <v>278</v>
      </c>
      <c r="O2609" s="6" t="s">
        <v>634</v>
      </c>
      <c r="P2609" s="6" t="str">
        <f aca="false">IF(J2609="S0","—",IF(K2609="","",IF(L2609="E0","QM",INDEX(10_ASIL_Matrix!$D$4:$F$15,MATCH(J2609&amp;"-"&amp;L2609,10_ASIL_Matrix!$C$4:$C$15,0),MATCH(N2609,10_ASIL_Matrix!$D$3:$F$3,0)))))</f>
        <v>—</v>
      </c>
      <c r="Q2609" s="6" t="s">
        <v>448</v>
      </c>
    </row>
    <row r="2610" customFormat="false" ht="35.05" hidden="false" customHeight="false" outlineLevel="0" collapsed="false">
      <c r="A2610" s="5" t="s">
        <v>5943</v>
      </c>
      <c r="B2610" s="5" t="s">
        <v>119</v>
      </c>
      <c r="C2610" s="5" t="s">
        <v>120</v>
      </c>
      <c r="D2610" s="5" t="s">
        <v>143</v>
      </c>
      <c r="E2610" s="5" t="s">
        <v>144</v>
      </c>
      <c r="F2610" s="5" t="s">
        <v>217</v>
      </c>
      <c r="G2610" s="5" t="s">
        <v>488</v>
      </c>
      <c r="H2610" s="5" t="s">
        <v>226</v>
      </c>
      <c r="I2610" s="5" t="s">
        <v>5944</v>
      </c>
      <c r="J2610" s="5" t="s">
        <v>238</v>
      </c>
      <c r="K2610" s="5" t="s">
        <v>5760</v>
      </c>
      <c r="L2610" s="5" t="s">
        <v>190</v>
      </c>
      <c r="M2610" s="5" t="s">
        <v>739</v>
      </c>
      <c r="N2610" s="5" t="s">
        <v>278</v>
      </c>
      <c r="O2610" s="5" t="s">
        <v>634</v>
      </c>
      <c r="P2610" s="5" t="str">
        <f aca="false">IF(J2610="S0","—",IF(K2610="","",IF(L2610="E0","QM",INDEX(10_ASIL_Matrix!$D$4:$F$15,MATCH(J2610&amp;"-"&amp;L2610,10_ASIL_Matrix!$C$4:$C$15,0),MATCH(N2610,10_ASIL_Matrix!$D$3:$F$3,0)))))</f>
        <v>—</v>
      </c>
      <c r="Q2610" s="5" t="s">
        <v>448</v>
      </c>
    </row>
    <row r="2611" customFormat="false" ht="35.05" hidden="false" customHeight="false" outlineLevel="0" collapsed="false">
      <c r="A2611" s="6" t="s">
        <v>5945</v>
      </c>
      <c r="B2611" s="6" t="s">
        <v>119</v>
      </c>
      <c r="C2611" s="6" t="s">
        <v>120</v>
      </c>
      <c r="D2611" s="6" t="s">
        <v>143</v>
      </c>
      <c r="E2611" s="6" t="s">
        <v>144</v>
      </c>
      <c r="F2611" s="6" t="s">
        <v>217</v>
      </c>
      <c r="G2611" s="6" t="s">
        <v>488</v>
      </c>
      <c r="H2611" s="6" t="s">
        <v>228</v>
      </c>
      <c r="I2611" s="6" t="s">
        <v>5946</v>
      </c>
      <c r="J2611" s="6" t="s">
        <v>238</v>
      </c>
      <c r="K2611" s="6" t="s">
        <v>5760</v>
      </c>
      <c r="L2611" s="6" t="s">
        <v>205</v>
      </c>
      <c r="M2611" s="6" t="s">
        <v>742</v>
      </c>
      <c r="N2611" s="6" t="s">
        <v>278</v>
      </c>
      <c r="O2611" s="6" t="s">
        <v>634</v>
      </c>
      <c r="P2611" s="6" t="str">
        <f aca="false">IF(J2611="S0","—",IF(K2611="","",IF(L2611="E0","QM",INDEX(10_ASIL_Matrix!$D$4:$F$15,MATCH(J2611&amp;"-"&amp;L2611,10_ASIL_Matrix!$C$4:$C$15,0),MATCH(N2611,10_ASIL_Matrix!$D$3:$F$3,0)))))</f>
        <v>—</v>
      </c>
      <c r="Q2611" s="6" t="s">
        <v>448</v>
      </c>
    </row>
    <row r="2612" customFormat="false" ht="35.05" hidden="false" customHeight="false" outlineLevel="0" collapsed="false">
      <c r="A2612" s="5" t="s">
        <v>5947</v>
      </c>
      <c r="B2612" s="5" t="s">
        <v>119</v>
      </c>
      <c r="C2612" s="5" t="s">
        <v>120</v>
      </c>
      <c r="D2612" s="5" t="s">
        <v>143</v>
      </c>
      <c r="E2612" s="5" t="s">
        <v>144</v>
      </c>
      <c r="F2612" s="5" t="s">
        <v>217</v>
      </c>
      <c r="G2612" s="5" t="s">
        <v>488</v>
      </c>
      <c r="H2612" s="5" t="s">
        <v>230</v>
      </c>
      <c r="I2612" s="5" t="s">
        <v>5948</v>
      </c>
      <c r="J2612" s="5" t="s">
        <v>238</v>
      </c>
      <c r="K2612" s="5" t="s">
        <v>5760</v>
      </c>
      <c r="L2612" s="5" t="s">
        <v>205</v>
      </c>
      <c r="M2612" s="5" t="s">
        <v>745</v>
      </c>
      <c r="N2612" s="5" t="s">
        <v>278</v>
      </c>
      <c r="O2612" s="5" t="s">
        <v>634</v>
      </c>
      <c r="P2612" s="5" t="str">
        <f aca="false">IF(J2612="S0","—",IF(K2612="","",IF(L2612="E0","QM",INDEX(10_ASIL_Matrix!$D$4:$F$15,MATCH(J2612&amp;"-"&amp;L2612,10_ASIL_Matrix!$C$4:$C$15,0),MATCH(N2612,10_ASIL_Matrix!$D$3:$F$3,0)))))</f>
        <v>—</v>
      </c>
      <c r="Q2612" s="5" t="s">
        <v>448</v>
      </c>
    </row>
    <row r="2613" customFormat="false" ht="46.25" hidden="false" customHeight="false" outlineLevel="0" collapsed="false">
      <c r="A2613" s="6" t="s">
        <v>5949</v>
      </c>
      <c r="B2613" s="6" t="s">
        <v>119</v>
      </c>
      <c r="C2613" s="6" t="s">
        <v>120</v>
      </c>
      <c r="D2613" s="6" t="s">
        <v>143</v>
      </c>
      <c r="E2613" s="6" t="s">
        <v>144</v>
      </c>
      <c r="F2613" s="6" t="s">
        <v>217</v>
      </c>
      <c r="G2613" s="6" t="s">
        <v>488</v>
      </c>
      <c r="H2613" s="6" t="s">
        <v>232</v>
      </c>
      <c r="I2613" s="6" t="s">
        <v>5950</v>
      </c>
      <c r="J2613" s="6" t="s">
        <v>238</v>
      </c>
      <c r="K2613" s="6" t="s">
        <v>5760</v>
      </c>
      <c r="L2613" s="6" t="s">
        <v>233</v>
      </c>
      <c r="M2613" s="6" t="s">
        <v>748</v>
      </c>
      <c r="N2613" s="6" t="s">
        <v>278</v>
      </c>
      <c r="O2613" s="6" t="s">
        <v>634</v>
      </c>
      <c r="P2613" s="6" t="str">
        <f aca="false">IF(J2613="S0","—",IF(K2613="","",IF(L2613="E0","QM",INDEX(10_ASIL_Matrix!$D$4:$F$15,MATCH(J2613&amp;"-"&amp;L2613,10_ASIL_Matrix!$C$4:$C$15,0),MATCH(N2613,10_ASIL_Matrix!$D$3:$F$3,0)))))</f>
        <v>—</v>
      </c>
      <c r="Q2613" s="6" t="s">
        <v>448</v>
      </c>
    </row>
    <row r="2614" customFormat="false" ht="35.05" hidden="false" customHeight="false" outlineLevel="0" collapsed="false">
      <c r="A2614" s="5" t="s">
        <v>5951</v>
      </c>
      <c r="B2614" s="5" t="s">
        <v>125</v>
      </c>
      <c r="C2614" s="5" t="s">
        <v>126</v>
      </c>
      <c r="D2614" s="5" t="s">
        <v>143</v>
      </c>
      <c r="E2614" s="5" t="s">
        <v>144</v>
      </c>
      <c r="F2614" s="5" t="s">
        <v>186</v>
      </c>
      <c r="G2614" s="5" t="s">
        <v>443</v>
      </c>
      <c r="H2614" s="5" t="s">
        <v>222</v>
      </c>
      <c r="I2614" s="5" t="s">
        <v>5952</v>
      </c>
      <c r="J2614" s="5" t="s">
        <v>238</v>
      </c>
      <c r="K2614" s="5" t="s">
        <v>5953</v>
      </c>
      <c r="L2614" s="5" t="s">
        <v>187</v>
      </c>
      <c r="M2614" s="5" t="s">
        <v>446</v>
      </c>
      <c r="N2614" s="5" t="s">
        <v>278</v>
      </c>
      <c r="O2614" s="5" t="s">
        <v>634</v>
      </c>
      <c r="P2614" s="5" t="str">
        <f aca="false">IF(J2614="S0","—",IF(K2614="","",IF(L2614="E0","QM",INDEX(10_ASIL_Matrix!$D$4:$F$15,MATCH(J2614&amp;"-"&amp;L2614,10_ASIL_Matrix!$C$4:$C$15,0),MATCH(N2614,10_ASIL_Matrix!$D$3:$F$3,0)))))</f>
        <v>—</v>
      </c>
      <c r="Q2614" s="5" t="s">
        <v>448</v>
      </c>
    </row>
    <row r="2615" customFormat="false" ht="35.05" hidden="false" customHeight="false" outlineLevel="0" collapsed="false">
      <c r="A2615" s="6" t="s">
        <v>5954</v>
      </c>
      <c r="B2615" s="6" t="s">
        <v>125</v>
      </c>
      <c r="C2615" s="6" t="s">
        <v>126</v>
      </c>
      <c r="D2615" s="6" t="s">
        <v>143</v>
      </c>
      <c r="E2615" s="6" t="s">
        <v>144</v>
      </c>
      <c r="F2615" s="6" t="s">
        <v>186</v>
      </c>
      <c r="G2615" s="6" t="s">
        <v>443</v>
      </c>
      <c r="H2615" s="6" t="s">
        <v>224</v>
      </c>
      <c r="I2615" s="6" t="s">
        <v>5955</v>
      </c>
      <c r="J2615" s="6" t="s">
        <v>238</v>
      </c>
      <c r="K2615" s="6" t="s">
        <v>5953</v>
      </c>
      <c r="L2615" s="6" t="s">
        <v>190</v>
      </c>
      <c r="M2615" s="6" t="s">
        <v>451</v>
      </c>
      <c r="N2615" s="6" t="s">
        <v>278</v>
      </c>
      <c r="O2615" s="6" t="s">
        <v>634</v>
      </c>
      <c r="P2615" s="6" t="str">
        <f aca="false">IF(J2615="S0","—",IF(K2615="","",IF(L2615="E0","QM",INDEX(10_ASIL_Matrix!$D$4:$F$15,MATCH(J2615&amp;"-"&amp;L2615,10_ASIL_Matrix!$C$4:$C$15,0),MATCH(N2615,10_ASIL_Matrix!$D$3:$F$3,0)))))</f>
        <v>—</v>
      </c>
      <c r="Q2615" s="6" t="s">
        <v>448</v>
      </c>
    </row>
    <row r="2616" customFormat="false" ht="35.05" hidden="false" customHeight="false" outlineLevel="0" collapsed="false">
      <c r="A2616" s="5" t="s">
        <v>5956</v>
      </c>
      <c r="B2616" s="5" t="s">
        <v>125</v>
      </c>
      <c r="C2616" s="5" t="s">
        <v>126</v>
      </c>
      <c r="D2616" s="5" t="s">
        <v>143</v>
      </c>
      <c r="E2616" s="5" t="s">
        <v>144</v>
      </c>
      <c r="F2616" s="5" t="s">
        <v>186</v>
      </c>
      <c r="G2616" s="5" t="s">
        <v>443</v>
      </c>
      <c r="H2616" s="5" t="s">
        <v>226</v>
      </c>
      <c r="I2616" s="5" t="s">
        <v>5957</v>
      </c>
      <c r="J2616" s="5" t="s">
        <v>238</v>
      </c>
      <c r="K2616" s="5" t="s">
        <v>5953</v>
      </c>
      <c r="L2616" s="5" t="s">
        <v>190</v>
      </c>
      <c r="M2616" s="5" t="s">
        <v>454</v>
      </c>
      <c r="N2616" s="5" t="s">
        <v>278</v>
      </c>
      <c r="O2616" s="5" t="s">
        <v>634</v>
      </c>
      <c r="P2616" s="5" t="str">
        <f aca="false">IF(J2616="S0","—",IF(K2616="","",IF(L2616="E0","QM",INDEX(10_ASIL_Matrix!$D$4:$F$15,MATCH(J2616&amp;"-"&amp;L2616,10_ASIL_Matrix!$C$4:$C$15,0),MATCH(N2616,10_ASIL_Matrix!$D$3:$F$3,0)))))</f>
        <v>—</v>
      </c>
      <c r="Q2616" s="5" t="s">
        <v>448</v>
      </c>
    </row>
    <row r="2617" customFormat="false" ht="46.25" hidden="false" customHeight="false" outlineLevel="0" collapsed="false">
      <c r="A2617" s="6" t="s">
        <v>5958</v>
      </c>
      <c r="B2617" s="6" t="s">
        <v>125</v>
      </c>
      <c r="C2617" s="6" t="s">
        <v>126</v>
      </c>
      <c r="D2617" s="6" t="s">
        <v>143</v>
      </c>
      <c r="E2617" s="6" t="s">
        <v>144</v>
      </c>
      <c r="F2617" s="6" t="s">
        <v>186</v>
      </c>
      <c r="G2617" s="6" t="s">
        <v>443</v>
      </c>
      <c r="H2617" s="6" t="s">
        <v>228</v>
      </c>
      <c r="I2617" s="6" t="s">
        <v>5959</v>
      </c>
      <c r="J2617" s="6" t="s">
        <v>238</v>
      </c>
      <c r="K2617" s="6" t="s">
        <v>5953</v>
      </c>
      <c r="L2617" s="6" t="s">
        <v>205</v>
      </c>
      <c r="M2617" s="6" t="s">
        <v>457</v>
      </c>
      <c r="N2617" s="6" t="s">
        <v>278</v>
      </c>
      <c r="O2617" s="6" t="s">
        <v>634</v>
      </c>
      <c r="P2617" s="6" t="str">
        <f aca="false">IF(J2617="S0","—",IF(K2617="","",IF(L2617="E0","QM",INDEX(10_ASIL_Matrix!$D$4:$F$15,MATCH(J2617&amp;"-"&amp;L2617,10_ASIL_Matrix!$C$4:$C$15,0),MATCH(N2617,10_ASIL_Matrix!$D$3:$F$3,0)))))</f>
        <v>—</v>
      </c>
      <c r="Q2617" s="6" t="s">
        <v>448</v>
      </c>
    </row>
    <row r="2618" customFormat="false" ht="35.05" hidden="false" customHeight="false" outlineLevel="0" collapsed="false">
      <c r="A2618" s="5" t="s">
        <v>5960</v>
      </c>
      <c r="B2618" s="5" t="s">
        <v>125</v>
      </c>
      <c r="C2618" s="5" t="s">
        <v>126</v>
      </c>
      <c r="D2618" s="5" t="s">
        <v>143</v>
      </c>
      <c r="E2618" s="5" t="s">
        <v>144</v>
      </c>
      <c r="F2618" s="5" t="s">
        <v>186</v>
      </c>
      <c r="G2618" s="5" t="s">
        <v>443</v>
      </c>
      <c r="H2618" s="5" t="s">
        <v>230</v>
      </c>
      <c r="I2618" s="5" t="s">
        <v>5961</v>
      </c>
      <c r="J2618" s="5" t="s">
        <v>238</v>
      </c>
      <c r="K2618" s="5" t="s">
        <v>5953</v>
      </c>
      <c r="L2618" s="5" t="s">
        <v>205</v>
      </c>
      <c r="M2618" s="5" t="s">
        <v>460</v>
      </c>
      <c r="N2618" s="5" t="s">
        <v>278</v>
      </c>
      <c r="O2618" s="5" t="s">
        <v>634</v>
      </c>
      <c r="P2618" s="5" t="str">
        <f aca="false">IF(J2618="S0","—",IF(K2618="","",IF(L2618="E0","QM",INDEX(10_ASIL_Matrix!$D$4:$F$15,MATCH(J2618&amp;"-"&amp;L2618,10_ASIL_Matrix!$C$4:$C$15,0),MATCH(N2618,10_ASIL_Matrix!$D$3:$F$3,0)))))</f>
        <v>—</v>
      </c>
      <c r="Q2618" s="5" t="s">
        <v>448</v>
      </c>
    </row>
    <row r="2619" customFormat="false" ht="46.25" hidden="false" customHeight="false" outlineLevel="0" collapsed="false">
      <c r="A2619" s="6" t="s">
        <v>5962</v>
      </c>
      <c r="B2619" s="6" t="s">
        <v>125</v>
      </c>
      <c r="C2619" s="6" t="s">
        <v>126</v>
      </c>
      <c r="D2619" s="6" t="s">
        <v>143</v>
      </c>
      <c r="E2619" s="6" t="s">
        <v>144</v>
      </c>
      <c r="F2619" s="6" t="s">
        <v>186</v>
      </c>
      <c r="G2619" s="6" t="s">
        <v>443</v>
      </c>
      <c r="H2619" s="6" t="s">
        <v>232</v>
      </c>
      <c r="I2619" s="6" t="s">
        <v>5963</v>
      </c>
      <c r="J2619" s="6" t="s">
        <v>238</v>
      </c>
      <c r="K2619" s="6" t="s">
        <v>5953</v>
      </c>
      <c r="L2619" s="6" t="s">
        <v>233</v>
      </c>
      <c r="M2619" s="6" t="s">
        <v>464</v>
      </c>
      <c r="N2619" s="6" t="s">
        <v>278</v>
      </c>
      <c r="O2619" s="6" t="s">
        <v>634</v>
      </c>
      <c r="P2619" s="6" t="str">
        <f aca="false">IF(J2619="S0","—",IF(K2619="","",IF(L2619="E0","QM",INDEX(10_ASIL_Matrix!$D$4:$F$15,MATCH(J2619&amp;"-"&amp;L2619,10_ASIL_Matrix!$C$4:$C$15,0),MATCH(N2619,10_ASIL_Matrix!$D$3:$F$3,0)))))</f>
        <v>—</v>
      </c>
      <c r="Q2619" s="6" t="s">
        <v>448</v>
      </c>
    </row>
    <row r="2620" customFormat="false" ht="35.05" hidden="false" customHeight="false" outlineLevel="0" collapsed="false">
      <c r="A2620" s="5" t="s">
        <v>5964</v>
      </c>
      <c r="B2620" s="5" t="s">
        <v>125</v>
      </c>
      <c r="C2620" s="5" t="s">
        <v>126</v>
      </c>
      <c r="D2620" s="5" t="s">
        <v>143</v>
      </c>
      <c r="E2620" s="5" t="s">
        <v>144</v>
      </c>
      <c r="F2620" s="5" t="s">
        <v>189</v>
      </c>
      <c r="G2620" s="5" t="s">
        <v>466</v>
      </c>
      <c r="H2620" s="5" t="s">
        <v>222</v>
      </c>
      <c r="I2620" s="5" t="s">
        <v>5965</v>
      </c>
      <c r="J2620" s="5" t="s">
        <v>238</v>
      </c>
      <c r="K2620" s="5" t="s">
        <v>5953</v>
      </c>
      <c r="L2620" s="5" t="s">
        <v>190</v>
      </c>
      <c r="M2620" s="5" t="s">
        <v>469</v>
      </c>
      <c r="N2620" s="5" t="s">
        <v>278</v>
      </c>
      <c r="O2620" s="5" t="s">
        <v>634</v>
      </c>
      <c r="P2620" s="5" t="str">
        <f aca="false">IF(J2620="S0","—",IF(K2620="","",IF(L2620="E0","QM",INDEX(10_ASIL_Matrix!$D$4:$F$15,MATCH(J2620&amp;"-"&amp;L2620,10_ASIL_Matrix!$C$4:$C$15,0),MATCH(N2620,10_ASIL_Matrix!$D$3:$F$3,0)))))</f>
        <v>—</v>
      </c>
      <c r="Q2620" s="5" t="s">
        <v>448</v>
      </c>
    </row>
    <row r="2621" customFormat="false" ht="35.05" hidden="false" customHeight="false" outlineLevel="0" collapsed="false">
      <c r="A2621" s="6" t="s">
        <v>5966</v>
      </c>
      <c r="B2621" s="6" t="s">
        <v>125</v>
      </c>
      <c r="C2621" s="6" t="s">
        <v>126</v>
      </c>
      <c r="D2621" s="6" t="s">
        <v>143</v>
      </c>
      <c r="E2621" s="6" t="s">
        <v>144</v>
      </c>
      <c r="F2621" s="6" t="s">
        <v>189</v>
      </c>
      <c r="G2621" s="6" t="s">
        <v>466</v>
      </c>
      <c r="H2621" s="6" t="s">
        <v>224</v>
      </c>
      <c r="I2621" s="6" t="s">
        <v>5967</v>
      </c>
      <c r="J2621" s="6" t="s">
        <v>238</v>
      </c>
      <c r="K2621" s="6" t="s">
        <v>5953</v>
      </c>
      <c r="L2621" s="6" t="s">
        <v>190</v>
      </c>
      <c r="M2621" s="6" t="s">
        <v>473</v>
      </c>
      <c r="N2621" s="6" t="s">
        <v>278</v>
      </c>
      <c r="O2621" s="6" t="s">
        <v>634</v>
      </c>
      <c r="P2621" s="6" t="str">
        <f aca="false">IF(J2621="S0","—",IF(K2621="","",IF(L2621="E0","QM",INDEX(10_ASIL_Matrix!$D$4:$F$15,MATCH(J2621&amp;"-"&amp;L2621,10_ASIL_Matrix!$C$4:$C$15,0),MATCH(N2621,10_ASIL_Matrix!$D$3:$F$3,0)))))</f>
        <v>—</v>
      </c>
      <c r="Q2621" s="6" t="s">
        <v>448</v>
      </c>
    </row>
    <row r="2622" customFormat="false" ht="35.05" hidden="false" customHeight="false" outlineLevel="0" collapsed="false">
      <c r="A2622" s="5" t="s">
        <v>5968</v>
      </c>
      <c r="B2622" s="5" t="s">
        <v>125</v>
      </c>
      <c r="C2622" s="5" t="s">
        <v>126</v>
      </c>
      <c r="D2622" s="5" t="s">
        <v>143</v>
      </c>
      <c r="E2622" s="5" t="s">
        <v>144</v>
      </c>
      <c r="F2622" s="5" t="s">
        <v>189</v>
      </c>
      <c r="G2622" s="5" t="s">
        <v>466</v>
      </c>
      <c r="H2622" s="5" t="s">
        <v>226</v>
      </c>
      <c r="I2622" s="5" t="s">
        <v>5969</v>
      </c>
      <c r="J2622" s="5" t="s">
        <v>238</v>
      </c>
      <c r="K2622" s="5" t="s">
        <v>5953</v>
      </c>
      <c r="L2622" s="5" t="s">
        <v>190</v>
      </c>
      <c r="M2622" s="5" t="s">
        <v>476</v>
      </c>
      <c r="N2622" s="5" t="s">
        <v>278</v>
      </c>
      <c r="O2622" s="5" t="s">
        <v>634</v>
      </c>
      <c r="P2622" s="5" t="str">
        <f aca="false">IF(J2622="S0","—",IF(K2622="","",IF(L2622="E0","QM",INDEX(10_ASIL_Matrix!$D$4:$F$15,MATCH(J2622&amp;"-"&amp;L2622,10_ASIL_Matrix!$C$4:$C$15,0),MATCH(N2622,10_ASIL_Matrix!$D$3:$F$3,0)))))</f>
        <v>—</v>
      </c>
      <c r="Q2622" s="5" t="s">
        <v>448</v>
      </c>
    </row>
    <row r="2623" customFormat="false" ht="46.25" hidden="false" customHeight="false" outlineLevel="0" collapsed="false">
      <c r="A2623" s="6" t="s">
        <v>5970</v>
      </c>
      <c r="B2623" s="6" t="s">
        <v>125</v>
      </c>
      <c r="C2623" s="6" t="s">
        <v>126</v>
      </c>
      <c r="D2623" s="6" t="s">
        <v>143</v>
      </c>
      <c r="E2623" s="6" t="s">
        <v>144</v>
      </c>
      <c r="F2623" s="6" t="s">
        <v>189</v>
      </c>
      <c r="G2623" s="6" t="s">
        <v>466</v>
      </c>
      <c r="H2623" s="6" t="s">
        <v>228</v>
      </c>
      <c r="I2623" s="6" t="s">
        <v>5971</v>
      </c>
      <c r="J2623" s="6" t="s">
        <v>238</v>
      </c>
      <c r="K2623" s="6" t="s">
        <v>5953</v>
      </c>
      <c r="L2623" s="6" t="s">
        <v>205</v>
      </c>
      <c r="M2623" s="6" t="s">
        <v>479</v>
      </c>
      <c r="N2623" s="6" t="s">
        <v>278</v>
      </c>
      <c r="O2623" s="6" t="s">
        <v>634</v>
      </c>
      <c r="P2623" s="6" t="str">
        <f aca="false">IF(J2623="S0","—",IF(K2623="","",IF(L2623="E0","QM",INDEX(10_ASIL_Matrix!$D$4:$F$15,MATCH(J2623&amp;"-"&amp;L2623,10_ASIL_Matrix!$C$4:$C$15,0),MATCH(N2623,10_ASIL_Matrix!$D$3:$F$3,0)))))</f>
        <v>—</v>
      </c>
      <c r="Q2623" s="6" t="s">
        <v>448</v>
      </c>
    </row>
    <row r="2624" customFormat="false" ht="46.25" hidden="false" customHeight="false" outlineLevel="0" collapsed="false">
      <c r="A2624" s="5" t="s">
        <v>5972</v>
      </c>
      <c r="B2624" s="5" t="s">
        <v>125</v>
      </c>
      <c r="C2624" s="5" t="s">
        <v>126</v>
      </c>
      <c r="D2624" s="5" t="s">
        <v>143</v>
      </c>
      <c r="E2624" s="5" t="s">
        <v>144</v>
      </c>
      <c r="F2624" s="5" t="s">
        <v>189</v>
      </c>
      <c r="G2624" s="5" t="s">
        <v>466</v>
      </c>
      <c r="H2624" s="5" t="s">
        <v>230</v>
      </c>
      <c r="I2624" s="5" t="s">
        <v>5973</v>
      </c>
      <c r="J2624" s="5" t="s">
        <v>238</v>
      </c>
      <c r="K2624" s="5" t="s">
        <v>5953</v>
      </c>
      <c r="L2624" s="5" t="s">
        <v>205</v>
      </c>
      <c r="M2624" s="5" t="s">
        <v>482</v>
      </c>
      <c r="N2624" s="5" t="s">
        <v>278</v>
      </c>
      <c r="O2624" s="5" t="s">
        <v>634</v>
      </c>
      <c r="P2624" s="5" t="str">
        <f aca="false">IF(J2624="S0","—",IF(K2624="","",IF(L2624="E0","QM",INDEX(10_ASIL_Matrix!$D$4:$F$15,MATCH(J2624&amp;"-"&amp;L2624,10_ASIL_Matrix!$C$4:$C$15,0),MATCH(N2624,10_ASIL_Matrix!$D$3:$F$3,0)))))</f>
        <v>—</v>
      </c>
      <c r="Q2624" s="5" t="s">
        <v>448</v>
      </c>
    </row>
    <row r="2625" customFormat="false" ht="46.25" hidden="false" customHeight="false" outlineLevel="0" collapsed="false">
      <c r="A2625" s="6" t="s">
        <v>5974</v>
      </c>
      <c r="B2625" s="6" t="s">
        <v>125</v>
      </c>
      <c r="C2625" s="6" t="s">
        <v>126</v>
      </c>
      <c r="D2625" s="6" t="s">
        <v>143</v>
      </c>
      <c r="E2625" s="6" t="s">
        <v>144</v>
      </c>
      <c r="F2625" s="6" t="s">
        <v>189</v>
      </c>
      <c r="G2625" s="6" t="s">
        <v>466</v>
      </c>
      <c r="H2625" s="6" t="s">
        <v>232</v>
      </c>
      <c r="I2625" s="6" t="s">
        <v>5975</v>
      </c>
      <c r="J2625" s="6" t="s">
        <v>238</v>
      </c>
      <c r="K2625" s="6" t="s">
        <v>5953</v>
      </c>
      <c r="L2625" s="6" t="s">
        <v>233</v>
      </c>
      <c r="M2625" s="6" t="s">
        <v>486</v>
      </c>
      <c r="N2625" s="6" t="s">
        <v>278</v>
      </c>
      <c r="O2625" s="6" t="s">
        <v>634</v>
      </c>
      <c r="P2625" s="6" t="str">
        <f aca="false">IF(J2625="S0","—",IF(K2625="","",IF(L2625="E0","QM",INDEX(10_ASIL_Matrix!$D$4:$F$15,MATCH(J2625&amp;"-"&amp;L2625,10_ASIL_Matrix!$C$4:$C$15,0),MATCH(N2625,10_ASIL_Matrix!$D$3:$F$3,0)))))</f>
        <v>—</v>
      </c>
      <c r="Q2625" s="6" t="s">
        <v>448</v>
      </c>
    </row>
    <row r="2626" customFormat="false" ht="35.05" hidden="false" customHeight="false" outlineLevel="0" collapsed="false">
      <c r="A2626" s="5" t="s">
        <v>5976</v>
      </c>
      <c r="B2626" s="5" t="s">
        <v>125</v>
      </c>
      <c r="C2626" s="5" t="s">
        <v>126</v>
      </c>
      <c r="D2626" s="5" t="s">
        <v>143</v>
      </c>
      <c r="E2626" s="5" t="s">
        <v>144</v>
      </c>
      <c r="F2626" s="5" t="s">
        <v>192</v>
      </c>
      <c r="G2626" s="5" t="s">
        <v>488</v>
      </c>
      <c r="H2626" s="5" t="s">
        <v>222</v>
      </c>
      <c r="I2626" s="5" t="s">
        <v>5977</v>
      </c>
      <c r="J2626" s="5" t="s">
        <v>238</v>
      </c>
      <c r="K2626" s="5" t="s">
        <v>5953</v>
      </c>
      <c r="L2626" s="5" t="s">
        <v>187</v>
      </c>
      <c r="M2626" s="5" t="s">
        <v>491</v>
      </c>
      <c r="N2626" s="5" t="s">
        <v>278</v>
      </c>
      <c r="O2626" s="5" t="s">
        <v>634</v>
      </c>
      <c r="P2626" s="5" t="str">
        <f aca="false">IF(J2626="S0","—",IF(K2626="","",IF(L2626="E0","QM",INDEX(10_ASIL_Matrix!$D$4:$F$15,MATCH(J2626&amp;"-"&amp;L2626,10_ASIL_Matrix!$C$4:$C$15,0),MATCH(N2626,10_ASIL_Matrix!$D$3:$F$3,0)))))</f>
        <v>—</v>
      </c>
      <c r="Q2626" s="5" t="s">
        <v>448</v>
      </c>
    </row>
    <row r="2627" customFormat="false" ht="35.05" hidden="false" customHeight="false" outlineLevel="0" collapsed="false">
      <c r="A2627" s="6" t="s">
        <v>5978</v>
      </c>
      <c r="B2627" s="6" t="s">
        <v>125</v>
      </c>
      <c r="C2627" s="6" t="s">
        <v>126</v>
      </c>
      <c r="D2627" s="6" t="s">
        <v>143</v>
      </c>
      <c r="E2627" s="6" t="s">
        <v>144</v>
      </c>
      <c r="F2627" s="6" t="s">
        <v>192</v>
      </c>
      <c r="G2627" s="6" t="s">
        <v>488</v>
      </c>
      <c r="H2627" s="6" t="s">
        <v>224</v>
      </c>
      <c r="I2627" s="6" t="s">
        <v>5979</v>
      </c>
      <c r="J2627" s="6" t="s">
        <v>238</v>
      </c>
      <c r="K2627" s="6" t="s">
        <v>5953</v>
      </c>
      <c r="L2627" s="6" t="s">
        <v>190</v>
      </c>
      <c r="M2627" s="6" t="s">
        <v>494</v>
      </c>
      <c r="N2627" s="6" t="s">
        <v>278</v>
      </c>
      <c r="O2627" s="6" t="s">
        <v>634</v>
      </c>
      <c r="P2627" s="6" t="str">
        <f aca="false">IF(J2627="S0","—",IF(K2627="","",IF(L2627="E0","QM",INDEX(10_ASIL_Matrix!$D$4:$F$15,MATCH(J2627&amp;"-"&amp;L2627,10_ASIL_Matrix!$C$4:$C$15,0),MATCH(N2627,10_ASIL_Matrix!$D$3:$F$3,0)))))</f>
        <v>—</v>
      </c>
      <c r="Q2627" s="6" t="s">
        <v>448</v>
      </c>
    </row>
    <row r="2628" customFormat="false" ht="35.05" hidden="false" customHeight="false" outlineLevel="0" collapsed="false">
      <c r="A2628" s="5" t="s">
        <v>5980</v>
      </c>
      <c r="B2628" s="5" t="s">
        <v>125</v>
      </c>
      <c r="C2628" s="5" t="s">
        <v>126</v>
      </c>
      <c r="D2628" s="5" t="s">
        <v>143</v>
      </c>
      <c r="E2628" s="5" t="s">
        <v>144</v>
      </c>
      <c r="F2628" s="5" t="s">
        <v>192</v>
      </c>
      <c r="G2628" s="5" t="s">
        <v>488</v>
      </c>
      <c r="H2628" s="5" t="s">
        <v>226</v>
      </c>
      <c r="I2628" s="5" t="s">
        <v>5981</v>
      </c>
      <c r="J2628" s="5" t="s">
        <v>238</v>
      </c>
      <c r="K2628" s="5" t="s">
        <v>5953</v>
      </c>
      <c r="L2628" s="5" t="s">
        <v>190</v>
      </c>
      <c r="M2628" s="5" t="s">
        <v>497</v>
      </c>
      <c r="N2628" s="5" t="s">
        <v>278</v>
      </c>
      <c r="O2628" s="5" t="s">
        <v>634</v>
      </c>
      <c r="P2628" s="5" t="str">
        <f aca="false">IF(J2628="S0","—",IF(K2628="","",IF(L2628="E0","QM",INDEX(10_ASIL_Matrix!$D$4:$F$15,MATCH(J2628&amp;"-"&amp;L2628,10_ASIL_Matrix!$C$4:$C$15,0),MATCH(N2628,10_ASIL_Matrix!$D$3:$F$3,0)))))</f>
        <v>—</v>
      </c>
      <c r="Q2628" s="5" t="s">
        <v>448</v>
      </c>
    </row>
    <row r="2629" customFormat="false" ht="46.25" hidden="false" customHeight="false" outlineLevel="0" collapsed="false">
      <c r="A2629" s="6" t="s">
        <v>5982</v>
      </c>
      <c r="B2629" s="6" t="s">
        <v>125</v>
      </c>
      <c r="C2629" s="6" t="s">
        <v>126</v>
      </c>
      <c r="D2629" s="6" t="s">
        <v>143</v>
      </c>
      <c r="E2629" s="6" t="s">
        <v>144</v>
      </c>
      <c r="F2629" s="6" t="s">
        <v>192</v>
      </c>
      <c r="G2629" s="6" t="s">
        <v>488</v>
      </c>
      <c r="H2629" s="6" t="s">
        <v>228</v>
      </c>
      <c r="I2629" s="6" t="s">
        <v>5983</v>
      </c>
      <c r="J2629" s="6" t="s">
        <v>238</v>
      </c>
      <c r="K2629" s="6" t="s">
        <v>5953</v>
      </c>
      <c r="L2629" s="6" t="s">
        <v>205</v>
      </c>
      <c r="M2629" s="6" t="s">
        <v>500</v>
      </c>
      <c r="N2629" s="6" t="s">
        <v>278</v>
      </c>
      <c r="O2629" s="6" t="s">
        <v>634</v>
      </c>
      <c r="P2629" s="6" t="str">
        <f aca="false">IF(J2629="S0","—",IF(K2629="","",IF(L2629="E0","QM",INDEX(10_ASIL_Matrix!$D$4:$F$15,MATCH(J2629&amp;"-"&amp;L2629,10_ASIL_Matrix!$C$4:$C$15,0),MATCH(N2629,10_ASIL_Matrix!$D$3:$F$3,0)))))</f>
        <v>—</v>
      </c>
      <c r="Q2629" s="6" t="s">
        <v>448</v>
      </c>
    </row>
    <row r="2630" customFormat="false" ht="35.05" hidden="false" customHeight="false" outlineLevel="0" collapsed="false">
      <c r="A2630" s="5" t="s">
        <v>5984</v>
      </c>
      <c r="B2630" s="5" t="s">
        <v>125</v>
      </c>
      <c r="C2630" s="5" t="s">
        <v>126</v>
      </c>
      <c r="D2630" s="5" t="s">
        <v>143</v>
      </c>
      <c r="E2630" s="5" t="s">
        <v>144</v>
      </c>
      <c r="F2630" s="5" t="s">
        <v>192</v>
      </c>
      <c r="G2630" s="5" t="s">
        <v>488</v>
      </c>
      <c r="H2630" s="5" t="s">
        <v>230</v>
      </c>
      <c r="I2630" s="5" t="s">
        <v>5985</v>
      </c>
      <c r="J2630" s="5" t="s">
        <v>238</v>
      </c>
      <c r="K2630" s="5" t="s">
        <v>5953</v>
      </c>
      <c r="L2630" s="5" t="s">
        <v>205</v>
      </c>
      <c r="M2630" s="5" t="s">
        <v>503</v>
      </c>
      <c r="N2630" s="5" t="s">
        <v>278</v>
      </c>
      <c r="O2630" s="5" t="s">
        <v>634</v>
      </c>
      <c r="P2630" s="5" t="str">
        <f aca="false">IF(J2630="S0","—",IF(K2630="","",IF(L2630="E0","QM",INDEX(10_ASIL_Matrix!$D$4:$F$15,MATCH(J2630&amp;"-"&amp;L2630,10_ASIL_Matrix!$C$4:$C$15,0),MATCH(N2630,10_ASIL_Matrix!$D$3:$F$3,0)))))</f>
        <v>—</v>
      </c>
      <c r="Q2630" s="5" t="s">
        <v>448</v>
      </c>
    </row>
    <row r="2631" customFormat="false" ht="46.25" hidden="false" customHeight="false" outlineLevel="0" collapsed="false">
      <c r="A2631" s="6" t="s">
        <v>5986</v>
      </c>
      <c r="B2631" s="6" t="s">
        <v>125</v>
      </c>
      <c r="C2631" s="6" t="s">
        <v>126</v>
      </c>
      <c r="D2631" s="6" t="s">
        <v>143</v>
      </c>
      <c r="E2631" s="6" t="s">
        <v>144</v>
      </c>
      <c r="F2631" s="6" t="s">
        <v>192</v>
      </c>
      <c r="G2631" s="6" t="s">
        <v>488</v>
      </c>
      <c r="H2631" s="6" t="s">
        <v>232</v>
      </c>
      <c r="I2631" s="6" t="s">
        <v>5987</v>
      </c>
      <c r="J2631" s="6" t="s">
        <v>238</v>
      </c>
      <c r="K2631" s="6" t="s">
        <v>5953</v>
      </c>
      <c r="L2631" s="6" t="s">
        <v>233</v>
      </c>
      <c r="M2631" s="6" t="s">
        <v>506</v>
      </c>
      <c r="N2631" s="6" t="s">
        <v>278</v>
      </c>
      <c r="O2631" s="6" t="s">
        <v>634</v>
      </c>
      <c r="P2631" s="6" t="str">
        <f aca="false">IF(J2631="S0","—",IF(K2631="","",IF(L2631="E0","QM",INDEX(10_ASIL_Matrix!$D$4:$F$15,MATCH(J2631&amp;"-"&amp;L2631,10_ASIL_Matrix!$C$4:$C$15,0),MATCH(N2631,10_ASIL_Matrix!$D$3:$F$3,0)))))</f>
        <v>—</v>
      </c>
      <c r="Q2631" s="6" t="s">
        <v>448</v>
      </c>
    </row>
    <row r="2632" customFormat="false" ht="35.05" hidden="false" customHeight="false" outlineLevel="0" collapsed="false">
      <c r="A2632" s="5" t="s">
        <v>5988</v>
      </c>
      <c r="B2632" s="5" t="s">
        <v>125</v>
      </c>
      <c r="C2632" s="5" t="s">
        <v>126</v>
      </c>
      <c r="D2632" s="5" t="s">
        <v>143</v>
      </c>
      <c r="E2632" s="5" t="s">
        <v>144</v>
      </c>
      <c r="F2632" s="5" t="s">
        <v>194</v>
      </c>
      <c r="G2632" s="5" t="s">
        <v>508</v>
      </c>
      <c r="H2632" s="5" t="s">
        <v>222</v>
      </c>
      <c r="I2632" s="5" t="s">
        <v>5989</v>
      </c>
      <c r="J2632" s="5" t="s">
        <v>238</v>
      </c>
      <c r="K2632" s="5" t="s">
        <v>5953</v>
      </c>
      <c r="L2632" s="5" t="s">
        <v>190</v>
      </c>
      <c r="M2632" s="5" t="s">
        <v>511</v>
      </c>
      <c r="N2632" s="5" t="s">
        <v>278</v>
      </c>
      <c r="O2632" s="5" t="s">
        <v>634</v>
      </c>
      <c r="P2632" s="5" t="str">
        <f aca="false">IF(J2632="S0","—",IF(K2632="","",IF(L2632="E0","QM",INDEX(10_ASIL_Matrix!$D$4:$F$15,MATCH(J2632&amp;"-"&amp;L2632,10_ASIL_Matrix!$C$4:$C$15,0),MATCH(N2632,10_ASIL_Matrix!$D$3:$F$3,0)))))</f>
        <v>—</v>
      </c>
      <c r="Q2632" s="5" t="s">
        <v>448</v>
      </c>
    </row>
    <row r="2633" customFormat="false" ht="35.05" hidden="false" customHeight="false" outlineLevel="0" collapsed="false">
      <c r="A2633" s="6" t="s">
        <v>5990</v>
      </c>
      <c r="B2633" s="6" t="s">
        <v>125</v>
      </c>
      <c r="C2633" s="6" t="s">
        <v>126</v>
      </c>
      <c r="D2633" s="6" t="s">
        <v>143</v>
      </c>
      <c r="E2633" s="6" t="s">
        <v>144</v>
      </c>
      <c r="F2633" s="6" t="s">
        <v>194</v>
      </c>
      <c r="G2633" s="6" t="s">
        <v>508</v>
      </c>
      <c r="H2633" s="6" t="s">
        <v>224</v>
      </c>
      <c r="I2633" s="6" t="s">
        <v>5991</v>
      </c>
      <c r="J2633" s="6" t="s">
        <v>238</v>
      </c>
      <c r="K2633" s="6" t="s">
        <v>5953</v>
      </c>
      <c r="L2633" s="6" t="s">
        <v>190</v>
      </c>
      <c r="M2633" s="6" t="s">
        <v>514</v>
      </c>
      <c r="N2633" s="6" t="s">
        <v>278</v>
      </c>
      <c r="O2633" s="6" t="s">
        <v>634</v>
      </c>
      <c r="P2633" s="6" t="str">
        <f aca="false">IF(J2633="S0","—",IF(K2633="","",IF(L2633="E0","QM",INDEX(10_ASIL_Matrix!$D$4:$F$15,MATCH(J2633&amp;"-"&amp;L2633,10_ASIL_Matrix!$C$4:$C$15,0),MATCH(N2633,10_ASIL_Matrix!$D$3:$F$3,0)))))</f>
        <v>—</v>
      </c>
      <c r="Q2633" s="6" t="s">
        <v>448</v>
      </c>
    </row>
    <row r="2634" customFormat="false" ht="35.05" hidden="false" customHeight="false" outlineLevel="0" collapsed="false">
      <c r="A2634" s="5" t="s">
        <v>5992</v>
      </c>
      <c r="B2634" s="5" t="s">
        <v>125</v>
      </c>
      <c r="C2634" s="5" t="s">
        <v>126</v>
      </c>
      <c r="D2634" s="5" t="s">
        <v>143</v>
      </c>
      <c r="E2634" s="5" t="s">
        <v>144</v>
      </c>
      <c r="F2634" s="5" t="s">
        <v>194</v>
      </c>
      <c r="G2634" s="5" t="s">
        <v>508</v>
      </c>
      <c r="H2634" s="5" t="s">
        <v>226</v>
      </c>
      <c r="I2634" s="5" t="s">
        <v>5993</v>
      </c>
      <c r="J2634" s="5" t="s">
        <v>238</v>
      </c>
      <c r="K2634" s="5" t="s">
        <v>5953</v>
      </c>
      <c r="L2634" s="5" t="s">
        <v>190</v>
      </c>
      <c r="M2634" s="5" t="s">
        <v>517</v>
      </c>
      <c r="N2634" s="5" t="s">
        <v>278</v>
      </c>
      <c r="O2634" s="5" t="s">
        <v>634</v>
      </c>
      <c r="P2634" s="5" t="str">
        <f aca="false">IF(J2634="S0","—",IF(K2634="","",IF(L2634="E0","QM",INDEX(10_ASIL_Matrix!$D$4:$F$15,MATCH(J2634&amp;"-"&amp;L2634,10_ASIL_Matrix!$C$4:$C$15,0),MATCH(N2634,10_ASIL_Matrix!$D$3:$F$3,0)))))</f>
        <v>—</v>
      </c>
      <c r="Q2634" s="5" t="s">
        <v>448</v>
      </c>
    </row>
    <row r="2635" customFormat="false" ht="46.25" hidden="false" customHeight="false" outlineLevel="0" collapsed="false">
      <c r="A2635" s="6" t="s">
        <v>5994</v>
      </c>
      <c r="B2635" s="6" t="s">
        <v>125</v>
      </c>
      <c r="C2635" s="6" t="s">
        <v>126</v>
      </c>
      <c r="D2635" s="6" t="s">
        <v>143</v>
      </c>
      <c r="E2635" s="6" t="s">
        <v>144</v>
      </c>
      <c r="F2635" s="6" t="s">
        <v>194</v>
      </c>
      <c r="G2635" s="6" t="s">
        <v>508</v>
      </c>
      <c r="H2635" s="6" t="s">
        <v>228</v>
      </c>
      <c r="I2635" s="6" t="s">
        <v>5995</v>
      </c>
      <c r="J2635" s="6" t="s">
        <v>238</v>
      </c>
      <c r="K2635" s="6" t="s">
        <v>5953</v>
      </c>
      <c r="L2635" s="6" t="s">
        <v>205</v>
      </c>
      <c r="M2635" s="6" t="s">
        <v>520</v>
      </c>
      <c r="N2635" s="6" t="s">
        <v>278</v>
      </c>
      <c r="O2635" s="6" t="s">
        <v>634</v>
      </c>
      <c r="P2635" s="6" t="str">
        <f aca="false">IF(J2635="S0","—",IF(K2635="","",IF(L2635="E0","QM",INDEX(10_ASIL_Matrix!$D$4:$F$15,MATCH(J2635&amp;"-"&amp;L2635,10_ASIL_Matrix!$C$4:$C$15,0),MATCH(N2635,10_ASIL_Matrix!$D$3:$F$3,0)))))</f>
        <v>—</v>
      </c>
      <c r="Q2635" s="6" t="s">
        <v>448</v>
      </c>
    </row>
    <row r="2636" customFormat="false" ht="46.25" hidden="false" customHeight="false" outlineLevel="0" collapsed="false">
      <c r="A2636" s="5" t="s">
        <v>5996</v>
      </c>
      <c r="B2636" s="5" t="s">
        <v>125</v>
      </c>
      <c r="C2636" s="5" t="s">
        <v>126</v>
      </c>
      <c r="D2636" s="5" t="s">
        <v>143</v>
      </c>
      <c r="E2636" s="5" t="s">
        <v>144</v>
      </c>
      <c r="F2636" s="5" t="s">
        <v>194</v>
      </c>
      <c r="G2636" s="5" t="s">
        <v>508</v>
      </c>
      <c r="H2636" s="5" t="s">
        <v>230</v>
      </c>
      <c r="I2636" s="5" t="s">
        <v>5997</v>
      </c>
      <c r="J2636" s="5" t="s">
        <v>238</v>
      </c>
      <c r="K2636" s="5" t="s">
        <v>5953</v>
      </c>
      <c r="L2636" s="5" t="s">
        <v>205</v>
      </c>
      <c r="M2636" s="5" t="s">
        <v>523</v>
      </c>
      <c r="N2636" s="5" t="s">
        <v>278</v>
      </c>
      <c r="O2636" s="5" t="s">
        <v>634</v>
      </c>
      <c r="P2636" s="5" t="str">
        <f aca="false">IF(J2636="S0","—",IF(K2636="","",IF(L2636="E0","QM",INDEX(10_ASIL_Matrix!$D$4:$F$15,MATCH(J2636&amp;"-"&amp;L2636,10_ASIL_Matrix!$C$4:$C$15,0),MATCH(N2636,10_ASIL_Matrix!$D$3:$F$3,0)))))</f>
        <v>—</v>
      </c>
      <c r="Q2636" s="5" t="s">
        <v>448</v>
      </c>
    </row>
    <row r="2637" customFormat="false" ht="46.25" hidden="false" customHeight="false" outlineLevel="0" collapsed="false">
      <c r="A2637" s="6" t="s">
        <v>5998</v>
      </c>
      <c r="B2637" s="6" t="s">
        <v>125</v>
      </c>
      <c r="C2637" s="6" t="s">
        <v>126</v>
      </c>
      <c r="D2637" s="6" t="s">
        <v>143</v>
      </c>
      <c r="E2637" s="6" t="s">
        <v>144</v>
      </c>
      <c r="F2637" s="6" t="s">
        <v>194</v>
      </c>
      <c r="G2637" s="6" t="s">
        <v>508</v>
      </c>
      <c r="H2637" s="6" t="s">
        <v>232</v>
      </c>
      <c r="I2637" s="6" t="s">
        <v>5999</v>
      </c>
      <c r="J2637" s="6" t="s">
        <v>238</v>
      </c>
      <c r="K2637" s="6" t="s">
        <v>5953</v>
      </c>
      <c r="L2637" s="6" t="s">
        <v>233</v>
      </c>
      <c r="M2637" s="6" t="s">
        <v>526</v>
      </c>
      <c r="N2637" s="6" t="s">
        <v>278</v>
      </c>
      <c r="O2637" s="6" t="s">
        <v>634</v>
      </c>
      <c r="P2637" s="6" t="str">
        <f aca="false">IF(J2637="S0","—",IF(K2637="","",IF(L2637="E0","QM",INDEX(10_ASIL_Matrix!$D$4:$F$15,MATCH(J2637&amp;"-"&amp;L2637,10_ASIL_Matrix!$C$4:$C$15,0),MATCH(N2637,10_ASIL_Matrix!$D$3:$F$3,0)))))</f>
        <v>—</v>
      </c>
      <c r="Q2637" s="6" t="s">
        <v>448</v>
      </c>
    </row>
    <row r="2638" customFormat="false" ht="35.05" hidden="false" customHeight="false" outlineLevel="0" collapsed="false">
      <c r="A2638" s="5" t="s">
        <v>6000</v>
      </c>
      <c r="B2638" s="5" t="s">
        <v>125</v>
      </c>
      <c r="C2638" s="5" t="s">
        <v>126</v>
      </c>
      <c r="D2638" s="5" t="s">
        <v>143</v>
      </c>
      <c r="E2638" s="5" t="s">
        <v>144</v>
      </c>
      <c r="F2638" s="5" t="s">
        <v>196</v>
      </c>
      <c r="G2638" s="5" t="s">
        <v>528</v>
      </c>
      <c r="H2638" s="5" t="s">
        <v>222</v>
      </c>
      <c r="I2638" s="5" t="s">
        <v>6001</v>
      </c>
      <c r="J2638" s="5" t="s">
        <v>238</v>
      </c>
      <c r="K2638" s="5" t="s">
        <v>5953</v>
      </c>
      <c r="L2638" s="5" t="s">
        <v>187</v>
      </c>
      <c r="M2638" s="5" t="s">
        <v>531</v>
      </c>
      <c r="N2638" s="5" t="s">
        <v>278</v>
      </c>
      <c r="O2638" s="5" t="s">
        <v>634</v>
      </c>
      <c r="P2638" s="5" t="str">
        <f aca="false">IF(J2638="S0","—",IF(K2638="","",IF(L2638="E0","QM",INDEX(10_ASIL_Matrix!$D$4:$F$15,MATCH(J2638&amp;"-"&amp;L2638,10_ASIL_Matrix!$C$4:$C$15,0),MATCH(N2638,10_ASIL_Matrix!$D$3:$F$3,0)))))</f>
        <v>—</v>
      </c>
      <c r="Q2638" s="5" t="s">
        <v>448</v>
      </c>
    </row>
    <row r="2639" customFormat="false" ht="35.05" hidden="false" customHeight="false" outlineLevel="0" collapsed="false">
      <c r="A2639" s="6" t="s">
        <v>6002</v>
      </c>
      <c r="B2639" s="6" t="s">
        <v>125</v>
      </c>
      <c r="C2639" s="6" t="s">
        <v>126</v>
      </c>
      <c r="D2639" s="6" t="s">
        <v>143</v>
      </c>
      <c r="E2639" s="6" t="s">
        <v>144</v>
      </c>
      <c r="F2639" s="6" t="s">
        <v>196</v>
      </c>
      <c r="G2639" s="6" t="s">
        <v>528</v>
      </c>
      <c r="H2639" s="6" t="s">
        <v>224</v>
      </c>
      <c r="I2639" s="6" t="s">
        <v>6003</v>
      </c>
      <c r="J2639" s="6" t="s">
        <v>238</v>
      </c>
      <c r="K2639" s="6" t="s">
        <v>5953</v>
      </c>
      <c r="L2639" s="6" t="s">
        <v>190</v>
      </c>
      <c r="M2639" s="6" t="s">
        <v>534</v>
      </c>
      <c r="N2639" s="6" t="s">
        <v>278</v>
      </c>
      <c r="O2639" s="6" t="s">
        <v>634</v>
      </c>
      <c r="P2639" s="6" t="str">
        <f aca="false">IF(J2639="S0","—",IF(K2639="","",IF(L2639="E0","QM",INDEX(10_ASIL_Matrix!$D$4:$F$15,MATCH(J2639&amp;"-"&amp;L2639,10_ASIL_Matrix!$C$4:$C$15,0),MATCH(N2639,10_ASIL_Matrix!$D$3:$F$3,0)))))</f>
        <v>—</v>
      </c>
      <c r="Q2639" s="6" t="s">
        <v>448</v>
      </c>
    </row>
    <row r="2640" customFormat="false" ht="35.05" hidden="false" customHeight="false" outlineLevel="0" collapsed="false">
      <c r="A2640" s="5" t="s">
        <v>6004</v>
      </c>
      <c r="B2640" s="5" t="s">
        <v>125</v>
      </c>
      <c r="C2640" s="5" t="s">
        <v>126</v>
      </c>
      <c r="D2640" s="5" t="s">
        <v>143</v>
      </c>
      <c r="E2640" s="5" t="s">
        <v>144</v>
      </c>
      <c r="F2640" s="5" t="s">
        <v>196</v>
      </c>
      <c r="G2640" s="5" t="s">
        <v>528</v>
      </c>
      <c r="H2640" s="5" t="s">
        <v>226</v>
      </c>
      <c r="I2640" s="5" t="s">
        <v>6005</v>
      </c>
      <c r="J2640" s="5" t="s">
        <v>238</v>
      </c>
      <c r="K2640" s="5" t="s">
        <v>5953</v>
      </c>
      <c r="L2640" s="5" t="s">
        <v>190</v>
      </c>
      <c r="M2640" s="5" t="s">
        <v>537</v>
      </c>
      <c r="N2640" s="5" t="s">
        <v>278</v>
      </c>
      <c r="O2640" s="5" t="s">
        <v>634</v>
      </c>
      <c r="P2640" s="5" t="str">
        <f aca="false">IF(J2640="S0","—",IF(K2640="","",IF(L2640="E0","QM",INDEX(10_ASIL_Matrix!$D$4:$F$15,MATCH(J2640&amp;"-"&amp;L2640,10_ASIL_Matrix!$C$4:$C$15,0),MATCH(N2640,10_ASIL_Matrix!$D$3:$F$3,0)))))</f>
        <v>—</v>
      </c>
      <c r="Q2640" s="5" t="s">
        <v>448</v>
      </c>
    </row>
    <row r="2641" customFormat="false" ht="46.25" hidden="false" customHeight="false" outlineLevel="0" collapsed="false">
      <c r="A2641" s="6" t="s">
        <v>6006</v>
      </c>
      <c r="B2641" s="6" t="s">
        <v>125</v>
      </c>
      <c r="C2641" s="6" t="s">
        <v>126</v>
      </c>
      <c r="D2641" s="6" t="s">
        <v>143</v>
      </c>
      <c r="E2641" s="6" t="s">
        <v>144</v>
      </c>
      <c r="F2641" s="6" t="s">
        <v>196</v>
      </c>
      <c r="G2641" s="6" t="s">
        <v>528</v>
      </c>
      <c r="H2641" s="6" t="s">
        <v>228</v>
      </c>
      <c r="I2641" s="6" t="s">
        <v>6007</v>
      </c>
      <c r="J2641" s="6" t="s">
        <v>238</v>
      </c>
      <c r="K2641" s="6" t="s">
        <v>5953</v>
      </c>
      <c r="L2641" s="6" t="s">
        <v>205</v>
      </c>
      <c r="M2641" s="6" t="s">
        <v>540</v>
      </c>
      <c r="N2641" s="6" t="s">
        <v>278</v>
      </c>
      <c r="O2641" s="6" t="s">
        <v>634</v>
      </c>
      <c r="P2641" s="6" t="str">
        <f aca="false">IF(J2641="S0","—",IF(K2641="","",IF(L2641="E0","QM",INDEX(10_ASIL_Matrix!$D$4:$F$15,MATCH(J2641&amp;"-"&amp;L2641,10_ASIL_Matrix!$C$4:$C$15,0),MATCH(N2641,10_ASIL_Matrix!$D$3:$F$3,0)))))</f>
        <v>—</v>
      </c>
      <c r="Q2641" s="6" t="s">
        <v>448</v>
      </c>
    </row>
    <row r="2642" customFormat="false" ht="35.05" hidden="false" customHeight="false" outlineLevel="0" collapsed="false">
      <c r="A2642" s="5" t="s">
        <v>6008</v>
      </c>
      <c r="B2642" s="5" t="s">
        <v>125</v>
      </c>
      <c r="C2642" s="5" t="s">
        <v>126</v>
      </c>
      <c r="D2642" s="5" t="s">
        <v>143</v>
      </c>
      <c r="E2642" s="5" t="s">
        <v>144</v>
      </c>
      <c r="F2642" s="5" t="s">
        <v>196</v>
      </c>
      <c r="G2642" s="5" t="s">
        <v>528</v>
      </c>
      <c r="H2642" s="5" t="s">
        <v>230</v>
      </c>
      <c r="I2642" s="5" t="s">
        <v>6009</v>
      </c>
      <c r="J2642" s="5" t="s">
        <v>238</v>
      </c>
      <c r="K2642" s="5" t="s">
        <v>5953</v>
      </c>
      <c r="L2642" s="5" t="s">
        <v>205</v>
      </c>
      <c r="M2642" s="5" t="s">
        <v>543</v>
      </c>
      <c r="N2642" s="5" t="s">
        <v>278</v>
      </c>
      <c r="O2642" s="5" t="s">
        <v>634</v>
      </c>
      <c r="P2642" s="5" t="str">
        <f aca="false">IF(J2642="S0","—",IF(K2642="","",IF(L2642="E0","QM",INDEX(10_ASIL_Matrix!$D$4:$F$15,MATCH(J2642&amp;"-"&amp;L2642,10_ASIL_Matrix!$C$4:$C$15,0),MATCH(N2642,10_ASIL_Matrix!$D$3:$F$3,0)))))</f>
        <v>—</v>
      </c>
      <c r="Q2642" s="5" t="s">
        <v>448</v>
      </c>
    </row>
    <row r="2643" customFormat="false" ht="46.25" hidden="false" customHeight="false" outlineLevel="0" collapsed="false">
      <c r="A2643" s="6" t="s">
        <v>6010</v>
      </c>
      <c r="B2643" s="6" t="s">
        <v>125</v>
      </c>
      <c r="C2643" s="6" t="s">
        <v>126</v>
      </c>
      <c r="D2643" s="6" t="s">
        <v>143</v>
      </c>
      <c r="E2643" s="6" t="s">
        <v>144</v>
      </c>
      <c r="F2643" s="6" t="s">
        <v>196</v>
      </c>
      <c r="G2643" s="6" t="s">
        <v>528</v>
      </c>
      <c r="H2643" s="6" t="s">
        <v>232</v>
      </c>
      <c r="I2643" s="6" t="s">
        <v>6011</v>
      </c>
      <c r="J2643" s="6" t="s">
        <v>238</v>
      </c>
      <c r="K2643" s="6" t="s">
        <v>5953</v>
      </c>
      <c r="L2643" s="6" t="s">
        <v>233</v>
      </c>
      <c r="M2643" s="6" t="s">
        <v>546</v>
      </c>
      <c r="N2643" s="6" t="s">
        <v>278</v>
      </c>
      <c r="O2643" s="6" t="s">
        <v>634</v>
      </c>
      <c r="P2643" s="6" t="str">
        <f aca="false">IF(J2643="S0","—",IF(K2643="","",IF(L2643="E0","QM",INDEX(10_ASIL_Matrix!$D$4:$F$15,MATCH(J2643&amp;"-"&amp;L2643,10_ASIL_Matrix!$C$4:$C$15,0),MATCH(N2643,10_ASIL_Matrix!$D$3:$F$3,0)))))</f>
        <v>—</v>
      </c>
      <c r="Q2643" s="6" t="s">
        <v>448</v>
      </c>
    </row>
    <row r="2644" customFormat="false" ht="35.05" hidden="false" customHeight="false" outlineLevel="0" collapsed="false">
      <c r="A2644" s="5" t="s">
        <v>6012</v>
      </c>
      <c r="B2644" s="5" t="s">
        <v>125</v>
      </c>
      <c r="C2644" s="5" t="s">
        <v>126</v>
      </c>
      <c r="D2644" s="5" t="s">
        <v>143</v>
      </c>
      <c r="E2644" s="5" t="s">
        <v>144</v>
      </c>
      <c r="F2644" s="5" t="s">
        <v>198</v>
      </c>
      <c r="G2644" s="5" t="s">
        <v>548</v>
      </c>
      <c r="H2644" s="5" t="s">
        <v>222</v>
      </c>
      <c r="I2644" s="5" t="s">
        <v>6013</v>
      </c>
      <c r="J2644" s="5" t="s">
        <v>238</v>
      </c>
      <c r="K2644" s="5" t="s">
        <v>5953</v>
      </c>
      <c r="L2644" s="5" t="s">
        <v>190</v>
      </c>
      <c r="M2644" s="5" t="s">
        <v>551</v>
      </c>
      <c r="N2644" s="5" t="s">
        <v>278</v>
      </c>
      <c r="O2644" s="5" t="s">
        <v>634</v>
      </c>
      <c r="P2644" s="5" t="str">
        <f aca="false">IF(J2644="S0","—",IF(K2644="","",IF(L2644="E0","QM",INDEX(10_ASIL_Matrix!$D$4:$F$15,MATCH(J2644&amp;"-"&amp;L2644,10_ASIL_Matrix!$C$4:$C$15,0),MATCH(N2644,10_ASIL_Matrix!$D$3:$F$3,0)))))</f>
        <v>—</v>
      </c>
      <c r="Q2644" s="5" t="s">
        <v>448</v>
      </c>
    </row>
    <row r="2645" customFormat="false" ht="35.05" hidden="false" customHeight="false" outlineLevel="0" collapsed="false">
      <c r="A2645" s="6" t="s">
        <v>6014</v>
      </c>
      <c r="B2645" s="6" t="s">
        <v>125</v>
      </c>
      <c r="C2645" s="6" t="s">
        <v>126</v>
      </c>
      <c r="D2645" s="6" t="s">
        <v>143</v>
      </c>
      <c r="E2645" s="6" t="s">
        <v>144</v>
      </c>
      <c r="F2645" s="6" t="s">
        <v>198</v>
      </c>
      <c r="G2645" s="6" t="s">
        <v>548</v>
      </c>
      <c r="H2645" s="6" t="s">
        <v>224</v>
      </c>
      <c r="I2645" s="6" t="s">
        <v>6015</v>
      </c>
      <c r="J2645" s="6" t="s">
        <v>238</v>
      </c>
      <c r="K2645" s="6" t="s">
        <v>5953</v>
      </c>
      <c r="L2645" s="6" t="s">
        <v>190</v>
      </c>
      <c r="M2645" s="6" t="s">
        <v>555</v>
      </c>
      <c r="N2645" s="6" t="s">
        <v>278</v>
      </c>
      <c r="O2645" s="6" t="s">
        <v>634</v>
      </c>
      <c r="P2645" s="6" t="str">
        <f aca="false">IF(J2645="S0","—",IF(K2645="","",IF(L2645="E0","QM",INDEX(10_ASIL_Matrix!$D$4:$F$15,MATCH(J2645&amp;"-"&amp;L2645,10_ASIL_Matrix!$C$4:$C$15,0),MATCH(N2645,10_ASIL_Matrix!$D$3:$F$3,0)))))</f>
        <v>—</v>
      </c>
      <c r="Q2645" s="6" t="s">
        <v>448</v>
      </c>
    </row>
    <row r="2646" customFormat="false" ht="35.05" hidden="false" customHeight="false" outlineLevel="0" collapsed="false">
      <c r="A2646" s="5" t="s">
        <v>6016</v>
      </c>
      <c r="B2646" s="5" t="s">
        <v>125</v>
      </c>
      <c r="C2646" s="5" t="s">
        <v>126</v>
      </c>
      <c r="D2646" s="5" t="s">
        <v>143</v>
      </c>
      <c r="E2646" s="5" t="s">
        <v>144</v>
      </c>
      <c r="F2646" s="5" t="s">
        <v>198</v>
      </c>
      <c r="G2646" s="5" t="s">
        <v>548</v>
      </c>
      <c r="H2646" s="5" t="s">
        <v>226</v>
      </c>
      <c r="I2646" s="5" t="s">
        <v>6017</v>
      </c>
      <c r="J2646" s="5" t="s">
        <v>238</v>
      </c>
      <c r="K2646" s="5" t="s">
        <v>5953</v>
      </c>
      <c r="L2646" s="5" t="s">
        <v>190</v>
      </c>
      <c r="M2646" s="5" t="s">
        <v>558</v>
      </c>
      <c r="N2646" s="5" t="s">
        <v>278</v>
      </c>
      <c r="O2646" s="5" t="s">
        <v>634</v>
      </c>
      <c r="P2646" s="5" t="str">
        <f aca="false">IF(J2646="S0","—",IF(K2646="","",IF(L2646="E0","QM",INDEX(10_ASIL_Matrix!$D$4:$F$15,MATCH(J2646&amp;"-"&amp;L2646,10_ASIL_Matrix!$C$4:$C$15,0),MATCH(N2646,10_ASIL_Matrix!$D$3:$F$3,0)))))</f>
        <v>—</v>
      </c>
      <c r="Q2646" s="5" t="s">
        <v>448</v>
      </c>
    </row>
    <row r="2647" customFormat="false" ht="46.25" hidden="false" customHeight="false" outlineLevel="0" collapsed="false">
      <c r="A2647" s="6" t="s">
        <v>6018</v>
      </c>
      <c r="B2647" s="6" t="s">
        <v>125</v>
      </c>
      <c r="C2647" s="6" t="s">
        <v>126</v>
      </c>
      <c r="D2647" s="6" t="s">
        <v>143</v>
      </c>
      <c r="E2647" s="6" t="s">
        <v>144</v>
      </c>
      <c r="F2647" s="6" t="s">
        <v>198</v>
      </c>
      <c r="G2647" s="6" t="s">
        <v>548</v>
      </c>
      <c r="H2647" s="6" t="s">
        <v>228</v>
      </c>
      <c r="I2647" s="6" t="s">
        <v>6019</v>
      </c>
      <c r="J2647" s="6" t="s">
        <v>238</v>
      </c>
      <c r="K2647" s="6" t="s">
        <v>5953</v>
      </c>
      <c r="L2647" s="6" t="s">
        <v>205</v>
      </c>
      <c r="M2647" s="6" t="s">
        <v>561</v>
      </c>
      <c r="N2647" s="6" t="s">
        <v>278</v>
      </c>
      <c r="O2647" s="6" t="s">
        <v>634</v>
      </c>
      <c r="P2647" s="6" t="str">
        <f aca="false">IF(J2647="S0","—",IF(K2647="","",IF(L2647="E0","QM",INDEX(10_ASIL_Matrix!$D$4:$F$15,MATCH(J2647&amp;"-"&amp;L2647,10_ASIL_Matrix!$C$4:$C$15,0),MATCH(N2647,10_ASIL_Matrix!$D$3:$F$3,0)))))</f>
        <v>—</v>
      </c>
      <c r="Q2647" s="6" t="s">
        <v>448</v>
      </c>
    </row>
    <row r="2648" customFormat="false" ht="46.25" hidden="false" customHeight="false" outlineLevel="0" collapsed="false">
      <c r="A2648" s="5" t="s">
        <v>6020</v>
      </c>
      <c r="B2648" s="5" t="s">
        <v>125</v>
      </c>
      <c r="C2648" s="5" t="s">
        <v>126</v>
      </c>
      <c r="D2648" s="5" t="s">
        <v>143</v>
      </c>
      <c r="E2648" s="5" t="s">
        <v>144</v>
      </c>
      <c r="F2648" s="5" t="s">
        <v>198</v>
      </c>
      <c r="G2648" s="5" t="s">
        <v>548</v>
      </c>
      <c r="H2648" s="5" t="s">
        <v>230</v>
      </c>
      <c r="I2648" s="5" t="s">
        <v>6021</v>
      </c>
      <c r="J2648" s="5" t="s">
        <v>238</v>
      </c>
      <c r="K2648" s="5" t="s">
        <v>5953</v>
      </c>
      <c r="L2648" s="5" t="s">
        <v>205</v>
      </c>
      <c r="M2648" s="5" t="s">
        <v>564</v>
      </c>
      <c r="N2648" s="5" t="s">
        <v>278</v>
      </c>
      <c r="O2648" s="5" t="s">
        <v>634</v>
      </c>
      <c r="P2648" s="5" t="str">
        <f aca="false">IF(J2648="S0","—",IF(K2648="","",IF(L2648="E0","QM",INDEX(10_ASIL_Matrix!$D$4:$F$15,MATCH(J2648&amp;"-"&amp;L2648,10_ASIL_Matrix!$C$4:$C$15,0),MATCH(N2648,10_ASIL_Matrix!$D$3:$F$3,0)))))</f>
        <v>—</v>
      </c>
      <c r="Q2648" s="5" t="s">
        <v>448</v>
      </c>
    </row>
    <row r="2649" customFormat="false" ht="46.25" hidden="false" customHeight="false" outlineLevel="0" collapsed="false">
      <c r="A2649" s="6" t="s">
        <v>6022</v>
      </c>
      <c r="B2649" s="6" t="s">
        <v>125</v>
      </c>
      <c r="C2649" s="6" t="s">
        <v>126</v>
      </c>
      <c r="D2649" s="6" t="s">
        <v>143</v>
      </c>
      <c r="E2649" s="6" t="s">
        <v>144</v>
      </c>
      <c r="F2649" s="6" t="s">
        <v>198</v>
      </c>
      <c r="G2649" s="6" t="s">
        <v>548</v>
      </c>
      <c r="H2649" s="6" t="s">
        <v>232</v>
      </c>
      <c r="I2649" s="6" t="s">
        <v>6023</v>
      </c>
      <c r="J2649" s="6" t="s">
        <v>238</v>
      </c>
      <c r="K2649" s="6" t="s">
        <v>5953</v>
      </c>
      <c r="L2649" s="6" t="s">
        <v>233</v>
      </c>
      <c r="M2649" s="6" t="s">
        <v>568</v>
      </c>
      <c r="N2649" s="6" t="s">
        <v>278</v>
      </c>
      <c r="O2649" s="6" t="s">
        <v>634</v>
      </c>
      <c r="P2649" s="6" t="str">
        <f aca="false">IF(J2649="S0","—",IF(K2649="","",IF(L2649="E0","QM",INDEX(10_ASIL_Matrix!$D$4:$F$15,MATCH(J2649&amp;"-"&amp;L2649,10_ASIL_Matrix!$C$4:$C$15,0),MATCH(N2649,10_ASIL_Matrix!$D$3:$F$3,0)))))</f>
        <v>—</v>
      </c>
      <c r="Q2649" s="6" t="s">
        <v>448</v>
      </c>
    </row>
    <row r="2650" customFormat="false" ht="35.05" hidden="false" customHeight="false" outlineLevel="0" collapsed="false">
      <c r="A2650" s="5" t="s">
        <v>6024</v>
      </c>
      <c r="B2650" s="5" t="s">
        <v>125</v>
      </c>
      <c r="C2650" s="5" t="s">
        <v>126</v>
      </c>
      <c r="D2650" s="5" t="s">
        <v>143</v>
      </c>
      <c r="E2650" s="5" t="s">
        <v>144</v>
      </c>
      <c r="F2650" s="5" t="s">
        <v>200</v>
      </c>
      <c r="G2650" s="5" t="s">
        <v>570</v>
      </c>
      <c r="H2650" s="5" t="s">
        <v>222</v>
      </c>
      <c r="I2650" s="5" t="s">
        <v>6025</v>
      </c>
      <c r="J2650" s="5" t="s">
        <v>238</v>
      </c>
      <c r="K2650" s="5" t="s">
        <v>5953</v>
      </c>
      <c r="L2650" s="5" t="s">
        <v>190</v>
      </c>
      <c r="M2650" s="5" t="s">
        <v>573</v>
      </c>
      <c r="N2650" s="5" t="s">
        <v>278</v>
      </c>
      <c r="O2650" s="5" t="s">
        <v>634</v>
      </c>
      <c r="P2650" s="5" t="str">
        <f aca="false">IF(J2650="S0","—",IF(K2650="","",IF(L2650="E0","QM",INDEX(10_ASIL_Matrix!$D$4:$F$15,MATCH(J2650&amp;"-"&amp;L2650,10_ASIL_Matrix!$C$4:$C$15,0),MATCH(N2650,10_ASIL_Matrix!$D$3:$F$3,0)))))</f>
        <v>—</v>
      </c>
      <c r="Q2650" s="5" t="s">
        <v>448</v>
      </c>
    </row>
    <row r="2651" customFormat="false" ht="35.05" hidden="false" customHeight="false" outlineLevel="0" collapsed="false">
      <c r="A2651" s="6" t="s">
        <v>6026</v>
      </c>
      <c r="B2651" s="6" t="s">
        <v>125</v>
      </c>
      <c r="C2651" s="6" t="s">
        <v>126</v>
      </c>
      <c r="D2651" s="6" t="s">
        <v>143</v>
      </c>
      <c r="E2651" s="6" t="s">
        <v>144</v>
      </c>
      <c r="F2651" s="6" t="s">
        <v>200</v>
      </c>
      <c r="G2651" s="6" t="s">
        <v>570</v>
      </c>
      <c r="H2651" s="6" t="s">
        <v>224</v>
      </c>
      <c r="I2651" s="6" t="s">
        <v>6027</v>
      </c>
      <c r="J2651" s="6" t="s">
        <v>238</v>
      </c>
      <c r="K2651" s="6" t="s">
        <v>5953</v>
      </c>
      <c r="L2651" s="6" t="s">
        <v>190</v>
      </c>
      <c r="M2651" s="6" t="s">
        <v>576</v>
      </c>
      <c r="N2651" s="6" t="s">
        <v>278</v>
      </c>
      <c r="O2651" s="6" t="s">
        <v>634</v>
      </c>
      <c r="P2651" s="6" t="str">
        <f aca="false">IF(J2651="S0","—",IF(K2651="","",IF(L2651="E0","QM",INDEX(10_ASIL_Matrix!$D$4:$F$15,MATCH(J2651&amp;"-"&amp;L2651,10_ASIL_Matrix!$C$4:$C$15,0),MATCH(N2651,10_ASIL_Matrix!$D$3:$F$3,0)))))</f>
        <v>—</v>
      </c>
      <c r="Q2651" s="6" t="s">
        <v>448</v>
      </c>
    </row>
    <row r="2652" customFormat="false" ht="35.05" hidden="false" customHeight="false" outlineLevel="0" collapsed="false">
      <c r="A2652" s="5" t="s">
        <v>6028</v>
      </c>
      <c r="B2652" s="5" t="s">
        <v>125</v>
      </c>
      <c r="C2652" s="5" t="s">
        <v>126</v>
      </c>
      <c r="D2652" s="5" t="s">
        <v>143</v>
      </c>
      <c r="E2652" s="5" t="s">
        <v>144</v>
      </c>
      <c r="F2652" s="5" t="s">
        <v>200</v>
      </c>
      <c r="G2652" s="5" t="s">
        <v>570</v>
      </c>
      <c r="H2652" s="5" t="s">
        <v>226</v>
      </c>
      <c r="I2652" s="5" t="s">
        <v>6029</v>
      </c>
      <c r="J2652" s="5" t="s">
        <v>238</v>
      </c>
      <c r="K2652" s="5" t="s">
        <v>5953</v>
      </c>
      <c r="L2652" s="5" t="s">
        <v>190</v>
      </c>
      <c r="M2652" s="5" t="s">
        <v>579</v>
      </c>
      <c r="N2652" s="5" t="s">
        <v>278</v>
      </c>
      <c r="O2652" s="5" t="s">
        <v>634</v>
      </c>
      <c r="P2652" s="5" t="str">
        <f aca="false">IF(J2652="S0","—",IF(K2652="","",IF(L2652="E0","QM",INDEX(10_ASIL_Matrix!$D$4:$F$15,MATCH(J2652&amp;"-"&amp;L2652,10_ASIL_Matrix!$C$4:$C$15,0),MATCH(N2652,10_ASIL_Matrix!$D$3:$F$3,0)))))</f>
        <v>—</v>
      </c>
      <c r="Q2652" s="5" t="s">
        <v>448</v>
      </c>
    </row>
    <row r="2653" customFormat="false" ht="46.25" hidden="false" customHeight="false" outlineLevel="0" collapsed="false">
      <c r="A2653" s="6" t="s">
        <v>6030</v>
      </c>
      <c r="B2653" s="6" t="s">
        <v>125</v>
      </c>
      <c r="C2653" s="6" t="s">
        <v>126</v>
      </c>
      <c r="D2653" s="6" t="s">
        <v>143</v>
      </c>
      <c r="E2653" s="6" t="s">
        <v>144</v>
      </c>
      <c r="F2653" s="6" t="s">
        <v>200</v>
      </c>
      <c r="G2653" s="6" t="s">
        <v>570</v>
      </c>
      <c r="H2653" s="6" t="s">
        <v>228</v>
      </c>
      <c r="I2653" s="6" t="s">
        <v>6031</v>
      </c>
      <c r="J2653" s="6" t="s">
        <v>238</v>
      </c>
      <c r="K2653" s="6" t="s">
        <v>5953</v>
      </c>
      <c r="L2653" s="6" t="s">
        <v>205</v>
      </c>
      <c r="M2653" s="6" t="s">
        <v>582</v>
      </c>
      <c r="N2653" s="6" t="s">
        <v>278</v>
      </c>
      <c r="O2653" s="6" t="s">
        <v>634</v>
      </c>
      <c r="P2653" s="6" t="str">
        <f aca="false">IF(J2653="S0","—",IF(K2653="","",IF(L2653="E0","QM",INDEX(10_ASIL_Matrix!$D$4:$F$15,MATCH(J2653&amp;"-"&amp;L2653,10_ASIL_Matrix!$C$4:$C$15,0),MATCH(N2653,10_ASIL_Matrix!$D$3:$F$3,0)))))</f>
        <v>—</v>
      </c>
      <c r="Q2653" s="6" t="s">
        <v>448</v>
      </c>
    </row>
    <row r="2654" customFormat="false" ht="46.25" hidden="false" customHeight="false" outlineLevel="0" collapsed="false">
      <c r="A2654" s="5" t="s">
        <v>6032</v>
      </c>
      <c r="B2654" s="5" t="s">
        <v>125</v>
      </c>
      <c r="C2654" s="5" t="s">
        <v>126</v>
      </c>
      <c r="D2654" s="5" t="s">
        <v>143</v>
      </c>
      <c r="E2654" s="5" t="s">
        <v>144</v>
      </c>
      <c r="F2654" s="5" t="s">
        <v>200</v>
      </c>
      <c r="G2654" s="5" t="s">
        <v>570</v>
      </c>
      <c r="H2654" s="5" t="s">
        <v>230</v>
      </c>
      <c r="I2654" s="5" t="s">
        <v>6033</v>
      </c>
      <c r="J2654" s="5" t="s">
        <v>238</v>
      </c>
      <c r="K2654" s="5" t="s">
        <v>5953</v>
      </c>
      <c r="L2654" s="5" t="s">
        <v>205</v>
      </c>
      <c r="M2654" s="5" t="s">
        <v>585</v>
      </c>
      <c r="N2654" s="5" t="s">
        <v>278</v>
      </c>
      <c r="O2654" s="5" t="s">
        <v>634</v>
      </c>
      <c r="P2654" s="5" t="str">
        <f aca="false">IF(J2654="S0","—",IF(K2654="","",IF(L2654="E0","QM",INDEX(10_ASIL_Matrix!$D$4:$F$15,MATCH(J2654&amp;"-"&amp;L2654,10_ASIL_Matrix!$C$4:$C$15,0),MATCH(N2654,10_ASIL_Matrix!$D$3:$F$3,0)))))</f>
        <v>—</v>
      </c>
      <c r="Q2654" s="5" t="s">
        <v>448</v>
      </c>
    </row>
    <row r="2655" customFormat="false" ht="46.25" hidden="false" customHeight="false" outlineLevel="0" collapsed="false">
      <c r="A2655" s="6" t="s">
        <v>6034</v>
      </c>
      <c r="B2655" s="6" t="s">
        <v>125</v>
      </c>
      <c r="C2655" s="6" t="s">
        <v>126</v>
      </c>
      <c r="D2655" s="6" t="s">
        <v>143</v>
      </c>
      <c r="E2655" s="6" t="s">
        <v>144</v>
      </c>
      <c r="F2655" s="6" t="s">
        <v>200</v>
      </c>
      <c r="G2655" s="6" t="s">
        <v>570</v>
      </c>
      <c r="H2655" s="6" t="s">
        <v>232</v>
      </c>
      <c r="I2655" s="6" t="s">
        <v>6035</v>
      </c>
      <c r="J2655" s="6" t="s">
        <v>238</v>
      </c>
      <c r="K2655" s="6" t="s">
        <v>5953</v>
      </c>
      <c r="L2655" s="6" t="s">
        <v>233</v>
      </c>
      <c r="M2655" s="6" t="s">
        <v>588</v>
      </c>
      <c r="N2655" s="6" t="s">
        <v>278</v>
      </c>
      <c r="O2655" s="6" t="s">
        <v>634</v>
      </c>
      <c r="P2655" s="6" t="str">
        <f aca="false">IF(J2655="S0","—",IF(K2655="","",IF(L2655="E0","QM",INDEX(10_ASIL_Matrix!$D$4:$F$15,MATCH(J2655&amp;"-"&amp;L2655,10_ASIL_Matrix!$C$4:$C$15,0),MATCH(N2655,10_ASIL_Matrix!$D$3:$F$3,0)))))</f>
        <v>—</v>
      </c>
      <c r="Q2655" s="6" t="s">
        <v>448</v>
      </c>
    </row>
    <row r="2656" customFormat="false" ht="35.05" hidden="false" customHeight="false" outlineLevel="0" collapsed="false">
      <c r="A2656" s="5" t="s">
        <v>6036</v>
      </c>
      <c r="B2656" s="5" t="s">
        <v>125</v>
      </c>
      <c r="C2656" s="5" t="s">
        <v>126</v>
      </c>
      <c r="D2656" s="5" t="s">
        <v>143</v>
      </c>
      <c r="E2656" s="5" t="s">
        <v>144</v>
      </c>
      <c r="F2656" s="5" t="s">
        <v>202</v>
      </c>
      <c r="G2656" s="5" t="s">
        <v>590</v>
      </c>
      <c r="H2656" s="5" t="s">
        <v>222</v>
      </c>
      <c r="I2656" s="5" t="s">
        <v>6037</v>
      </c>
      <c r="J2656" s="5" t="s">
        <v>238</v>
      </c>
      <c r="K2656" s="5" t="s">
        <v>5953</v>
      </c>
      <c r="L2656" s="5" t="s">
        <v>187</v>
      </c>
      <c r="M2656" s="5" t="s">
        <v>592</v>
      </c>
      <c r="N2656" s="5" t="s">
        <v>278</v>
      </c>
      <c r="O2656" s="5" t="s">
        <v>634</v>
      </c>
      <c r="P2656" s="5" t="str">
        <f aca="false">IF(J2656="S0","—",IF(K2656="","",IF(L2656="E0","QM",INDEX(10_ASIL_Matrix!$D$4:$F$15,MATCH(J2656&amp;"-"&amp;L2656,10_ASIL_Matrix!$C$4:$C$15,0),MATCH(N2656,10_ASIL_Matrix!$D$3:$F$3,0)))))</f>
        <v>—</v>
      </c>
      <c r="Q2656" s="5" t="s">
        <v>448</v>
      </c>
    </row>
    <row r="2657" customFormat="false" ht="35.05" hidden="false" customHeight="false" outlineLevel="0" collapsed="false">
      <c r="A2657" s="6" t="s">
        <v>6038</v>
      </c>
      <c r="B2657" s="6" t="s">
        <v>125</v>
      </c>
      <c r="C2657" s="6" t="s">
        <v>126</v>
      </c>
      <c r="D2657" s="6" t="s">
        <v>143</v>
      </c>
      <c r="E2657" s="6" t="s">
        <v>144</v>
      </c>
      <c r="F2657" s="6" t="s">
        <v>202</v>
      </c>
      <c r="G2657" s="6" t="s">
        <v>590</v>
      </c>
      <c r="H2657" s="6" t="s">
        <v>224</v>
      </c>
      <c r="I2657" s="6" t="s">
        <v>6039</v>
      </c>
      <c r="J2657" s="6" t="s">
        <v>238</v>
      </c>
      <c r="K2657" s="6" t="s">
        <v>5953</v>
      </c>
      <c r="L2657" s="6" t="s">
        <v>190</v>
      </c>
      <c r="M2657" s="6" t="s">
        <v>595</v>
      </c>
      <c r="N2657" s="6" t="s">
        <v>278</v>
      </c>
      <c r="O2657" s="6" t="s">
        <v>634</v>
      </c>
      <c r="P2657" s="6" t="str">
        <f aca="false">IF(J2657="S0","—",IF(K2657="","",IF(L2657="E0","QM",INDEX(10_ASIL_Matrix!$D$4:$F$15,MATCH(J2657&amp;"-"&amp;L2657,10_ASIL_Matrix!$C$4:$C$15,0),MATCH(N2657,10_ASIL_Matrix!$D$3:$F$3,0)))))</f>
        <v>—</v>
      </c>
      <c r="Q2657" s="6" t="s">
        <v>448</v>
      </c>
    </row>
    <row r="2658" customFormat="false" ht="35.05" hidden="false" customHeight="false" outlineLevel="0" collapsed="false">
      <c r="A2658" s="5" t="s">
        <v>6040</v>
      </c>
      <c r="B2658" s="5" t="s">
        <v>125</v>
      </c>
      <c r="C2658" s="5" t="s">
        <v>126</v>
      </c>
      <c r="D2658" s="5" t="s">
        <v>143</v>
      </c>
      <c r="E2658" s="5" t="s">
        <v>144</v>
      </c>
      <c r="F2658" s="5" t="s">
        <v>202</v>
      </c>
      <c r="G2658" s="5" t="s">
        <v>590</v>
      </c>
      <c r="H2658" s="5" t="s">
        <v>226</v>
      </c>
      <c r="I2658" s="5" t="s">
        <v>6041</v>
      </c>
      <c r="J2658" s="5" t="s">
        <v>238</v>
      </c>
      <c r="K2658" s="5" t="s">
        <v>5953</v>
      </c>
      <c r="L2658" s="5" t="s">
        <v>190</v>
      </c>
      <c r="M2658" s="5" t="s">
        <v>598</v>
      </c>
      <c r="N2658" s="5" t="s">
        <v>278</v>
      </c>
      <c r="O2658" s="5" t="s">
        <v>634</v>
      </c>
      <c r="P2658" s="5" t="str">
        <f aca="false">IF(J2658="S0","—",IF(K2658="","",IF(L2658="E0","QM",INDEX(10_ASIL_Matrix!$D$4:$F$15,MATCH(J2658&amp;"-"&amp;L2658,10_ASIL_Matrix!$C$4:$C$15,0),MATCH(N2658,10_ASIL_Matrix!$D$3:$F$3,0)))))</f>
        <v>—</v>
      </c>
      <c r="Q2658" s="5" t="s">
        <v>448</v>
      </c>
    </row>
    <row r="2659" customFormat="false" ht="35.05" hidden="false" customHeight="false" outlineLevel="0" collapsed="false">
      <c r="A2659" s="6" t="s">
        <v>6042</v>
      </c>
      <c r="B2659" s="6" t="s">
        <v>125</v>
      </c>
      <c r="C2659" s="6" t="s">
        <v>126</v>
      </c>
      <c r="D2659" s="6" t="s">
        <v>143</v>
      </c>
      <c r="E2659" s="6" t="s">
        <v>144</v>
      </c>
      <c r="F2659" s="6" t="s">
        <v>202</v>
      </c>
      <c r="G2659" s="6" t="s">
        <v>590</v>
      </c>
      <c r="H2659" s="6" t="s">
        <v>228</v>
      </c>
      <c r="I2659" s="6" t="s">
        <v>6043</v>
      </c>
      <c r="J2659" s="6" t="s">
        <v>238</v>
      </c>
      <c r="K2659" s="6" t="s">
        <v>5953</v>
      </c>
      <c r="L2659" s="6" t="s">
        <v>205</v>
      </c>
      <c r="M2659" s="6" t="s">
        <v>601</v>
      </c>
      <c r="N2659" s="6" t="s">
        <v>278</v>
      </c>
      <c r="O2659" s="6" t="s">
        <v>634</v>
      </c>
      <c r="P2659" s="6" t="str">
        <f aca="false">IF(J2659="S0","—",IF(K2659="","",IF(L2659="E0","QM",INDEX(10_ASIL_Matrix!$D$4:$F$15,MATCH(J2659&amp;"-"&amp;L2659,10_ASIL_Matrix!$C$4:$C$15,0),MATCH(N2659,10_ASIL_Matrix!$D$3:$F$3,0)))))</f>
        <v>—</v>
      </c>
      <c r="Q2659" s="6" t="s">
        <v>448</v>
      </c>
    </row>
    <row r="2660" customFormat="false" ht="35.05" hidden="false" customHeight="false" outlineLevel="0" collapsed="false">
      <c r="A2660" s="5" t="s">
        <v>6044</v>
      </c>
      <c r="B2660" s="5" t="s">
        <v>125</v>
      </c>
      <c r="C2660" s="5" t="s">
        <v>126</v>
      </c>
      <c r="D2660" s="5" t="s">
        <v>143</v>
      </c>
      <c r="E2660" s="5" t="s">
        <v>144</v>
      </c>
      <c r="F2660" s="5" t="s">
        <v>202</v>
      </c>
      <c r="G2660" s="5" t="s">
        <v>590</v>
      </c>
      <c r="H2660" s="5" t="s">
        <v>230</v>
      </c>
      <c r="I2660" s="5" t="s">
        <v>6045</v>
      </c>
      <c r="J2660" s="5" t="s">
        <v>238</v>
      </c>
      <c r="K2660" s="5" t="s">
        <v>5953</v>
      </c>
      <c r="L2660" s="5" t="s">
        <v>205</v>
      </c>
      <c r="M2660" s="5" t="s">
        <v>604</v>
      </c>
      <c r="N2660" s="5" t="s">
        <v>278</v>
      </c>
      <c r="O2660" s="5" t="s">
        <v>634</v>
      </c>
      <c r="P2660" s="5" t="str">
        <f aca="false">IF(J2660="S0","—",IF(K2660="","",IF(L2660="E0","QM",INDEX(10_ASIL_Matrix!$D$4:$F$15,MATCH(J2660&amp;"-"&amp;L2660,10_ASIL_Matrix!$C$4:$C$15,0),MATCH(N2660,10_ASIL_Matrix!$D$3:$F$3,0)))))</f>
        <v>—</v>
      </c>
      <c r="Q2660" s="5" t="s">
        <v>448</v>
      </c>
    </row>
    <row r="2661" customFormat="false" ht="46.25" hidden="false" customHeight="false" outlineLevel="0" collapsed="false">
      <c r="A2661" s="6" t="s">
        <v>6046</v>
      </c>
      <c r="B2661" s="6" t="s">
        <v>125</v>
      </c>
      <c r="C2661" s="6" t="s">
        <v>126</v>
      </c>
      <c r="D2661" s="6" t="s">
        <v>143</v>
      </c>
      <c r="E2661" s="6" t="s">
        <v>144</v>
      </c>
      <c r="F2661" s="6" t="s">
        <v>202</v>
      </c>
      <c r="G2661" s="6" t="s">
        <v>590</v>
      </c>
      <c r="H2661" s="6" t="s">
        <v>232</v>
      </c>
      <c r="I2661" s="6" t="s">
        <v>6047</v>
      </c>
      <c r="J2661" s="6" t="s">
        <v>238</v>
      </c>
      <c r="K2661" s="6" t="s">
        <v>5953</v>
      </c>
      <c r="L2661" s="6" t="s">
        <v>233</v>
      </c>
      <c r="M2661" s="6" t="s">
        <v>607</v>
      </c>
      <c r="N2661" s="6" t="s">
        <v>278</v>
      </c>
      <c r="O2661" s="6" t="s">
        <v>634</v>
      </c>
      <c r="P2661" s="6" t="str">
        <f aca="false">IF(J2661="S0","—",IF(K2661="","",IF(L2661="E0","QM",INDEX(10_ASIL_Matrix!$D$4:$F$15,MATCH(J2661&amp;"-"&amp;L2661,10_ASIL_Matrix!$C$4:$C$15,0),MATCH(N2661,10_ASIL_Matrix!$D$3:$F$3,0)))))</f>
        <v>—</v>
      </c>
      <c r="Q2661" s="6" t="s">
        <v>448</v>
      </c>
    </row>
    <row r="2662" customFormat="false" ht="35.05" hidden="false" customHeight="false" outlineLevel="0" collapsed="false">
      <c r="A2662" s="5" t="s">
        <v>6048</v>
      </c>
      <c r="B2662" s="5" t="s">
        <v>125</v>
      </c>
      <c r="C2662" s="5" t="s">
        <v>126</v>
      </c>
      <c r="D2662" s="5" t="s">
        <v>143</v>
      </c>
      <c r="E2662" s="5" t="s">
        <v>144</v>
      </c>
      <c r="F2662" s="5" t="s">
        <v>204</v>
      </c>
      <c r="G2662" s="5" t="s">
        <v>609</v>
      </c>
      <c r="H2662" s="5" t="s">
        <v>222</v>
      </c>
      <c r="I2662" s="5" t="s">
        <v>6049</v>
      </c>
      <c r="J2662" s="5" t="s">
        <v>250</v>
      </c>
      <c r="K2662" s="5" t="s">
        <v>6050</v>
      </c>
      <c r="L2662" s="5" t="s">
        <v>205</v>
      </c>
      <c r="M2662" s="5" t="s">
        <v>612</v>
      </c>
      <c r="N2662" s="5" t="s">
        <v>290</v>
      </c>
      <c r="O2662" s="5" t="s">
        <v>6051</v>
      </c>
      <c r="P2662" s="18" t="str">
        <f aca="false">IF(J2662="S0","—",IF(K2662="","",IF(L2662="E0","QM",INDEX(10_ASIL_Matrix!$D$4:$F$15,MATCH(J2662&amp;"-"&amp;L2662,10_ASIL_Matrix!$C$4:$C$15,0),MATCH(N2662,10_ASIL_Matrix!$D$3:$F$3,0)))))</f>
        <v>B</v>
      </c>
      <c r="Q2662" s="5" t="s">
        <v>448</v>
      </c>
    </row>
    <row r="2663" customFormat="false" ht="35.05" hidden="false" customHeight="false" outlineLevel="0" collapsed="false">
      <c r="A2663" s="6" t="s">
        <v>6052</v>
      </c>
      <c r="B2663" s="6" t="s">
        <v>125</v>
      </c>
      <c r="C2663" s="6" t="s">
        <v>126</v>
      </c>
      <c r="D2663" s="6" t="s">
        <v>143</v>
      </c>
      <c r="E2663" s="6" t="s">
        <v>144</v>
      </c>
      <c r="F2663" s="6" t="s">
        <v>204</v>
      </c>
      <c r="G2663" s="6" t="s">
        <v>609</v>
      </c>
      <c r="H2663" s="6" t="s">
        <v>224</v>
      </c>
      <c r="I2663" s="6" t="s">
        <v>6053</v>
      </c>
      <c r="J2663" s="6" t="s">
        <v>250</v>
      </c>
      <c r="K2663" s="6" t="s">
        <v>6050</v>
      </c>
      <c r="L2663" s="6" t="s">
        <v>205</v>
      </c>
      <c r="M2663" s="6" t="s">
        <v>616</v>
      </c>
      <c r="N2663" s="6" t="s">
        <v>290</v>
      </c>
      <c r="O2663" s="6" t="s">
        <v>6051</v>
      </c>
      <c r="P2663" s="18" t="str">
        <f aca="false">IF(J2663="S0","—",IF(K2663="","",IF(L2663="E0","QM",INDEX(10_ASIL_Matrix!$D$4:$F$15,MATCH(J2663&amp;"-"&amp;L2663,10_ASIL_Matrix!$C$4:$C$15,0),MATCH(N2663,10_ASIL_Matrix!$D$3:$F$3,0)))))</f>
        <v>B</v>
      </c>
      <c r="Q2663" s="6" t="s">
        <v>448</v>
      </c>
    </row>
    <row r="2664" customFormat="false" ht="35.05" hidden="false" customHeight="false" outlineLevel="0" collapsed="false">
      <c r="A2664" s="5" t="s">
        <v>6054</v>
      </c>
      <c r="B2664" s="5" t="s">
        <v>125</v>
      </c>
      <c r="C2664" s="5" t="s">
        <v>126</v>
      </c>
      <c r="D2664" s="5" t="s">
        <v>143</v>
      </c>
      <c r="E2664" s="5" t="s">
        <v>144</v>
      </c>
      <c r="F2664" s="5" t="s">
        <v>204</v>
      </c>
      <c r="G2664" s="5" t="s">
        <v>609</v>
      </c>
      <c r="H2664" s="5" t="s">
        <v>226</v>
      </c>
      <c r="I2664" s="5" t="s">
        <v>6055</v>
      </c>
      <c r="J2664" s="5" t="s">
        <v>250</v>
      </c>
      <c r="K2664" s="5" t="s">
        <v>6050</v>
      </c>
      <c r="L2664" s="5" t="s">
        <v>205</v>
      </c>
      <c r="M2664" s="5" t="s">
        <v>619</v>
      </c>
      <c r="N2664" s="5" t="s">
        <v>290</v>
      </c>
      <c r="O2664" s="5" t="s">
        <v>6051</v>
      </c>
      <c r="P2664" s="18" t="str">
        <f aca="false">IF(J2664="S0","—",IF(K2664="","",IF(L2664="E0","QM",INDEX(10_ASIL_Matrix!$D$4:$F$15,MATCH(J2664&amp;"-"&amp;L2664,10_ASIL_Matrix!$C$4:$C$15,0),MATCH(N2664,10_ASIL_Matrix!$D$3:$F$3,0)))))</f>
        <v>B</v>
      </c>
      <c r="Q2664" s="5" t="s">
        <v>448</v>
      </c>
    </row>
    <row r="2665" customFormat="false" ht="46.25" hidden="false" customHeight="false" outlineLevel="0" collapsed="false">
      <c r="A2665" s="6" t="s">
        <v>6056</v>
      </c>
      <c r="B2665" s="6" t="s">
        <v>125</v>
      </c>
      <c r="C2665" s="6" t="s">
        <v>126</v>
      </c>
      <c r="D2665" s="6" t="s">
        <v>143</v>
      </c>
      <c r="E2665" s="6" t="s">
        <v>144</v>
      </c>
      <c r="F2665" s="6" t="s">
        <v>204</v>
      </c>
      <c r="G2665" s="6" t="s">
        <v>609</v>
      </c>
      <c r="H2665" s="6" t="s">
        <v>228</v>
      </c>
      <c r="I2665" s="6" t="s">
        <v>6057</v>
      </c>
      <c r="J2665" s="6" t="s">
        <v>250</v>
      </c>
      <c r="K2665" s="6" t="s">
        <v>6050</v>
      </c>
      <c r="L2665" s="6" t="s">
        <v>205</v>
      </c>
      <c r="M2665" s="6" t="s">
        <v>622</v>
      </c>
      <c r="N2665" s="6" t="s">
        <v>290</v>
      </c>
      <c r="O2665" s="6" t="s">
        <v>6051</v>
      </c>
      <c r="P2665" s="18" t="str">
        <f aca="false">IF(J2665="S0","—",IF(K2665="","",IF(L2665="E0","QM",INDEX(10_ASIL_Matrix!$D$4:$F$15,MATCH(J2665&amp;"-"&amp;L2665,10_ASIL_Matrix!$C$4:$C$15,0),MATCH(N2665,10_ASIL_Matrix!$D$3:$F$3,0)))))</f>
        <v>B</v>
      </c>
      <c r="Q2665" s="6" t="s">
        <v>448</v>
      </c>
    </row>
    <row r="2666" customFormat="false" ht="46.25" hidden="false" customHeight="false" outlineLevel="0" collapsed="false">
      <c r="A2666" s="5" t="s">
        <v>6058</v>
      </c>
      <c r="B2666" s="5" t="s">
        <v>125</v>
      </c>
      <c r="C2666" s="5" t="s">
        <v>126</v>
      </c>
      <c r="D2666" s="5" t="s">
        <v>143</v>
      </c>
      <c r="E2666" s="5" t="s">
        <v>144</v>
      </c>
      <c r="F2666" s="5" t="s">
        <v>204</v>
      </c>
      <c r="G2666" s="5" t="s">
        <v>609</v>
      </c>
      <c r="H2666" s="5" t="s">
        <v>230</v>
      </c>
      <c r="I2666" s="5" t="s">
        <v>6059</v>
      </c>
      <c r="J2666" s="5" t="s">
        <v>250</v>
      </c>
      <c r="K2666" s="5" t="s">
        <v>6050</v>
      </c>
      <c r="L2666" s="5" t="s">
        <v>205</v>
      </c>
      <c r="M2666" s="5" t="s">
        <v>625</v>
      </c>
      <c r="N2666" s="5" t="s">
        <v>290</v>
      </c>
      <c r="O2666" s="5" t="s">
        <v>6051</v>
      </c>
      <c r="P2666" s="18" t="str">
        <f aca="false">IF(J2666="S0","—",IF(K2666="","",IF(L2666="E0","QM",INDEX(10_ASIL_Matrix!$D$4:$F$15,MATCH(J2666&amp;"-"&amp;L2666,10_ASIL_Matrix!$C$4:$C$15,0),MATCH(N2666,10_ASIL_Matrix!$D$3:$F$3,0)))))</f>
        <v>B</v>
      </c>
      <c r="Q2666" s="5" t="s">
        <v>448</v>
      </c>
    </row>
    <row r="2667" customFormat="false" ht="46.25" hidden="false" customHeight="false" outlineLevel="0" collapsed="false">
      <c r="A2667" s="6" t="s">
        <v>6060</v>
      </c>
      <c r="B2667" s="6" t="s">
        <v>125</v>
      </c>
      <c r="C2667" s="6" t="s">
        <v>126</v>
      </c>
      <c r="D2667" s="6" t="s">
        <v>143</v>
      </c>
      <c r="E2667" s="6" t="s">
        <v>144</v>
      </c>
      <c r="F2667" s="6" t="s">
        <v>204</v>
      </c>
      <c r="G2667" s="6" t="s">
        <v>609</v>
      </c>
      <c r="H2667" s="6" t="s">
        <v>232</v>
      </c>
      <c r="I2667" s="6" t="s">
        <v>6061</v>
      </c>
      <c r="J2667" s="6" t="s">
        <v>250</v>
      </c>
      <c r="K2667" s="6" t="s">
        <v>6050</v>
      </c>
      <c r="L2667" s="6" t="s">
        <v>233</v>
      </c>
      <c r="M2667" s="6" t="s">
        <v>629</v>
      </c>
      <c r="N2667" s="6" t="s">
        <v>290</v>
      </c>
      <c r="O2667" s="6" t="s">
        <v>6051</v>
      </c>
      <c r="P2667" s="19" t="str">
        <f aca="false">IF(J2667="S0","—",IF(K2667="","",IF(L2667="E0","QM",INDEX(10_ASIL_Matrix!$D$4:$F$15,MATCH(J2667&amp;"-"&amp;L2667,10_ASIL_Matrix!$C$4:$C$15,0),MATCH(N2667,10_ASIL_Matrix!$D$3:$F$3,0)))))</f>
        <v>A</v>
      </c>
      <c r="Q2667" s="6" t="s">
        <v>448</v>
      </c>
    </row>
    <row r="2668" customFormat="false" ht="35.05" hidden="false" customHeight="false" outlineLevel="0" collapsed="false">
      <c r="A2668" s="5" t="s">
        <v>6062</v>
      </c>
      <c r="B2668" s="5" t="s">
        <v>125</v>
      </c>
      <c r="C2668" s="5" t="s">
        <v>126</v>
      </c>
      <c r="D2668" s="5" t="s">
        <v>143</v>
      </c>
      <c r="E2668" s="5" t="s">
        <v>144</v>
      </c>
      <c r="F2668" s="5" t="s">
        <v>207</v>
      </c>
      <c r="G2668" s="5" t="s">
        <v>609</v>
      </c>
      <c r="H2668" s="5" t="s">
        <v>222</v>
      </c>
      <c r="I2668" s="5" t="s">
        <v>6063</v>
      </c>
      <c r="J2668" s="5" t="s">
        <v>238</v>
      </c>
      <c r="K2668" s="5" t="s">
        <v>5953</v>
      </c>
      <c r="L2668" s="5" t="s">
        <v>190</v>
      </c>
      <c r="M2668" s="5" t="s">
        <v>633</v>
      </c>
      <c r="N2668" s="5" t="s">
        <v>278</v>
      </c>
      <c r="O2668" s="5" t="s">
        <v>634</v>
      </c>
      <c r="P2668" s="5" t="str">
        <f aca="false">IF(J2668="S0","—",IF(K2668="","",IF(L2668="E0","QM",INDEX(10_ASIL_Matrix!$D$4:$F$15,MATCH(J2668&amp;"-"&amp;L2668,10_ASIL_Matrix!$C$4:$C$15,0),MATCH(N2668,10_ASIL_Matrix!$D$3:$F$3,0)))))</f>
        <v>—</v>
      </c>
      <c r="Q2668" s="5" t="s">
        <v>448</v>
      </c>
    </row>
    <row r="2669" customFormat="false" ht="35.05" hidden="false" customHeight="false" outlineLevel="0" collapsed="false">
      <c r="A2669" s="6" t="s">
        <v>6064</v>
      </c>
      <c r="B2669" s="6" t="s">
        <v>125</v>
      </c>
      <c r="C2669" s="6" t="s">
        <v>126</v>
      </c>
      <c r="D2669" s="6" t="s">
        <v>143</v>
      </c>
      <c r="E2669" s="6" t="s">
        <v>144</v>
      </c>
      <c r="F2669" s="6" t="s">
        <v>207</v>
      </c>
      <c r="G2669" s="6" t="s">
        <v>609</v>
      </c>
      <c r="H2669" s="6" t="s">
        <v>224</v>
      </c>
      <c r="I2669" s="6" t="s">
        <v>6065</v>
      </c>
      <c r="J2669" s="6" t="s">
        <v>238</v>
      </c>
      <c r="K2669" s="6" t="s">
        <v>5953</v>
      </c>
      <c r="L2669" s="6" t="s">
        <v>190</v>
      </c>
      <c r="M2669" s="6" t="s">
        <v>637</v>
      </c>
      <c r="N2669" s="6" t="s">
        <v>278</v>
      </c>
      <c r="O2669" s="6" t="s">
        <v>634</v>
      </c>
      <c r="P2669" s="6" t="str">
        <f aca="false">IF(J2669="S0","—",IF(K2669="","",IF(L2669="E0","QM",INDEX(10_ASIL_Matrix!$D$4:$F$15,MATCH(J2669&amp;"-"&amp;L2669,10_ASIL_Matrix!$C$4:$C$15,0),MATCH(N2669,10_ASIL_Matrix!$D$3:$F$3,0)))))</f>
        <v>—</v>
      </c>
      <c r="Q2669" s="6" t="s">
        <v>448</v>
      </c>
    </row>
    <row r="2670" customFormat="false" ht="35.05" hidden="false" customHeight="false" outlineLevel="0" collapsed="false">
      <c r="A2670" s="5" t="s">
        <v>6066</v>
      </c>
      <c r="B2670" s="5" t="s">
        <v>125</v>
      </c>
      <c r="C2670" s="5" t="s">
        <v>126</v>
      </c>
      <c r="D2670" s="5" t="s">
        <v>143</v>
      </c>
      <c r="E2670" s="5" t="s">
        <v>144</v>
      </c>
      <c r="F2670" s="5" t="s">
        <v>207</v>
      </c>
      <c r="G2670" s="5" t="s">
        <v>609</v>
      </c>
      <c r="H2670" s="5" t="s">
        <v>226</v>
      </c>
      <c r="I2670" s="5" t="s">
        <v>6067</v>
      </c>
      <c r="J2670" s="5" t="s">
        <v>238</v>
      </c>
      <c r="K2670" s="5" t="s">
        <v>5953</v>
      </c>
      <c r="L2670" s="5" t="s">
        <v>190</v>
      </c>
      <c r="M2670" s="5" t="s">
        <v>640</v>
      </c>
      <c r="N2670" s="5" t="s">
        <v>278</v>
      </c>
      <c r="O2670" s="5" t="s">
        <v>634</v>
      </c>
      <c r="P2670" s="5" t="str">
        <f aca="false">IF(J2670="S0","—",IF(K2670="","",IF(L2670="E0","QM",INDEX(10_ASIL_Matrix!$D$4:$F$15,MATCH(J2670&amp;"-"&amp;L2670,10_ASIL_Matrix!$C$4:$C$15,0),MATCH(N2670,10_ASIL_Matrix!$D$3:$F$3,0)))))</f>
        <v>—</v>
      </c>
      <c r="Q2670" s="5" t="s">
        <v>448</v>
      </c>
    </row>
    <row r="2671" customFormat="false" ht="46.25" hidden="false" customHeight="false" outlineLevel="0" collapsed="false">
      <c r="A2671" s="6" t="s">
        <v>6068</v>
      </c>
      <c r="B2671" s="6" t="s">
        <v>125</v>
      </c>
      <c r="C2671" s="6" t="s">
        <v>126</v>
      </c>
      <c r="D2671" s="6" t="s">
        <v>143</v>
      </c>
      <c r="E2671" s="6" t="s">
        <v>144</v>
      </c>
      <c r="F2671" s="6" t="s">
        <v>207</v>
      </c>
      <c r="G2671" s="6" t="s">
        <v>609</v>
      </c>
      <c r="H2671" s="6" t="s">
        <v>228</v>
      </c>
      <c r="I2671" s="6" t="s">
        <v>6069</v>
      </c>
      <c r="J2671" s="6" t="s">
        <v>238</v>
      </c>
      <c r="K2671" s="6" t="s">
        <v>5953</v>
      </c>
      <c r="L2671" s="6" t="s">
        <v>205</v>
      </c>
      <c r="M2671" s="6" t="s">
        <v>643</v>
      </c>
      <c r="N2671" s="6" t="s">
        <v>278</v>
      </c>
      <c r="O2671" s="6" t="s">
        <v>634</v>
      </c>
      <c r="P2671" s="6" t="str">
        <f aca="false">IF(J2671="S0","—",IF(K2671="","",IF(L2671="E0","QM",INDEX(10_ASIL_Matrix!$D$4:$F$15,MATCH(J2671&amp;"-"&amp;L2671,10_ASIL_Matrix!$C$4:$C$15,0),MATCH(N2671,10_ASIL_Matrix!$D$3:$F$3,0)))))</f>
        <v>—</v>
      </c>
      <c r="Q2671" s="6" t="s">
        <v>448</v>
      </c>
    </row>
    <row r="2672" customFormat="false" ht="46.25" hidden="false" customHeight="false" outlineLevel="0" collapsed="false">
      <c r="A2672" s="5" t="s">
        <v>6070</v>
      </c>
      <c r="B2672" s="5" t="s">
        <v>125</v>
      </c>
      <c r="C2672" s="5" t="s">
        <v>126</v>
      </c>
      <c r="D2672" s="5" t="s">
        <v>143</v>
      </c>
      <c r="E2672" s="5" t="s">
        <v>144</v>
      </c>
      <c r="F2672" s="5" t="s">
        <v>207</v>
      </c>
      <c r="G2672" s="5" t="s">
        <v>609</v>
      </c>
      <c r="H2672" s="5" t="s">
        <v>230</v>
      </c>
      <c r="I2672" s="5" t="s">
        <v>6071</v>
      </c>
      <c r="J2672" s="5" t="s">
        <v>238</v>
      </c>
      <c r="K2672" s="5" t="s">
        <v>5953</v>
      </c>
      <c r="L2672" s="5" t="s">
        <v>205</v>
      </c>
      <c r="M2672" s="5" t="s">
        <v>646</v>
      </c>
      <c r="N2672" s="5" t="s">
        <v>278</v>
      </c>
      <c r="O2672" s="5" t="s">
        <v>634</v>
      </c>
      <c r="P2672" s="5" t="str">
        <f aca="false">IF(J2672="S0","—",IF(K2672="","",IF(L2672="E0","QM",INDEX(10_ASIL_Matrix!$D$4:$F$15,MATCH(J2672&amp;"-"&amp;L2672,10_ASIL_Matrix!$C$4:$C$15,0),MATCH(N2672,10_ASIL_Matrix!$D$3:$F$3,0)))))</f>
        <v>—</v>
      </c>
      <c r="Q2672" s="5" t="s">
        <v>448</v>
      </c>
    </row>
    <row r="2673" customFormat="false" ht="46.25" hidden="false" customHeight="false" outlineLevel="0" collapsed="false">
      <c r="A2673" s="6" t="s">
        <v>6072</v>
      </c>
      <c r="B2673" s="6" t="s">
        <v>125</v>
      </c>
      <c r="C2673" s="6" t="s">
        <v>126</v>
      </c>
      <c r="D2673" s="6" t="s">
        <v>143</v>
      </c>
      <c r="E2673" s="6" t="s">
        <v>144</v>
      </c>
      <c r="F2673" s="6" t="s">
        <v>207</v>
      </c>
      <c r="G2673" s="6" t="s">
        <v>609</v>
      </c>
      <c r="H2673" s="6" t="s">
        <v>232</v>
      </c>
      <c r="I2673" s="6" t="s">
        <v>6073</v>
      </c>
      <c r="J2673" s="6" t="s">
        <v>238</v>
      </c>
      <c r="K2673" s="6" t="s">
        <v>5953</v>
      </c>
      <c r="L2673" s="6" t="s">
        <v>233</v>
      </c>
      <c r="M2673" s="6" t="s">
        <v>649</v>
      </c>
      <c r="N2673" s="6" t="s">
        <v>278</v>
      </c>
      <c r="O2673" s="6" t="s">
        <v>634</v>
      </c>
      <c r="P2673" s="6" t="str">
        <f aca="false">IF(J2673="S0","—",IF(K2673="","",IF(L2673="E0","QM",INDEX(10_ASIL_Matrix!$D$4:$F$15,MATCH(J2673&amp;"-"&amp;L2673,10_ASIL_Matrix!$C$4:$C$15,0),MATCH(N2673,10_ASIL_Matrix!$D$3:$F$3,0)))))</f>
        <v>—</v>
      </c>
      <c r="Q2673" s="6" t="s">
        <v>448</v>
      </c>
    </row>
    <row r="2674" customFormat="false" ht="35.05" hidden="false" customHeight="false" outlineLevel="0" collapsed="false">
      <c r="A2674" s="5" t="s">
        <v>6074</v>
      </c>
      <c r="B2674" s="5" t="s">
        <v>125</v>
      </c>
      <c r="C2674" s="5" t="s">
        <v>126</v>
      </c>
      <c r="D2674" s="5" t="s">
        <v>143</v>
      </c>
      <c r="E2674" s="5" t="s">
        <v>144</v>
      </c>
      <c r="F2674" s="5" t="s">
        <v>209</v>
      </c>
      <c r="G2674" s="5" t="s">
        <v>570</v>
      </c>
      <c r="H2674" s="5" t="s">
        <v>222</v>
      </c>
      <c r="I2674" s="5" t="s">
        <v>6075</v>
      </c>
      <c r="J2674" s="5" t="s">
        <v>238</v>
      </c>
      <c r="K2674" s="5" t="s">
        <v>5953</v>
      </c>
      <c r="L2674" s="5" t="s">
        <v>190</v>
      </c>
      <c r="M2674" s="5" t="s">
        <v>653</v>
      </c>
      <c r="N2674" s="5" t="s">
        <v>278</v>
      </c>
      <c r="O2674" s="5" t="s">
        <v>634</v>
      </c>
      <c r="P2674" s="5" t="str">
        <f aca="false">IF(J2674="S0","—",IF(K2674="","",IF(L2674="E0","QM",INDEX(10_ASIL_Matrix!$D$4:$F$15,MATCH(J2674&amp;"-"&amp;L2674,10_ASIL_Matrix!$C$4:$C$15,0),MATCH(N2674,10_ASIL_Matrix!$D$3:$F$3,0)))))</f>
        <v>—</v>
      </c>
      <c r="Q2674" s="5" t="s">
        <v>448</v>
      </c>
    </row>
    <row r="2675" customFormat="false" ht="35.05" hidden="false" customHeight="false" outlineLevel="0" collapsed="false">
      <c r="A2675" s="6" t="s">
        <v>6076</v>
      </c>
      <c r="B2675" s="6" t="s">
        <v>125</v>
      </c>
      <c r="C2675" s="6" t="s">
        <v>126</v>
      </c>
      <c r="D2675" s="6" t="s">
        <v>143</v>
      </c>
      <c r="E2675" s="6" t="s">
        <v>144</v>
      </c>
      <c r="F2675" s="6" t="s">
        <v>209</v>
      </c>
      <c r="G2675" s="6" t="s">
        <v>570</v>
      </c>
      <c r="H2675" s="6" t="s">
        <v>224</v>
      </c>
      <c r="I2675" s="6" t="s">
        <v>6077</v>
      </c>
      <c r="J2675" s="6" t="s">
        <v>238</v>
      </c>
      <c r="K2675" s="6" t="s">
        <v>5953</v>
      </c>
      <c r="L2675" s="6" t="s">
        <v>190</v>
      </c>
      <c r="M2675" s="6" t="s">
        <v>656</v>
      </c>
      <c r="N2675" s="6" t="s">
        <v>278</v>
      </c>
      <c r="O2675" s="6" t="s">
        <v>634</v>
      </c>
      <c r="P2675" s="6" t="str">
        <f aca="false">IF(J2675="S0","—",IF(K2675="","",IF(L2675="E0","QM",INDEX(10_ASIL_Matrix!$D$4:$F$15,MATCH(J2675&amp;"-"&amp;L2675,10_ASIL_Matrix!$C$4:$C$15,0),MATCH(N2675,10_ASIL_Matrix!$D$3:$F$3,0)))))</f>
        <v>—</v>
      </c>
      <c r="Q2675" s="6" t="s">
        <v>448</v>
      </c>
    </row>
    <row r="2676" customFormat="false" ht="35.05" hidden="false" customHeight="false" outlineLevel="0" collapsed="false">
      <c r="A2676" s="5" t="s">
        <v>6078</v>
      </c>
      <c r="B2676" s="5" t="s">
        <v>125</v>
      </c>
      <c r="C2676" s="5" t="s">
        <v>126</v>
      </c>
      <c r="D2676" s="5" t="s">
        <v>143</v>
      </c>
      <c r="E2676" s="5" t="s">
        <v>144</v>
      </c>
      <c r="F2676" s="5" t="s">
        <v>209</v>
      </c>
      <c r="G2676" s="5" t="s">
        <v>570</v>
      </c>
      <c r="H2676" s="5" t="s">
        <v>226</v>
      </c>
      <c r="I2676" s="5" t="s">
        <v>6079</v>
      </c>
      <c r="J2676" s="5" t="s">
        <v>238</v>
      </c>
      <c r="K2676" s="5" t="s">
        <v>5953</v>
      </c>
      <c r="L2676" s="5" t="s">
        <v>190</v>
      </c>
      <c r="M2676" s="5" t="s">
        <v>659</v>
      </c>
      <c r="N2676" s="5" t="s">
        <v>278</v>
      </c>
      <c r="O2676" s="5" t="s">
        <v>634</v>
      </c>
      <c r="P2676" s="5" t="str">
        <f aca="false">IF(J2676="S0","—",IF(K2676="","",IF(L2676="E0","QM",INDEX(10_ASIL_Matrix!$D$4:$F$15,MATCH(J2676&amp;"-"&amp;L2676,10_ASIL_Matrix!$C$4:$C$15,0),MATCH(N2676,10_ASIL_Matrix!$D$3:$F$3,0)))))</f>
        <v>—</v>
      </c>
      <c r="Q2676" s="5" t="s">
        <v>448</v>
      </c>
    </row>
    <row r="2677" customFormat="false" ht="35.05" hidden="false" customHeight="false" outlineLevel="0" collapsed="false">
      <c r="A2677" s="6" t="s">
        <v>6080</v>
      </c>
      <c r="B2677" s="6" t="s">
        <v>125</v>
      </c>
      <c r="C2677" s="6" t="s">
        <v>126</v>
      </c>
      <c r="D2677" s="6" t="s">
        <v>143</v>
      </c>
      <c r="E2677" s="6" t="s">
        <v>144</v>
      </c>
      <c r="F2677" s="6" t="s">
        <v>209</v>
      </c>
      <c r="G2677" s="6" t="s">
        <v>570</v>
      </c>
      <c r="H2677" s="6" t="s">
        <v>228</v>
      </c>
      <c r="I2677" s="6" t="s">
        <v>6081</v>
      </c>
      <c r="J2677" s="6" t="s">
        <v>238</v>
      </c>
      <c r="K2677" s="6" t="s">
        <v>5953</v>
      </c>
      <c r="L2677" s="6" t="s">
        <v>205</v>
      </c>
      <c r="M2677" s="6" t="s">
        <v>662</v>
      </c>
      <c r="N2677" s="6" t="s">
        <v>278</v>
      </c>
      <c r="O2677" s="6" t="s">
        <v>634</v>
      </c>
      <c r="P2677" s="6" t="str">
        <f aca="false">IF(J2677="S0","—",IF(K2677="","",IF(L2677="E0","QM",INDEX(10_ASIL_Matrix!$D$4:$F$15,MATCH(J2677&amp;"-"&amp;L2677,10_ASIL_Matrix!$C$4:$C$15,0),MATCH(N2677,10_ASIL_Matrix!$D$3:$F$3,0)))))</f>
        <v>—</v>
      </c>
      <c r="Q2677" s="6" t="s">
        <v>448</v>
      </c>
    </row>
    <row r="2678" customFormat="false" ht="35.05" hidden="false" customHeight="false" outlineLevel="0" collapsed="false">
      <c r="A2678" s="5" t="s">
        <v>6082</v>
      </c>
      <c r="B2678" s="5" t="s">
        <v>125</v>
      </c>
      <c r="C2678" s="5" t="s">
        <v>126</v>
      </c>
      <c r="D2678" s="5" t="s">
        <v>143</v>
      </c>
      <c r="E2678" s="5" t="s">
        <v>144</v>
      </c>
      <c r="F2678" s="5" t="s">
        <v>209</v>
      </c>
      <c r="G2678" s="5" t="s">
        <v>570</v>
      </c>
      <c r="H2678" s="5" t="s">
        <v>230</v>
      </c>
      <c r="I2678" s="5" t="s">
        <v>6083</v>
      </c>
      <c r="J2678" s="5" t="s">
        <v>238</v>
      </c>
      <c r="K2678" s="5" t="s">
        <v>5953</v>
      </c>
      <c r="L2678" s="5" t="s">
        <v>205</v>
      </c>
      <c r="M2678" s="5" t="s">
        <v>665</v>
      </c>
      <c r="N2678" s="5" t="s">
        <v>278</v>
      </c>
      <c r="O2678" s="5" t="s">
        <v>634</v>
      </c>
      <c r="P2678" s="5" t="str">
        <f aca="false">IF(J2678="S0","—",IF(K2678="","",IF(L2678="E0","QM",INDEX(10_ASIL_Matrix!$D$4:$F$15,MATCH(J2678&amp;"-"&amp;L2678,10_ASIL_Matrix!$C$4:$C$15,0),MATCH(N2678,10_ASIL_Matrix!$D$3:$F$3,0)))))</f>
        <v>—</v>
      </c>
      <c r="Q2678" s="5" t="s">
        <v>448</v>
      </c>
    </row>
    <row r="2679" customFormat="false" ht="46.25" hidden="false" customHeight="false" outlineLevel="0" collapsed="false">
      <c r="A2679" s="6" t="s">
        <v>6084</v>
      </c>
      <c r="B2679" s="6" t="s">
        <v>125</v>
      </c>
      <c r="C2679" s="6" t="s">
        <v>126</v>
      </c>
      <c r="D2679" s="6" t="s">
        <v>143</v>
      </c>
      <c r="E2679" s="6" t="s">
        <v>144</v>
      </c>
      <c r="F2679" s="6" t="s">
        <v>209</v>
      </c>
      <c r="G2679" s="6" t="s">
        <v>570</v>
      </c>
      <c r="H2679" s="6" t="s">
        <v>232</v>
      </c>
      <c r="I2679" s="6" t="s">
        <v>6085</v>
      </c>
      <c r="J2679" s="6" t="s">
        <v>238</v>
      </c>
      <c r="K2679" s="6" t="s">
        <v>5953</v>
      </c>
      <c r="L2679" s="6" t="s">
        <v>233</v>
      </c>
      <c r="M2679" s="6" t="s">
        <v>668</v>
      </c>
      <c r="N2679" s="6" t="s">
        <v>278</v>
      </c>
      <c r="O2679" s="6" t="s">
        <v>634</v>
      </c>
      <c r="P2679" s="6" t="str">
        <f aca="false">IF(J2679="S0","—",IF(K2679="","",IF(L2679="E0","QM",INDEX(10_ASIL_Matrix!$D$4:$F$15,MATCH(J2679&amp;"-"&amp;L2679,10_ASIL_Matrix!$C$4:$C$15,0),MATCH(N2679,10_ASIL_Matrix!$D$3:$F$3,0)))))</f>
        <v>—</v>
      </c>
      <c r="Q2679" s="6" t="s">
        <v>448</v>
      </c>
    </row>
    <row r="2680" customFormat="false" ht="35.05" hidden="false" customHeight="false" outlineLevel="0" collapsed="false">
      <c r="A2680" s="5" t="s">
        <v>6086</v>
      </c>
      <c r="B2680" s="5" t="s">
        <v>125</v>
      </c>
      <c r="C2680" s="5" t="s">
        <v>126</v>
      </c>
      <c r="D2680" s="5" t="s">
        <v>143</v>
      </c>
      <c r="E2680" s="5" t="s">
        <v>144</v>
      </c>
      <c r="F2680" s="5" t="s">
        <v>211</v>
      </c>
      <c r="G2680" s="5" t="s">
        <v>609</v>
      </c>
      <c r="H2680" s="5" t="s">
        <v>222</v>
      </c>
      <c r="I2680" s="5" t="s">
        <v>6087</v>
      </c>
      <c r="J2680" s="5" t="s">
        <v>238</v>
      </c>
      <c r="K2680" s="5" t="s">
        <v>5953</v>
      </c>
      <c r="L2680" s="5" t="s">
        <v>187</v>
      </c>
      <c r="M2680" s="5" t="s">
        <v>672</v>
      </c>
      <c r="N2680" s="5" t="s">
        <v>278</v>
      </c>
      <c r="O2680" s="5" t="s">
        <v>634</v>
      </c>
      <c r="P2680" s="5" t="str">
        <f aca="false">IF(J2680="S0","—",IF(K2680="","",IF(L2680="E0","QM",INDEX(10_ASIL_Matrix!$D$4:$F$15,MATCH(J2680&amp;"-"&amp;L2680,10_ASIL_Matrix!$C$4:$C$15,0),MATCH(N2680,10_ASIL_Matrix!$D$3:$F$3,0)))))</f>
        <v>—</v>
      </c>
      <c r="Q2680" s="5" t="s">
        <v>448</v>
      </c>
    </row>
    <row r="2681" customFormat="false" ht="35.05" hidden="false" customHeight="false" outlineLevel="0" collapsed="false">
      <c r="A2681" s="6" t="s">
        <v>6088</v>
      </c>
      <c r="B2681" s="6" t="s">
        <v>125</v>
      </c>
      <c r="C2681" s="6" t="s">
        <v>126</v>
      </c>
      <c r="D2681" s="6" t="s">
        <v>143</v>
      </c>
      <c r="E2681" s="6" t="s">
        <v>144</v>
      </c>
      <c r="F2681" s="6" t="s">
        <v>211</v>
      </c>
      <c r="G2681" s="6" t="s">
        <v>609</v>
      </c>
      <c r="H2681" s="6" t="s">
        <v>224</v>
      </c>
      <c r="I2681" s="6" t="s">
        <v>6089</v>
      </c>
      <c r="J2681" s="6" t="s">
        <v>238</v>
      </c>
      <c r="K2681" s="6" t="s">
        <v>5953</v>
      </c>
      <c r="L2681" s="6" t="s">
        <v>190</v>
      </c>
      <c r="M2681" s="6" t="s">
        <v>675</v>
      </c>
      <c r="N2681" s="6" t="s">
        <v>278</v>
      </c>
      <c r="O2681" s="6" t="s">
        <v>634</v>
      </c>
      <c r="P2681" s="6" t="str">
        <f aca="false">IF(J2681="S0","—",IF(K2681="","",IF(L2681="E0","QM",INDEX(10_ASIL_Matrix!$D$4:$F$15,MATCH(J2681&amp;"-"&amp;L2681,10_ASIL_Matrix!$C$4:$C$15,0),MATCH(N2681,10_ASIL_Matrix!$D$3:$F$3,0)))))</f>
        <v>—</v>
      </c>
      <c r="Q2681" s="6" t="s">
        <v>448</v>
      </c>
    </row>
    <row r="2682" customFormat="false" ht="35.05" hidden="false" customHeight="false" outlineLevel="0" collapsed="false">
      <c r="A2682" s="5" t="s">
        <v>6090</v>
      </c>
      <c r="B2682" s="5" t="s">
        <v>125</v>
      </c>
      <c r="C2682" s="5" t="s">
        <v>126</v>
      </c>
      <c r="D2682" s="5" t="s">
        <v>143</v>
      </c>
      <c r="E2682" s="5" t="s">
        <v>144</v>
      </c>
      <c r="F2682" s="5" t="s">
        <v>211</v>
      </c>
      <c r="G2682" s="5" t="s">
        <v>609</v>
      </c>
      <c r="H2682" s="5" t="s">
        <v>226</v>
      </c>
      <c r="I2682" s="5" t="s">
        <v>6091</v>
      </c>
      <c r="J2682" s="5" t="s">
        <v>238</v>
      </c>
      <c r="K2682" s="5" t="s">
        <v>5953</v>
      </c>
      <c r="L2682" s="5" t="s">
        <v>190</v>
      </c>
      <c r="M2682" s="5" t="s">
        <v>678</v>
      </c>
      <c r="N2682" s="5" t="s">
        <v>278</v>
      </c>
      <c r="O2682" s="5" t="s">
        <v>634</v>
      </c>
      <c r="P2682" s="5" t="str">
        <f aca="false">IF(J2682="S0","—",IF(K2682="","",IF(L2682="E0","QM",INDEX(10_ASIL_Matrix!$D$4:$F$15,MATCH(J2682&amp;"-"&amp;L2682,10_ASIL_Matrix!$C$4:$C$15,0),MATCH(N2682,10_ASIL_Matrix!$D$3:$F$3,0)))))</f>
        <v>—</v>
      </c>
      <c r="Q2682" s="5" t="s">
        <v>448</v>
      </c>
    </row>
    <row r="2683" customFormat="false" ht="46.25" hidden="false" customHeight="false" outlineLevel="0" collapsed="false">
      <c r="A2683" s="6" t="s">
        <v>6092</v>
      </c>
      <c r="B2683" s="6" t="s">
        <v>125</v>
      </c>
      <c r="C2683" s="6" t="s">
        <v>126</v>
      </c>
      <c r="D2683" s="6" t="s">
        <v>143</v>
      </c>
      <c r="E2683" s="6" t="s">
        <v>144</v>
      </c>
      <c r="F2683" s="6" t="s">
        <v>211</v>
      </c>
      <c r="G2683" s="6" t="s">
        <v>609</v>
      </c>
      <c r="H2683" s="6" t="s">
        <v>228</v>
      </c>
      <c r="I2683" s="6" t="s">
        <v>6093</v>
      </c>
      <c r="J2683" s="6" t="s">
        <v>238</v>
      </c>
      <c r="K2683" s="6" t="s">
        <v>5953</v>
      </c>
      <c r="L2683" s="6" t="s">
        <v>205</v>
      </c>
      <c r="M2683" s="6" t="s">
        <v>681</v>
      </c>
      <c r="N2683" s="6" t="s">
        <v>278</v>
      </c>
      <c r="O2683" s="6" t="s">
        <v>634</v>
      </c>
      <c r="P2683" s="6" t="str">
        <f aca="false">IF(J2683="S0","—",IF(K2683="","",IF(L2683="E0","QM",INDEX(10_ASIL_Matrix!$D$4:$F$15,MATCH(J2683&amp;"-"&amp;L2683,10_ASIL_Matrix!$C$4:$C$15,0),MATCH(N2683,10_ASIL_Matrix!$D$3:$F$3,0)))))</f>
        <v>—</v>
      </c>
      <c r="Q2683" s="6" t="s">
        <v>448</v>
      </c>
    </row>
    <row r="2684" customFormat="false" ht="35.05" hidden="false" customHeight="false" outlineLevel="0" collapsed="false">
      <c r="A2684" s="5" t="s">
        <v>6094</v>
      </c>
      <c r="B2684" s="5" t="s">
        <v>125</v>
      </c>
      <c r="C2684" s="5" t="s">
        <v>126</v>
      </c>
      <c r="D2684" s="5" t="s">
        <v>143</v>
      </c>
      <c r="E2684" s="5" t="s">
        <v>144</v>
      </c>
      <c r="F2684" s="5" t="s">
        <v>211</v>
      </c>
      <c r="G2684" s="5" t="s">
        <v>609</v>
      </c>
      <c r="H2684" s="5" t="s">
        <v>230</v>
      </c>
      <c r="I2684" s="5" t="s">
        <v>6095</v>
      </c>
      <c r="J2684" s="5" t="s">
        <v>238</v>
      </c>
      <c r="K2684" s="5" t="s">
        <v>5953</v>
      </c>
      <c r="L2684" s="5" t="s">
        <v>205</v>
      </c>
      <c r="M2684" s="5" t="s">
        <v>684</v>
      </c>
      <c r="N2684" s="5" t="s">
        <v>278</v>
      </c>
      <c r="O2684" s="5" t="s">
        <v>634</v>
      </c>
      <c r="P2684" s="5" t="str">
        <f aca="false">IF(J2684="S0","—",IF(K2684="","",IF(L2684="E0","QM",INDEX(10_ASIL_Matrix!$D$4:$F$15,MATCH(J2684&amp;"-"&amp;L2684,10_ASIL_Matrix!$C$4:$C$15,0),MATCH(N2684,10_ASIL_Matrix!$D$3:$F$3,0)))))</f>
        <v>—</v>
      </c>
      <c r="Q2684" s="5" t="s">
        <v>448</v>
      </c>
    </row>
    <row r="2685" customFormat="false" ht="46.25" hidden="false" customHeight="false" outlineLevel="0" collapsed="false">
      <c r="A2685" s="6" t="s">
        <v>6096</v>
      </c>
      <c r="B2685" s="6" t="s">
        <v>125</v>
      </c>
      <c r="C2685" s="6" t="s">
        <v>126</v>
      </c>
      <c r="D2685" s="6" t="s">
        <v>143</v>
      </c>
      <c r="E2685" s="6" t="s">
        <v>144</v>
      </c>
      <c r="F2685" s="6" t="s">
        <v>211</v>
      </c>
      <c r="G2685" s="6" t="s">
        <v>609</v>
      </c>
      <c r="H2685" s="6" t="s">
        <v>232</v>
      </c>
      <c r="I2685" s="6" t="s">
        <v>6097</v>
      </c>
      <c r="J2685" s="6" t="s">
        <v>238</v>
      </c>
      <c r="K2685" s="6" t="s">
        <v>5953</v>
      </c>
      <c r="L2685" s="6" t="s">
        <v>233</v>
      </c>
      <c r="M2685" s="6" t="s">
        <v>687</v>
      </c>
      <c r="N2685" s="6" t="s">
        <v>278</v>
      </c>
      <c r="O2685" s="6" t="s">
        <v>634</v>
      </c>
      <c r="P2685" s="6" t="str">
        <f aca="false">IF(J2685="S0","—",IF(K2685="","",IF(L2685="E0","QM",INDEX(10_ASIL_Matrix!$D$4:$F$15,MATCH(J2685&amp;"-"&amp;L2685,10_ASIL_Matrix!$C$4:$C$15,0),MATCH(N2685,10_ASIL_Matrix!$D$3:$F$3,0)))))</f>
        <v>—</v>
      </c>
      <c r="Q2685" s="6" t="s">
        <v>448</v>
      </c>
    </row>
    <row r="2686" customFormat="false" ht="46.25" hidden="false" customHeight="false" outlineLevel="0" collapsed="false">
      <c r="A2686" s="5" t="s">
        <v>6098</v>
      </c>
      <c r="B2686" s="5" t="s">
        <v>125</v>
      </c>
      <c r="C2686" s="5" t="s">
        <v>126</v>
      </c>
      <c r="D2686" s="5" t="s">
        <v>143</v>
      </c>
      <c r="E2686" s="5" t="s">
        <v>144</v>
      </c>
      <c r="F2686" s="5" t="s">
        <v>213</v>
      </c>
      <c r="G2686" s="5" t="s">
        <v>689</v>
      </c>
      <c r="H2686" s="5" t="s">
        <v>222</v>
      </c>
      <c r="I2686" s="5" t="s">
        <v>6099</v>
      </c>
      <c r="J2686" s="5" t="s">
        <v>238</v>
      </c>
      <c r="K2686" s="5" t="s">
        <v>5953</v>
      </c>
      <c r="L2686" s="5" t="s">
        <v>205</v>
      </c>
      <c r="M2686" s="5" t="s">
        <v>692</v>
      </c>
      <c r="N2686" s="5" t="s">
        <v>278</v>
      </c>
      <c r="O2686" s="5" t="s">
        <v>634</v>
      </c>
      <c r="P2686" s="5" t="str">
        <f aca="false">IF(J2686="S0","—",IF(K2686="","",IF(L2686="E0","QM",INDEX(10_ASIL_Matrix!$D$4:$F$15,MATCH(J2686&amp;"-"&amp;L2686,10_ASIL_Matrix!$C$4:$C$15,0),MATCH(N2686,10_ASIL_Matrix!$D$3:$F$3,0)))))</f>
        <v>—</v>
      </c>
      <c r="Q2686" s="5" t="s">
        <v>448</v>
      </c>
    </row>
    <row r="2687" customFormat="false" ht="46.25" hidden="false" customHeight="false" outlineLevel="0" collapsed="false">
      <c r="A2687" s="6" t="s">
        <v>6100</v>
      </c>
      <c r="B2687" s="6" t="s">
        <v>125</v>
      </c>
      <c r="C2687" s="6" t="s">
        <v>126</v>
      </c>
      <c r="D2687" s="6" t="s">
        <v>143</v>
      </c>
      <c r="E2687" s="6" t="s">
        <v>144</v>
      </c>
      <c r="F2687" s="6" t="s">
        <v>213</v>
      </c>
      <c r="G2687" s="6" t="s">
        <v>689</v>
      </c>
      <c r="H2687" s="6" t="s">
        <v>224</v>
      </c>
      <c r="I2687" s="6" t="s">
        <v>6101</v>
      </c>
      <c r="J2687" s="6" t="s">
        <v>238</v>
      </c>
      <c r="K2687" s="6" t="s">
        <v>5953</v>
      </c>
      <c r="L2687" s="6" t="s">
        <v>205</v>
      </c>
      <c r="M2687" s="6" t="s">
        <v>696</v>
      </c>
      <c r="N2687" s="6" t="s">
        <v>278</v>
      </c>
      <c r="O2687" s="6" t="s">
        <v>634</v>
      </c>
      <c r="P2687" s="6" t="str">
        <f aca="false">IF(J2687="S0","—",IF(K2687="","",IF(L2687="E0","QM",INDEX(10_ASIL_Matrix!$D$4:$F$15,MATCH(J2687&amp;"-"&amp;L2687,10_ASIL_Matrix!$C$4:$C$15,0),MATCH(N2687,10_ASIL_Matrix!$D$3:$F$3,0)))))</f>
        <v>—</v>
      </c>
      <c r="Q2687" s="6" t="s">
        <v>448</v>
      </c>
    </row>
    <row r="2688" customFormat="false" ht="46.25" hidden="false" customHeight="false" outlineLevel="0" collapsed="false">
      <c r="A2688" s="5" t="s">
        <v>6102</v>
      </c>
      <c r="B2688" s="5" t="s">
        <v>125</v>
      </c>
      <c r="C2688" s="5" t="s">
        <v>126</v>
      </c>
      <c r="D2688" s="5" t="s">
        <v>143</v>
      </c>
      <c r="E2688" s="5" t="s">
        <v>144</v>
      </c>
      <c r="F2688" s="5" t="s">
        <v>213</v>
      </c>
      <c r="G2688" s="5" t="s">
        <v>689</v>
      </c>
      <c r="H2688" s="5" t="s">
        <v>226</v>
      </c>
      <c r="I2688" s="5" t="s">
        <v>6103</v>
      </c>
      <c r="J2688" s="5" t="s">
        <v>238</v>
      </c>
      <c r="K2688" s="5" t="s">
        <v>5953</v>
      </c>
      <c r="L2688" s="5" t="s">
        <v>205</v>
      </c>
      <c r="M2688" s="5" t="s">
        <v>699</v>
      </c>
      <c r="N2688" s="5" t="s">
        <v>278</v>
      </c>
      <c r="O2688" s="5" t="s">
        <v>634</v>
      </c>
      <c r="P2688" s="5" t="str">
        <f aca="false">IF(J2688="S0","—",IF(K2688="","",IF(L2688="E0","QM",INDEX(10_ASIL_Matrix!$D$4:$F$15,MATCH(J2688&amp;"-"&amp;L2688,10_ASIL_Matrix!$C$4:$C$15,0),MATCH(N2688,10_ASIL_Matrix!$D$3:$F$3,0)))))</f>
        <v>—</v>
      </c>
      <c r="Q2688" s="5" t="s">
        <v>448</v>
      </c>
    </row>
    <row r="2689" customFormat="false" ht="46.25" hidden="false" customHeight="false" outlineLevel="0" collapsed="false">
      <c r="A2689" s="6" t="s">
        <v>6104</v>
      </c>
      <c r="B2689" s="6" t="s">
        <v>125</v>
      </c>
      <c r="C2689" s="6" t="s">
        <v>126</v>
      </c>
      <c r="D2689" s="6" t="s">
        <v>143</v>
      </c>
      <c r="E2689" s="6" t="s">
        <v>144</v>
      </c>
      <c r="F2689" s="6" t="s">
        <v>213</v>
      </c>
      <c r="G2689" s="6" t="s">
        <v>689</v>
      </c>
      <c r="H2689" s="6" t="s">
        <v>228</v>
      </c>
      <c r="I2689" s="6" t="s">
        <v>6105</v>
      </c>
      <c r="J2689" s="6" t="s">
        <v>238</v>
      </c>
      <c r="K2689" s="6" t="s">
        <v>5953</v>
      </c>
      <c r="L2689" s="6" t="s">
        <v>205</v>
      </c>
      <c r="M2689" s="6" t="s">
        <v>702</v>
      </c>
      <c r="N2689" s="6" t="s">
        <v>278</v>
      </c>
      <c r="O2689" s="6" t="s">
        <v>634</v>
      </c>
      <c r="P2689" s="6" t="str">
        <f aca="false">IF(J2689="S0","—",IF(K2689="","",IF(L2689="E0","QM",INDEX(10_ASIL_Matrix!$D$4:$F$15,MATCH(J2689&amp;"-"&amp;L2689,10_ASIL_Matrix!$C$4:$C$15,0),MATCH(N2689,10_ASIL_Matrix!$D$3:$F$3,0)))))</f>
        <v>—</v>
      </c>
      <c r="Q2689" s="6" t="s">
        <v>448</v>
      </c>
    </row>
    <row r="2690" customFormat="false" ht="46.25" hidden="false" customHeight="false" outlineLevel="0" collapsed="false">
      <c r="A2690" s="5" t="s">
        <v>6106</v>
      </c>
      <c r="B2690" s="5" t="s">
        <v>125</v>
      </c>
      <c r="C2690" s="5" t="s">
        <v>126</v>
      </c>
      <c r="D2690" s="5" t="s">
        <v>143</v>
      </c>
      <c r="E2690" s="5" t="s">
        <v>144</v>
      </c>
      <c r="F2690" s="5" t="s">
        <v>213</v>
      </c>
      <c r="G2690" s="5" t="s">
        <v>689</v>
      </c>
      <c r="H2690" s="5" t="s">
        <v>230</v>
      </c>
      <c r="I2690" s="5" t="s">
        <v>6107</v>
      </c>
      <c r="J2690" s="5" t="s">
        <v>238</v>
      </c>
      <c r="K2690" s="5" t="s">
        <v>5953</v>
      </c>
      <c r="L2690" s="5" t="s">
        <v>205</v>
      </c>
      <c r="M2690" s="5" t="s">
        <v>705</v>
      </c>
      <c r="N2690" s="5" t="s">
        <v>278</v>
      </c>
      <c r="O2690" s="5" t="s">
        <v>634</v>
      </c>
      <c r="P2690" s="5" t="str">
        <f aca="false">IF(J2690="S0","—",IF(K2690="","",IF(L2690="E0","QM",INDEX(10_ASIL_Matrix!$D$4:$F$15,MATCH(J2690&amp;"-"&amp;L2690,10_ASIL_Matrix!$C$4:$C$15,0),MATCH(N2690,10_ASIL_Matrix!$D$3:$F$3,0)))))</f>
        <v>—</v>
      </c>
      <c r="Q2690" s="5" t="s">
        <v>448</v>
      </c>
    </row>
    <row r="2691" customFormat="false" ht="46.25" hidden="false" customHeight="false" outlineLevel="0" collapsed="false">
      <c r="A2691" s="6" t="s">
        <v>6108</v>
      </c>
      <c r="B2691" s="6" t="s">
        <v>125</v>
      </c>
      <c r="C2691" s="6" t="s">
        <v>126</v>
      </c>
      <c r="D2691" s="6" t="s">
        <v>143</v>
      </c>
      <c r="E2691" s="6" t="s">
        <v>144</v>
      </c>
      <c r="F2691" s="6" t="s">
        <v>213</v>
      </c>
      <c r="G2691" s="6" t="s">
        <v>689</v>
      </c>
      <c r="H2691" s="6" t="s">
        <v>232</v>
      </c>
      <c r="I2691" s="6" t="s">
        <v>6109</v>
      </c>
      <c r="J2691" s="6" t="s">
        <v>238</v>
      </c>
      <c r="K2691" s="6" t="s">
        <v>5953</v>
      </c>
      <c r="L2691" s="6" t="s">
        <v>233</v>
      </c>
      <c r="M2691" s="6" t="s">
        <v>709</v>
      </c>
      <c r="N2691" s="6" t="s">
        <v>278</v>
      </c>
      <c r="O2691" s="6" t="s">
        <v>634</v>
      </c>
      <c r="P2691" s="6" t="str">
        <f aca="false">IF(J2691="S0","—",IF(K2691="","",IF(L2691="E0","QM",INDEX(10_ASIL_Matrix!$D$4:$F$15,MATCH(J2691&amp;"-"&amp;L2691,10_ASIL_Matrix!$C$4:$C$15,0),MATCH(N2691,10_ASIL_Matrix!$D$3:$F$3,0)))))</f>
        <v>—</v>
      </c>
      <c r="Q2691" s="6" t="s">
        <v>448</v>
      </c>
    </row>
    <row r="2692" customFormat="false" ht="35.05" hidden="false" customHeight="false" outlineLevel="0" collapsed="false">
      <c r="A2692" s="5" t="s">
        <v>6110</v>
      </c>
      <c r="B2692" s="5" t="s">
        <v>125</v>
      </c>
      <c r="C2692" s="5" t="s">
        <v>126</v>
      </c>
      <c r="D2692" s="5" t="s">
        <v>143</v>
      </c>
      <c r="E2692" s="5" t="s">
        <v>144</v>
      </c>
      <c r="F2692" s="5" t="s">
        <v>215</v>
      </c>
      <c r="G2692" s="5" t="s">
        <v>711</v>
      </c>
      <c r="H2692" s="5" t="s">
        <v>222</v>
      </c>
      <c r="I2692" s="5" t="s">
        <v>6111</v>
      </c>
      <c r="J2692" s="5" t="s">
        <v>238</v>
      </c>
      <c r="K2692" s="5" t="s">
        <v>5953</v>
      </c>
      <c r="L2692" s="5" t="s">
        <v>190</v>
      </c>
      <c r="M2692" s="5" t="s">
        <v>714</v>
      </c>
      <c r="N2692" s="5" t="s">
        <v>278</v>
      </c>
      <c r="O2692" s="5" t="s">
        <v>634</v>
      </c>
      <c r="P2692" s="5" t="str">
        <f aca="false">IF(J2692="S0","—",IF(K2692="","",IF(L2692="E0","QM",INDEX(10_ASIL_Matrix!$D$4:$F$15,MATCH(J2692&amp;"-"&amp;L2692,10_ASIL_Matrix!$C$4:$C$15,0),MATCH(N2692,10_ASIL_Matrix!$D$3:$F$3,0)))))</f>
        <v>—</v>
      </c>
      <c r="Q2692" s="5" t="s">
        <v>448</v>
      </c>
    </row>
    <row r="2693" customFormat="false" ht="35.05" hidden="false" customHeight="false" outlineLevel="0" collapsed="false">
      <c r="A2693" s="6" t="s">
        <v>6112</v>
      </c>
      <c r="B2693" s="6" t="s">
        <v>125</v>
      </c>
      <c r="C2693" s="6" t="s">
        <v>126</v>
      </c>
      <c r="D2693" s="6" t="s">
        <v>143</v>
      </c>
      <c r="E2693" s="6" t="s">
        <v>144</v>
      </c>
      <c r="F2693" s="6" t="s">
        <v>215</v>
      </c>
      <c r="G2693" s="6" t="s">
        <v>711</v>
      </c>
      <c r="H2693" s="6" t="s">
        <v>224</v>
      </c>
      <c r="I2693" s="6" t="s">
        <v>6113</v>
      </c>
      <c r="J2693" s="6" t="s">
        <v>238</v>
      </c>
      <c r="K2693" s="6" t="s">
        <v>5953</v>
      </c>
      <c r="L2693" s="6" t="s">
        <v>190</v>
      </c>
      <c r="M2693" s="6" t="s">
        <v>717</v>
      </c>
      <c r="N2693" s="6" t="s">
        <v>278</v>
      </c>
      <c r="O2693" s="6" t="s">
        <v>634</v>
      </c>
      <c r="P2693" s="6" t="str">
        <f aca="false">IF(J2693="S0","—",IF(K2693="","",IF(L2693="E0","QM",INDEX(10_ASIL_Matrix!$D$4:$F$15,MATCH(J2693&amp;"-"&amp;L2693,10_ASIL_Matrix!$C$4:$C$15,0),MATCH(N2693,10_ASIL_Matrix!$D$3:$F$3,0)))))</f>
        <v>—</v>
      </c>
      <c r="Q2693" s="6" t="s">
        <v>448</v>
      </c>
    </row>
    <row r="2694" customFormat="false" ht="35.05" hidden="false" customHeight="false" outlineLevel="0" collapsed="false">
      <c r="A2694" s="5" t="s">
        <v>6114</v>
      </c>
      <c r="B2694" s="5" t="s">
        <v>125</v>
      </c>
      <c r="C2694" s="5" t="s">
        <v>126</v>
      </c>
      <c r="D2694" s="5" t="s">
        <v>143</v>
      </c>
      <c r="E2694" s="5" t="s">
        <v>144</v>
      </c>
      <c r="F2694" s="5" t="s">
        <v>215</v>
      </c>
      <c r="G2694" s="5" t="s">
        <v>711</v>
      </c>
      <c r="H2694" s="5" t="s">
        <v>226</v>
      </c>
      <c r="I2694" s="5" t="s">
        <v>6115</v>
      </c>
      <c r="J2694" s="5" t="s">
        <v>238</v>
      </c>
      <c r="K2694" s="5" t="s">
        <v>5953</v>
      </c>
      <c r="L2694" s="5" t="s">
        <v>190</v>
      </c>
      <c r="M2694" s="5" t="s">
        <v>720</v>
      </c>
      <c r="N2694" s="5" t="s">
        <v>278</v>
      </c>
      <c r="O2694" s="5" t="s">
        <v>634</v>
      </c>
      <c r="P2694" s="5" t="str">
        <f aca="false">IF(J2694="S0","—",IF(K2694="","",IF(L2694="E0","QM",INDEX(10_ASIL_Matrix!$D$4:$F$15,MATCH(J2694&amp;"-"&amp;L2694,10_ASIL_Matrix!$C$4:$C$15,0),MATCH(N2694,10_ASIL_Matrix!$D$3:$F$3,0)))))</f>
        <v>—</v>
      </c>
      <c r="Q2694" s="5" t="s">
        <v>448</v>
      </c>
    </row>
    <row r="2695" customFormat="false" ht="46.25" hidden="false" customHeight="false" outlineLevel="0" collapsed="false">
      <c r="A2695" s="6" t="s">
        <v>6116</v>
      </c>
      <c r="B2695" s="6" t="s">
        <v>125</v>
      </c>
      <c r="C2695" s="6" t="s">
        <v>126</v>
      </c>
      <c r="D2695" s="6" t="s">
        <v>143</v>
      </c>
      <c r="E2695" s="6" t="s">
        <v>144</v>
      </c>
      <c r="F2695" s="6" t="s">
        <v>215</v>
      </c>
      <c r="G2695" s="6" t="s">
        <v>711</v>
      </c>
      <c r="H2695" s="6" t="s">
        <v>228</v>
      </c>
      <c r="I2695" s="6" t="s">
        <v>6117</v>
      </c>
      <c r="J2695" s="6" t="s">
        <v>238</v>
      </c>
      <c r="K2695" s="6" t="s">
        <v>5953</v>
      </c>
      <c r="L2695" s="6" t="s">
        <v>205</v>
      </c>
      <c r="M2695" s="6" t="s">
        <v>723</v>
      </c>
      <c r="N2695" s="6" t="s">
        <v>278</v>
      </c>
      <c r="O2695" s="6" t="s">
        <v>634</v>
      </c>
      <c r="P2695" s="6" t="str">
        <f aca="false">IF(J2695="S0","—",IF(K2695="","",IF(L2695="E0","QM",INDEX(10_ASIL_Matrix!$D$4:$F$15,MATCH(J2695&amp;"-"&amp;L2695,10_ASIL_Matrix!$C$4:$C$15,0),MATCH(N2695,10_ASIL_Matrix!$D$3:$F$3,0)))))</f>
        <v>—</v>
      </c>
      <c r="Q2695" s="6" t="s">
        <v>448</v>
      </c>
    </row>
    <row r="2696" customFormat="false" ht="46.25" hidden="false" customHeight="false" outlineLevel="0" collapsed="false">
      <c r="A2696" s="5" t="s">
        <v>6118</v>
      </c>
      <c r="B2696" s="5" t="s">
        <v>125</v>
      </c>
      <c r="C2696" s="5" t="s">
        <v>126</v>
      </c>
      <c r="D2696" s="5" t="s">
        <v>143</v>
      </c>
      <c r="E2696" s="5" t="s">
        <v>144</v>
      </c>
      <c r="F2696" s="5" t="s">
        <v>215</v>
      </c>
      <c r="G2696" s="5" t="s">
        <v>711</v>
      </c>
      <c r="H2696" s="5" t="s">
        <v>230</v>
      </c>
      <c r="I2696" s="5" t="s">
        <v>6119</v>
      </c>
      <c r="J2696" s="5" t="s">
        <v>238</v>
      </c>
      <c r="K2696" s="5" t="s">
        <v>5953</v>
      </c>
      <c r="L2696" s="5" t="s">
        <v>205</v>
      </c>
      <c r="M2696" s="5" t="s">
        <v>726</v>
      </c>
      <c r="N2696" s="5" t="s">
        <v>278</v>
      </c>
      <c r="O2696" s="5" t="s">
        <v>634</v>
      </c>
      <c r="P2696" s="5" t="str">
        <f aca="false">IF(J2696="S0","—",IF(K2696="","",IF(L2696="E0","QM",INDEX(10_ASIL_Matrix!$D$4:$F$15,MATCH(J2696&amp;"-"&amp;L2696,10_ASIL_Matrix!$C$4:$C$15,0),MATCH(N2696,10_ASIL_Matrix!$D$3:$F$3,0)))))</f>
        <v>—</v>
      </c>
      <c r="Q2696" s="5" t="s">
        <v>448</v>
      </c>
    </row>
    <row r="2697" customFormat="false" ht="46.25" hidden="false" customHeight="false" outlineLevel="0" collapsed="false">
      <c r="A2697" s="6" t="s">
        <v>6120</v>
      </c>
      <c r="B2697" s="6" t="s">
        <v>125</v>
      </c>
      <c r="C2697" s="6" t="s">
        <v>126</v>
      </c>
      <c r="D2697" s="6" t="s">
        <v>143</v>
      </c>
      <c r="E2697" s="6" t="s">
        <v>144</v>
      </c>
      <c r="F2697" s="6" t="s">
        <v>215</v>
      </c>
      <c r="G2697" s="6" t="s">
        <v>711</v>
      </c>
      <c r="H2697" s="6" t="s">
        <v>232</v>
      </c>
      <c r="I2697" s="6" t="s">
        <v>6121</v>
      </c>
      <c r="J2697" s="6" t="s">
        <v>238</v>
      </c>
      <c r="K2697" s="6" t="s">
        <v>5953</v>
      </c>
      <c r="L2697" s="6" t="s">
        <v>233</v>
      </c>
      <c r="M2697" s="6" t="s">
        <v>729</v>
      </c>
      <c r="N2697" s="6" t="s">
        <v>278</v>
      </c>
      <c r="O2697" s="6" t="s">
        <v>634</v>
      </c>
      <c r="P2697" s="6" t="str">
        <f aca="false">IF(J2697="S0","—",IF(K2697="","",IF(L2697="E0","QM",INDEX(10_ASIL_Matrix!$D$4:$F$15,MATCH(J2697&amp;"-"&amp;L2697,10_ASIL_Matrix!$C$4:$C$15,0),MATCH(N2697,10_ASIL_Matrix!$D$3:$F$3,0)))))</f>
        <v>—</v>
      </c>
      <c r="Q2697" s="6" t="s">
        <v>448</v>
      </c>
    </row>
    <row r="2698" customFormat="false" ht="35.05" hidden="false" customHeight="false" outlineLevel="0" collapsed="false">
      <c r="A2698" s="5" t="s">
        <v>6122</v>
      </c>
      <c r="B2698" s="5" t="s">
        <v>125</v>
      </c>
      <c r="C2698" s="5" t="s">
        <v>126</v>
      </c>
      <c r="D2698" s="5" t="s">
        <v>143</v>
      </c>
      <c r="E2698" s="5" t="s">
        <v>144</v>
      </c>
      <c r="F2698" s="5" t="s">
        <v>217</v>
      </c>
      <c r="G2698" s="5" t="s">
        <v>488</v>
      </c>
      <c r="H2698" s="5" t="s">
        <v>222</v>
      </c>
      <c r="I2698" s="5" t="s">
        <v>6123</v>
      </c>
      <c r="J2698" s="5" t="s">
        <v>238</v>
      </c>
      <c r="K2698" s="5" t="s">
        <v>5953</v>
      </c>
      <c r="L2698" s="5" t="s">
        <v>190</v>
      </c>
      <c r="M2698" s="5" t="s">
        <v>733</v>
      </c>
      <c r="N2698" s="5" t="s">
        <v>278</v>
      </c>
      <c r="O2698" s="5" t="s">
        <v>634</v>
      </c>
      <c r="P2698" s="5" t="str">
        <f aca="false">IF(J2698="S0","—",IF(K2698="","",IF(L2698="E0","QM",INDEX(10_ASIL_Matrix!$D$4:$F$15,MATCH(J2698&amp;"-"&amp;L2698,10_ASIL_Matrix!$C$4:$C$15,0),MATCH(N2698,10_ASIL_Matrix!$D$3:$F$3,0)))))</f>
        <v>—</v>
      </c>
      <c r="Q2698" s="5" t="s">
        <v>448</v>
      </c>
    </row>
    <row r="2699" customFormat="false" ht="35.05" hidden="false" customHeight="false" outlineLevel="0" collapsed="false">
      <c r="A2699" s="6" t="s">
        <v>6124</v>
      </c>
      <c r="B2699" s="6" t="s">
        <v>125</v>
      </c>
      <c r="C2699" s="6" t="s">
        <v>126</v>
      </c>
      <c r="D2699" s="6" t="s">
        <v>143</v>
      </c>
      <c r="E2699" s="6" t="s">
        <v>144</v>
      </c>
      <c r="F2699" s="6" t="s">
        <v>217</v>
      </c>
      <c r="G2699" s="6" t="s">
        <v>488</v>
      </c>
      <c r="H2699" s="6" t="s">
        <v>224</v>
      </c>
      <c r="I2699" s="6" t="s">
        <v>6125</v>
      </c>
      <c r="J2699" s="6" t="s">
        <v>238</v>
      </c>
      <c r="K2699" s="6" t="s">
        <v>5953</v>
      </c>
      <c r="L2699" s="6" t="s">
        <v>190</v>
      </c>
      <c r="M2699" s="6" t="s">
        <v>736</v>
      </c>
      <c r="N2699" s="6" t="s">
        <v>278</v>
      </c>
      <c r="O2699" s="6" t="s">
        <v>634</v>
      </c>
      <c r="P2699" s="6" t="str">
        <f aca="false">IF(J2699="S0","—",IF(K2699="","",IF(L2699="E0","QM",INDEX(10_ASIL_Matrix!$D$4:$F$15,MATCH(J2699&amp;"-"&amp;L2699,10_ASIL_Matrix!$C$4:$C$15,0),MATCH(N2699,10_ASIL_Matrix!$D$3:$F$3,0)))))</f>
        <v>—</v>
      </c>
      <c r="Q2699" s="6" t="s">
        <v>448</v>
      </c>
    </row>
    <row r="2700" customFormat="false" ht="35.05" hidden="false" customHeight="false" outlineLevel="0" collapsed="false">
      <c r="A2700" s="5" t="s">
        <v>6126</v>
      </c>
      <c r="B2700" s="5" t="s">
        <v>125</v>
      </c>
      <c r="C2700" s="5" t="s">
        <v>126</v>
      </c>
      <c r="D2700" s="5" t="s">
        <v>143</v>
      </c>
      <c r="E2700" s="5" t="s">
        <v>144</v>
      </c>
      <c r="F2700" s="5" t="s">
        <v>217</v>
      </c>
      <c r="G2700" s="5" t="s">
        <v>488</v>
      </c>
      <c r="H2700" s="5" t="s">
        <v>226</v>
      </c>
      <c r="I2700" s="5" t="s">
        <v>6127</v>
      </c>
      <c r="J2700" s="5" t="s">
        <v>238</v>
      </c>
      <c r="K2700" s="5" t="s">
        <v>5953</v>
      </c>
      <c r="L2700" s="5" t="s">
        <v>190</v>
      </c>
      <c r="M2700" s="5" t="s">
        <v>739</v>
      </c>
      <c r="N2700" s="5" t="s">
        <v>278</v>
      </c>
      <c r="O2700" s="5" t="s">
        <v>634</v>
      </c>
      <c r="P2700" s="5" t="str">
        <f aca="false">IF(J2700="S0","—",IF(K2700="","",IF(L2700="E0","QM",INDEX(10_ASIL_Matrix!$D$4:$F$15,MATCH(J2700&amp;"-"&amp;L2700,10_ASIL_Matrix!$C$4:$C$15,0),MATCH(N2700,10_ASIL_Matrix!$D$3:$F$3,0)))))</f>
        <v>—</v>
      </c>
      <c r="Q2700" s="5" t="s">
        <v>448</v>
      </c>
    </row>
    <row r="2701" customFormat="false" ht="46.25" hidden="false" customHeight="false" outlineLevel="0" collapsed="false">
      <c r="A2701" s="6" t="s">
        <v>6128</v>
      </c>
      <c r="B2701" s="6" t="s">
        <v>125</v>
      </c>
      <c r="C2701" s="6" t="s">
        <v>126</v>
      </c>
      <c r="D2701" s="6" t="s">
        <v>143</v>
      </c>
      <c r="E2701" s="6" t="s">
        <v>144</v>
      </c>
      <c r="F2701" s="6" t="s">
        <v>217</v>
      </c>
      <c r="G2701" s="6" t="s">
        <v>488</v>
      </c>
      <c r="H2701" s="6" t="s">
        <v>228</v>
      </c>
      <c r="I2701" s="6" t="s">
        <v>6129</v>
      </c>
      <c r="J2701" s="6" t="s">
        <v>238</v>
      </c>
      <c r="K2701" s="6" t="s">
        <v>5953</v>
      </c>
      <c r="L2701" s="6" t="s">
        <v>205</v>
      </c>
      <c r="M2701" s="6" t="s">
        <v>742</v>
      </c>
      <c r="N2701" s="6" t="s">
        <v>278</v>
      </c>
      <c r="O2701" s="6" t="s">
        <v>634</v>
      </c>
      <c r="P2701" s="6" t="str">
        <f aca="false">IF(J2701="S0","—",IF(K2701="","",IF(L2701="E0","QM",INDEX(10_ASIL_Matrix!$D$4:$F$15,MATCH(J2701&amp;"-"&amp;L2701,10_ASIL_Matrix!$C$4:$C$15,0),MATCH(N2701,10_ASIL_Matrix!$D$3:$F$3,0)))))</f>
        <v>—</v>
      </c>
      <c r="Q2701" s="6" t="s">
        <v>448</v>
      </c>
    </row>
    <row r="2702" customFormat="false" ht="46.25" hidden="false" customHeight="false" outlineLevel="0" collapsed="false">
      <c r="A2702" s="5" t="s">
        <v>6130</v>
      </c>
      <c r="B2702" s="5" t="s">
        <v>125</v>
      </c>
      <c r="C2702" s="5" t="s">
        <v>126</v>
      </c>
      <c r="D2702" s="5" t="s">
        <v>143</v>
      </c>
      <c r="E2702" s="5" t="s">
        <v>144</v>
      </c>
      <c r="F2702" s="5" t="s">
        <v>217</v>
      </c>
      <c r="G2702" s="5" t="s">
        <v>488</v>
      </c>
      <c r="H2702" s="5" t="s">
        <v>230</v>
      </c>
      <c r="I2702" s="5" t="s">
        <v>6131</v>
      </c>
      <c r="J2702" s="5" t="s">
        <v>238</v>
      </c>
      <c r="K2702" s="5" t="s">
        <v>5953</v>
      </c>
      <c r="L2702" s="5" t="s">
        <v>205</v>
      </c>
      <c r="M2702" s="5" t="s">
        <v>745</v>
      </c>
      <c r="N2702" s="5" t="s">
        <v>278</v>
      </c>
      <c r="O2702" s="5" t="s">
        <v>634</v>
      </c>
      <c r="P2702" s="5" t="str">
        <f aca="false">IF(J2702="S0","—",IF(K2702="","",IF(L2702="E0","QM",INDEX(10_ASIL_Matrix!$D$4:$F$15,MATCH(J2702&amp;"-"&amp;L2702,10_ASIL_Matrix!$C$4:$C$15,0),MATCH(N2702,10_ASIL_Matrix!$D$3:$F$3,0)))))</f>
        <v>—</v>
      </c>
      <c r="Q2702" s="5" t="s">
        <v>448</v>
      </c>
    </row>
    <row r="2703" customFormat="false" ht="46.25" hidden="false" customHeight="false" outlineLevel="0" collapsed="false">
      <c r="A2703" s="6" t="s">
        <v>6132</v>
      </c>
      <c r="B2703" s="6" t="s">
        <v>125</v>
      </c>
      <c r="C2703" s="6" t="s">
        <v>126</v>
      </c>
      <c r="D2703" s="6" t="s">
        <v>143</v>
      </c>
      <c r="E2703" s="6" t="s">
        <v>144</v>
      </c>
      <c r="F2703" s="6" t="s">
        <v>217</v>
      </c>
      <c r="G2703" s="6" t="s">
        <v>488</v>
      </c>
      <c r="H2703" s="6" t="s">
        <v>232</v>
      </c>
      <c r="I2703" s="6" t="s">
        <v>6133</v>
      </c>
      <c r="J2703" s="6" t="s">
        <v>238</v>
      </c>
      <c r="K2703" s="6" t="s">
        <v>5953</v>
      </c>
      <c r="L2703" s="6" t="s">
        <v>233</v>
      </c>
      <c r="M2703" s="6" t="s">
        <v>748</v>
      </c>
      <c r="N2703" s="6" t="s">
        <v>278</v>
      </c>
      <c r="O2703" s="6" t="s">
        <v>634</v>
      </c>
      <c r="P2703" s="6" t="str">
        <f aca="false">IF(J2703="S0","—",IF(K2703="","",IF(L2703="E0","QM",INDEX(10_ASIL_Matrix!$D$4:$F$15,MATCH(J2703&amp;"-"&amp;L2703,10_ASIL_Matrix!$C$4:$C$15,0),MATCH(N2703,10_ASIL_Matrix!$D$3:$F$3,0)))))</f>
        <v>—</v>
      </c>
      <c r="Q2703" s="6" t="s">
        <v>448</v>
      </c>
    </row>
    <row r="2704" customFormat="false" ht="35.05" hidden="false" customHeight="false" outlineLevel="0" collapsed="false">
      <c r="A2704" s="5" t="s">
        <v>6134</v>
      </c>
      <c r="B2704" s="5" t="s">
        <v>125</v>
      </c>
      <c r="C2704" s="5" t="s">
        <v>126</v>
      </c>
      <c r="D2704" s="5" t="s">
        <v>146</v>
      </c>
      <c r="E2704" s="5" t="s">
        <v>147</v>
      </c>
      <c r="F2704" s="5" t="s">
        <v>186</v>
      </c>
      <c r="G2704" s="5" t="s">
        <v>443</v>
      </c>
      <c r="H2704" s="5" t="s">
        <v>222</v>
      </c>
      <c r="I2704" s="5" t="s">
        <v>6135</v>
      </c>
      <c r="J2704" s="5" t="s">
        <v>250</v>
      </c>
      <c r="K2704" s="5" t="s">
        <v>445</v>
      </c>
      <c r="L2704" s="5" t="s">
        <v>187</v>
      </c>
      <c r="M2704" s="5" t="s">
        <v>446</v>
      </c>
      <c r="N2704" s="5" t="s">
        <v>282</v>
      </c>
      <c r="O2704" s="5" t="s">
        <v>447</v>
      </c>
      <c r="P2704" s="18" t="str">
        <f aca="false">IF(J2704="S0","—",IF(K2704="","",IF(L2704="E0","QM",INDEX(10_ASIL_Matrix!$D$4:$F$15,MATCH(J2704&amp;"-"&amp;L2704,10_ASIL_Matrix!$C$4:$C$15,0),MATCH(N2704,10_ASIL_Matrix!$D$3:$F$3,0)))))</f>
        <v>B</v>
      </c>
      <c r="Q2704" s="5" t="s">
        <v>448</v>
      </c>
    </row>
    <row r="2705" customFormat="false" ht="35.05" hidden="false" customHeight="false" outlineLevel="0" collapsed="false">
      <c r="A2705" s="6" t="s">
        <v>6136</v>
      </c>
      <c r="B2705" s="6" t="s">
        <v>125</v>
      </c>
      <c r="C2705" s="6" t="s">
        <v>126</v>
      </c>
      <c r="D2705" s="6" t="s">
        <v>146</v>
      </c>
      <c r="E2705" s="6" t="s">
        <v>147</v>
      </c>
      <c r="F2705" s="6" t="s">
        <v>186</v>
      </c>
      <c r="G2705" s="6" t="s">
        <v>443</v>
      </c>
      <c r="H2705" s="6" t="s">
        <v>224</v>
      </c>
      <c r="I2705" s="6" t="s">
        <v>6137</v>
      </c>
      <c r="J2705" s="6" t="s">
        <v>250</v>
      </c>
      <c r="K2705" s="6" t="s">
        <v>445</v>
      </c>
      <c r="L2705" s="6" t="s">
        <v>190</v>
      </c>
      <c r="M2705" s="6" t="s">
        <v>451</v>
      </c>
      <c r="N2705" s="6" t="s">
        <v>282</v>
      </c>
      <c r="O2705" s="6" t="s">
        <v>447</v>
      </c>
      <c r="P2705" s="19" t="str">
        <f aca="false">IF(J2705="S0","—",IF(K2705="","",IF(L2705="E0","QM",INDEX(10_ASIL_Matrix!$D$4:$F$15,MATCH(J2705&amp;"-"&amp;L2705,10_ASIL_Matrix!$C$4:$C$15,0),MATCH(N2705,10_ASIL_Matrix!$D$3:$F$3,0)))))</f>
        <v>A</v>
      </c>
      <c r="Q2705" s="6" t="s">
        <v>448</v>
      </c>
    </row>
    <row r="2706" customFormat="false" ht="35.05" hidden="false" customHeight="false" outlineLevel="0" collapsed="false">
      <c r="A2706" s="5" t="s">
        <v>6138</v>
      </c>
      <c r="B2706" s="5" t="s">
        <v>125</v>
      </c>
      <c r="C2706" s="5" t="s">
        <v>126</v>
      </c>
      <c r="D2706" s="5" t="s">
        <v>146</v>
      </c>
      <c r="E2706" s="5" t="s">
        <v>147</v>
      </c>
      <c r="F2706" s="5" t="s">
        <v>186</v>
      </c>
      <c r="G2706" s="5" t="s">
        <v>443</v>
      </c>
      <c r="H2706" s="5" t="s">
        <v>226</v>
      </c>
      <c r="I2706" s="5" t="s">
        <v>6139</v>
      </c>
      <c r="J2706" s="5" t="s">
        <v>250</v>
      </c>
      <c r="K2706" s="5" t="s">
        <v>445</v>
      </c>
      <c r="L2706" s="5" t="s">
        <v>190</v>
      </c>
      <c r="M2706" s="5" t="s">
        <v>454</v>
      </c>
      <c r="N2706" s="5" t="s">
        <v>282</v>
      </c>
      <c r="O2706" s="5" t="s">
        <v>447</v>
      </c>
      <c r="P2706" s="19" t="str">
        <f aca="false">IF(J2706="S0","—",IF(K2706="","",IF(L2706="E0","QM",INDEX(10_ASIL_Matrix!$D$4:$F$15,MATCH(J2706&amp;"-"&amp;L2706,10_ASIL_Matrix!$C$4:$C$15,0),MATCH(N2706,10_ASIL_Matrix!$D$3:$F$3,0)))))</f>
        <v>A</v>
      </c>
      <c r="Q2706" s="5" t="s">
        <v>448</v>
      </c>
    </row>
    <row r="2707" customFormat="false" ht="46.25" hidden="false" customHeight="false" outlineLevel="0" collapsed="false">
      <c r="A2707" s="6" t="s">
        <v>6140</v>
      </c>
      <c r="B2707" s="6" t="s">
        <v>125</v>
      </c>
      <c r="C2707" s="6" t="s">
        <v>126</v>
      </c>
      <c r="D2707" s="6" t="s">
        <v>146</v>
      </c>
      <c r="E2707" s="6" t="s">
        <v>147</v>
      </c>
      <c r="F2707" s="6" t="s">
        <v>186</v>
      </c>
      <c r="G2707" s="6" t="s">
        <v>443</v>
      </c>
      <c r="H2707" s="6" t="s">
        <v>228</v>
      </c>
      <c r="I2707" s="6" t="s">
        <v>6141</v>
      </c>
      <c r="J2707" s="6" t="s">
        <v>250</v>
      </c>
      <c r="K2707" s="6" t="s">
        <v>445</v>
      </c>
      <c r="L2707" s="6" t="s">
        <v>205</v>
      </c>
      <c r="M2707" s="6" t="s">
        <v>457</v>
      </c>
      <c r="N2707" s="6" t="s">
        <v>282</v>
      </c>
      <c r="O2707" s="6" t="s">
        <v>447</v>
      </c>
      <c r="P2707" s="6" t="str">
        <f aca="false">IF(J2707="S0","—",IF(K2707="","",IF(L2707="E0","QM",INDEX(10_ASIL_Matrix!$D$4:$F$15,MATCH(J2707&amp;"-"&amp;L2707,10_ASIL_Matrix!$C$4:$C$15,0),MATCH(N2707,10_ASIL_Matrix!$D$3:$F$3,0)))))</f>
        <v>QM</v>
      </c>
      <c r="Q2707" s="6" t="s">
        <v>448</v>
      </c>
    </row>
    <row r="2708" customFormat="false" ht="35.05" hidden="false" customHeight="false" outlineLevel="0" collapsed="false">
      <c r="A2708" s="5" t="s">
        <v>6142</v>
      </c>
      <c r="B2708" s="5" t="s">
        <v>125</v>
      </c>
      <c r="C2708" s="5" t="s">
        <v>126</v>
      </c>
      <c r="D2708" s="5" t="s">
        <v>146</v>
      </c>
      <c r="E2708" s="5" t="s">
        <v>147</v>
      </c>
      <c r="F2708" s="5" t="s">
        <v>186</v>
      </c>
      <c r="G2708" s="5" t="s">
        <v>443</v>
      </c>
      <c r="H2708" s="5" t="s">
        <v>230</v>
      </c>
      <c r="I2708" s="5" t="s">
        <v>6143</v>
      </c>
      <c r="J2708" s="5" t="s">
        <v>250</v>
      </c>
      <c r="K2708" s="5" t="s">
        <v>445</v>
      </c>
      <c r="L2708" s="5" t="s">
        <v>205</v>
      </c>
      <c r="M2708" s="5" t="s">
        <v>460</v>
      </c>
      <c r="N2708" s="5" t="s">
        <v>286</v>
      </c>
      <c r="O2708" s="5" t="s">
        <v>461</v>
      </c>
      <c r="P2708" s="19" t="str">
        <f aca="false">IF(J2708="S0","—",IF(K2708="","",IF(L2708="E0","QM",INDEX(10_ASIL_Matrix!$D$4:$F$15,MATCH(J2708&amp;"-"&amp;L2708,10_ASIL_Matrix!$C$4:$C$15,0),MATCH(N2708,10_ASIL_Matrix!$D$3:$F$3,0)))))</f>
        <v>A</v>
      </c>
      <c r="Q2708" s="5" t="s">
        <v>448</v>
      </c>
    </row>
    <row r="2709" customFormat="false" ht="46.25" hidden="false" customHeight="false" outlineLevel="0" collapsed="false">
      <c r="A2709" s="6" t="s">
        <v>6144</v>
      </c>
      <c r="B2709" s="6" t="s">
        <v>125</v>
      </c>
      <c r="C2709" s="6" t="s">
        <v>126</v>
      </c>
      <c r="D2709" s="6" t="s">
        <v>146</v>
      </c>
      <c r="E2709" s="6" t="s">
        <v>147</v>
      </c>
      <c r="F2709" s="6" t="s">
        <v>186</v>
      </c>
      <c r="G2709" s="6" t="s">
        <v>443</v>
      </c>
      <c r="H2709" s="6" t="s">
        <v>232</v>
      </c>
      <c r="I2709" s="6" t="s">
        <v>6145</v>
      </c>
      <c r="J2709" s="6" t="s">
        <v>250</v>
      </c>
      <c r="K2709" s="6" t="s">
        <v>445</v>
      </c>
      <c r="L2709" s="6" t="s">
        <v>233</v>
      </c>
      <c r="M2709" s="6" t="s">
        <v>464</v>
      </c>
      <c r="N2709" s="6" t="s">
        <v>282</v>
      </c>
      <c r="O2709" s="6" t="s">
        <v>447</v>
      </c>
      <c r="P2709" s="6" t="str">
        <f aca="false">IF(J2709="S0","—",IF(K2709="","",IF(L2709="E0","QM",INDEX(10_ASIL_Matrix!$D$4:$F$15,MATCH(J2709&amp;"-"&amp;L2709,10_ASIL_Matrix!$C$4:$C$15,0),MATCH(N2709,10_ASIL_Matrix!$D$3:$F$3,0)))))</f>
        <v>QM</v>
      </c>
      <c r="Q2709" s="6" t="s">
        <v>448</v>
      </c>
    </row>
    <row r="2710" customFormat="false" ht="35.05" hidden="false" customHeight="false" outlineLevel="0" collapsed="false">
      <c r="A2710" s="5" t="s">
        <v>6146</v>
      </c>
      <c r="B2710" s="5" t="s">
        <v>125</v>
      </c>
      <c r="C2710" s="5" t="s">
        <v>126</v>
      </c>
      <c r="D2710" s="5" t="s">
        <v>146</v>
      </c>
      <c r="E2710" s="5" t="s">
        <v>147</v>
      </c>
      <c r="F2710" s="5" t="s">
        <v>189</v>
      </c>
      <c r="G2710" s="5" t="s">
        <v>466</v>
      </c>
      <c r="H2710" s="5" t="s">
        <v>222</v>
      </c>
      <c r="I2710" s="5" t="s">
        <v>6147</v>
      </c>
      <c r="J2710" s="5" t="s">
        <v>250</v>
      </c>
      <c r="K2710" s="5" t="s">
        <v>468</v>
      </c>
      <c r="L2710" s="5" t="s">
        <v>190</v>
      </c>
      <c r="M2710" s="5" t="s">
        <v>469</v>
      </c>
      <c r="N2710" s="5" t="s">
        <v>286</v>
      </c>
      <c r="O2710" s="5" t="s">
        <v>470</v>
      </c>
      <c r="P2710" s="18" t="str">
        <f aca="false">IF(J2710="S0","—",IF(K2710="","",IF(L2710="E0","QM",INDEX(10_ASIL_Matrix!$D$4:$F$15,MATCH(J2710&amp;"-"&amp;L2710,10_ASIL_Matrix!$C$4:$C$15,0),MATCH(N2710,10_ASIL_Matrix!$D$3:$F$3,0)))))</f>
        <v>B</v>
      </c>
      <c r="Q2710" s="5" t="s">
        <v>448</v>
      </c>
    </row>
    <row r="2711" customFormat="false" ht="35.05" hidden="false" customHeight="false" outlineLevel="0" collapsed="false">
      <c r="A2711" s="6" t="s">
        <v>6148</v>
      </c>
      <c r="B2711" s="6" t="s">
        <v>125</v>
      </c>
      <c r="C2711" s="6" t="s">
        <v>126</v>
      </c>
      <c r="D2711" s="6" t="s">
        <v>146</v>
      </c>
      <c r="E2711" s="6" t="s">
        <v>147</v>
      </c>
      <c r="F2711" s="6" t="s">
        <v>189</v>
      </c>
      <c r="G2711" s="6" t="s">
        <v>466</v>
      </c>
      <c r="H2711" s="6" t="s">
        <v>224</v>
      </c>
      <c r="I2711" s="6" t="s">
        <v>6149</v>
      </c>
      <c r="J2711" s="6" t="s">
        <v>250</v>
      </c>
      <c r="K2711" s="6" t="s">
        <v>468</v>
      </c>
      <c r="L2711" s="6" t="s">
        <v>190</v>
      </c>
      <c r="M2711" s="6" t="s">
        <v>473</v>
      </c>
      <c r="N2711" s="6" t="s">
        <v>286</v>
      </c>
      <c r="O2711" s="6" t="s">
        <v>470</v>
      </c>
      <c r="P2711" s="18" t="str">
        <f aca="false">IF(J2711="S0","—",IF(K2711="","",IF(L2711="E0","QM",INDEX(10_ASIL_Matrix!$D$4:$F$15,MATCH(J2711&amp;"-"&amp;L2711,10_ASIL_Matrix!$C$4:$C$15,0),MATCH(N2711,10_ASIL_Matrix!$D$3:$F$3,0)))))</f>
        <v>B</v>
      </c>
      <c r="Q2711" s="6" t="s">
        <v>448</v>
      </c>
    </row>
    <row r="2712" customFormat="false" ht="35.05" hidden="false" customHeight="false" outlineLevel="0" collapsed="false">
      <c r="A2712" s="5" t="s">
        <v>6150</v>
      </c>
      <c r="B2712" s="5" t="s">
        <v>125</v>
      </c>
      <c r="C2712" s="5" t="s">
        <v>126</v>
      </c>
      <c r="D2712" s="5" t="s">
        <v>146</v>
      </c>
      <c r="E2712" s="5" t="s">
        <v>147</v>
      </c>
      <c r="F2712" s="5" t="s">
        <v>189</v>
      </c>
      <c r="G2712" s="5" t="s">
        <v>466</v>
      </c>
      <c r="H2712" s="5" t="s">
        <v>226</v>
      </c>
      <c r="I2712" s="5" t="s">
        <v>6151</v>
      </c>
      <c r="J2712" s="5" t="s">
        <v>250</v>
      </c>
      <c r="K2712" s="5" t="s">
        <v>468</v>
      </c>
      <c r="L2712" s="5" t="s">
        <v>190</v>
      </c>
      <c r="M2712" s="5" t="s">
        <v>476</v>
      </c>
      <c r="N2712" s="5" t="s">
        <v>286</v>
      </c>
      <c r="O2712" s="5" t="s">
        <v>470</v>
      </c>
      <c r="P2712" s="18" t="str">
        <f aca="false">IF(J2712="S0","—",IF(K2712="","",IF(L2712="E0","QM",INDEX(10_ASIL_Matrix!$D$4:$F$15,MATCH(J2712&amp;"-"&amp;L2712,10_ASIL_Matrix!$C$4:$C$15,0),MATCH(N2712,10_ASIL_Matrix!$D$3:$F$3,0)))))</f>
        <v>B</v>
      </c>
      <c r="Q2712" s="5" t="s">
        <v>448</v>
      </c>
    </row>
    <row r="2713" customFormat="false" ht="46.25" hidden="false" customHeight="false" outlineLevel="0" collapsed="false">
      <c r="A2713" s="6" t="s">
        <v>6152</v>
      </c>
      <c r="B2713" s="6" t="s">
        <v>125</v>
      </c>
      <c r="C2713" s="6" t="s">
        <v>126</v>
      </c>
      <c r="D2713" s="6" t="s">
        <v>146</v>
      </c>
      <c r="E2713" s="6" t="s">
        <v>147</v>
      </c>
      <c r="F2713" s="6" t="s">
        <v>189</v>
      </c>
      <c r="G2713" s="6" t="s">
        <v>466</v>
      </c>
      <c r="H2713" s="6" t="s">
        <v>228</v>
      </c>
      <c r="I2713" s="6" t="s">
        <v>6153</v>
      </c>
      <c r="J2713" s="6" t="s">
        <v>250</v>
      </c>
      <c r="K2713" s="6" t="s">
        <v>468</v>
      </c>
      <c r="L2713" s="6" t="s">
        <v>205</v>
      </c>
      <c r="M2713" s="6" t="s">
        <v>479</v>
      </c>
      <c r="N2713" s="6" t="s">
        <v>286</v>
      </c>
      <c r="O2713" s="6" t="s">
        <v>470</v>
      </c>
      <c r="P2713" s="19" t="str">
        <f aca="false">IF(J2713="S0","—",IF(K2713="","",IF(L2713="E0","QM",INDEX(10_ASIL_Matrix!$D$4:$F$15,MATCH(J2713&amp;"-"&amp;L2713,10_ASIL_Matrix!$C$4:$C$15,0),MATCH(N2713,10_ASIL_Matrix!$D$3:$F$3,0)))))</f>
        <v>A</v>
      </c>
      <c r="Q2713" s="6" t="s">
        <v>448</v>
      </c>
    </row>
    <row r="2714" customFormat="false" ht="46.25" hidden="false" customHeight="false" outlineLevel="0" collapsed="false">
      <c r="A2714" s="5" t="s">
        <v>6154</v>
      </c>
      <c r="B2714" s="5" t="s">
        <v>125</v>
      </c>
      <c r="C2714" s="5" t="s">
        <v>126</v>
      </c>
      <c r="D2714" s="5" t="s">
        <v>146</v>
      </c>
      <c r="E2714" s="5" t="s">
        <v>147</v>
      </c>
      <c r="F2714" s="5" t="s">
        <v>189</v>
      </c>
      <c r="G2714" s="5" t="s">
        <v>466</v>
      </c>
      <c r="H2714" s="5" t="s">
        <v>230</v>
      </c>
      <c r="I2714" s="5" t="s">
        <v>6155</v>
      </c>
      <c r="J2714" s="5" t="s">
        <v>250</v>
      </c>
      <c r="K2714" s="5" t="s">
        <v>468</v>
      </c>
      <c r="L2714" s="5" t="s">
        <v>205</v>
      </c>
      <c r="M2714" s="5" t="s">
        <v>482</v>
      </c>
      <c r="N2714" s="5" t="s">
        <v>290</v>
      </c>
      <c r="O2714" s="5" t="s">
        <v>483</v>
      </c>
      <c r="P2714" s="18" t="str">
        <f aca="false">IF(J2714="S0","—",IF(K2714="","",IF(L2714="E0","QM",INDEX(10_ASIL_Matrix!$D$4:$F$15,MATCH(J2714&amp;"-"&amp;L2714,10_ASIL_Matrix!$C$4:$C$15,0),MATCH(N2714,10_ASIL_Matrix!$D$3:$F$3,0)))))</f>
        <v>B</v>
      </c>
      <c r="Q2714" s="5" t="s">
        <v>448</v>
      </c>
    </row>
    <row r="2715" customFormat="false" ht="46.25" hidden="false" customHeight="false" outlineLevel="0" collapsed="false">
      <c r="A2715" s="6" t="s">
        <v>6156</v>
      </c>
      <c r="B2715" s="6" t="s">
        <v>125</v>
      </c>
      <c r="C2715" s="6" t="s">
        <v>126</v>
      </c>
      <c r="D2715" s="6" t="s">
        <v>146</v>
      </c>
      <c r="E2715" s="6" t="s">
        <v>147</v>
      </c>
      <c r="F2715" s="6" t="s">
        <v>189</v>
      </c>
      <c r="G2715" s="6" t="s">
        <v>466</v>
      </c>
      <c r="H2715" s="6" t="s">
        <v>232</v>
      </c>
      <c r="I2715" s="6" t="s">
        <v>6157</v>
      </c>
      <c r="J2715" s="6" t="s">
        <v>250</v>
      </c>
      <c r="K2715" s="6" t="s">
        <v>468</v>
      </c>
      <c r="L2715" s="6" t="s">
        <v>233</v>
      </c>
      <c r="M2715" s="6" t="s">
        <v>486</v>
      </c>
      <c r="N2715" s="6" t="s">
        <v>286</v>
      </c>
      <c r="O2715" s="6" t="s">
        <v>470</v>
      </c>
      <c r="P2715" s="6" t="str">
        <f aca="false">IF(J2715="S0","—",IF(K2715="","",IF(L2715="E0","QM",INDEX(10_ASIL_Matrix!$D$4:$F$15,MATCH(J2715&amp;"-"&amp;L2715,10_ASIL_Matrix!$C$4:$C$15,0),MATCH(N2715,10_ASIL_Matrix!$D$3:$F$3,0)))))</f>
        <v>QM</v>
      </c>
      <c r="Q2715" s="6" t="s">
        <v>448</v>
      </c>
    </row>
    <row r="2716" customFormat="false" ht="35.05" hidden="false" customHeight="false" outlineLevel="0" collapsed="false">
      <c r="A2716" s="5" t="s">
        <v>6158</v>
      </c>
      <c r="B2716" s="5" t="s">
        <v>125</v>
      </c>
      <c r="C2716" s="5" t="s">
        <v>126</v>
      </c>
      <c r="D2716" s="5" t="s">
        <v>146</v>
      </c>
      <c r="E2716" s="5" t="s">
        <v>147</v>
      </c>
      <c r="F2716" s="5" t="s">
        <v>192</v>
      </c>
      <c r="G2716" s="5" t="s">
        <v>488</v>
      </c>
      <c r="H2716" s="5" t="s">
        <v>222</v>
      </c>
      <c r="I2716" s="5" t="s">
        <v>6159</v>
      </c>
      <c r="J2716" s="5" t="s">
        <v>250</v>
      </c>
      <c r="K2716" s="5" t="s">
        <v>490</v>
      </c>
      <c r="L2716" s="5" t="s">
        <v>187</v>
      </c>
      <c r="M2716" s="5" t="s">
        <v>491</v>
      </c>
      <c r="N2716" s="5" t="s">
        <v>282</v>
      </c>
      <c r="O2716" s="5" t="s">
        <v>447</v>
      </c>
      <c r="P2716" s="18" t="str">
        <f aca="false">IF(J2716="S0","—",IF(K2716="","",IF(L2716="E0","QM",INDEX(10_ASIL_Matrix!$D$4:$F$15,MATCH(J2716&amp;"-"&amp;L2716,10_ASIL_Matrix!$C$4:$C$15,0),MATCH(N2716,10_ASIL_Matrix!$D$3:$F$3,0)))))</f>
        <v>B</v>
      </c>
      <c r="Q2716" s="5" t="s">
        <v>448</v>
      </c>
    </row>
    <row r="2717" customFormat="false" ht="35.05" hidden="false" customHeight="false" outlineLevel="0" collapsed="false">
      <c r="A2717" s="6" t="s">
        <v>6160</v>
      </c>
      <c r="B2717" s="6" t="s">
        <v>125</v>
      </c>
      <c r="C2717" s="6" t="s">
        <v>126</v>
      </c>
      <c r="D2717" s="6" t="s">
        <v>146</v>
      </c>
      <c r="E2717" s="6" t="s">
        <v>147</v>
      </c>
      <c r="F2717" s="6" t="s">
        <v>192</v>
      </c>
      <c r="G2717" s="6" t="s">
        <v>488</v>
      </c>
      <c r="H2717" s="6" t="s">
        <v>224</v>
      </c>
      <c r="I2717" s="6" t="s">
        <v>6161</v>
      </c>
      <c r="J2717" s="6" t="s">
        <v>250</v>
      </c>
      <c r="K2717" s="6" t="s">
        <v>490</v>
      </c>
      <c r="L2717" s="6" t="s">
        <v>190</v>
      </c>
      <c r="M2717" s="6" t="s">
        <v>494</v>
      </c>
      <c r="N2717" s="6" t="s">
        <v>282</v>
      </c>
      <c r="O2717" s="6" t="s">
        <v>447</v>
      </c>
      <c r="P2717" s="19" t="str">
        <f aca="false">IF(J2717="S0","—",IF(K2717="","",IF(L2717="E0","QM",INDEX(10_ASIL_Matrix!$D$4:$F$15,MATCH(J2717&amp;"-"&amp;L2717,10_ASIL_Matrix!$C$4:$C$15,0),MATCH(N2717,10_ASIL_Matrix!$D$3:$F$3,0)))))</f>
        <v>A</v>
      </c>
      <c r="Q2717" s="6" t="s">
        <v>448</v>
      </c>
    </row>
    <row r="2718" customFormat="false" ht="35.05" hidden="false" customHeight="false" outlineLevel="0" collapsed="false">
      <c r="A2718" s="5" t="s">
        <v>6162</v>
      </c>
      <c r="B2718" s="5" t="s">
        <v>125</v>
      </c>
      <c r="C2718" s="5" t="s">
        <v>126</v>
      </c>
      <c r="D2718" s="5" t="s">
        <v>146</v>
      </c>
      <c r="E2718" s="5" t="s">
        <v>147</v>
      </c>
      <c r="F2718" s="5" t="s">
        <v>192</v>
      </c>
      <c r="G2718" s="5" t="s">
        <v>488</v>
      </c>
      <c r="H2718" s="5" t="s">
        <v>226</v>
      </c>
      <c r="I2718" s="5" t="s">
        <v>6163</v>
      </c>
      <c r="J2718" s="5" t="s">
        <v>250</v>
      </c>
      <c r="K2718" s="5" t="s">
        <v>490</v>
      </c>
      <c r="L2718" s="5" t="s">
        <v>190</v>
      </c>
      <c r="M2718" s="5" t="s">
        <v>497</v>
      </c>
      <c r="N2718" s="5" t="s">
        <v>282</v>
      </c>
      <c r="O2718" s="5" t="s">
        <v>447</v>
      </c>
      <c r="P2718" s="19" t="str">
        <f aca="false">IF(J2718="S0","—",IF(K2718="","",IF(L2718="E0","QM",INDEX(10_ASIL_Matrix!$D$4:$F$15,MATCH(J2718&amp;"-"&amp;L2718,10_ASIL_Matrix!$C$4:$C$15,0),MATCH(N2718,10_ASIL_Matrix!$D$3:$F$3,0)))))</f>
        <v>A</v>
      </c>
      <c r="Q2718" s="5" t="s">
        <v>448</v>
      </c>
    </row>
    <row r="2719" customFormat="false" ht="46.25" hidden="false" customHeight="false" outlineLevel="0" collapsed="false">
      <c r="A2719" s="6" t="s">
        <v>6164</v>
      </c>
      <c r="B2719" s="6" t="s">
        <v>125</v>
      </c>
      <c r="C2719" s="6" t="s">
        <v>126</v>
      </c>
      <c r="D2719" s="6" t="s">
        <v>146</v>
      </c>
      <c r="E2719" s="6" t="s">
        <v>147</v>
      </c>
      <c r="F2719" s="6" t="s">
        <v>192</v>
      </c>
      <c r="G2719" s="6" t="s">
        <v>488</v>
      </c>
      <c r="H2719" s="6" t="s">
        <v>228</v>
      </c>
      <c r="I2719" s="6" t="s">
        <v>6165</v>
      </c>
      <c r="J2719" s="6" t="s">
        <v>250</v>
      </c>
      <c r="K2719" s="6" t="s">
        <v>490</v>
      </c>
      <c r="L2719" s="6" t="s">
        <v>205</v>
      </c>
      <c r="M2719" s="6" t="s">
        <v>500</v>
      </c>
      <c r="N2719" s="6" t="s">
        <v>282</v>
      </c>
      <c r="O2719" s="6" t="s">
        <v>447</v>
      </c>
      <c r="P2719" s="6" t="str">
        <f aca="false">IF(J2719="S0","—",IF(K2719="","",IF(L2719="E0","QM",INDEX(10_ASIL_Matrix!$D$4:$F$15,MATCH(J2719&amp;"-"&amp;L2719,10_ASIL_Matrix!$C$4:$C$15,0),MATCH(N2719,10_ASIL_Matrix!$D$3:$F$3,0)))))</f>
        <v>QM</v>
      </c>
      <c r="Q2719" s="6" t="s">
        <v>448</v>
      </c>
    </row>
    <row r="2720" customFormat="false" ht="35.05" hidden="false" customHeight="false" outlineLevel="0" collapsed="false">
      <c r="A2720" s="5" t="s">
        <v>6166</v>
      </c>
      <c r="B2720" s="5" t="s">
        <v>125</v>
      </c>
      <c r="C2720" s="5" t="s">
        <v>126</v>
      </c>
      <c r="D2720" s="5" t="s">
        <v>146</v>
      </c>
      <c r="E2720" s="5" t="s">
        <v>147</v>
      </c>
      <c r="F2720" s="5" t="s">
        <v>192</v>
      </c>
      <c r="G2720" s="5" t="s">
        <v>488</v>
      </c>
      <c r="H2720" s="5" t="s">
        <v>230</v>
      </c>
      <c r="I2720" s="5" t="s">
        <v>6167</v>
      </c>
      <c r="J2720" s="5" t="s">
        <v>250</v>
      </c>
      <c r="K2720" s="5" t="s">
        <v>490</v>
      </c>
      <c r="L2720" s="5" t="s">
        <v>205</v>
      </c>
      <c r="M2720" s="5" t="s">
        <v>503</v>
      </c>
      <c r="N2720" s="5" t="s">
        <v>286</v>
      </c>
      <c r="O2720" s="5" t="s">
        <v>461</v>
      </c>
      <c r="P2720" s="19" t="str">
        <f aca="false">IF(J2720="S0","—",IF(K2720="","",IF(L2720="E0","QM",INDEX(10_ASIL_Matrix!$D$4:$F$15,MATCH(J2720&amp;"-"&amp;L2720,10_ASIL_Matrix!$C$4:$C$15,0),MATCH(N2720,10_ASIL_Matrix!$D$3:$F$3,0)))))</f>
        <v>A</v>
      </c>
      <c r="Q2720" s="5" t="s">
        <v>448</v>
      </c>
    </row>
    <row r="2721" customFormat="false" ht="46.25" hidden="false" customHeight="false" outlineLevel="0" collapsed="false">
      <c r="A2721" s="6" t="s">
        <v>6168</v>
      </c>
      <c r="B2721" s="6" t="s">
        <v>125</v>
      </c>
      <c r="C2721" s="6" t="s">
        <v>126</v>
      </c>
      <c r="D2721" s="6" t="s">
        <v>146</v>
      </c>
      <c r="E2721" s="6" t="s">
        <v>147</v>
      </c>
      <c r="F2721" s="6" t="s">
        <v>192</v>
      </c>
      <c r="G2721" s="6" t="s">
        <v>488</v>
      </c>
      <c r="H2721" s="6" t="s">
        <v>232</v>
      </c>
      <c r="I2721" s="6" t="s">
        <v>6169</v>
      </c>
      <c r="J2721" s="6" t="s">
        <v>250</v>
      </c>
      <c r="K2721" s="6" t="s">
        <v>490</v>
      </c>
      <c r="L2721" s="6" t="s">
        <v>233</v>
      </c>
      <c r="M2721" s="6" t="s">
        <v>506</v>
      </c>
      <c r="N2721" s="6" t="s">
        <v>282</v>
      </c>
      <c r="O2721" s="6" t="s">
        <v>447</v>
      </c>
      <c r="P2721" s="6" t="str">
        <f aca="false">IF(J2721="S0","—",IF(K2721="","",IF(L2721="E0","QM",INDEX(10_ASIL_Matrix!$D$4:$F$15,MATCH(J2721&amp;"-"&amp;L2721,10_ASIL_Matrix!$C$4:$C$15,0),MATCH(N2721,10_ASIL_Matrix!$D$3:$F$3,0)))))</f>
        <v>QM</v>
      </c>
      <c r="Q2721" s="6" t="s">
        <v>448</v>
      </c>
    </row>
    <row r="2722" customFormat="false" ht="35.05" hidden="false" customHeight="false" outlineLevel="0" collapsed="false">
      <c r="A2722" s="5" t="s">
        <v>6170</v>
      </c>
      <c r="B2722" s="5" t="s">
        <v>125</v>
      </c>
      <c r="C2722" s="5" t="s">
        <v>126</v>
      </c>
      <c r="D2722" s="5" t="s">
        <v>146</v>
      </c>
      <c r="E2722" s="5" t="s">
        <v>147</v>
      </c>
      <c r="F2722" s="5" t="s">
        <v>194</v>
      </c>
      <c r="G2722" s="5" t="s">
        <v>508</v>
      </c>
      <c r="H2722" s="5" t="s">
        <v>222</v>
      </c>
      <c r="I2722" s="5" t="s">
        <v>6171</v>
      </c>
      <c r="J2722" s="5" t="s">
        <v>250</v>
      </c>
      <c r="K2722" s="5" t="s">
        <v>510</v>
      </c>
      <c r="L2722" s="5" t="s">
        <v>190</v>
      </c>
      <c r="M2722" s="5" t="s">
        <v>511</v>
      </c>
      <c r="N2722" s="5" t="s">
        <v>282</v>
      </c>
      <c r="O2722" s="5" t="s">
        <v>447</v>
      </c>
      <c r="P2722" s="19" t="str">
        <f aca="false">IF(J2722="S0","—",IF(K2722="","",IF(L2722="E0","QM",INDEX(10_ASIL_Matrix!$D$4:$F$15,MATCH(J2722&amp;"-"&amp;L2722,10_ASIL_Matrix!$C$4:$C$15,0),MATCH(N2722,10_ASIL_Matrix!$D$3:$F$3,0)))))</f>
        <v>A</v>
      </c>
      <c r="Q2722" s="5" t="s">
        <v>448</v>
      </c>
    </row>
    <row r="2723" customFormat="false" ht="35.05" hidden="false" customHeight="false" outlineLevel="0" collapsed="false">
      <c r="A2723" s="6" t="s">
        <v>6172</v>
      </c>
      <c r="B2723" s="6" t="s">
        <v>125</v>
      </c>
      <c r="C2723" s="6" t="s">
        <v>126</v>
      </c>
      <c r="D2723" s="6" t="s">
        <v>146</v>
      </c>
      <c r="E2723" s="6" t="s">
        <v>147</v>
      </c>
      <c r="F2723" s="6" t="s">
        <v>194</v>
      </c>
      <c r="G2723" s="6" t="s">
        <v>508</v>
      </c>
      <c r="H2723" s="6" t="s">
        <v>224</v>
      </c>
      <c r="I2723" s="6" t="s">
        <v>6173</v>
      </c>
      <c r="J2723" s="6" t="s">
        <v>250</v>
      </c>
      <c r="K2723" s="6" t="s">
        <v>510</v>
      </c>
      <c r="L2723" s="6" t="s">
        <v>190</v>
      </c>
      <c r="M2723" s="6" t="s">
        <v>514</v>
      </c>
      <c r="N2723" s="6" t="s">
        <v>282</v>
      </c>
      <c r="O2723" s="6" t="s">
        <v>447</v>
      </c>
      <c r="P2723" s="19" t="str">
        <f aca="false">IF(J2723="S0","—",IF(K2723="","",IF(L2723="E0","QM",INDEX(10_ASIL_Matrix!$D$4:$F$15,MATCH(J2723&amp;"-"&amp;L2723,10_ASIL_Matrix!$C$4:$C$15,0),MATCH(N2723,10_ASIL_Matrix!$D$3:$F$3,0)))))</f>
        <v>A</v>
      </c>
      <c r="Q2723" s="6" t="s">
        <v>448</v>
      </c>
    </row>
    <row r="2724" customFormat="false" ht="35.05" hidden="false" customHeight="false" outlineLevel="0" collapsed="false">
      <c r="A2724" s="5" t="s">
        <v>6174</v>
      </c>
      <c r="B2724" s="5" t="s">
        <v>125</v>
      </c>
      <c r="C2724" s="5" t="s">
        <v>126</v>
      </c>
      <c r="D2724" s="5" t="s">
        <v>146</v>
      </c>
      <c r="E2724" s="5" t="s">
        <v>147</v>
      </c>
      <c r="F2724" s="5" t="s">
        <v>194</v>
      </c>
      <c r="G2724" s="5" t="s">
        <v>508</v>
      </c>
      <c r="H2724" s="5" t="s">
        <v>226</v>
      </c>
      <c r="I2724" s="5" t="s">
        <v>6175</v>
      </c>
      <c r="J2724" s="5" t="s">
        <v>250</v>
      </c>
      <c r="K2724" s="5" t="s">
        <v>510</v>
      </c>
      <c r="L2724" s="5" t="s">
        <v>190</v>
      </c>
      <c r="M2724" s="5" t="s">
        <v>517</v>
      </c>
      <c r="N2724" s="5" t="s">
        <v>282</v>
      </c>
      <c r="O2724" s="5" t="s">
        <v>447</v>
      </c>
      <c r="P2724" s="19" t="str">
        <f aca="false">IF(J2724="S0","—",IF(K2724="","",IF(L2724="E0","QM",INDEX(10_ASIL_Matrix!$D$4:$F$15,MATCH(J2724&amp;"-"&amp;L2724,10_ASIL_Matrix!$C$4:$C$15,0),MATCH(N2724,10_ASIL_Matrix!$D$3:$F$3,0)))))</f>
        <v>A</v>
      </c>
      <c r="Q2724" s="5" t="s">
        <v>448</v>
      </c>
    </row>
    <row r="2725" customFormat="false" ht="46.25" hidden="false" customHeight="false" outlineLevel="0" collapsed="false">
      <c r="A2725" s="6" t="s">
        <v>6176</v>
      </c>
      <c r="B2725" s="6" t="s">
        <v>125</v>
      </c>
      <c r="C2725" s="6" t="s">
        <v>126</v>
      </c>
      <c r="D2725" s="6" t="s">
        <v>146</v>
      </c>
      <c r="E2725" s="6" t="s">
        <v>147</v>
      </c>
      <c r="F2725" s="6" t="s">
        <v>194</v>
      </c>
      <c r="G2725" s="6" t="s">
        <v>508</v>
      </c>
      <c r="H2725" s="6" t="s">
        <v>228</v>
      </c>
      <c r="I2725" s="6" t="s">
        <v>6177</v>
      </c>
      <c r="J2725" s="6" t="s">
        <v>250</v>
      </c>
      <c r="K2725" s="6" t="s">
        <v>510</v>
      </c>
      <c r="L2725" s="6" t="s">
        <v>205</v>
      </c>
      <c r="M2725" s="6" t="s">
        <v>520</v>
      </c>
      <c r="N2725" s="6" t="s">
        <v>282</v>
      </c>
      <c r="O2725" s="6" t="s">
        <v>447</v>
      </c>
      <c r="P2725" s="6" t="str">
        <f aca="false">IF(J2725="S0","—",IF(K2725="","",IF(L2725="E0","QM",INDEX(10_ASIL_Matrix!$D$4:$F$15,MATCH(J2725&amp;"-"&amp;L2725,10_ASIL_Matrix!$C$4:$C$15,0),MATCH(N2725,10_ASIL_Matrix!$D$3:$F$3,0)))))</f>
        <v>QM</v>
      </c>
      <c r="Q2725" s="6" t="s">
        <v>448</v>
      </c>
    </row>
    <row r="2726" customFormat="false" ht="46.25" hidden="false" customHeight="false" outlineLevel="0" collapsed="false">
      <c r="A2726" s="5" t="s">
        <v>6178</v>
      </c>
      <c r="B2726" s="5" t="s">
        <v>125</v>
      </c>
      <c r="C2726" s="5" t="s">
        <v>126</v>
      </c>
      <c r="D2726" s="5" t="s">
        <v>146</v>
      </c>
      <c r="E2726" s="5" t="s">
        <v>147</v>
      </c>
      <c r="F2726" s="5" t="s">
        <v>194</v>
      </c>
      <c r="G2726" s="5" t="s">
        <v>508</v>
      </c>
      <c r="H2726" s="5" t="s">
        <v>230</v>
      </c>
      <c r="I2726" s="5" t="s">
        <v>6179</v>
      </c>
      <c r="J2726" s="5" t="s">
        <v>250</v>
      </c>
      <c r="K2726" s="5" t="s">
        <v>510</v>
      </c>
      <c r="L2726" s="5" t="s">
        <v>205</v>
      </c>
      <c r="M2726" s="5" t="s">
        <v>523</v>
      </c>
      <c r="N2726" s="5" t="s">
        <v>286</v>
      </c>
      <c r="O2726" s="5" t="s">
        <v>461</v>
      </c>
      <c r="P2726" s="19" t="str">
        <f aca="false">IF(J2726="S0","—",IF(K2726="","",IF(L2726="E0","QM",INDEX(10_ASIL_Matrix!$D$4:$F$15,MATCH(J2726&amp;"-"&amp;L2726,10_ASIL_Matrix!$C$4:$C$15,0),MATCH(N2726,10_ASIL_Matrix!$D$3:$F$3,0)))))</f>
        <v>A</v>
      </c>
      <c r="Q2726" s="5" t="s">
        <v>448</v>
      </c>
    </row>
    <row r="2727" customFormat="false" ht="46.25" hidden="false" customHeight="false" outlineLevel="0" collapsed="false">
      <c r="A2727" s="6" t="s">
        <v>6180</v>
      </c>
      <c r="B2727" s="6" t="s">
        <v>125</v>
      </c>
      <c r="C2727" s="6" t="s">
        <v>126</v>
      </c>
      <c r="D2727" s="6" t="s">
        <v>146</v>
      </c>
      <c r="E2727" s="6" t="s">
        <v>147</v>
      </c>
      <c r="F2727" s="6" t="s">
        <v>194</v>
      </c>
      <c r="G2727" s="6" t="s">
        <v>508</v>
      </c>
      <c r="H2727" s="6" t="s">
        <v>232</v>
      </c>
      <c r="I2727" s="6" t="s">
        <v>6181</v>
      </c>
      <c r="J2727" s="6" t="s">
        <v>250</v>
      </c>
      <c r="K2727" s="6" t="s">
        <v>510</v>
      </c>
      <c r="L2727" s="6" t="s">
        <v>233</v>
      </c>
      <c r="M2727" s="6" t="s">
        <v>526</v>
      </c>
      <c r="N2727" s="6" t="s">
        <v>282</v>
      </c>
      <c r="O2727" s="6" t="s">
        <v>447</v>
      </c>
      <c r="P2727" s="6" t="str">
        <f aca="false">IF(J2727="S0","—",IF(K2727="","",IF(L2727="E0","QM",INDEX(10_ASIL_Matrix!$D$4:$F$15,MATCH(J2727&amp;"-"&amp;L2727,10_ASIL_Matrix!$C$4:$C$15,0),MATCH(N2727,10_ASIL_Matrix!$D$3:$F$3,0)))))</f>
        <v>QM</v>
      </c>
      <c r="Q2727" s="6" t="s">
        <v>448</v>
      </c>
    </row>
    <row r="2728" customFormat="false" ht="35.05" hidden="false" customHeight="false" outlineLevel="0" collapsed="false">
      <c r="A2728" s="5" t="s">
        <v>6182</v>
      </c>
      <c r="B2728" s="5" t="s">
        <v>125</v>
      </c>
      <c r="C2728" s="5" t="s">
        <v>126</v>
      </c>
      <c r="D2728" s="5" t="s">
        <v>146</v>
      </c>
      <c r="E2728" s="5" t="s">
        <v>147</v>
      </c>
      <c r="F2728" s="5" t="s">
        <v>196</v>
      </c>
      <c r="G2728" s="5" t="s">
        <v>528</v>
      </c>
      <c r="H2728" s="5" t="s">
        <v>222</v>
      </c>
      <c r="I2728" s="5" t="s">
        <v>6183</v>
      </c>
      <c r="J2728" s="5" t="s">
        <v>250</v>
      </c>
      <c r="K2728" s="5" t="s">
        <v>530</v>
      </c>
      <c r="L2728" s="5" t="s">
        <v>187</v>
      </c>
      <c r="M2728" s="5" t="s">
        <v>531</v>
      </c>
      <c r="N2728" s="5" t="s">
        <v>282</v>
      </c>
      <c r="O2728" s="5" t="s">
        <v>447</v>
      </c>
      <c r="P2728" s="18" t="str">
        <f aca="false">IF(J2728="S0","—",IF(K2728="","",IF(L2728="E0","QM",INDEX(10_ASIL_Matrix!$D$4:$F$15,MATCH(J2728&amp;"-"&amp;L2728,10_ASIL_Matrix!$C$4:$C$15,0),MATCH(N2728,10_ASIL_Matrix!$D$3:$F$3,0)))))</f>
        <v>B</v>
      </c>
      <c r="Q2728" s="5" t="s">
        <v>448</v>
      </c>
    </row>
    <row r="2729" customFormat="false" ht="35.05" hidden="false" customHeight="false" outlineLevel="0" collapsed="false">
      <c r="A2729" s="6" t="s">
        <v>6184</v>
      </c>
      <c r="B2729" s="6" t="s">
        <v>125</v>
      </c>
      <c r="C2729" s="6" t="s">
        <v>126</v>
      </c>
      <c r="D2729" s="6" t="s">
        <v>146</v>
      </c>
      <c r="E2729" s="6" t="s">
        <v>147</v>
      </c>
      <c r="F2729" s="6" t="s">
        <v>196</v>
      </c>
      <c r="G2729" s="6" t="s">
        <v>528</v>
      </c>
      <c r="H2729" s="6" t="s">
        <v>224</v>
      </c>
      <c r="I2729" s="6" t="s">
        <v>6185</v>
      </c>
      <c r="J2729" s="6" t="s">
        <v>250</v>
      </c>
      <c r="K2729" s="6" t="s">
        <v>530</v>
      </c>
      <c r="L2729" s="6" t="s">
        <v>190</v>
      </c>
      <c r="M2729" s="6" t="s">
        <v>534</v>
      </c>
      <c r="N2729" s="6" t="s">
        <v>282</v>
      </c>
      <c r="O2729" s="6" t="s">
        <v>447</v>
      </c>
      <c r="P2729" s="19" t="str">
        <f aca="false">IF(J2729="S0","—",IF(K2729="","",IF(L2729="E0","QM",INDEX(10_ASIL_Matrix!$D$4:$F$15,MATCH(J2729&amp;"-"&amp;L2729,10_ASIL_Matrix!$C$4:$C$15,0),MATCH(N2729,10_ASIL_Matrix!$D$3:$F$3,0)))))</f>
        <v>A</v>
      </c>
      <c r="Q2729" s="6" t="s">
        <v>448</v>
      </c>
    </row>
    <row r="2730" customFormat="false" ht="35.05" hidden="false" customHeight="false" outlineLevel="0" collapsed="false">
      <c r="A2730" s="5" t="s">
        <v>6186</v>
      </c>
      <c r="B2730" s="5" t="s">
        <v>125</v>
      </c>
      <c r="C2730" s="5" t="s">
        <v>126</v>
      </c>
      <c r="D2730" s="5" t="s">
        <v>146</v>
      </c>
      <c r="E2730" s="5" t="s">
        <v>147</v>
      </c>
      <c r="F2730" s="5" t="s">
        <v>196</v>
      </c>
      <c r="G2730" s="5" t="s">
        <v>528</v>
      </c>
      <c r="H2730" s="5" t="s">
        <v>226</v>
      </c>
      <c r="I2730" s="5" t="s">
        <v>6187</v>
      </c>
      <c r="J2730" s="5" t="s">
        <v>250</v>
      </c>
      <c r="K2730" s="5" t="s">
        <v>530</v>
      </c>
      <c r="L2730" s="5" t="s">
        <v>190</v>
      </c>
      <c r="M2730" s="5" t="s">
        <v>537</v>
      </c>
      <c r="N2730" s="5" t="s">
        <v>282</v>
      </c>
      <c r="O2730" s="5" t="s">
        <v>447</v>
      </c>
      <c r="P2730" s="19" t="str">
        <f aca="false">IF(J2730="S0","—",IF(K2730="","",IF(L2730="E0","QM",INDEX(10_ASIL_Matrix!$D$4:$F$15,MATCH(J2730&amp;"-"&amp;L2730,10_ASIL_Matrix!$C$4:$C$15,0),MATCH(N2730,10_ASIL_Matrix!$D$3:$F$3,0)))))</f>
        <v>A</v>
      </c>
      <c r="Q2730" s="5" t="s">
        <v>448</v>
      </c>
    </row>
    <row r="2731" customFormat="false" ht="46.25" hidden="false" customHeight="false" outlineLevel="0" collapsed="false">
      <c r="A2731" s="6" t="s">
        <v>6188</v>
      </c>
      <c r="B2731" s="6" t="s">
        <v>125</v>
      </c>
      <c r="C2731" s="6" t="s">
        <v>126</v>
      </c>
      <c r="D2731" s="6" t="s">
        <v>146</v>
      </c>
      <c r="E2731" s="6" t="s">
        <v>147</v>
      </c>
      <c r="F2731" s="6" t="s">
        <v>196</v>
      </c>
      <c r="G2731" s="6" t="s">
        <v>528</v>
      </c>
      <c r="H2731" s="6" t="s">
        <v>228</v>
      </c>
      <c r="I2731" s="6" t="s">
        <v>6189</v>
      </c>
      <c r="J2731" s="6" t="s">
        <v>250</v>
      </c>
      <c r="K2731" s="6" t="s">
        <v>530</v>
      </c>
      <c r="L2731" s="6" t="s">
        <v>205</v>
      </c>
      <c r="M2731" s="6" t="s">
        <v>540</v>
      </c>
      <c r="N2731" s="6" t="s">
        <v>282</v>
      </c>
      <c r="O2731" s="6" t="s">
        <v>447</v>
      </c>
      <c r="P2731" s="6" t="str">
        <f aca="false">IF(J2731="S0","—",IF(K2731="","",IF(L2731="E0","QM",INDEX(10_ASIL_Matrix!$D$4:$F$15,MATCH(J2731&amp;"-"&amp;L2731,10_ASIL_Matrix!$C$4:$C$15,0),MATCH(N2731,10_ASIL_Matrix!$D$3:$F$3,0)))))</f>
        <v>QM</v>
      </c>
      <c r="Q2731" s="6" t="s">
        <v>448</v>
      </c>
    </row>
    <row r="2732" customFormat="false" ht="35.05" hidden="false" customHeight="false" outlineLevel="0" collapsed="false">
      <c r="A2732" s="5" t="s">
        <v>6190</v>
      </c>
      <c r="B2732" s="5" t="s">
        <v>125</v>
      </c>
      <c r="C2732" s="5" t="s">
        <v>126</v>
      </c>
      <c r="D2732" s="5" t="s">
        <v>146</v>
      </c>
      <c r="E2732" s="5" t="s">
        <v>147</v>
      </c>
      <c r="F2732" s="5" t="s">
        <v>196</v>
      </c>
      <c r="G2732" s="5" t="s">
        <v>528</v>
      </c>
      <c r="H2732" s="5" t="s">
        <v>230</v>
      </c>
      <c r="I2732" s="5" t="s">
        <v>6191</v>
      </c>
      <c r="J2732" s="5" t="s">
        <v>250</v>
      </c>
      <c r="K2732" s="5" t="s">
        <v>530</v>
      </c>
      <c r="L2732" s="5" t="s">
        <v>205</v>
      </c>
      <c r="M2732" s="5" t="s">
        <v>543</v>
      </c>
      <c r="N2732" s="5" t="s">
        <v>286</v>
      </c>
      <c r="O2732" s="5" t="s">
        <v>461</v>
      </c>
      <c r="P2732" s="19" t="str">
        <f aca="false">IF(J2732="S0","—",IF(K2732="","",IF(L2732="E0","QM",INDEX(10_ASIL_Matrix!$D$4:$F$15,MATCH(J2732&amp;"-"&amp;L2732,10_ASIL_Matrix!$C$4:$C$15,0),MATCH(N2732,10_ASIL_Matrix!$D$3:$F$3,0)))))</f>
        <v>A</v>
      </c>
      <c r="Q2732" s="5" t="s">
        <v>448</v>
      </c>
    </row>
    <row r="2733" customFormat="false" ht="46.25" hidden="false" customHeight="false" outlineLevel="0" collapsed="false">
      <c r="A2733" s="6" t="s">
        <v>6192</v>
      </c>
      <c r="B2733" s="6" t="s">
        <v>125</v>
      </c>
      <c r="C2733" s="6" t="s">
        <v>126</v>
      </c>
      <c r="D2733" s="6" t="s">
        <v>146</v>
      </c>
      <c r="E2733" s="6" t="s">
        <v>147</v>
      </c>
      <c r="F2733" s="6" t="s">
        <v>196</v>
      </c>
      <c r="G2733" s="6" t="s">
        <v>528</v>
      </c>
      <c r="H2733" s="6" t="s">
        <v>232</v>
      </c>
      <c r="I2733" s="6" t="s">
        <v>6193</v>
      </c>
      <c r="J2733" s="6" t="s">
        <v>250</v>
      </c>
      <c r="K2733" s="6" t="s">
        <v>530</v>
      </c>
      <c r="L2733" s="6" t="s">
        <v>233</v>
      </c>
      <c r="M2733" s="6" t="s">
        <v>546</v>
      </c>
      <c r="N2733" s="6" t="s">
        <v>282</v>
      </c>
      <c r="O2733" s="6" t="s">
        <v>447</v>
      </c>
      <c r="P2733" s="6" t="str">
        <f aca="false">IF(J2733="S0","—",IF(K2733="","",IF(L2733="E0","QM",INDEX(10_ASIL_Matrix!$D$4:$F$15,MATCH(J2733&amp;"-"&amp;L2733,10_ASIL_Matrix!$C$4:$C$15,0),MATCH(N2733,10_ASIL_Matrix!$D$3:$F$3,0)))))</f>
        <v>QM</v>
      </c>
      <c r="Q2733" s="6" t="s">
        <v>448</v>
      </c>
    </row>
    <row r="2734" customFormat="false" ht="35.05" hidden="false" customHeight="false" outlineLevel="0" collapsed="false">
      <c r="A2734" s="5" t="s">
        <v>6194</v>
      </c>
      <c r="B2734" s="5" t="s">
        <v>125</v>
      </c>
      <c r="C2734" s="5" t="s">
        <v>126</v>
      </c>
      <c r="D2734" s="5" t="s">
        <v>146</v>
      </c>
      <c r="E2734" s="5" t="s">
        <v>147</v>
      </c>
      <c r="F2734" s="5" t="s">
        <v>198</v>
      </c>
      <c r="G2734" s="5" t="s">
        <v>548</v>
      </c>
      <c r="H2734" s="5" t="s">
        <v>222</v>
      </c>
      <c r="I2734" s="5" t="s">
        <v>6195</v>
      </c>
      <c r="J2734" s="5" t="s">
        <v>242</v>
      </c>
      <c r="K2734" s="5" t="s">
        <v>550</v>
      </c>
      <c r="L2734" s="5" t="s">
        <v>190</v>
      </c>
      <c r="M2734" s="5" t="s">
        <v>551</v>
      </c>
      <c r="N2734" s="5" t="s">
        <v>282</v>
      </c>
      <c r="O2734" s="5" t="s">
        <v>552</v>
      </c>
      <c r="P2734" s="5" t="str">
        <f aca="false">IF(J2734="S0","—",IF(K2734="","",IF(L2734="E0","QM",INDEX(10_ASIL_Matrix!$D$4:$F$15,MATCH(J2734&amp;"-"&amp;L2734,10_ASIL_Matrix!$C$4:$C$15,0),MATCH(N2734,10_ASIL_Matrix!$D$3:$F$3,0)))))</f>
        <v>QM</v>
      </c>
      <c r="Q2734" s="5" t="s">
        <v>448</v>
      </c>
    </row>
    <row r="2735" customFormat="false" ht="35.05" hidden="false" customHeight="false" outlineLevel="0" collapsed="false">
      <c r="A2735" s="6" t="s">
        <v>6196</v>
      </c>
      <c r="B2735" s="6" t="s">
        <v>125</v>
      </c>
      <c r="C2735" s="6" t="s">
        <v>126</v>
      </c>
      <c r="D2735" s="6" t="s">
        <v>146</v>
      </c>
      <c r="E2735" s="6" t="s">
        <v>147</v>
      </c>
      <c r="F2735" s="6" t="s">
        <v>198</v>
      </c>
      <c r="G2735" s="6" t="s">
        <v>548</v>
      </c>
      <c r="H2735" s="6" t="s">
        <v>224</v>
      </c>
      <c r="I2735" s="6" t="s">
        <v>6197</v>
      </c>
      <c r="J2735" s="6" t="s">
        <v>242</v>
      </c>
      <c r="K2735" s="6" t="s">
        <v>550</v>
      </c>
      <c r="L2735" s="6" t="s">
        <v>190</v>
      </c>
      <c r="M2735" s="6" t="s">
        <v>555</v>
      </c>
      <c r="N2735" s="6" t="s">
        <v>282</v>
      </c>
      <c r="O2735" s="6" t="s">
        <v>552</v>
      </c>
      <c r="P2735" s="6" t="str">
        <f aca="false">IF(J2735="S0","—",IF(K2735="","",IF(L2735="E0","QM",INDEX(10_ASIL_Matrix!$D$4:$F$15,MATCH(J2735&amp;"-"&amp;L2735,10_ASIL_Matrix!$C$4:$C$15,0),MATCH(N2735,10_ASIL_Matrix!$D$3:$F$3,0)))))</f>
        <v>QM</v>
      </c>
      <c r="Q2735" s="6" t="s">
        <v>448</v>
      </c>
    </row>
    <row r="2736" customFormat="false" ht="35.05" hidden="false" customHeight="false" outlineLevel="0" collapsed="false">
      <c r="A2736" s="5" t="s">
        <v>6198</v>
      </c>
      <c r="B2736" s="5" t="s">
        <v>125</v>
      </c>
      <c r="C2736" s="5" t="s">
        <v>126</v>
      </c>
      <c r="D2736" s="5" t="s">
        <v>146</v>
      </c>
      <c r="E2736" s="5" t="s">
        <v>147</v>
      </c>
      <c r="F2736" s="5" t="s">
        <v>198</v>
      </c>
      <c r="G2736" s="5" t="s">
        <v>548</v>
      </c>
      <c r="H2736" s="5" t="s">
        <v>226</v>
      </c>
      <c r="I2736" s="5" t="s">
        <v>6199</v>
      </c>
      <c r="J2736" s="5" t="s">
        <v>242</v>
      </c>
      <c r="K2736" s="5" t="s">
        <v>550</v>
      </c>
      <c r="L2736" s="5" t="s">
        <v>190</v>
      </c>
      <c r="M2736" s="5" t="s">
        <v>558</v>
      </c>
      <c r="N2736" s="5" t="s">
        <v>282</v>
      </c>
      <c r="O2736" s="5" t="s">
        <v>552</v>
      </c>
      <c r="P2736" s="5" t="str">
        <f aca="false">IF(J2736="S0","—",IF(K2736="","",IF(L2736="E0","QM",INDEX(10_ASIL_Matrix!$D$4:$F$15,MATCH(J2736&amp;"-"&amp;L2736,10_ASIL_Matrix!$C$4:$C$15,0),MATCH(N2736,10_ASIL_Matrix!$D$3:$F$3,0)))))</f>
        <v>QM</v>
      </c>
      <c r="Q2736" s="5" t="s">
        <v>448</v>
      </c>
    </row>
    <row r="2737" customFormat="false" ht="46.25" hidden="false" customHeight="false" outlineLevel="0" collapsed="false">
      <c r="A2737" s="6" t="s">
        <v>6200</v>
      </c>
      <c r="B2737" s="6" t="s">
        <v>125</v>
      </c>
      <c r="C2737" s="6" t="s">
        <v>126</v>
      </c>
      <c r="D2737" s="6" t="s">
        <v>146</v>
      </c>
      <c r="E2737" s="6" t="s">
        <v>147</v>
      </c>
      <c r="F2737" s="6" t="s">
        <v>198</v>
      </c>
      <c r="G2737" s="6" t="s">
        <v>548</v>
      </c>
      <c r="H2737" s="6" t="s">
        <v>228</v>
      </c>
      <c r="I2737" s="6" t="s">
        <v>6201</v>
      </c>
      <c r="J2737" s="6" t="s">
        <v>242</v>
      </c>
      <c r="K2737" s="6" t="s">
        <v>550</v>
      </c>
      <c r="L2737" s="6" t="s">
        <v>205</v>
      </c>
      <c r="M2737" s="6" t="s">
        <v>561</v>
      </c>
      <c r="N2737" s="6" t="s">
        <v>282</v>
      </c>
      <c r="O2737" s="6" t="s">
        <v>552</v>
      </c>
      <c r="P2737" s="6" t="str">
        <f aca="false">IF(J2737="S0","—",IF(K2737="","",IF(L2737="E0","QM",INDEX(10_ASIL_Matrix!$D$4:$F$15,MATCH(J2737&amp;"-"&amp;L2737,10_ASIL_Matrix!$C$4:$C$15,0),MATCH(N2737,10_ASIL_Matrix!$D$3:$F$3,0)))))</f>
        <v>QM</v>
      </c>
      <c r="Q2737" s="6" t="s">
        <v>448</v>
      </c>
    </row>
    <row r="2738" customFormat="false" ht="46.25" hidden="false" customHeight="false" outlineLevel="0" collapsed="false">
      <c r="A2738" s="5" t="s">
        <v>6202</v>
      </c>
      <c r="B2738" s="5" t="s">
        <v>125</v>
      </c>
      <c r="C2738" s="5" t="s">
        <v>126</v>
      </c>
      <c r="D2738" s="5" t="s">
        <v>146</v>
      </c>
      <c r="E2738" s="5" t="s">
        <v>147</v>
      </c>
      <c r="F2738" s="5" t="s">
        <v>198</v>
      </c>
      <c r="G2738" s="5" t="s">
        <v>548</v>
      </c>
      <c r="H2738" s="5" t="s">
        <v>230</v>
      </c>
      <c r="I2738" s="5" t="s">
        <v>6203</v>
      </c>
      <c r="J2738" s="5" t="s">
        <v>242</v>
      </c>
      <c r="K2738" s="5" t="s">
        <v>550</v>
      </c>
      <c r="L2738" s="5" t="s">
        <v>205</v>
      </c>
      <c r="M2738" s="5" t="s">
        <v>564</v>
      </c>
      <c r="N2738" s="5" t="s">
        <v>286</v>
      </c>
      <c r="O2738" s="5" t="s">
        <v>565</v>
      </c>
      <c r="P2738" s="5" t="str">
        <f aca="false">IF(J2738="S0","—",IF(K2738="","",IF(L2738="E0","QM",INDEX(10_ASIL_Matrix!$D$4:$F$15,MATCH(J2738&amp;"-"&amp;L2738,10_ASIL_Matrix!$C$4:$C$15,0),MATCH(N2738,10_ASIL_Matrix!$D$3:$F$3,0)))))</f>
        <v>QM</v>
      </c>
      <c r="Q2738" s="5" t="s">
        <v>448</v>
      </c>
    </row>
    <row r="2739" customFormat="false" ht="46.25" hidden="false" customHeight="false" outlineLevel="0" collapsed="false">
      <c r="A2739" s="6" t="s">
        <v>6204</v>
      </c>
      <c r="B2739" s="6" t="s">
        <v>125</v>
      </c>
      <c r="C2739" s="6" t="s">
        <v>126</v>
      </c>
      <c r="D2739" s="6" t="s">
        <v>146</v>
      </c>
      <c r="E2739" s="6" t="s">
        <v>147</v>
      </c>
      <c r="F2739" s="6" t="s">
        <v>198</v>
      </c>
      <c r="G2739" s="6" t="s">
        <v>548</v>
      </c>
      <c r="H2739" s="6" t="s">
        <v>232</v>
      </c>
      <c r="I2739" s="6" t="s">
        <v>6205</v>
      </c>
      <c r="J2739" s="6" t="s">
        <v>242</v>
      </c>
      <c r="K2739" s="6" t="s">
        <v>550</v>
      </c>
      <c r="L2739" s="6" t="s">
        <v>233</v>
      </c>
      <c r="M2739" s="6" t="s">
        <v>568</v>
      </c>
      <c r="N2739" s="6" t="s">
        <v>282</v>
      </c>
      <c r="O2739" s="6" t="s">
        <v>552</v>
      </c>
      <c r="P2739" s="6" t="str">
        <f aca="false">IF(J2739="S0","—",IF(K2739="","",IF(L2739="E0","QM",INDEX(10_ASIL_Matrix!$D$4:$F$15,MATCH(J2739&amp;"-"&amp;L2739,10_ASIL_Matrix!$C$4:$C$15,0),MATCH(N2739,10_ASIL_Matrix!$D$3:$F$3,0)))))</f>
        <v>QM</v>
      </c>
      <c r="Q2739" s="6" t="s">
        <v>448</v>
      </c>
    </row>
    <row r="2740" customFormat="false" ht="35.05" hidden="false" customHeight="false" outlineLevel="0" collapsed="false">
      <c r="A2740" s="5" t="s">
        <v>6206</v>
      </c>
      <c r="B2740" s="5" t="s">
        <v>125</v>
      </c>
      <c r="C2740" s="5" t="s">
        <v>126</v>
      </c>
      <c r="D2740" s="5" t="s">
        <v>146</v>
      </c>
      <c r="E2740" s="5" t="s">
        <v>147</v>
      </c>
      <c r="F2740" s="5" t="s">
        <v>200</v>
      </c>
      <c r="G2740" s="5" t="s">
        <v>570</v>
      </c>
      <c r="H2740" s="5" t="s">
        <v>222</v>
      </c>
      <c r="I2740" s="5" t="s">
        <v>6207</v>
      </c>
      <c r="J2740" s="5" t="s">
        <v>250</v>
      </c>
      <c r="K2740" s="5" t="s">
        <v>572</v>
      </c>
      <c r="L2740" s="5" t="s">
        <v>190</v>
      </c>
      <c r="M2740" s="5" t="s">
        <v>573</v>
      </c>
      <c r="N2740" s="5" t="s">
        <v>282</v>
      </c>
      <c r="O2740" s="5" t="s">
        <v>447</v>
      </c>
      <c r="P2740" s="19" t="str">
        <f aca="false">IF(J2740="S0","—",IF(K2740="","",IF(L2740="E0","QM",INDEX(10_ASIL_Matrix!$D$4:$F$15,MATCH(J2740&amp;"-"&amp;L2740,10_ASIL_Matrix!$C$4:$C$15,0),MATCH(N2740,10_ASIL_Matrix!$D$3:$F$3,0)))))</f>
        <v>A</v>
      </c>
      <c r="Q2740" s="5" t="s">
        <v>448</v>
      </c>
    </row>
    <row r="2741" customFormat="false" ht="35.05" hidden="false" customHeight="false" outlineLevel="0" collapsed="false">
      <c r="A2741" s="6" t="s">
        <v>6208</v>
      </c>
      <c r="B2741" s="6" t="s">
        <v>125</v>
      </c>
      <c r="C2741" s="6" t="s">
        <v>126</v>
      </c>
      <c r="D2741" s="6" t="s">
        <v>146</v>
      </c>
      <c r="E2741" s="6" t="s">
        <v>147</v>
      </c>
      <c r="F2741" s="6" t="s">
        <v>200</v>
      </c>
      <c r="G2741" s="6" t="s">
        <v>570</v>
      </c>
      <c r="H2741" s="6" t="s">
        <v>224</v>
      </c>
      <c r="I2741" s="6" t="s">
        <v>6209</v>
      </c>
      <c r="J2741" s="6" t="s">
        <v>250</v>
      </c>
      <c r="K2741" s="6" t="s">
        <v>572</v>
      </c>
      <c r="L2741" s="6" t="s">
        <v>190</v>
      </c>
      <c r="M2741" s="6" t="s">
        <v>576</v>
      </c>
      <c r="N2741" s="6" t="s">
        <v>282</v>
      </c>
      <c r="O2741" s="6" t="s">
        <v>447</v>
      </c>
      <c r="P2741" s="19" t="str">
        <f aca="false">IF(J2741="S0","—",IF(K2741="","",IF(L2741="E0","QM",INDEX(10_ASIL_Matrix!$D$4:$F$15,MATCH(J2741&amp;"-"&amp;L2741,10_ASIL_Matrix!$C$4:$C$15,0),MATCH(N2741,10_ASIL_Matrix!$D$3:$F$3,0)))))</f>
        <v>A</v>
      </c>
      <c r="Q2741" s="6" t="s">
        <v>448</v>
      </c>
    </row>
    <row r="2742" customFormat="false" ht="35.05" hidden="false" customHeight="false" outlineLevel="0" collapsed="false">
      <c r="A2742" s="5" t="s">
        <v>6210</v>
      </c>
      <c r="B2742" s="5" t="s">
        <v>125</v>
      </c>
      <c r="C2742" s="5" t="s">
        <v>126</v>
      </c>
      <c r="D2742" s="5" t="s">
        <v>146</v>
      </c>
      <c r="E2742" s="5" t="s">
        <v>147</v>
      </c>
      <c r="F2742" s="5" t="s">
        <v>200</v>
      </c>
      <c r="G2742" s="5" t="s">
        <v>570</v>
      </c>
      <c r="H2742" s="5" t="s">
        <v>226</v>
      </c>
      <c r="I2742" s="5" t="s">
        <v>6211</v>
      </c>
      <c r="J2742" s="5" t="s">
        <v>250</v>
      </c>
      <c r="K2742" s="5" t="s">
        <v>572</v>
      </c>
      <c r="L2742" s="5" t="s">
        <v>190</v>
      </c>
      <c r="M2742" s="5" t="s">
        <v>579</v>
      </c>
      <c r="N2742" s="5" t="s">
        <v>282</v>
      </c>
      <c r="O2742" s="5" t="s">
        <v>447</v>
      </c>
      <c r="P2742" s="19" t="str">
        <f aca="false">IF(J2742="S0","—",IF(K2742="","",IF(L2742="E0","QM",INDEX(10_ASIL_Matrix!$D$4:$F$15,MATCH(J2742&amp;"-"&amp;L2742,10_ASIL_Matrix!$C$4:$C$15,0),MATCH(N2742,10_ASIL_Matrix!$D$3:$F$3,0)))))</f>
        <v>A</v>
      </c>
      <c r="Q2742" s="5" t="s">
        <v>448</v>
      </c>
    </row>
    <row r="2743" customFormat="false" ht="46.25" hidden="false" customHeight="false" outlineLevel="0" collapsed="false">
      <c r="A2743" s="6" t="s">
        <v>6212</v>
      </c>
      <c r="B2743" s="6" t="s">
        <v>125</v>
      </c>
      <c r="C2743" s="6" t="s">
        <v>126</v>
      </c>
      <c r="D2743" s="6" t="s">
        <v>146</v>
      </c>
      <c r="E2743" s="6" t="s">
        <v>147</v>
      </c>
      <c r="F2743" s="6" t="s">
        <v>200</v>
      </c>
      <c r="G2743" s="6" t="s">
        <v>570</v>
      </c>
      <c r="H2743" s="6" t="s">
        <v>228</v>
      </c>
      <c r="I2743" s="6" t="s">
        <v>6213</v>
      </c>
      <c r="J2743" s="6" t="s">
        <v>250</v>
      </c>
      <c r="K2743" s="6" t="s">
        <v>572</v>
      </c>
      <c r="L2743" s="6" t="s">
        <v>205</v>
      </c>
      <c r="M2743" s="6" t="s">
        <v>582</v>
      </c>
      <c r="N2743" s="6" t="s">
        <v>282</v>
      </c>
      <c r="O2743" s="6" t="s">
        <v>447</v>
      </c>
      <c r="P2743" s="6" t="str">
        <f aca="false">IF(J2743="S0","—",IF(K2743="","",IF(L2743="E0","QM",INDEX(10_ASIL_Matrix!$D$4:$F$15,MATCH(J2743&amp;"-"&amp;L2743,10_ASIL_Matrix!$C$4:$C$15,0),MATCH(N2743,10_ASIL_Matrix!$D$3:$F$3,0)))))</f>
        <v>QM</v>
      </c>
      <c r="Q2743" s="6" t="s">
        <v>448</v>
      </c>
    </row>
    <row r="2744" customFormat="false" ht="46.25" hidden="false" customHeight="false" outlineLevel="0" collapsed="false">
      <c r="A2744" s="5" t="s">
        <v>6214</v>
      </c>
      <c r="B2744" s="5" t="s">
        <v>125</v>
      </c>
      <c r="C2744" s="5" t="s">
        <v>126</v>
      </c>
      <c r="D2744" s="5" t="s">
        <v>146</v>
      </c>
      <c r="E2744" s="5" t="s">
        <v>147</v>
      </c>
      <c r="F2744" s="5" t="s">
        <v>200</v>
      </c>
      <c r="G2744" s="5" t="s">
        <v>570</v>
      </c>
      <c r="H2744" s="5" t="s">
        <v>230</v>
      </c>
      <c r="I2744" s="5" t="s">
        <v>6215</v>
      </c>
      <c r="J2744" s="5" t="s">
        <v>250</v>
      </c>
      <c r="K2744" s="5" t="s">
        <v>572</v>
      </c>
      <c r="L2744" s="5" t="s">
        <v>205</v>
      </c>
      <c r="M2744" s="5" t="s">
        <v>585</v>
      </c>
      <c r="N2744" s="5" t="s">
        <v>286</v>
      </c>
      <c r="O2744" s="5" t="s">
        <v>461</v>
      </c>
      <c r="P2744" s="19" t="str">
        <f aca="false">IF(J2744="S0","—",IF(K2744="","",IF(L2744="E0","QM",INDEX(10_ASIL_Matrix!$D$4:$F$15,MATCH(J2744&amp;"-"&amp;L2744,10_ASIL_Matrix!$C$4:$C$15,0),MATCH(N2744,10_ASIL_Matrix!$D$3:$F$3,0)))))</f>
        <v>A</v>
      </c>
      <c r="Q2744" s="5" t="s">
        <v>448</v>
      </c>
    </row>
    <row r="2745" customFormat="false" ht="46.25" hidden="false" customHeight="false" outlineLevel="0" collapsed="false">
      <c r="A2745" s="6" t="s">
        <v>6216</v>
      </c>
      <c r="B2745" s="6" t="s">
        <v>125</v>
      </c>
      <c r="C2745" s="6" t="s">
        <v>126</v>
      </c>
      <c r="D2745" s="6" t="s">
        <v>146</v>
      </c>
      <c r="E2745" s="6" t="s">
        <v>147</v>
      </c>
      <c r="F2745" s="6" t="s">
        <v>200</v>
      </c>
      <c r="G2745" s="6" t="s">
        <v>570</v>
      </c>
      <c r="H2745" s="6" t="s">
        <v>232</v>
      </c>
      <c r="I2745" s="6" t="s">
        <v>6217</v>
      </c>
      <c r="J2745" s="6" t="s">
        <v>250</v>
      </c>
      <c r="K2745" s="6" t="s">
        <v>572</v>
      </c>
      <c r="L2745" s="6" t="s">
        <v>233</v>
      </c>
      <c r="M2745" s="6" t="s">
        <v>588</v>
      </c>
      <c r="N2745" s="6" t="s">
        <v>282</v>
      </c>
      <c r="O2745" s="6" t="s">
        <v>447</v>
      </c>
      <c r="P2745" s="6" t="str">
        <f aca="false">IF(J2745="S0","—",IF(K2745="","",IF(L2745="E0","QM",INDEX(10_ASIL_Matrix!$D$4:$F$15,MATCH(J2745&amp;"-"&amp;L2745,10_ASIL_Matrix!$C$4:$C$15,0),MATCH(N2745,10_ASIL_Matrix!$D$3:$F$3,0)))))</f>
        <v>QM</v>
      </c>
      <c r="Q2745" s="6" t="s">
        <v>448</v>
      </c>
    </row>
    <row r="2746" customFormat="false" ht="35.05" hidden="false" customHeight="false" outlineLevel="0" collapsed="false">
      <c r="A2746" s="5" t="s">
        <v>6218</v>
      </c>
      <c r="B2746" s="5" t="s">
        <v>125</v>
      </c>
      <c r="C2746" s="5" t="s">
        <v>126</v>
      </c>
      <c r="D2746" s="5" t="s">
        <v>146</v>
      </c>
      <c r="E2746" s="5" t="s">
        <v>147</v>
      </c>
      <c r="F2746" s="5" t="s">
        <v>202</v>
      </c>
      <c r="G2746" s="5" t="s">
        <v>590</v>
      </c>
      <c r="H2746" s="5" t="s">
        <v>222</v>
      </c>
      <c r="I2746" s="5" t="s">
        <v>6219</v>
      </c>
      <c r="J2746" s="5" t="s">
        <v>250</v>
      </c>
      <c r="K2746" s="5" t="s">
        <v>572</v>
      </c>
      <c r="L2746" s="5" t="s">
        <v>187</v>
      </c>
      <c r="M2746" s="5" t="s">
        <v>592</v>
      </c>
      <c r="N2746" s="5" t="s">
        <v>282</v>
      </c>
      <c r="O2746" s="5" t="s">
        <v>447</v>
      </c>
      <c r="P2746" s="18" t="str">
        <f aca="false">IF(J2746="S0","—",IF(K2746="","",IF(L2746="E0","QM",INDEX(10_ASIL_Matrix!$D$4:$F$15,MATCH(J2746&amp;"-"&amp;L2746,10_ASIL_Matrix!$C$4:$C$15,0),MATCH(N2746,10_ASIL_Matrix!$D$3:$F$3,0)))))</f>
        <v>B</v>
      </c>
      <c r="Q2746" s="5" t="s">
        <v>448</v>
      </c>
    </row>
    <row r="2747" customFormat="false" ht="35.05" hidden="false" customHeight="false" outlineLevel="0" collapsed="false">
      <c r="A2747" s="6" t="s">
        <v>6220</v>
      </c>
      <c r="B2747" s="6" t="s">
        <v>125</v>
      </c>
      <c r="C2747" s="6" t="s">
        <v>126</v>
      </c>
      <c r="D2747" s="6" t="s">
        <v>146</v>
      </c>
      <c r="E2747" s="6" t="s">
        <v>147</v>
      </c>
      <c r="F2747" s="6" t="s">
        <v>202</v>
      </c>
      <c r="G2747" s="6" t="s">
        <v>590</v>
      </c>
      <c r="H2747" s="6" t="s">
        <v>224</v>
      </c>
      <c r="I2747" s="6" t="s">
        <v>6221</v>
      </c>
      <c r="J2747" s="6" t="s">
        <v>250</v>
      </c>
      <c r="K2747" s="6" t="s">
        <v>572</v>
      </c>
      <c r="L2747" s="6" t="s">
        <v>190</v>
      </c>
      <c r="M2747" s="6" t="s">
        <v>595</v>
      </c>
      <c r="N2747" s="6" t="s">
        <v>282</v>
      </c>
      <c r="O2747" s="6" t="s">
        <v>447</v>
      </c>
      <c r="P2747" s="19" t="str">
        <f aca="false">IF(J2747="S0","—",IF(K2747="","",IF(L2747="E0","QM",INDEX(10_ASIL_Matrix!$D$4:$F$15,MATCH(J2747&amp;"-"&amp;L2747,10_ASIL_Matrix!$C$4:$C$15,0),MATCH(N2747,10_ASIL_Matrix!$D$3:$F$3,0)))))</f>
        <v>A</v>
      </c>
      <c r="Q2747" s="6" t="s">
        <v>448</v>
      </c>
    </row>
    <row r="2748" customFormat="false" ht="35.05" hidden="false" customHeight="false" outlineLevel="0" collapsed="false">
      <c r="A2748" s="5" t="s">
        <v>6222</v>
      </c>
      <c r="B2748" s="5" t="s">
        <v>125</v>
      </c>
      <c r="C2748" s="5" t="s">
        <v>126</v>
      </c>
      <c r="D2748" s="5" t="s">
        <v>146</v>
      </c>
      <c r="E2748" s="5" t="s">
        <v>147</v>
      </c>
      <c r="F2748" s="5" t="s">
        <v>202</v>
      </c>
      <c r="G2748" s="5" t="s">
        <v>590</v>
      </c>
      <c r="H2748" s="5" t="s">
        <v>226</v>
      </c>
      <c r="I2748" s="5" t="s">
        <v>6223</v>
      </c>
      <c r="J2748" s="5" t="s">
        <v>250</v>
      </c>
      <c r="K2748" s="5" t="s">
        <v>572</v>
      </c>
      <c r="L2748" s="5" t="s">
        <v>190</v>
      </c>
      <c r="M2748" s="5" t="s">
        <v>598</v>
      </c>
      <c r="N2748" s="5" t="s">
        <v>282</v>
      </c>
      <c r="O2748" s="5" t="s">
        <v>447</v>
      </c>
      <c r="P2748" s="19" t="str">
        <f aca="false">IF(J2748="S0","—",IF(K2748="","",IF(L2748="E0","QM",INDEX(10_ASIL_Matrix!$D$4:$F$15,MATCH(J2748&amp;"-"&amp;L2748,10_ASIL_Matrix!$C$4:$C$15,0),MATCH(N2748,10_ASIL_Matrix!$D$3:$F$3,0)))))</f>
        <v>A</v>
      </c>
      <c r="Q2748" s="5" t="s">
        <v>448</v>
      </c>
    </row>
    <row r="2749" customFormat="false" ht="35.05" hidden="false" customHeight="false" outlineLevel="0" collapsed="false">
      <c r="A2749" s="6" t="s">
        <v>6224</v>
      </c>
      <c r="B2749" s="6" t="s">
        <v>125</v>
      </c>
      <c r="C2749" s="6" t="s">
        <v>126</v>
      </c>
      <c r="D2749" s="6" t="s">
        <v>146</v>
      </c>
      <c r="E2749" s="6" t="s">
        <v>147</v>
      </c>
      <c r="F2749" s="6" t="s">
        <v>202</v>
      </c>
      <c r="G2749" s="6" t="s">
        <v>590</v>
      </c>
      <c r="H2749" s="6" t="s">
        <v>228</v>
      </c>
      <c r="I2749" s="6" t="s">
        <v>6225</v>
      </c>
      <c r="J2749" s="6" t="s">
        <v>250</v>
      </c>
      <c r="K2749" s="6" t="s">
        <v>572</v>
      </c>
      <c r="L2749" s="6" t="s">
        <v>205</v>
      </c>
      <c r="M2749" s="6" t="s">
        <v>601</v>
      </c>
      <c r="N2749" s="6" t="s">
        <v>282</v>
      </c>
      <c r="O2749" s="6" t="s">
        <v>447</v>
      </c>
      <c r="P2749" s="6" t="str">
        <f aca="false">IF(J2749="S0","—",IF(K2749="","",IF(L2749="E0","QM",INDEX(10_ASIL_Matrix!$D$4:$F$15,MATCH(J2749&amp;"-"&amp;L2749,10_ASIL_Matrix!$C$4:$C$15,0),MATCH(N2749,10_ASIL_Matrix!$D$3:$F$3,0)))))</f>
        <v>QM</v>
      </c>
      <c r="Q2749" s="6" t="s">
        <v>448</v>
      </c>
    </row>
    <row r="2750" customFormat="false" ht="35.05" hidden="false" customHeight="false" outlineLevel="0" collapsed="false">
      <c r="A2750" s="5" t="s">
        <v>6226</v>
      </c>
      <c r="B2750" s="5" t="s">
        <v>125</v>
      </c>
      <c r="C2750" s="5" t="s">
        <v>126</v>
      </c>
      <c r="D2750" s="5" t="s">
        <v>146</v>
      </c>
      <c r="E2750" s="5" t="s">
        <v>147</v>
      </c>
      <c r="F2750" s="5" t="s">
        <v>202</v>
      </c>
      <c r="G2750" s="5" t="s">
        <v>590</v>
      </c>
      <c r="H2750" s="5" t="s">
        <v>230</v>
      </c>
      <c r="I2750" s="5" t="s">
        <v>6227</v>
      </c>
      <c r="J2750" s="5" t="s">
        <v>250</v>
      </c>
      <c r="K2750" s="5" t="s">
        <v>572</v>
      </c>
      <c r="L2750" s="5" t="s">
        <v>205</v>
      </c>
      <c r="M2750" s="5" t="s">
        <v>604</v>
      </c>
      <c r="N2750" s="5" t="s">
        <v>286</v>
      </c>
      <c r="O2750" s="5" t="s">
        <v>461</v>
      </c>
      <c r="P2750" s="19" t="str">
        <f aca="false">IF(J2750="S0","—",IF(K2750="","",IF(L2750="E0","QM",INDEX(10_ASIL_Matrix!$D$4:$F$15,MATCH(J2750&amp;"-"&amp;L2750,10_ASIL_Matrix!$C$4:$C$15,0),MATCH(N2750,10_ASIL_Matrix!$D$3:$F$3,0)))))</f>
        <v>A</v>
      </c>
      <c r="Q2750" s="5" t="s">
        <v>448</v>
      </c>
    </row>
    <row r="2751" customFormat="false" ht="46.25" hidden="false" customHeight="false" outlineLevel="0" collapsed="false">
      <c r="A2751" s="6" t="s">
        <v>6228</v>
      </c>
      <c r="B2751" s="6" t="s">
        <v>125</v>
      </c>
      <c r="C2751" s="6" t="s">
        <v>126</v>
      </c>
      <c r="D2751" s="6" t="s">
        <v>146</v>
      </c>
      <c r="E2751" s="6" t="s">
        <v>147</v>
      </c>
      <c r="F2751" s="6" t="s">
        <v>202</v>
      </c>
      <c r="G2751" s="6" t="s">
        <v>590</v>
      </c>
      <c r="H2751" s="6" t="s">
        <v>232</v>
      </c>
      <c r="I2751" s="6" t="s">
        <v>6229</v>
      </c>
      <c r="J2751" s="6" t="s">
        <v>250</v>
      </c>
      <c r="K2751" s="6" t="s">
        <v>572</v>
      </c>
      <c r="L2751" s="6" t="s">
        <v>233</v>
      </c>
      <c r="M2751" s="6" t="s">
        <v>607</v>
      </c>
      <c r="N2751" s="6" t="s">
        <v>282</v>
      </c>
      <c r="O2751" s="6" t="s">
        <v>447</v>
      </c>
      <c r="P2751" s="6" t="str">
        <f aca="false">IF(J2751="S0","—",IF(K2751="","",IF(L2751="E0","QM",INDEX(10_ASIL_Matrix!$D$4:$F$15,MATCH(J2751&amp;"-"&amp;L2751,10_ASIL_Matrix!$C$4:$C$15,0),MATCH(N2751,10_ASIL_Matrix!$D$3:$F$3,0)))))</f>
        <v>QM</v>
      </c>
      <c r="Q2751" s="6" t="s">
        <v>448</v>
      </c>
    </row>
    <row r="2752" customFormat="false" ht="35.05" hidden="false" customHeight="false" outlineLevel="0" collapsed="false">
      <c r="A2752" s="5" t="s">
        <v>6230</v>
      </c>
      <c r="B2752" s="5" t="s">
        <v>125</v>
      </c>
      <c r="C2752" s="5" t="s">
        <v>126</v>
      </c>
      <c r="D2752" s="5" t="s">
        <v>146</v>
      </c>
      <c r="E2752" s="5" t="s">
        <v>147</v>
      </c>
      <c r="F2752" s="5" t="s">
        <v>204</v>
      </c>
      <c r="G2752" s="5" t="s">
        <v>609</v>
      </c>
      <c r="H2752" s="5" t="s">
        <v>222</v>
      </c>
      <c r="I2752" s="5" t="s">
        <v>6231</v>
      </c>
      <c r="J2752" s="5" t="s">
        <v>250</v>
      </c>
      <c r="K2752" s="5" t="s">
        <v>611</v>
      </c>
      <c r="L2752" s="5" t="s">
        <v>205</v>
      </c>
      <c r="M2752" s="5" t="s">
        <v>612</v>
      </c>
      <c r="N2752" s="5" t="s">
        <v>282</v>
      </c>
      <c r="O2752" s="5" t="s">
        <v>613</v>
      </c>
      <c r="P2752" s="5" t="str">
        <f aca="false">IF(J2752="S0","—",IF(K2752="","",IF(L2752="E0","QM",INDEX(10_ASIL_Matrix!$D$4:$F$15,MATCH(J2752&amp;"-"&amp;L2752,10_ASIL_Matrix!$C$4:$C$15,0),MATCH(N2752,10_ASIL_Matrix!$D$3:$F$3,0)))))</f>
        <v>QM</v>
      </c>
      <c r="Q2752" s="5" t="s">
        <v>448</v>
      </c>
    </row>
    <row r="2753" customFormat="false" ht="35.05" hidden="false" customHeight="false" outlineLevel="0" collapsed="false">
      <c r="A2753" s="6" t="s">
        <v>6232</v>
      </c>
      <c r="B2753" s="6" t="s">
        <v>125</v>
      </c>
      <c r="C2753" s="6" t="s">
        <v>126</v>
      </c>
      <c r="D2753" s="6" t="s">
        <v>146</v>
      </c>
      <c r="E2753" s="6" t="s">
        <v>147</v>
      </c>
      <c r="F2753" s="6" t="s">
        <v>204</v>
      </c>
      <c r="G2753" s="6" t="s">
        <v>609</v>
      </c>
      <c r="H2753" s="6" t="s">
        <v>224</v>
      </c>
      <c r="I2753" s="6" t="s">
        <v>6233</v>
      </c>
      <c r="J2753" s="6" t="s">
        <v>250</v>
      </c>
      <c r="K2753" s="6" t="s">
        <v>611</v>
      </c>
      <c r="L2753" s="6" t="s">
        <v>205</v>
      </c>
      <c r="M2753" s="6" t="s">
        <v>616</v>
      </c>
      <c r="N2753" s="6" t="s">
        <v>282</v>
      </c>
      <c r="O2753" s="6" t="s">
        <v>613</v>
      </c>
      <c r="P2753" s="6" t="str">
        <f aca="false">IF(J2753="S0","—",IF(K2753="","",IF(L2753="E0","QM",INDEX(10_ASIL_Matrix!$D$4:$F$15,MATCH(J2753&amp;"-"&amp;L2753,10_ASIL_Matrix!$C$4:$C$15,0),MATCH(N2753,10_ASIL_Matrix!$D$3:$F$3,0)))))</f>
        <v>QM</v>
      </c>
      <c r="Q2753" s="6" t="s">
        <v>448</v>
      </c>
    </row>
    <row r="2754" customFormat="false" ht="35.05" hidden="false" customHeight="false" outlineLevel="0" collapsed="false">
      <c r="A2754" s="5" t="s">
        <v>6234</v>
      </c>
      <c r="B2754" s="5" t="s">
        <v>125</v>
      </c>
      <c r="C2754" s="5" t="s">
        <v>126</v>
      </c>
      <c r="D2754" s="5" t="s">
        <v>146</v>
      </c>
      <c r="E2754" s="5" t="s">
        <v>147</v>
      </c>
      <c r="F2754" s="5" t="s">
        <v>204</v>
      </c>
      <c r="G2754" s="5" t="s">
        <v>609</v>
      </c>
      <c r="H2754" s="5" t="s">
        <v>226</v>
      </c>
      <c r="I2754" s="5" t="s">
        <v>6235</v>
      </c>
      <c r="J2754" s="5" t="s">
        <v>250</v>
      </c>
      <c r="K2754" s="5" t="s">
        <v>611</v>
      </c>
      <c r="L2754" s="5" t="s">
        <v>205</v>
      </c>
      <c r="M2754" s="5" t="s">
        <v>619</v>
      </c>
      <c r="N2754" s="5" t="s">
        <v>282</v>
      </c>
      <c r="O2754" s="5" t="s">
        <v>613</v>
      </c>
      <c r="P2754" s="5" t="str">
        <f aca="false">IF(J2754="S0","—",IF(K2754="","",IF(L2754="E0","QM",INDEX(10_ASIL_Matrix!$D$4:$F$15,MATCH(J2754&amp;"-"&amp;L2754,10_ASIL_Matrix!$C$4:$C$15,0),MATCH(N2754,10_ASIL_Matrix!$D$3:$F$3,0)))))</f>
        <v>QM</v>
      </c>
      <c r="Q2754" s="5" t="s">
        <v>448</v>
      </c>
    </row>
    <row r="2755" customFormat="false" ht="46.25" hidden="false" customHeight="false" outlineLevel="0" collapsed="false">
      <c r="A2755" s="6" t="s">
        <v>6236</v>
      </c>
      <c r="B2755" s="6" t="s">
        <v>125</v>
      </c>
      <c r="C2755" s="6" t="s">
        <v>126</v>
      </c>
      <c r="D2755" s="6" t="s">
        <v>146</v>
      </c>
      <c r="E2755" s="6" t="s">
        <v>147</v>
      </c>
      <c r="F2755" s="6" t="s">
        <v>204</v>
      </c>
      <c r="G2755" s="6" t="s">
        <v>609</v>
      </c>
      <c r="H2755" s="6" t="s">
        <v>228</v>
      </c>
      <c r="I2755" s="6" t="s">
        <v>6237</v>
      </c>
      <c r="J2755" s="6" t="s">
        <v>250</v>
      </c>
      <c r="K2755" s="6" t="s">
        <v>611</v>
      </c>
      <c r="L2755" s="6" t="s">
        <v>205</v>
      </c>
      <c r="M2755" s="6" t="s">
        <v>622</v>
      </c>
      <c r="N2755" s="6" t="s">
        <v>282</v>
      </c>
      <c r="O2755" s="6" t="s">
        <v>613</v>
      </c>
      <c r="P2755" s="6" t="str">
        <f aca="false">IF(J2755="S0","—",IF(K2755="","",IF(L2755="E0","QM",INDEX(10_ASIL_Matrix!$D$4:$F$15,MATCH(J2755&amp;"-"&amp;L2755,10_ASIL_Matrix!$C$4:$C$15,0),MATCH(N2755,10_ASIL_Matrix!$D$3:$F$3,0)))))</f>
        <v>QM</v>
      </c>
      <c r="Q2755" s="6" t="s">
        <v>448</v>
      </c>
    </row>
    <row r="2756" customFormat="false" ht="46.25" hidden="false" customHeight="false" outlineLevel="0" collapsed="false">
      <c r="A2756" s="5" t="s">
        <v>6238</v>
      </c>
      <c r="B2756" s="5" t="s">
        <v>125</v>
      </c>
      <c r="C2756" s="5" t="s">
        <v>126</v>
      </c>
      <c r="D2756" s="5" t="s">
        <v>146</v>
      </c>
      <c r="E2756" s="5" t="s">
        <v>147</v>
      </c>
      <c r="F2756" s="5" t="s">
        <v>204</v>
      </c>
      <c r="G2756" s="5" t="s">
        <v>609</v>
      </c>
      <c r="H2756" s="5" t="s">
        <v>230</v>
      </c>
      <c r="I2756" s="5" t="s">
        <v>6239</v>
      </c>
      <c r="J2756" s="5" t="s">
        <v>250</v>
      </c>
      <c r="K2756" s="5" t="s">
        <v>611</v>
      </c>
      <c r="L2756" s="5" t="s">
        <v>205</v>
      </c>
      <c r="M2756" s="5" t="s">
        <v>625</v>
      </c>
      <c r="N2756" s="5" t="s">
        <v>286</v>
      </c>
      <c r="O2756" s="5" t="s">
        <v>626</v>
      </c>
      <c r="P2756" s="19" t="str">
        <f aca="false">IF(J2756="S0","—",IF(K2756="","",IF(L2756="E0","QM",INDEX(10_ASIL_Matrix!$D$4:$F$15,MATCH(J2756&amp;"-"&amp;L2756,10_ASIL_Matrix!$C$4:$C$15,0),MATCH(N2756,10_ASIL_Matrix!$D$3:$F$3,0)))))</f>
        <v>A</v>
      </c>
      <c r="Q2756" s="5" t="s">
        <v>448</v>
      </c>
    </row>
    <row r="2757" customFormat="false" ht="46.25" hidden="false" customHeight="false" outlineLevel="0" collapsed="false">
      <c r="A2757" s="6" t="s">
        <v>6240</v>
      </c>
      <c r="B2757" s="6" t="s">
        <v>125</v>
      </c>
      <c r="C2757" s="6" t="s">
        <v>126</v>
      </c>
      <c r="D2757" s="6" t="s">
        <v>146</v>
      </c>
      <c r="E2757" s="6" t="s">
        <v>147</v>
      </c>
      <c r="F2757" s="6" t="s">
        <v>204</v>
      </c>
      <c r="G2757" s="6" t="s">
        <v>609</v>
      </c>
      <c r="H2757" s="6" t="s">
        <v>232</v>
      </c>
      <c r="I2757" s="6" t="s">
        <v>6241</v>
      </c>
      <c r="J2757" s="6" t="s">
        <v>250</v>
      </c>
      <c r="K2757" s="6" t="s">
        <v>611</v>
      </c>
      <c r="L2757" s="6" t="s">
        <v>233</v>
      </c>
      <c r="M2757" s="6" t="s">
        <v>629</v>
      </c>
      <c r="N2757" s="6" t="s">
        <v>282</v>
      </c>
      <c r="O2757" s="6" t="s">
        <v>613</v>
      </c>
      <c r="P2757" s="6" t="str">
        <f aca="false">IF(J2757="S0","—",IF(K2757="","",IF(L2757="E0","QM",INDEX(10_ASIL_Matrix!$D$4:$F$15,MATCH(J2757&amp;"-"&amp;L2757,10_ASIL_Matrix!$C$4:$C$15,0),MATCH(N2757,10_ASIL_Matrix!$D$3:$F$3,0)))))</f>
        <v>QM</v>
      </c>
      <c r="Q2757" s="6" t="s">
        <v>448</v>
      </c>
    </row>
    <row r="2758" customFormat="false" ht="35.05" hidden="false" customHeight="false" outlineLevel="0" collapsed="false">
      <c r="A2758" s="5" t="s">
        <v>6242</v>
      </c>
      <c r="B2758" s="5" t="s">
        <v>125</v>
      </c>
      <c r="C2758" s="5" t="s">
        <v>126</v>
      </c>
      <c r="D2758" s="5" t="s">
        <v>146</v>
      </c>
      <c r="E2758" s="5" t="s">
        <v>147</v>
      </c>
      <c r="F2758" s="5" t="s">
        <v>207</v>
      </c>
      <c r="G2758" s="5" t="s">
        <v>609</v>
      </c>
      <c r="H2758" s="5" t="s">
        <v>222</v>
      </c>
      <c r="I2758" s="5" t="s">
        <v>6243</v>
      </c>
      <c r="J2758" s="5" t="s">
        <v>238</v>
      </c>
      <c r="K2758" s="5" t="s">
        <v>632</v>
      </c>
      <c r="L2758" s="5" t="s">
        <v>190</v>
      </c>
      <c r="M2758" s="5" t="s">
        <v>633</v>
      </c>
      <c r="N2758" s="5" t="s">
        <v>278</v>
      </c>
      <c r="O2758" s="5" t="s">
        <v>634</v>
      </c>
      <c r="P2758" s="5" t="str">
        <f aca="false">IF(J2758="S0","—",IF(K2758="","",IF(L2758="E0","QM",INDEX(10_ASIL_Matrix!$D$4:$F$15,MATCH(J2758&amp;"-"&amp;L2758,10_ASIL_Matrix!$C$4:$C$15,0),MATCH(N2758,10_ASIL_Matrix!$D$3:$F$3,0)))))</f>
        <v>—</v>
      </c>
      <c r="Q2758" s="5" t="s">
        <v>448</v>
      </c>
    </row>
    <row r="2759" customFormat="false" ht="35.05" hidden="false" customHeight="false" outlineLevel="0" collapsed="false">
      <c r="A2759" s="6" t="s">
        <v>6244</v>
      </c>
      <c r="B2759" s="6" t="s">
        <v>125</v>
      </c>
      <c r="C2759" s="6" t="s">
        <v>126</v>
      </c>
      <c r="D2759" s="6" t="s">
        <v>146</v>
      </c>
      <c r="E2759" s="6" t="s">
        <v>147</v>
      </c>
      <c r="F2759" s="6" t="s">
        <v>207</v>
      </c>
      <c r="G2759" s="6" t="s">
        <v>609</v>
      </c>
      <c r="H2759" s="6" t="s">
        <v>224</v>
      </c>
      <c r="I2759" s="6" t="s">
        <v>6245</v>
      </c>
      <c r="J2759" s="6" t="s">
        <v>238</v>
      </c>
      <c r="K2759" s="6" t="s">
        <v>632</v>
      </c>
      <c r="L2759" s="6" t="s">
        <v>190</v>
      </c>
      <c r="M2759" s="6" t="s">
        <v>637</v>
      </c>
      <c r="N2759" s="6" t="s">
        <v>278</v>
      </c>
      <c r="O2759" s="6" t="s">
        <v>634</v>
      </c>
      <c r="P2759" s="6" t="str">
        <f aca="false">IF(J2759="S0","—",IF(K2759="","",IF(L2759="E0","QM",INDEX(10_ASIL_Matrix!$D$4:$F$15,MATCH(J2759&amp;"-"&amp;L2759,10_ASIL_Matrix!$C$4:$C$15,0),MATCH(N2759,10_ASIL_Matrix!$D$3:$F$3,0)))))</f>
        <v>—</v>
      </c>
      <c r="Q2759" s="6" t="s">
        <v>448</v>
      </c>
    </row>
    <row r="2760" customFormat="false" ht="35.05" hidden="false" customHeight="false" outlineLevel="0" collapsed="false">
      <c r="A2760" s="5" t="s">
        <v>6246</v>
      </c>
      <c r="B2760" s="5" t="s">
        <v>125</v>
      </c>
      <c r="C2760" s="5" t="s">
        <v>126</v>
      </c>
      <c r="D2760" s="5" t="s">
        <v>146</v>
      </c>
      <c r="E2760" s="5" t="s">
        <v>147</v>
      </c>
      <c r="F2760" s="5" t="s">
        <v>207</v>
      </c>
      <c r="G2760" s="5" t="s">
        <v>609</v>
      </c>
      <c r="H2760" s="5" t="s">
        <v>226</v>
      </c>
      <c r="I2760" s="5" t="s">
        <v>6247</v>
      </c>
      <c r="J2760" s="5" t="s">
        <v>238</v>
      </c>
      <c r="K2760" s="5" t="s">
        <v>632</v>
      </c>
      <c r="L2760" s="5" t="s">
        <v>190</v>
      </c>
      <c r="M2760" s="5" t="s">
        <v>640</v>
      </c>
      <c r="N2760" s="5" t="s">
        <v>278</v>
      </c>
      <c r="O2760" s="5" t="s">
        <v>634</v>
      </c>
      <c r="P2760" s="5" t="str">
        <f aca="false">IF(J2760="S0","—",IF(K2760="","",IF(L2760="E0","QM",INDEX(10_ASIL_Matrix!$D$4:$F$15,MATCH(J2760&amp;"-"&amp;L2760,10_ASIL_Matrix!$C$4:$C$15,0),MATCH(N2760,10_ASIL_Matrix!$D$3:$F$3,0)))))</f>
        <v>—</v>
      </c>
      <c r="Q2760" s="5" t="s">
        <v>448</v>
      </c>
    </row>
    <row r="2761" customFormat="false" ht="46.25" hidden="false" customHeight="false" outlineLevel="0" collapsed="false">
      <c r="A2761" s="6" t="s">
        <v>6248</v>
      </c>
      <c r="B2761" s="6" t="s">
        <v>125</v>
      </c>
      <c r="C2761" s="6" t="s">
        <v>126</v>
      </c>
      <c r="D2761" s="6" t="s">
        <v>146</v>
      </c>
      <c r="E2761" s="6" t="s">
        <v>147</v>
      </c>
      <c r="F2761" s="6" t="s">
        <v>207</v>
      </c>
      <c r="G2761" s="6" t="s">
        <v>609</v>
      </c>
      <c r="H2761" s="6" t="s">
        <v>228</v>
      </c>
      <c r="I2761" s="6" t="s">
        <v>6249</v>
      </c>
      <c r="J2761" s="6" t="s">
        <v>238</v>
      </c>
      <c r="K2761" s="6" t="s">
        <v>632</v>
      </c>
      <c r="L2761" s="6" t="s">
        <v>205</v>
      </c>
      <c r="M2761" s="6" t="s">
        <v>643</v>
      </c>
      <c r="N2761" s="6" t="s">
        <v>278</v>
      </c>
      <c r="O2761" s="6" t="s">
        <v>634</v>
      </c>
      <c r="P2761" s="6" t="str">
        <f aca="false">IF(J2761="S0","—",IF(K2761="","",IF(L2761="E0","QM",INDEX(10_ASIL_Matrix!$D$4:$F$15,MATCH(J2761&amp;"-"&amp;L2761,10_ASIL_Matrix!$C$4:$C$15,0),MATCH(N2761,10_ASIL_Matrix!$D$3:$F$3,0)))))</f>
        <v>—</v>
      </c>
      <c r="Q2761" s="6" t="s">
        <v>448</v>
      </c>
    </row>
    <row r="2762" customFormat="false" ht="46.25" hidden="false" customHeight="false" outlineLevel="0" collapsed="false">
      <c r="A2762" s="5" t="s">
        <v>6250</v>
      </c>
      <c r="B2762" s="5" t="s">
        <v>125</v>
      </c>
      <c r="C2762" s="5" t="s">
        <v>126</v>
      </c>
      <c r="D2762" s="5" t="s">
        <v>146</v>
      </c>
      <c r="E2762" s="5" t="s">
        <v>147</v>
      </c>
      <c r="F2762" s="5" t="s">
        <v>207</v>
      </c>
      <c r="G2762" s="5" t="s">
        <v>609</v>
      </c>
      <c r="H2762" s="5" t="s">
        <v>230</v>
      </c>
      <c r="I2762" s="5" t="s">
        <v>6251</v>
      </c>
      <c r="J2762" s="5" t="s">
        <v>238</v>
      </c>
      <c r="K2762" s="5" t="s">
        <v>632</v>
      </c>
      <c r="L2762" s="5" t="s">
        <v>205</v>
      </c>
      <c r="M2762" s="5" t="s">
        <v>646</v>
      </c>
      <c r="N2762" s="5" t="s">
        <v>278</v>
      </c>
      <c r="O2762" s="5" t="s">
        <v>634</v>
      </c>
      <c r="P2762" s="5" t="str">
        <f aca="false">IF(J2762="S0","—",IF(K2762="","",IF(L2762="E0","QM",INDEX(10_ASIL_Matrix!$D$4:$F$15,MATCH(J2762&amp;"-"&amp;L2762,10_ASIL_Matrix!$C$4:$C$15,0),MATCH(N2762,10_ASIL_Matrix!$D$3:$F$3,0)))))</f>
        <v>—</v>
      </c>
      <c r="Q2762" s="5" t="s">
        <v>448</v>
      </c>
    </row>
    <row r="2763" customFormat="false" ht="46.25" hidden="false" customHeight="false" outlineLevel="0" collapsed="false">
      <c r="A2763" s="6" t="s">
        <v>6252</v>
      </c>
      <c r="B2763" s="6" t="s">
        <v>125</v>
      </c>
      <c r="C2763" s="6" t="s">
        <v>126</v>
      </c>
      <c r="D2763" s="6" t="s">
        <v>146</v>
      </c>
      <c r="E2763" s="6" t="s">
        <v>147</v>
      </c>
      <c r="F2763" s="6" t="s">
        <v>207</v>
      </c>
      <c r="G2763" s="6" t="s">
        <v>609</v>
      </c>
      <c r="H2763" s="6" t="s">
        <v>232</v>
      </c>
      <c r="I2763" s="6" t="s">
        <v>6253</v>
      </c>
      <c r="J2763" s="6" t="s">
        <v>238</v>
      </c>
      <c r="K2763" s="6" t="s">
        <v>632</v>
      </c>
      <c r="L2763" s="6" t="s">
        <v>233</v>
      </c>
      <c r="M2763" s="6" t="s">
        <v>649</v>
      </c>
      <c r="N2763" s="6" t="s">
        <v>278</v>
      </c>
      <c r="O2763" s="6" t="s">
        <v>634</v>
      </c>
      <c r="P2763" s="6" t="str">
        <f aca="false">IF(J2763="S0","—",IF(K2763="","",IF(L2763="E0","QM",INDEX(10_ASIL_Matrix!$D$4:$F$15,MATCH(J2763&amp;"-"&amp;L2763,10_ASIL_Matrix!$C$4:$C$15,0),MATCH(N2763,10_ASIL_Matrix!$D$3:$F$3,0)))))</f>
        <v>—</v>
      </c>
      <c r="Q2763" s="6" t="s">
        <v>448</v>
      </c>
    </row>
    <row r="2764" customFormat="false" ht="35.05" hidden="false" customHeight="false" outlineLevel="0" collapsed="false">
      <c r="A2764" s="5" t="s">
        <v>6254</v>
      </c>
      <c r="B2764" s="5" t="s">
        <v>125</v>
      </c>
      <c r="C2764" s="5" t="s">
        <v>126</v>
      </c>
      <c r="D2764" s="5" t="s">
        <v>146</v>
      </c>
      <c r="E2764" s="5" t="s">
        <v>147</v>
      </c>
      <c r="F2764" s="5" t="s">
        <v>209</v>
      </c>
      <c r="G2764" s="5" t="s">
        <v>570</v>
      </c>
      <c r="H2764" s="5" t="s">
        <v>222</v>
      </c>
      <c r="I2764" s="5" t="s">
        <v>6255</v>
      </c>
      <c r="J2764" s="5" t="s">
        <v>250</v>
      </c>
      <c r="K2764" s="5" t="s">
        <v>652</v>
      </c>
      <c r="L2764" s="5" t="s">
        <v>190</v>
      </c>
      <c r="M2764" s="5" t="s">
        <v>653</v>
      </c>
      <c r="N2764" s="5" t="s">
        <v>286</v>
      </c>
      <c r="O2764" s="5" t="s">
        <v>470</v>
      </c>
      <c r="P2764" s="18" t="str">
        <f aca="false">IF(J2764="S0","—",IF(K2764="","",IF(L2764="E0","QM",INDEX(10_ASIL_Matrix!$D$4:$F$15,MATCH(J2764&amp;"-"&amp;L2764,10_ASIL_Matrix!$C$4:$C$15,0),MATCH(N2764,10_ASIL_Matrix!$D$3:$F$3,0)))))</f>
        <v>B</v>
      </c>
      <c r="Q2764" s="5" t="s">
        <v>448</v>
      </c>
    </row>
    <row r="2765" customFormat="false" ht="35.05" hidden="false" customHeight="false" outlineLevel="0" collapsed="false">
      <c r="A2765" s="6" t="s">
        <v>6256</v>
      </c>
      <c r="B2765" s="6" t="s">
        <v>125</v>
      </c>
      <c r="C2765" s="6" t="s">
        <v>126</v>
      </c>
      <c r="D2765" s="6" t="s">
        <v>146</v>
      </c>
      <c r="E2765" s="6" t="s">
        <v>147</v>
      </c>
      <c r="F2765" s="6" t="s">
        <v>209</v>
      </c>
      <c r="G2765" s="6" t="s">
        <v>570</v>
      </c>
      <c r="H2765" s="6" t="s">
        <v>224</v>
      </c>
      <c r="I2765" s="6" t="s">
        <v>6257</v>
      </c>
      <c r="J2765" s="6" t="s">
        <v>250</v>
      </c>
      <c r="K2765" s="6" t="s">
        <v>652</v>
      </c>
      <c r="L2765" s="6" t="s">
        <v>190</v>
      </c>
      <c r="M2765" s="6" t="s">
        <v>656</v>
      </c>
      <c r="N2765" s="6" t="s">
        <v>286</v>
      </c>
      <c r="O2765" s="6" t="s">
        <v>470</v>
      </c>
      <c r="P2765" s="18" t="str">
        <f aca="false">IF(J2765="S0","—",IF(K2765="","",IF(L2765="E0","QM",INDEX(10_ASIL_Matrix!$D$4:$F$15,MATCH(J2765&amp;"-"&amp;L2765,10_ASIL_Matrix!$C$4:$C$15,0),MATCH(N2765,10_ASIL_Matrix!$D$3:$F$3,0)))))</f>
        <v>B</v>
      </c>
      <c r="Q2765" s="6" t="s">
        <v>448</v>
      </c>
    </row>
    <row r="2766" customFormat="false" ht="35.05" hidden="false" customHeight="false" outlineLevel="0" collapsed="false">
      <c r="A2766" s="5" t="s">
        <v>6258</v>
      </c>
      <c r="B2766" s="5" t="s">
        <v>125</v>
      </c>
      <c r="C2766" s="5" t="s">
        <v>126</v>
      </c>
      <c r="D2766" s="5" t="s">
        <v>146</v>
      </c>
      <c r="E2766" s="5" t="s">
        <v>147</v>
      </c>
      <c r="F2766" s="5" t="s">
        <v>209</v>
      </c>
      <c r="G2766" s="5" t="s">
        <v>570</v>
      </c>
      <c r="H2766" s="5" t="s">
        <v>226</v>
      </c>
      <c r="I2766" s="5" t="s">
        <v>6259</v>
      </c>
      <c r="J2766" s="5" t="s">
        <v>250</v>
      </c>
      <c r="K2766" s="5" t="s">
        <v>652</v>
      </c>
      <c r="L2766" s="5" t="s">
        <v>190</v>
      </c>
      <c r="M2766" s="5" t="s">
        <v>659</v>
      </c>
      <c r="N2766" s="5" t="s">
        <v>286</v>
      </c>
      <c r="O2766" s="5" t="s">
        <v>470</v>
      </c>
      <c r="P2766" s="18" t="str">
        <f aca="false">IF(J2766="S0","—",IF(K2766="","",IF(L2766="E0","QM",INDEX(10_ASIL_Matrix!$D$4:$F$15,MATCH(J2766&amp;"-"&amp;L2766,10_ASIL_Matrix!$C$4:$C$15,0),MATCH(N2766,10_ASIL_Matrix!$D$3:$F$3,0)))))</f>
        <v>B</v>
      </c>
      <c r="Q2766" s="5" t="s">
        <v>448</v>
      </c>
    </row>
    <row r="2767" customFormat="false" ht="35.05" hidden="false" customHeight="false" outlineLevel="0" collapsed="false">
      <c r="A2767" s="6" t="s">
        <v>6260</v>
      </c>
      <c r="B2767" s="6" t="s">
        <v>125</v>
      </c>
      <c r="C2767" s="6" t="s">
        <v>126</v>
      </c>
      <c r="D2767" s="6" t="s">
        <v>146</v>
      </c>
      <c r="E2767" s="6" t="s">
        <v>147</v>
      </c>
      <c r="F2767" s="6" t="s">
        <v>209</v>
      </c>
      <c r="G2767" s="6" t="s">
        <v>570</v>
      </c>
      <c r="H2767" s="6" t="s">
        <v>228</v>
      </c>
      <c r="I2767" s="6" t="s">
        <v>6261</v>
      </c>
      <c r="J2767" s="6" t="s">
        <v>250</v>
      </c>
      <c r="K2767" s="6" t="s">
        <v>652</v>
      </c>
      <c r="L2767" s="6" t="s">
        <v>205</v>
      </c>
      <c r="M2767" s="6" t="s">
        <v>662</v>
      </c>
      <c r="N2767" s="6" t="s">
        <v>286</v>
      </c>
      <c r="O2767" s="6" t="s">
        <v>470</v>
      </c>
      <c r="P2767" s="19" t="str">
        <f aca="false">IF(J2767="S0","—",IF(K2767="","",IF(L2767="E0","QM",INDEX(10_ASIL_Matrix!$D$4:$F$15,MATCH(J2767&amp;"-"&amp;L2767,10_ASIL_Matrix!$C$4:$C$15,0),MATCH(N2767,10_ASIL_Matrix!$D$3:$F$3,0)))))</f>
        <v>A</v>
      </c>
      <c r="Q2767" s="6" t="s">
        <v>448</v>
      </c>
    </row>
    <row r="2768" customFormat="false" ht="46.25" hidden="false" customHeight="false" outlineLevel="0" collapsed="false">
      <c r="A2768" s="5" t="s">
        <v>6262</v>
      </c>
      <c r="B2768" s="5" t="s">
        <v>125</v>
      </c>
      <c r="C2768" s="5" t="s">
        <v>126</v>
      </c>
      <c r="D2768" s="5" t="s">
        <v>146</v>
      </c>
      <c r="E2768" s="5" t="s">
        <v>147</v>
      </c>
      <c r="F2768" s="5" t="s">
        <v>209</v>
      </c>
      <c r="G2768" s="5" t="s">
        <v>570</v>
      </c>
      <c r="H2768" s="5" t="s">
        <v>230</v>
      </c>
      <c r="I2768" s="5" t="s">
        <v>6263</v>
      </c>
      <c r="J2768" s="5" t="s">
        <v>250</v>
      </c>
      <c r="K2768" s="5" t="s">
        <v>652</v>
      </c>
      <c r="L2768" s="5" t="s">
        <v>205</v>
      </c>
      <c r="M2768" s="5" t="s">
        <v>665</v>
      </c>
      <c r="N2768" s="5" t="s">
        <v>290</v>
      </c>
      <c r="O2768" s="5" t="s">
        <v>483</v>
      </c>
      <c r="P2768" s="18" t="str">
        <f aca="false">IF(J2768="S0","—",IF(K2768="","",IF(L2768="E0","QM",INDEX(10_ASIL_Matrix!$D$4:$F$15,MATCH(J2768&amp;"-"&amp;L2768,10_ASIL_Matrix!$C$4:$C$15,0),MATCH(N2768,10_ASIL_Matrix!$D$3:$F$3,0)))))</f>
        <v>B</v>
      </c>
      <c r="Q2768" s="5" t="s">
        <v>448</v>
      </c>
    </row>
    <row r="2769" customFormat="false" ht="46.25" hidden="false" customHeight="false" outlineLevel="0" collapsed="false">
      <c r="A2769" s="6" t="s">
        <v>6264</v>
      </c>
      <c r="B2769" s="6" t="s">
        <v>125</v>
      </c>
      <c r="C2769" s="6" t="s">
        <v>126</v>
      </c>
      <c r="D2769" s="6" t="s">
        <v>146</v>
      </c>
      <c r="E2769" s="6" t="s">
        <v>147</v>
      </c>
      <c r="F2769" s="6" t="s">
        <v>209</v>
      </c>
      <c r="G2769" s="6" t="s">
        <v>570</v>
      </c>
      <c r="H2769" s="6" t="s">
        <v>232</v>
      </c>
      <c r="I2769" s="6" t="s">
        <v>6265</v>
      </c>
      <c r="J2769" s="6" t="s">
        <v>250</v>
      </c>
      <c r="K2769" s="6" t="s">
        <v>652</v>
      </c>
      <c r="L2769" s="6" t="s">
        <v>233</v>
      </c>
      <c r="M2769" s="6" t="s">
        <v>668</v>
      </c>
      <c r="N2769" s="6" t="s">
        <v>286</v>
      </c>
      <c r="O2769" s="6" t="s">
        <v>470</v>
      </c>
      <c r="P2769" s="6" t="str">
        <f aca="false">IF(J2769="S0","—",IF(K2769="","",IF(L2769="E0","QM",INDEX(10_ASIL_Matrix!$D$4:$F$15,MATCH(J2769&amp;"-"&amp;L2769,10_ASIL_Matrix!$C$4:$C$15,0),MATCH(N2769,10_ASIL_Matrix!$D$3:$F$3,0)))))</f>
        <v>QM</v>
      </c>
      <c r="Q2769" s="6" t="s">
        <v>448</v>
      </c>
    </row>
    <row r="2770" customFormat="false" ht="35.05" hidden="false" customHeight="false" outlineLevel="0" collapsed="false">
      <c r="A2770" s="5" t="s">
        <v>6266</v>
      </c>
      <c r="B2770" s="5" t="s">
        <v>125</v>
      </c>
      <c r="C2770" s="5" t="s">
        <v>126</v>
      </c>
      <c r="D2770" s="5" t="s">
        <v>146</v>
      </c>
      <c r="E2770" s="5" t="s">
        <v>147</v>
      </c>
      <c r="F2770" s="5" t="s">
        <v>211</v>
      </c>
      <c r="G2770" s="5" t="s">
        <v>609</v>
      </c>
      <c r="H2770" s="5" t="s">
        <v>222</v>
      </c>
      <c r="I2770" s="5" t="s">
        <v>6267</v>
      </c>
      <c r="J2770" s="5" t="s">
        <v>238</v>
      </c>
      <c r="K2770" s="5" t="s">
        <v>1273</v>
      </c>
      <c r="L2770" s="5" t="s">
        <v>187</v>
      </c>
      <c r="M2770" s="5" t="s">
        <v>672</v>
      </c>
      <c r="N2770" s="5" t="s">
        <v>278</v>
      </c>
      <c r="O2770" s="5" t="s">
        <v>634</v>
      </c>
      <c r="P2770" s="5" t="str">
        <f aca="false">IF(J2770="S0","—",IF(K2770="","",IF(L2770="E0","QM",INDEX(10_ASIL_Matrix!$D$4:$F$15,MATCH(J2770&amp;"-"&amp;L2770,10_ASIL_Matrix!$C$4:$C$15,0),MATCH(N2770,10_ASIL_Matrix!$D$3:$F$3,0)))))</f>
        <v>—</v>
      </c>
      <c r="Q2770" s="5" t="s">
        <v>448</v>
      </c>
    </row>
    <row r="2771" customFormat="false" ht="35.05" hidden="false" customHeight="false" outlineLevel="0" collapsed="false">
      <c r="A2771" s="6" t="s">
        <v>6268</v>
      </c>
      <c r="B2771" s="6" t="s">
        <v>125</v>
      </c>
      <c r="C2771" s="6" t="s">
        <v>126</v>
      </c>
      <c r="D2771" s="6" t="s">
        <v>146</v>
      </c>
      <c r="E2771" s="6" t="s">
        <v>147</v>
      </c>
      <c r="F2771" s="6" t="s">
        <v>211</v>
      </c>
      <c r="G2771" s="6" t="s">
        <v>609</v>
      </c>
      <c r="H2771" s="6" t="s">
        <v>224</v>
      </c>
      <c r="I2771" s="6" t="s">
        <v>6269</v>
      </c>
      <c r="J2771" s="6" t="s">
        <v>238</v>
      </c>
      <c r="K2771" s="6" t="s">
        <v>1273</v>
      </c>
      <c r="L2771" s="6" t="s">
        <v>190</v>
      </c>
      <c r="M2771" s="6" t="s">
        <v>675</v>
      </c>
      <c r="N2771" s="6" t="s">
        <v>278</v>
      </c>
      <c r="O2771" s="6" t="s">
        <v>634</v>
      </c>
      <c r="P2771" s="6" t="str">
        <f aca="false">IF(J2771="S0","—",IF(K2771="","",IF(L2771="E0","QM",INDEX(10_ASIL_Matrix!$D$4:$F$15,MATCH(J2771&amp;"-"&amp;L2771,10_ASIL_Matrix!$C$4:$C$15,0),MATCH(N2771,10_ASIL_Matrix!$D$3:$F$3,0)))))</f>
        <v>—</v>
      </c>
      <c r="Q2771" s="6" t="s">
        <v>448</v>
      </c>
    </row>
    <row r="2772" customFormat="false" ht="35.05" hidden="false" customHeight="false" outlineLevel="0" collapsed="false">
      <c r="A2772" s="5" t="s">
        <v>6270</v>
      </c>
      <c r="B2772" s="5" t="s">
        <v>125</v>
      </c>
      <c r="C2772" s="5" t="s">
        <v>126</v>
      </c>
      <c r="D2772" s="5" t="s">
        <v>146</v>
      </c>
      <c r="E2772" s="5" t="s">
        <v>147</v>
      </c>
      <c r="F2772" s="5" t="s">
        <v>211</v>
      </c>
      <c r="G2772" s="5" t="s">
        <v>609</v>
      </c>
      <c r="H2772" s="5" t="s">
        <v>226</v>
      </c>
      <c r="I2772" s="5" t="s">
        <v>6271</v>
      </c>
      <c r="J2772" s="5" t="s">
        <v>238</v>
      </c>
      <c r="K2772" s="5" t="s">
        <v>1273</v>
      </c>
      <c r="L2772" s="5" t="s">
        <v>190</v>
      </c>
      <c r="M2772" s="5" t="s">
        <v>678</v>
      </c>
      <c r="N2772" s="5" t="s">
        <v>278</v>
      </c>
      <c r="O2772" s="5" t="s">
        <v>634</v>
      </c>
      <c r="P2772" s="5" t="str">
        <f aca="false">IF(J2772="S0","—",IF(K2772="","",IF(L2772="E0","QM",INDEX(10_ASIL_Matrix!$D$4:$F$15,MATCH(J2772&amp;"-"&amp;L2772,10_ASIL_Matrix!$C$4:$C$15,0),MATCH(N2772,10_ASIL_Matrix!$D$3:$F$3,0)))))</f>
        <v>—</v>
      </c>
      <c r="Q2772" s="5" t="s">
        <v>448</v>
      </c>
    </row>
    <row r="2773" customFormat="false" ht="46.25" hidden="false" customHeight="false" outlineLevel="0" collapsed="false">
      <c r="A2773" s="6" t="s">
        <v>6272</v>
      </c>
      <c r="B2773" s="6" t="s">
        <v>125</v>
      </c>
      <c r="C2773" s="6" t="s">
        <v>126</v>
      </c>
      <c r="D2773" s="6" t="s">
        <v>146</v>
      </c>
      <c r="E2773" s="6" t="s">
        <v>147</v>
      </c>
      <c r="F2773" s="6" t="s">
        <v>211</v>
      </c>
      <c r="G2773" s="6" t="s">
        <v>609</v>
      </c>
      <c r="H2773" s="6" t="s">
        <v>228</v>
      </c>
      <c r="I2773" s="6" t="s">
        <v>6273</v>
      </c>
      <c r="J2773" s="6" t="s">
        <v>238</v>
      </c>
      <c r="K2773" s="6" t="s">
        <v>1273</v>
      </c>
      <c r="L2773" s="6" t="s">
        <v>205</v>
      </c>
      <c r="M2773" s="6" t="s">
        <v>681</v>
      </c>
      <c r="N2773" s="6" t="s">
        <v>278</v>
      </c>
      <c r="O2773" s="6" t="s">
        <v>634</v>
      </c>
      <c r="P2773" s="6" t="str">
        <f aca="false">IF(J2773="S0","—",IF(K2773="","",IF(L2773="E0","QM",INDEX(10_ASIL_Matrix!$D$4:$F$15,MATCH(J2773&amp;"-"&amp;L2773,10_ASIL_Matrix!$C$4:$C$15,0),MATCH(N2773,10_ASIL_Matrix!$D$3:$F$3,0)))))</f>
        <v>—</v>
      </c>
      <c r="Q2773" s="6" t="s">
        <v>448</v>
      </c>
    </row>
    <row r="2774" customFormat="false" ht="35.05" hidden="false" customHeight="false" outlineLevel="0" collapsed="false">
      <c r="A2774" s="5" t="s">
        <v>6274</v>
      </c>
      <c r="B2774" s="5" t="s">
        <v>125</v>
      </c>
      <c r="C2774" s="5" t="s">
        <v>126</v>
      </c>
      <c r="D2774" s="5" t="s">
        <v>146</v>
      </c>
      <c r="E2774" s="5" t="s">
        <v>147</v>
      </c>
      <c r="F2774" s="5" t="s">
        <v>211</v>
      </c>
      <c r="G2774" s="5" t="s">
        <v>609</v>
      </c>
      <c r="H2774" s="5" t="s">
        <v>230</v>
      </c>
      <c r="I2774" s="5" t="s">
        <v>6275</v>
      </c>
      <c r="J2774" s="5" t="s">
        <v>238</v>
      </c>
      <c r="K2774" s="5" t="s">
        <v>1273</v>
      </c>
      <c r="L2774" s="5" t="s">
        <v>205</v>
      </c>
      <c r="M2774" s="5" t="s">
        <v>684</v>
      </c>
      <c r="N2774" s="5" t="s">
        <v>278</v>
      </c>
      <c r="O2774" s="5" t="s">
        <v>634</v>
      </c>
      <c r="P2774" s="5" t="str">
        <f aca="false">IF(J2774="S0","—",IF(K2774="","",IF(L2774="E0","QM",INDEX(10_ASIL_Matrix!$D$4:$F$15,MATCH(J2774&amp;"-"&amp;L2774,10_ASIL_Matrix!$C$4:$C$15,0),MATCH(N2774,10_ASIL_Matrix!$D$3:$F$3,0)))))</f>
        <v>—</v>
      </c>
      <c r="Q2774" s="5" t="s">
        <v>448</v>
      </c>
    </row>
    <row r="2775" customFormat="false" ht="46.25" hidden="false" customHeight="false" outlineLevel="0" collapsed="false">
      <c r="A2775" s="6" t="s">
        <v>6276</v>
      </c>
      <c r="B2775" s="6" t="s">
        <v>125</v>
      </c>
      <c r="C2775" s="6" t="s">
        <v>126</v>
      </c>
      <c r="D2775" s="6" t="s">
        <v>146</v>
      </c>
      <c r="E2775" s="6" t="s">
        <v>147</v>
      </c>
      <c r="F2775" s="6" t="s">
        <v>211</v>
      </c>
      <c r="G2775" s="6" t="s">
        <v>609</v>
      </c>
      <c r="H2775" s="6" t="s">
        <v>232</v>
      </c>
      <c r="I2775" s="6" t="s">
        <v>6277</v>
      </c>
      <c r="J2775" s="6" t="s">
        <v>238</v>
      </c>
      <c r="K2775" s="6" t="s">
        <v>1273</v>
      </c>
      <c r="L2775" s="6" t="s">
        <v>233</v>
      </c>
      <c r="M2775" s="6" t="s">
        <v>687</v>
      </c>
      <c r="N2775" s="6" t="s">
        <v>278</v>
      </c>
      <c r="O2775" s="6" t="s">
        <v>634</v>
      </c>
      <c r="P2775" s="6" t="str">
        <f aca="false">IF(J2775="S0","—",IF(K2775="","",IF(L2775="E0","QM",INDEX(10_ASIL_Matrix!$D$4:$F$15,MATCH(J2775&amp;"-"&amp;L2775,10_ASIL_Matrix!$C$4:$C$15,0),MATCH(N2775,10_ASIL_Matrix!$D$3:$F$3,0)))))</f>
        <v>—</v>
      </c>
      <c r="Q2775" s="6" t="s">
        <v>448</v>
      </c>
    </row>
    <row r="2776" customFormat="false" ht="46.25" hidden="false" customHeight="false" outlineLevel="0" collapsed="false">
      <c r="A2776" s="5" t="s">
        <v>6278</v>
      </c>
      <c r="B2776" s="5" t="s">
        <v>125</v>
      </c>
      <c r="C2776" s="5" t="s">
        <v>126</v>
      </c>
      <c r="D2776" s="5" t="s">
        <v>146</v>
      </c>
      <c r="E2776" s="5" t="s">
        <v>147</v>
      </c>
      <c r="F2776" s="5" t="s">
        <v>213</v>
      </c>
      <c r="G2776" s="5" t="s">
        <v>689</v>
      </c>
      <c r="H2776" s="5" t="s">
        <v>222</v>
      </c>
      <c r="I2776" s="5" t="s">
        <v>6279</v>
      </c>
      <c r="J2776" s="5" t="s">
        <v>250</v>
      </c>
      <c r="K2776" s="5" t="s">
        <v>691</v>
      </c>
      <c r="L2776" s="5" t="s">
        <v>205</v>
      </c>
      <c r="M2776" s="5" t="s">
        <v>692</v>
      </c>
      <c r="N2776" s="5" t="s">
        <v>290</v>
      </c>
      <c r="O2776" s="5" t="s">
        <v>693</v>
      </c>
      <c r="P2776" s="18" t="str">
        <f aca="false">IF(J2776="S0","—",IF(K2776="","",IF(L2776="E0","QM",INDEX(10_ASIL_Matrix!$D$4:$F$15,MATCH(J2776&amp;"-"&amp;L2776,10_ASIL_Matrix!$C$4:$C$15,0),MATCH(N2776,10_ASIL_Matrix!$D$3:$F$3,0)))))</f>
        <v>B</v>
      </c>
      <c r="Q2776" s="5" t="s">
        <v>448</v>
      </c>
    </row>
    <row r="2777" customFormat="false" ht="46.25" hidden="false" customHeight="false" outlineLevel="0" collapsed="false">
      <c r="A2777" s="6" t="s">
        <v>6280</v>
      </c>
      <c r="B2777" s="6" t="s">
        <v>125</v>
      </c>
      <c r="C2777" s="6" t="s">
        <v>126</v>
      </c>
      <c r="D2777" s="6" t="s">
        <v>146</v>
      </c>
      <c r="E2777" s="6" t="s">
        <v>147</v>
      </c>
      <c r="F2777" s="6" t="s">
        <v>213</v>
      </c>
      <c r="G2777" s="6" t="s">
        <v>689</v>
      </c>
      <c r="H2777" s="6" t="s">
        <v>224</v>
      </c>
      <c r="I2777" s="6" t="s">
        <v>6281</v>
      </c>
      <c r="J2777" s="6" t="s">
        <v>250</v>
      </c>
      <c r="K2777" s="6" t="s">
        <v>691</v>
      </c>
      <c r="L2777" s="6" t="s">
        <v>205</v>
      </c>
      <c r="M2777" s="6" t="s">
        <v>696</v>
      </c>
      <c r="N2777" s="6" t="s">
        <v>290</v>
      </c>
      <c r="O2777" s="6" t="s">
        <v>693</v>
      </c>
      <c r="P2777" s="18" t="str">
        <f aca="false">IF(J2777="S0","—",IF(K2777="","",IF(L2777="E0","QM",INDEX(10_ASIL_Matrix!$D$4:$F$15,MATCH(J2777&amp;"-"&amp;L2777,10_ASIL_Matrix!$C$4:$C$15,0),MATCH(N2777,10_ASIL_Matrix!$D$3:$F$3,0)))))</f>
        <v>B</v>
      </c>
      <c r="Q2777" s="6" t="s">
        <v>448</v>
      </c>
    </row>
    <row r="2778" customFormat="false" ht="46.25" hidden="false" customHeight="false" outlineLevel="0" collapsed="false">
      <c r="A2778" s="5" t="s">
        <v>6282</v>
      </c>
      <c r="B2778" s="5" t="s">
        <v>125</v>
      </c>
      <c r="C2778" s="5" t="s">
        <v>126</v>
      </c>
      <c r="D2778" s="5" t="s">
        <v>146</v>
      </c>
      <c r="E2778" s="5" t="s">
        <v>147</v>
      </c>
      <c r="F2778" s="5" t="s">
        <v>213</v>
      </c>
      <c r="G2778" s="5" t="s">
        <v>689</v>
      </c>
      <c r="H2778" s="5" t="s">
        <v>226</v>
      </c>
      <c r="I2778" s="5" t="s">
        <v>6283</v>
      </c>
      <c r="J2778" s="5" t="s">
        <v>250</v>
      </c>
      <c r="K2778" s="5" t="s">
        <v>691</v>
      </c>
      <c r="L2778" s="5" t="s">
        <v>205</v>
      </c>
      <c r="M2778" s="5" t="s">
        <v>699</v>
      </c>
      <c r="N2778" s="5" t="s">
        <v>290</v>
      </c>
      <c r="O2778" s="5" t="s">
        <v>693</v>
      </c>
      <c r="P2778" s="18" t="str">
        <f aca="false">IF(J2778="S0","—",IF(K2778="","",IF(L2778="E0","QM",INDEX(10_ASIL_Matrix!$D$4:$F$15,MATCH(J2778&amp;"-"&amp;L2778,10_ASIL_Matrix!$C$4:$C$15,0),MATCH(N2778,10_ASIL_Matrix!$D$3:$F$3,0)))))</f>
        <v>B</v>
      </c>
      <c r="Q2778" s="5" t="s">
        <v>448</v>
      </c>
    </row>
    <row r="2779" customFormat="false" ht="46.25" hidden="false" customHeight="false" outlineLevel="0" collapsed="false">
      <c r="A2779" s="6" t="s">
        <v>6284</v>
      </c>
      <c r="B2779" s="6" t="s">
        <v>125</v>
      </c>
      <c r="C2779" s="6" t="s">
        <v>126</v>
      </c>
      <c r="D2779" s="6" t="s">
        <v>146</v>
      </c>
      <c r="E2779" s="6" t="s">
        <v>147</v>
      </c>
      <c r="F2779" s="6" t="s">
        <v>213</v>
      </c>
      <c r="G2779" s="6" t="s">
        <v>689</v>
      </c>
      <c r="H2779" s="6" t="s">
        <v>228</v>
      </c>
      <c r="I2779" s="6" t="s">
        <v>6285</v>
      </c>
      <c r="J2779" s="6" t="s">
        <v>250</v>
      </c>
      <c r="K2779" s="6" t="s">
        <v>691</v>
      </c>
      <c r="L2779" s="6" t="s">
        <v>205</v>
      </c>
      <c r="M2779" s="6" t="s">
        <v>702</v>
      </c>
      <c r="N2779" s="6" t="s">
        <v>290</v>
      </c>
      <c r="O2779" s="6" t="s">
        <v>693</v>
      </c>
      <c r="P2779" s="18" t="str">
        <f aca="false">IF(J2779="S0","—",IF(K2779="","",IF(L2779="E0","QM",INDEX(10_ASIL_Matrix!$D$4:$F$15,MATCH(J2779&amp;"-"&amp;L2779,10_ASIL_Matrix!$C$4:$C$15,0),MATCH(N2779,10_ASIL_Matrix!$D$3:$F$3,0)))))</f>
        <v>B</v>
      </c>
      <c r="Q2779" s="6" t="s">
        <v>448</v>
      </c>
    </row>
    <row r="2780" customFormat="false" ht="46.25" hidden="false" customHeight="false" outlineLevel="0" collapsed="false">
      <c r="A2780" s="5" t="s">
        <v>6286</v>
      </c>
      <c r="B2780" s="5" t="s">
        <v>125</v>
      </c>
      <c r="C2780" s="5" t="s">
        <v>126</v>
      </c>
      <c r="D2780" s="5" t="s">
        <v>146</v>
      </c>
      <c r="E2780" s="5" t="s">
        <v>147</v>
      </c>
      <c r="F2780" s="5" t="s">
        <v>213</v>
      </c>
      <c r="G2780" s="5" t="s">
        <v>689</v>
      </c>
      <c r="H2780" s="5" t="s">
        <v>230</v>
      </c>
      <c r="I2780" s="5" t="s">
        <v>6287</v>
      </c>
      <c r="J2780" s="5" t="s">
        <v>250</v>
      </c>
      <c r="K2780" s="5" t="s">
        <v>691</v>
      </c>
      <c r="L2780" s="5" t="s">
        <v>205</v>
      </c>
      <c r="M2780" s="5" t="s">
        <v>705</v>
      </c>
      <c r="N2780" s="5" t="s">
        <v>290</v>
      </c>
      <c r="O2780" s="5" t="s">
        <v>706</v>
      </c>
      <c r="P2780" s="18" t="str">
        <f aca="false">IF(J2780="S0","—",IF(K2780="","",IF(L2780="E0","QM",INDEX(10_ASIL_Matrix!$D$4:$F$15,MATCH(J2780&amp;"-"&amp;L2780,10_ASIL_Matrix!$C$4:$C$15,0),MATCH(N2780,10_ASIL_Matrix!$D$3:$F$3,0)))))</f>
        <v>B</v>
      </c>
      <c r="Q2780" s="5" t="s">
        <v>448</v>
      </c>
    </row>
    <row r="2781" customFormat="false" ht="46.25" hidden="false" customHeight="false" outlineLevel="0" collapsed="false">
      <c r="A2781" s="6" t="s">
        <v>6288</v>
      </c>
      <c r="B2781" s="6" t="s">
        <v>125</v>
      </c>
      <c r="C2781" s="6" t="s">
        <v>126</v>
      </c>
      <c r="D2781" s="6" t="s">
        <v>146</v>
      </c>
      <c r="E2781" s="6" t="s">
        <v>147</v>
      </c>
      <c r="F2781" s="6" t="s">
        <v>213</v>
      </c>
      <c r="G2781" s="6" t="s">
        <v>689</v>
      </c>
      <c r="H2781" s="6" t="s">
        <v>232</v>
      </c>
      <c r="I2781" s="6" t="s">
        <v>6289</v>
      </c>
      <c r="J2781" s="6" t="s">
        <v>250</v>
      </c>
      <c r="K2781" s="6" t="s">
        <v>691</v>
      </c>
      <c r="L2781" s="6" t="s">
        <v>233</v>
      </c>
      <c r="M2781" s="6" t="s">
        <v>709</v>
      </c>
      <c r="N2781" s="6" t="s">
        <v>290</v>
      </c>
      <c r="O2781" s="6" t="s">
        <v>693</v>
      </c>
      <c r="P2781" s="19" t="str">
        <f aca="false">IF(J2781="S0","—",IF(K2781="","",IF(L2781="E0","QM",INDEX(10_ASIL_Matrix!$D$4:$F$15,MATCH(J2781&amp;"-"&amp;L2781,10_ASIL_Matrix!$C$4:$C$15,0),MATCH(N2781,10_ASIL_Matrix!$D$3:$F$3,0)))))</f>
        <v>A</v>
      </c>
      <c r="Q2781" s="6" t="s">
        <v>448</v>
      </c>
    </row>
    <row r="2782" customFormat="false" ht="35.05" hidden="false" customHeight="false" outlineLevel="0" collapsed="false">
      <c r="A2782" s="5" t="s">
        <v>6290</v>
      </c>
      <c r="B2782" s="5" t="s">
        <v>125</v>
      </c>
      <c r="C2782" s="5" t="s">
        <v>126</v>
      </c>
      <c r="D2782" s="5" t="s">
        <v>146</v>
      </c>
      <c r="E2782" s="5" t="s">
        <v>147</v>
      </c>
      <c r="F2782" s="5" t="s">
        <v>215</v>
      </c>
      <c r="G2782" s="5" t="s">
        <v>711</v>
      </c>
      <c r="H2782" s="5" t="s">
        <v>222</v>
      </c>
      <c r="I2782" s="5" t="s">
        <v>6291</v>
      </c>
      <c r="J2782" s="5" t="s">
        <v>250</v>
      </c>
      <c r="K2782" s="5" t="s">
        <v>713</v>
      </c>
      <c r="L2782" s="5" t="s">
        <v>190</v>
      </c>
      <c r="M2782" s="5" t="s">
        <v>714</v>
      </c>
      <c r="N2782" s="5" t="s">
        <v>282</v>
      </c>
      <c r="O2782" s="5" t="s">
        <v>447</v>
      </c>
      <c r="P2782" s="19" t="str">
        <f aca="false">IF(J2782="S0","—",IF(K2782="","",IF(L2782="E0","QM",INDEX(10_ASIL_Matrix!$D$4:$F$15,MATCH(J2782&amp;"-"&amp;L2782,10_ASIL_Matrix!$C$4:$C$15,0),MATCH(N2782,10_ASIL_Matrix!$D$3:$F$3,0)))))</f>
        <v>A</v>
      </c>
      <c r="Q2782" s="5" t="s">
        <v>448</v>
      </c>
    </row>
    <row r="2783" customFormat="false" ht="35.05" hidden="false" customHeight="false" outlineLevel="0" collapsed="false">
      <c r="A2783" s="6" t="s">
        <v>6292</v>
      </c>
      <c r="B2783" s="6" t="s">
        <v>125</v>
      </c>
      <c r="C2783" s="6" t="s">
        <v>126</v>
      </c>
      <c r="D2783" s="6" t="s">
        <v>146</v>
      </c>
      <c r="E2783" s="6" t="s">
        <v>147</v>
      </c>
      <c r="F2783" s="6" t="s">
        <v>215</v>
      </c>
      <c r="G2783" s="6" t="s">
        <v>711</v>
      </c>
      <c r="H2783" s="6" t="s">
        <v>224</v>
      </c>
      <c r="I2783" s="6" t="s">
        <v>6293</v>
      </c>
      <c r="J2783" s="6" t="s">
        <v>250</v>
      </c>
      <c r="K2783" s="6" t="s">
        <v>713</v>
      </c>
      <c r="L2783" s="6" t="s">
        <v>190</v>
      </c>
      <c r="M2783" s="6" t="s">
        <v>717</v>
      </c>
      <c r="N2783" s="6" t="s">
        <v>282</v>
      </c>
      <c r="O2783" s="6" t="s">
        <v>447</v>
      </c>
      <c r="P2783" s="19" t="str">
        <f aca="false">IF(J2783="S0","—",IF(K2783="","",IF(L2783="E0","QM",INDEX(10_ASIL_Matrix!$D$4:$F$15,MATCH(J2783&amp;"-"&amp;L2783,10_ASIL_Matrix!$C$4:$C$15,0),MATCH(N2783,10_ASIL_Matrix!$D$3:$F$3,0)))))</f>
        <v>A</v>
      </c>
      <c r="Q2783" s="6" t="s">
        <v>448</v>
      </c>
    </row>
    <row r="2784" customFormat="false" ht="35.05" hidden="false" customHeight="false" outlineLevel="0" collapsed="false">
      <c r="A2784" s="5" t="s">
        <v>6294</v>
      </c>
      <c r="B2784" s="5" t="s">
        <v>125</v>
      </c>
      <c r="C2784" s="5" t="s">
        <v>126</v>
      </c>
      <c r="D2784" s="5" t="s">
        <v>146</v>
      </c>
      <c r="E2784" s="5" t="s">
        <v>147</v>
      </c>
      <c r="F2784" s="5" t="s">
        <v>215</v>
      </c>
      <c r="G2784" s="5" t="s">
        <v>711</v>
      </c>
      <c r="H2784" s="5" t="s">
        <v>226</v>
      </c>
      <c r="I2784" s="5" t="s">
        <v>6295</v>
      </c>
      <c r="J2784" s="5" t="s">
        <v>250</v>
      </c>
      <c r="K2784" s="5" t="s">
        <v>713</v>
      </c>
      <c r="L2784" s="5" t="s">
        <v>190</v>
      </c>
      <c r="M2784" s="5" t="s">
        <v>720</v>
      </c>
      <c r="N2784" s="5" t="s">
        <v>282</v>
      </c>
      <c r="O2784" s="5" t="s">
        <v>447</v>
      </c>
      <c r="P2784" s="19" t="str">
        <f aca="false">IF(J2784="S0","—",IF(K2784="","",IF(L2784="E0","QM",INDEX(10_ASIL_Matrix!$D$4:$F$15,MATCH(J2784&amp;"-"&amp;L2784,10_ASIL_Matrix!$C$4:$C$15,0),MATCH(N2784,10_ASIL_Matrix!$D$3:$F$3,0)))))</f>
        <v>A</v>
      </c>
      <c r="Q2784" s="5" t="s">
        <v>448</v>
      </c>
    </row>
    <row r="2785" customFormat="false" ht="46.25" hidden="false" customHeight="false" outlineLevel="0" collapsed="false">
      <c r="A2785" s="6" t="s">
        <v>6296</v>
      </c>
      <c r="B2785" s="6" t="s">
        <v>125</v>
      </c>
      <c r="C2785" s="6" t="s">
        <v>126</v>
      </c>
      <c r="D2785" s="6" t="s">
        <v>146</v>
      </c>
      <c r="E2785" s="6" t="s">
        <v>147</v>
      </c>
      <c r="F2785" s="6" t="s">
        <v>215</v>
      </c>
      <c r="G2785" s="6" t="s">
        <v>711</v>
      </c>
      <c r="H2785" s="6" t="s">
        <v>228</v>
      </c>
      <c r="I2785" s="6" t="s">
        <v>6297</v>
      </c>
      <c r="J2785" s="6" t="s">
        <v>250</v>
      </c>
      <c r="K2785" s="6" t="s">
        <v>713</v>
      </c>
      <c r="L2785" s="6" t="s">
        <v>205</v>
      </c>
      <c r="M2785" s="6" t="s">
        <v>723</v>
      </c>
      <c r="N2785" s="6" t="s">
        <v>282</v>
      </c>
      <c r="O2785" s="6" t="s">
        <v>447</v>
      </c>
      <c r="P2785" s="6" t="str">
        <f aca="false">IF(J2785="S0","—",IF(K2785="","",IF(L2785="E0","QM",INDEX(10_ASIL_Matrix!$D$4:$F$15,MATCH(J2785&amp;"-"&amp;L2785,10_ASIL_Matrix!$C$4:$C$15,0),MATCH(N2785,10_ASIL_Matrix!$D$3:$F$3,0)))))</f>
        <v>QM</v>
      </c>
      <c r="Q2785" s="6" t="s">
        <v>448</v>
      </c>
    </row>
    <row r="2786" customFormat="false" ht="46.25" hidden="false" customHeight="false" outlineLevel="0" collapsed="false">
      <c r="A2786" s="5" t="s">
        <v>6298</v>
      </c>
      <c r="B2786" s="5" t="s">
        <v>125</v>
      </c>
      <c r="C2786" s="5" t="s">
        <v>126</v>
      </c>
      <c r="D2786" s="5" t="s">
        <v>146</v>
      </c>
      <c r="E2786" s="5" t="s">
        <v>147</v>
      </c>
      <c r="F2786" s="5" t="s">
        <v>215</v>
      </c>
      <c r="G2786" s="5" t="s">
        <v>711</v>
      </c>
      <c r="H2786" s="5" t="s">
        <v>230</v>
      </c>
      <c r="I2786" s="5" t="s">
        <v>6299</v>
      </c>
      <c r="J2786" s="5" t="s">
        <v>250</v>
      </c>
      <c r="K2786" s="5" t="s">
        <v>713</v>
      </c>
      <c r="L2786" s="5" t="s">
        <v>205</v>
      </c>
      <c r="M2786" s="5" t="s">
        <v>726</v>
      </c>
      <c r="N2786" s="5" t="s">
        <v>286</v>
      </c>
      <c r="O2786" s="5" t="s">
        <v>461</v>
      </c>
      <c r="P2786" s="19" t="str">
        <f aca="false">IF(J2786="S0","—",IF(K2786="","",IF(L2786="E0","QM",INDEX(10_ASIL_Matrix!$D$4:$F$15,MATCH(J2786&amp;"-"&amp;L2786,10_ASIL_Matrix!$C$4:$C$15,0),MATCH(N2786,10_ASIL_Matrix!$D$3:$F$3,0)))))</f>
        <v>A</v>
      </c>
      <c r="Q2786" s="5" t="s">
        <v>448</v>
      </c>
    </row>
    <row r="2787" customFormat="false" ht="46.25" hidden="false" customHeight="false" outlineLevel="0" collapsed="false">
      <c r="A2787" s="6" t="s">
        <v>6300</v>
      </c>
      <c r="B2787" s="6" t="s">
        <v>125</v>
      </c>
      <c r="C2787" s="6" t="s">
        <v>126</v>
      </c>
      <c r="D2787" s="6" t="s">
        <v>146</v>
      </c>
      <c r="E2787" s="6" t="s">
        <v>147</v>
      </c>
      <c r="F2787" s="6" t="s">
        <v>215</v>
      </c>
      <c r="G2787" s="6" t="s">
        <v>711</v>
      </c>
      <c r="H2787" s="6" t="s">
        <v>232</v>
      </c>
      <c r="I2787" s="6" t="s">
        <v>6301</v>
      </c>
      <c r="J2787" s="6" t="s">
        <v>250</v>
      </c>
      <c r="K2787" s="6" t="s">
        <v>713</v>
      </c>
      <c r="L2787" s="6" t="s">
        <v>233</v>
      </c>
      <c r="M2787" s="6" t="s">
        <v>729</v>
      </c>
      <c r="N2787" s="6" t="s">
        <v>282</v>
      </c>
      <c r="O2787" s="6" t="s">
        <v>447</v>
      </c>
      <c r="P2787" s="6" t="str">
        <f aca="false">IF(J2787="S0","—",IF(K2787="","",IF(L2787="E0","QM",INDEX(10_ASIL_Matrix!$D$4:$F$15,MATCH(J2787&amp;"-"&amp;L2787,10_ASIL_Matrix!$C$4:$C$15,0),MATCH(N2787,10_ASIL_Matrix!$D$3:$F$3,0)))))</f>
        <v>QM</v>
      </c>
      <c r="Q2787" s="6" t="s">
        <v>448</v>
      </c>
    </row>
    <row r="2788" customFormat="false" ht="35.05" hidden="false" customHeight="false" outlineLevel="0" collapsed="false">
      <c r="A2788" s="5" t="s">
        <v>6302</v>
      </c>
      <c r="B2788" s="5" t="s">
        <v>125</v>
      </c>
      <c r="C2788" s="5" t="s">
        <v>126</v>
      </c>
      <c r="D2788" s="5" t="s">
        <v>146</v>
      </c>
      <c r="E2788" s="5" t="s">
        <v>147</v>
      </c>
      <c r="F2788" s="5" t="s">
        <v>217</v>
      </c>
      <c r="G2788" s="5" t="s">
        <v>488</v>
      </c>
      <c r="H2788" s="5" t="s">
        <v>222</v>
      </c>
      <c r="I2788" s="5" t="s">
        <v>6303</v>
      </c>
      <c r="J2788" s="5" t="s">
        <v>250</v>
      </c>
      <c r="K2788" s="5" t="s">
        <v>732</v>
      </c>
      <c r="L2788" s="5" t="s">
        <v>190</v>
      </c>
      <c r="M2788" s="5" t="s">
        <v>733</v>
      </c>
      <c r="N2788" s="5" t="s">
        <v>286</v>
      </c>
      <c r="O2788" s="5" t="s">
        <v>470</v>
      </c>
      <c r="P2788" s="18" t="str">
        <f aca="false">IF(J2788="S0","—",IF(K2788="","",IF(L2788="E0","QM",INDEX(10_ASIL_Matrix!$D$4:$F$15,MATCH(J2788&amp;"-"&amp;L2788,10_ASIL_Matrix!$C$4:$C$15,0),MATCH(N2788,10_ASIL_Matrix!$D$3:$F$3,0)))))</f>
        <v>B</v>
      </c>
      <c r="Q2788" s="5" t="s">
        <v>448</v>
      </c>
    </row>
    <row r="2789" customFormat="false" ht="35.05" hidden="false" customHeight="false" outlineLevel="0" collapsed="false">
      <c r="A2789" s="6" t="s">
        <v>6304</v>
      </c>
      <c r="B2789" s="6" t="s">
        <v>125</v>
      </c>
      <c r="C2789" s="6" t="s">
        <v>126</v>
      </c>
      <c r="D2789" s="6" t="s">
        <v>146</v>
      </c>
      <c r="E2789" s="6" t="s">
        <v>147</v>
      </c>
      <c r="F2789" s="6" t="s">
        <v>217</v>
      </c>
      <c r="G2789" s="6" t="s">
        <v>488</v>
      </c>
      <c r="H2789" s="6" t="s">
        <v>224</v>
      </c>
      <c r="I2789" s="6" t="s">
        <v>6305</v>
      </c>
      <c r="J2789" s="6" t="s">
        <v>250</v>
      </c>
      <c r="K2789" s="6" t="s">
        <v>732</v>
      </c>
      <c r="L2789" s="6" t="s">
        <v>190</v>
      </c>
      <c r="M2789" s="6" t="s">
        <v>736</v>
      </c>
      <c r="N2789" s="6" t="s">
        <v>286</v>
      </c>
      <c r="O2789" s="6" t="s">
        <v>470</v>
      </c>
      <c r="P2789" s="18" t="str">
        <f aca="false">IF(J2789="S0","—",IF(K2789="","",IF(L2789="E0","QM",INDEX(10_ASIL_Matrix!$D$4:$F$15,MATCH(J2789&amp;"-"&amp;L2789,10_ASIL_Matrix!$C$4:$C$15,0),MATCH(N2789,10_ASIL_Matrix!$D$3:$F$3,0)))))</f>
        <v>B</v>
      </c>
      <c r="Q2789" s="6" t="s">
        <v>448</v>
      </c>
    </row>
    <row r="2790" customFormat="false" ht="35.05" hidden="false" customHeight="false" outlineLevel="0" collapsed="false">
      <c r="A2790" s="5" t="s">
        <v>6306</v>
      </c>
      <c r="B2790" s="5" t="s">
        <v>125</v>
      </c>
      <c r="C2790" s="5" t="s">
        <v>126</v>
      </c>
      <c r="D2790" s="5" t="s">
        <v>146</v>
      </c>
      <c r="E2790" s="5" t="s">
        <v>147</v>
      </c>
      <c r="F2790" s="5" t="s">
        <v>217</v>
      </c>
      <c r="G2790" s="5" t="s">
        <v>488</v>
      </c>
      <c r="H2790" s="5" t="s">
        <v>226</v>
      </c>
      <c r="I2790" s="5" t="s">
        <v>6307</v>
      </c>
      <c r="J2790" s="5" t="s">
        <v>250</v>
      </c>
      <c r="K2790" s="5" t="s">
        <v>732</v>
      </c>
      <c r="L2790" s="5" t="s">
        <v>190</v>
      </c>
      <c r="M2790" s="5" t="s">
        <v>739</v>
      </c>
      <c r="N2790" s="5" t="s">
        <v>286</v>
      </c>
      <c r="O2790" s="5" t="s">
        <v>470</v>
      </c>
      <c r="P2790" s="18" t="str">
        <f aca="false">IF(J2790="S0","—",IF(K2790="","",IF(L2790="E0","QM",INDEX(10_ASIL_Matrix!$D$4:$F$15,MATCH(J2790&amp;"-"&amp;L2790,10_ASIL_Matrix!$C$4:$C$15,0),MATCH(N2790,10_ASIL_Matrix!$D$3:$F$3,0)))))</f>
        <v>B</v>
      </c>
      <c r="Q2790" s="5" t="s">
        <v>448</v>
      </c>
    </row>
    <row r="2791" customFormat="false" ht="46.25" hidden="false" customHeight="false" outlineLevel="0" collapsed="false">
      <c r="A2791" s="6" t="s">
        <v>6308</v>
      </c>
      <c r="B2791" s="6" t="s">
        <v>125</v>
      </c>
      <c r="C2791" s="6" t="s">
        <v>126</v>
      </c>
      <c r="D2791" s="6" t="s">
        <v>146</v>
      </c>
      <c r="E2791" s="6" t="s">
        <v>147</v>
      </c>
      <c r="F2791" s="6" t="s">
        <v>217</v>
      </c>
      <c r="G2791" s="6" t="s">
        <v>488</v>
      </c>
      <c r="H2791" s="6" t="s">
        <v>228</v>
      </c>
      <c r="I2791" s="6" t="s">
        <v>6309</v>
      </c>
      <c r="J2791" s="6" t="s">
        <v>250</v>
      </c>
      <c r="K2791" s="6" t="s">
        <v>732</v>
      </c>
      <c r="L2791" s="6" t="s">
        <v>205</v>
      </c>
      <c r="M2791" s="6" t="s">
        <v>742</v>
      </c>
      <c r="N2791" s="6" t="s">
        <v>286</v>
      </c>
      <c r="O2791" s="6" t="s">
        <v>470</v>
      </c>
      <c r="P2791" s="19" t="str">
        <f aca="false">IF(J2791="S0","—",IF(K2791="","",IF(L2791="E0","QM",INDEX(10_ASIL_Matrix!$D$4:$F$15,MATCH(J2791&amp;"-"&amp;L2791,10_ASIL_Matrix!$C$4:$C$15,0),MATCH(N2791,10_ASIL_Matrix!$D$3:$F$3,0)))))</f>
        <v>A</v>
      </c>
      <c r="Q2791" s="6" t="s">
        <v>448</v>
      </c>
    </row>
    <row r="2792" customFormat="false" ht="46.25" hidden="false" customHeight="false" outlineLevel="0" collapsed="false">
      <c r="A2792" s="5" t="s">
        <v>6310</v>
      </c>
      <c r="B2792" s="5" t="s">
        <v>125</v>
      </c>
      <c r="C2792" s="5" t="s">
        <v>126</v>
      </c>
      <c r="D2792" s="5" t="s">
        <v>146</v>
      </c>
      <c r="E2792" s="5" t="s">
        <v>147</v>
      </c>
      <c r="F2792" s="5" t="s">
        <v>217</v>
      </c>
      <c r="G2792" s="5" t="s">
        <v>488</v>
      </c>
      <c r="H2792" s="5" t="s">
        <v>230</v>
      </c>
      <c r="I2792" s="5" t="s">
        <v>6311</v>
      </c>
      <c r="J2792" s="5" t="s">
        <v>250</v>
      </c>
      <c r="K2792" s="5" t="s">
        <v>732</v>
      </c>
      <c r="L2792" s="5" t="s">
        <v>205</v>
      </c>
      <c r="M2792" s="5" t="s">
        <v>745</v>
      </c>
      <c r="N2792" s="5" t="s">
        <v>290</v>
      </c>
      <c r="O2792" s="5" t="s">
        <v>483</v>
      </c>
      <c r="P2792" s="18" t="str">
        <f aca="false">IF(J2792="S0","—",IF(K2792="","",IF(L2792="E0","QM",INDEX(10_ASIL_Matrix!$D$4:$F$15,MATCH(J2792&amp;"-"&amp;L2792,10_ASIL_Matrix!$C$4:$C$15,0),MATCH(N2792,10_ASIL_Matrix!$D$3:$F$3,0)))))</f>
        <v>B</v>
      </c>
      <c r="Q2792" s="5" t="s">
        <v>448</v>
      </c>
    </row>
    <row r="2793" customFormat="false" ht="46.25" hidden="false" customHeight="false" outlineLevel="0" collapsed="false">
      <c r="A2793" s="6" t="s">
        <v>6312</v>
      </c>
      <c r="B2793" s="6" t="s">
        <v>125</v>
      </c>
      <c r="C2793" s="6" t="s">
        <v>126</v>
      </c>
      <c r="D2793" s="6" t="s">
        <v>146</v>
      </c>
      <c r="E2793" s="6" t="s">
        <v>147</v>
      </c>
      <c r="F2793" s="6" t="s">
        <v>217</v>
      </c>
      <c r="G2793" s="6" t="s">
        <v>488</v>
      </c>
      <c r="H2793" s="6" t="s">
        <v>232</v>
      </c>
      <c r="I2793" s="6" t="s">
        <v>6313</v>
      </c>
      <c r="J2793" s="6" t="s">
        <v>250</v>
      </c>
      <c r="K2793" s="6" t="s">
        <v>732</v>
      </c>
      <c r="L2793" s="6" t="s">
        <v>233</v>
      </c>
      <c r="M2793" s="6" t="s">
        <v>748</v>
      </c>
      <c r="N2793" s="6" t="s">
        <v>286</v>
      </c>
      <c r="O2793" s="6" t="s">
        <v>470</v>
      </c>
      <c r="P2793" s="6" t="str">
        <f aca="false">IF(J2793="S0","—",IF(K2793="","",IF(L2793="E0","QM",INDEX(10_ASIL_Matrix!$D$4:$F$15,MATCH(J2793&amp;"-"&amp;L2793,10_ASIL_Matrix!$C$4:$C$15,0),MATCH(N2793,10_ASIL_Matrix!$D$3:$F$3,0)))))</f>
        <v>QM</v>
      </c>
      <c r="Q2793" s="6" t="s">
        <v>448</v>
      </c>
    </row>
    <row r="2794" customFormat="false" ht="35.05" hidden="false" customHeight="false" outlineLevel="0" collapsed="false">
      <c r="A2794" s="5" t="s">
        <v>6314</v>
      </c>
      <c r="B2794" s="5" t="s">
        <v>132</v>
      </c>
      <c r="C2794" s="5" t="s">
        <v>133</v>
      </c>
      <c r="D2794" s="5" t="s">
        <v>137</v>
      </c>
      <c r="E2794" s="5" t="s">
        <v>138</v>
      </c>
      <c r="F2794" s="5" t="s">
        <v>186</v>
      </c>
      <c r="G2794" s="5" t="s">
        <v>443</v>
      </c>
      <c r="H2794" s="5" t="s">
        <v>222</v>
      </c>
      <c r="I2794" s="5" t="s">
        <v>6315</v>
      </c>
      <c r="J2794" s="5" t="s">
        <v>238</v>
      </c>
      <c r="K2794" s="5" t="s">
        <v>6316</v>
      </c>
      <c r="L2794" s="5" t="s">
        <v>187</v>
      </c>
      <c r="M2794" s="5" t="s">
        <v>446</v>
      </c>
      <c r="N2794" s="5" t="s">
        <v>278</v>
      </c>
      <c r="O2794" s="5" t="s">
        <v>634</v>
      </c>
      <c r="P2794" s="5" t="str">
        <f aca="false">IF(J2794="S0","—",IF(K2794="","",IF(L2794="E0","QM",INDEX(10_ASIL_Matrix!$D$4:$F$15,MATCH(J2794&amp;"-"&amp;L2794,10_ASIL_Matrix!$C$4:$C$15,0),MATCH(N2794,10_ASIL_Matrix!$D$3:$F$3,0)))))</f>
        <v>—</v>
      </c>
      <c r="Q2794" s="5" t="s">
        <v>448</v>
      </c>
    </row>
    <row r="2795" customFormat="false" ht="35.05" hidden="false" customHeight="false" outlineLevel="0" collapsed="false">
      <c r="A2795" s="6" t="s">
        <v>6317</v>
      </c>
      <c r="B2795" s="6" t="s">
        <v>132</v>
      </c>
      <c r="C2795" s="6" t="s">
        <v>133</v>
      </c>
      <c r="D2795" s="6" t="s">
        <v>137</v>
      </c>
      <c r="E2795" s="6" t="s">
        <v>138</v>
      </c>
      <c r="F2795" s="6" t="s">
        <v>186</v>
      </c>
      <c r="G2795" s="6" t="s">
        <v>443</v>
      </c>
      <c r="H2795" s="6" t="s">
        <v>224</v>
      </c>
      <c r="I2795" s="6" t="s">
        <v>6318</v>
      </c>
      <c r="J2795" s="6" t="s">
        <v>238</v>
      </c>
      <c r="K2795" s="6" t="s">
        <v>6316</v>
      </c>
      <c r="L2795" s="6" t="s">
        <v>190</v>
      </c>
      <c r="M2795" s="6" t="s">
        <v>451</v>
      </c>
      <c r="N2795" s="6" t="s">
        <v>278</v>
      </c>
      <c r="O2795" s="6" t="s">
        <v>634</v>
      </c>
      <c r="P2795" s="6" t="str">
        <f aca="false">IF(J2795="S0","—",IF(K2795="","",IF(L2795="E0","QM",INDEX(10_ASIL_Matrix!$D$4:$F$15,MATCH(J2795&amp;"-"&amp;L2795,10_ASIL_Matrix!$C$4:$C$15,0),MATCH(N2795,10_ASIL_Matrix!$D$3:$F$3,0)))))</f>
        <v>—</v>
      </c>
      <c r="Q2795" s="6" t="s">
        <v>448</v>
      </c>
    </row>
    <row r="2796" customFormat="false" ht="35.05" hidden="false" customHeight="false" outlineLevel="0" collapsed="false">
      <c r="A2796" s="5" t="s">
        <v>6319</v>
      </c>
      <c r="B2796" s="5" t="s">
        <v>132</v>
      </c>
      <c r="C2796" s="5" t="s">
        <v>133</v>
      </c>
      <c r="D2796" s="5" t="s">
        <v>137</v>
      </c>
      <c r="E2796" s="5" t="s">
        <v>138</v>
      </c>
      <c r="F2796" s="5" t="s">
        <v>186</v>
      </c>
      <c r="G2796" s="5" t="s">
        <v>443</v>
      </c>
      <c r="H2796" s="5" t="s">
        <v>226</v>
      </c>
      <c r="I2796" s="5" t="s">
        <v>6320</v>
      </c>
      <c r="J2796" s="5" t="s">
        <v>238</v>
      </c>
      <c r="K2796" s="5" t="s">
        <v>6316</v>
      </c>
      <c r="L2796" s="5" t="s">
        <v>190</v>
      </c>
      <c r="M2796" s="5" t="s">
        <v>454</v>
      </c>
      <c r="N2796" s="5" t="s">
        <v>278</v>
      </c>
      <c r="O2796" s="5" t="s">
        <v>634</v>
      </c>
      <c r="P2796" s="5" t="str">
        <f aca="false">IF(J2796="S0","—",IF(K2796="","",IF(L2796="E0","QM",INDEX(10_ASIL_Matrix!$D$4:$F$15,MATCH(J2796&amp;"-"&amp;L2796,10_ASIL_Matrix!$C$4:$C$15,0),MATCH(N2796,10_ASIL_Matrix!$D$3:$F$3,0)))))</f>
        <v>—</v>
      </c>
      <c r="Q2796" s="5" t="s">
        <v>448</v>
      </c>
    </row>
    <row r="2797" customFormat="false" ht="35.05" hidden="false" customHeight="false" outlineLevel="0" collapsed="false">
      <c r="A2797" s="6" t="s">
        <v>6321</v>
      </c>
      <c r="B2797" s="6" t="s">
        <v>132</v>
      </c>
      <c r="C2797" s="6" t="s">
        <v>133</v>
      </c>
      <c r="D2797" s="6" t="s">
        <v>137</v>
      </c>
      <c r="E2797" s="6" t="s">
        <v>138</v>
      </c>
      <c r="F2797" s="6" t="s">
        <v>186</v>
      </c>
      <c r="G2797" s="6" t="s">
        <v>443</v>
      </c>
      <c r="H2797" s="6" t="s">
        <v>228</v>
      </c>
      <c r="I2797" s="6" t="s">
        <v>6322</v>
      </c>
      <c r="J2797" s="6" t="s">
        <v>238</v>
      </c>
      <c r="K2797" s="6" t="s">
        <v>6316</v>
      </c>
      <c r="L2797" s="6" t="s">
        <v>205</v>
      </c>
      <c r="M2797" s="6" t="s">
        <v>457</v>
      </c>
      <c r="N2797" s="6" t="s">
        <v>278</v>
      </c>
      <c r="O2797" s="6" t="s">
        <v>634</v>
      </c>
      <c r="P2797" s="6" t="str">
        <f aca="false">IF(J2797="S0","—",IF(K2797="","",IF(L2797="E0","QM",INDEX(10_ASIL_Matrix!$D$4:$F$15,MATCH(J2797&amp;"-"&amp;L2797,10_ASIL_Matrix!$C$4:$C$15,0),MATCH(N2797,10_ASIL_Matrix!$D$3:$F$3,0)))))</f>
        <v>—</v>
      </c>
      <c r="Q2797" s="6" t="s">
        <v>448</v>
      </c>
    </row>
    <row r="2798" customFormat="false" ht="35.05" hidden="false" customHeight="false" outlineLevel="0" collapsed="false">
      <c r="A2798" s="5" t="s">
        <v>6323</v>
      </c>
      <c r="B2798" s="5" t="s">
        <v>132</v>
      </c>
      <c r="C2798" s="5" t="s">
        <v>133</v>
      </c>
      <c r="D2798" s="5" t="s">
        <v>137</v>
      </c>
      <c r="E2798" s="5" t="s">
        <v>138</v>
      </c>
      <c r="F2798" s="5" t="s">
        <v>186</v>
      </c>
      <c r="G2798" s="5" t="s">
        <v>443</v>
      </c>
      <c r="H2798" s="5" t="s">
        <v>230</v>
      </c>
      <c r="I2798" s="5" t="s">
        <v>6324</v>
      </c>
      <c r="J2798" s="5" t="s">
        <v>238</v>
      </c>
      <c r="K2798" s="5" t="s">
        <v>6316</v>
      </c>
      <c r="L2798" s="5" t="s">
        <v>205</v>
      </c>
      <c r="M2798" s="5" t="s">
        <v>460</v>
      </c>
      <c r="N2798" s="5" t="s">
        <v>278</v>
      </c>
      <c r="O2798" s="5" t="s">
        <v>634</v>
      </c>
      <c r="P2798" s="5" t="str">
        <f aca="false">IF(J2798="S0","—",IF(K2798="","",IF(L2798="E0","QM",INDEX(10_ASIL_Matrix!$D$4:$F$15,MATCH(J2798&amp;"-"&amp;L2798,10_ASIL_Matrix!$C$4:$C$15,0),MATCH(N2798,10_ASIL_Matrix!$D$3:$F$3,0)))))</f>
        <v>—</v>
      </c>
      <c r="Q2798" s="5" t="s">
        <v>448</v>
      </c>
    </row>
    <row r="2799" customFormat="false" ht="46.25" hidden="false" customHeight="false" outlineLevel="0" collapsed="false">
      <c r="A2799" s="6" t="s">
        <v>6325</v>
      </c>
      <c r="B2799" s="6" t="s">
        <v>132</v>
      </c>
      <c r="C2799" s="6" t="s">
        <v>133</v>
      </c>
      <c r="D2799" s="6" t="s">
        <v>137</v>
      </c>
      <c r="E2799" s="6" t="s">
        <v>138</v>
      </c>
      <c r="F2799" s="6" t="s">
        <v>186</v>
      </c>
      <c r="G2799" s="6" t="s">
        <v>443</v>
      </c>
      <c r="H2799" s="6" t="s">
        <v>232</v>
      </c>
      <c r="I2799" s="6" t="s">
        <v>6326</v>
      </c>
      <c r="J2799" s="6" t="s">
        <v>238</v>
      </c>
      <c r="K2799" s="6" t="s">
        <v>6316</v>
      </c>
      <c r="L2799" s="6" t="s">
        <v>233</v>
      </c>
      <c r="M2799" s="6" t="s">
        <v>464</v>
      </c>
      <c r="N2799" s="6" t="s">
        <v>278</v>
      </c>
      <c r="O2799" s="6" t="s">
        <v>634</v>
      </c>
      <c r="P2799" s="6" t="str">
        <f aca="false">IF(J2799="S0","—",IF(K2799="","",IF(L2799="E0","QM",INDEX(10_ASIL_Matrix!$D$4:$F$15,MATCH(J2799&amp;"-"&amp;L2799,10_ASIL_Matrix!$C$4:$C$15,0),MATCH(N2799,10_ASIL_Matrix!$D$3:$F$3,0)))))</f>
        <v>—</v>
      </c>
      <c r="Q2799" s="6" t="s">
        <v>448</v>
      </c>
    </row>
    <row r="2800" customFormat="false" ht="35.05" hidden="false" customHeight="false" outlineLevel="0" collapsed="false">
      <c r="A2800" s="5" t="s">
        <v>6327</v>
      </c>
      <c r="B2800" s="5" t="s">
        <v>132</v>
      </c>
      <c r="C2800" s="5" t="s">
        <v>133</v>
      </c>
      <c r="D2800" s="5" t="s">
        <v>137</v>
      </c>
      <c r="E2800" s="5" t="s">
        <v>138</v>
      </c>
      <c r="F2800" s="5" t="s">
        <v>189</v>
      </c>
      <c r="G2800" s="5" t="s">
        <v>466</v>
      </c>
      <c r="H2800" s="5" t="s">
        <v>222</v>
      </c>
      <c r="I2800" s="5" t="s">
        <v>6328</v>
      </c>
      <c r="J2800" s="5" t="s">
        <v>238</v>
      </c>
      <c r="K2800" s="5" t="s">
        <v>6316</v>
      </c>
      <c r="L2800" s="5" t="s">
        <v>190</v>
      </c>
      <c r="M2800" s="5" t="s">
        <v>469</v>
      </c>
      <c r="N2800" s="5" t="s">
        <v>278</v>
      </c>
      <c r="O2800" s="5" t="s">
        <v>634</v>
      </c>
      <c r="P2800" s="5" t="str">
        <f aca="false">IF(J2800="S0","—",IF(K2800="","",IF(L2800="E0","QM",INDEX(10_ASIL_Matrix!$D$4:$F$15,MATCH(J2800&amp;"-"&amp;L2800,10_ASIL_Matrix!$C$4:$C$15,0),MATCH(N2800,10_ASIL_Matrix!$D$3:$F$3,0)))))</f>
        <v>—</v>
      </c>
      <c r="Q2800" s="5" t="s">
        <v>448</v>
      </c>
    </row>
    <row r="2801" customFormat="false" ht="35.05" hidden="false" customHeight="false" outlineLevel="0" collapsed="false">
      <c r="A2801" s="6" t="s">
        <v>6329</v>
      </c>
      <c r="B2801" s="6" t="s">
        <v>132</v>
      </c>
      <c r="C2801" s="6" t="s">
        <v>133</v>
      </c>
      <c r="D2801" s="6" t="s">
        <v>137</v>
      </c>
      <c r="E2801" s="6" t="s">
        <v>138</v>
      </c>
      <c r="F2801" s="6" t="s">
        <v>189</v>
      </c>
      <c r="G2801" s="6" t="s">
        <v>466</v>
      </c>
      <c r="H2801" s="6" t="s">
        <v>224</v>
      </c>
      <c r="I2801" s="6" t="s">
        <v>6330</v>
      </c>
      <c r="J2801" s="6" t="s">
        <v>238</v>
      </c>
      <c r="K2801" s="6" t="s">
        <v>6316</v>
      </c>
      <c r="L2801" s="6" t="s">
        <v>190</v>
      </c>
      <c r="M2801" s="6" t="s">
        <v>473</v>
      </c>
      <c r="N2801" s="6" t="s">
        <v>278</v>
      </c>
      <c r="O2801" s="6" t="s">
        <v>634</v>
      </c>
      <c r="P2801" s="6" t="str">
        <f aca="false">IF(J2801="S0","—",IF(K2801="","",IF(L2801="E0","QM",INDEX(10_ASIL_Matrix!$D$4:$F$15,MATCH(J2801&amp;"-"&amp;L2801,10_ASIL_Matrix!$C$4:$C$15,0),MATCH(N2801,10_ASIL_Matrix!$D$3:$F$3,0)))))</f>
        <v>—</v>
      </c>
      <c r="Q2801" s="6" t="s">
        <v>448</v>
      </c>
    </row>
    <row r="2802" customFormat="false" ht="35.05" hidden="false" customHeight="false" outlineLevel="0" collapsed="false">
      <c r="A2802" s="5" t="s">
        <v>6331</v>
      </c>
      <c r="B2802" s="5" t="s">
        <v>132</v>
      </c>
      <c r="C2802" s="5" t="s">
        <v>133</v>
      </c>
      <c r="D2802" s="5" t="s">
        <v>137</v>
      </c>
      <c r="E2802" s="5" t="s">
        <v>138</v>
      </c>
      <c r="F2802" s="5" t="s">
        <v>189</v>
      </c>
      <c r="G2802" s="5" t="s">
        <v>466</v>
      </c>
      <c r="H2802" s="5" t="s">
        <v>226</v>
      </c>
      <c r="I2802" s="5" t="s">
        <v>6332</v>
      </c>
      <c r="J2802" s="5" t="s">
        <v>238</v>
      </c>
      <c r="K2802" s="5" t="s">
        <v>6316</v>
      </c>
      <c r="L2802" s="5" t="s">
        <v>190</v>
      </c>
      <c r="M2802" s="5" t="s">
        <v>476</v>
      </c>
      <c r="N2802" s="5" t="s">
        <v>278</v>
      </c>
      <c r="O2802" s="5" t="s">
        <v>634</v>
      </c>
      <c r="P2802" s="5" t="str">
        <f aca="false">IF(J2802="S0","—",IF(K2802="","",IF(L2802="E0","QM",INDEX(10_ASIL_Matrix!$D$4:$F$15,MATCH(J2802&amp;"-"&amp;L2802,10_ASIL_Matrix!$C$4:$C$15,0),MATCH(N2802,10_ASIL_Matrix!$D$3:$F$3,0)))))</f>
        <v>—</v>
      </c>
      <c r="Q2802" s="5" t="s">
        <v>448</v>
      </c>
    </row>
    <row r="2803" customFormat="false" ht="46.25" hidden="false" customHeight="false" outlineLevel="0" collapsed="false">
      <c r="A2803" s="6" t="s">
        <v>6333</v>
      </c>
      <c r="B2803" s="6" t="s">
        <v>132</v>
      </c>
      <c r="C2803" s="6" t="s">
        <v>133</v>
      </c>
      <c r="D2803" s="6" t="s">
        <v>137</v>
      </c>
      <c r="E2803" s="6" t="s">
        <v>138</v>
      </c>
      <c r="F2803" s="6" t="s">
        <v>189</v>
      </c>
      <c r="G2803" s="6" t="s">
        <v>466</v>
      </c>
      <c r="H2803" s="6" t="s">
        <v>228</v>
      </c>
      <c r="I2803" s="6" t="s">
        <v>6334</v>
      </c>
      <c r="J2803" s="6" t="s">
        <v>238</v>
      </c>
      <c r="K2803" s="6" t="s">
        <v>6316</v>
      </c>
      <c r="L2803" s="6" t="s">
        <v>205</v>
      </c>
      <c r="M2803" s="6" t="s">
        <v>479</v>
      </c>
      <c r="N2803" s="6" t="s">
        <v>278</v>
      </c>
      <c r="O2803" s="6" t="s">
        <v>634</v>
      </c>
      <c r="P2803" s="6" t="str">
        <f aca="false">IF(J2803="S0","—",IF(K2803="","",IF(L2803="E0","QM",INDEX(10_ASIL_Matrix!$D$4:$F$15,MATCH(J2803&amp;"-"&amp;L2803,10_ASIL_Matrix!$C$4:$C$15,0),MATCH(N2803,10_ASIL_Matrix!$D$3:$F$3,0)))))</f>
        <v>—</v>
      </c>
      <c r="Q2803" s="6" t="s">
        <v>448</v>
      </c>
    </row>
    <row r="2804" customFormat="false" ht="35.05" hidden="false" customHeight="false" outlineLevel="0" collapsed="false">
      <c r="A2804" s="5" t="s">
        <v>6335</v>
      </c>
      <c r="B2804" s="5" t="s">
        <v>132</v>
      </c>
      <c r="C2804" s="5" t="s">
        <v>133</v>
      </c>
      <c r="D2804" s="5" t="s">
        <v>137</v>
      </c>
      <c r="E2804" s="5" t="s">
        <v>138</v>
      </c>
      <c r="F2804" s="5" t="s">
        <v>189</v>
      </c>
      <c r="G2804" s="5" t="s">
        <v>466</v>
      </c>
      <c r="H2804" s="5" t="s">
        <v>230</v>
      </c>
      <c r="I2804" s="5" t="s">
        <v>6336</v>
      </c>
      <c r="J2804" s="5" t="s">
        <v>238</v>
      </c>
      <c r="K2804" s="5" t="s">
        <v>6316</v>
      </c>
      <c r="L2804" s="5" t="s">
        <v>205</v>
      </c>
      <c r="M2804" s="5" t="s">
        <v>482</v>
      </c>
      <c r="N2804" s="5" t="s">
        <v>278</v>
      </c>
      <c r="O2804" s="5" t="s">
        <v>634</v>
      </c>
      <c r="P2804" s="5" t="str">
        <f aca="false">IF(J2804="S0","—",IF(K2804="","",IF(L2804="E0","QM",INDEX(10_ASIL_Matrix!$D$4:$F$15,MATCH(J2804&amp;"-"&amp;L2804,10_ASIL_Matrix!$C$4:$C$15,0),MATCH(N2804,10_ASIL_Matrix!$D$3:$F$3,0)))))</f>
        <v>—</v>
      </c>
      <c r="Q2804" s="5" t="s">
        <v>448</v>
      </c>
    </row>
    <row r="2805" customFormat="false" ht="46.25" hidden="false" customHeight="false" outlineLevel="0" collapsed="false">
      <c r="A2805" s="6" t="s">
        <v>6337</v>
      </c>
      <c r="B2805" s="6" t="s">
        <v>132</v>
      </c>
      <c r="C2805" s="6" t="s">
        <v>133</v>
      </c>
      <c r="D2805" s="6" t="s">
        <v>137</v>
      </c>
      <c r="E2805" s="6" t="s">
        <v>138</v>
      </c>
      <c r="F2805" s="6" t="s">
        <v>189</v>
      </c>
      <c r="G2805" s="6" t="s">
        <v>466</v>
      </c>
      <c r="H2805" s="6" t="s">
        <v>232</v>
      </c>
      <c r="I2805" s="6" t="s">
        <v>6338</v>
      </c>
      <c r="J2805" s="6" t="s">
        <v>238</v>
      </c>
      <c r="K2805" s="6" t="s">
        <v>6316</v>
      </c>
      <c r="L2805" s="6" t="s">
        <v>233</v>
      </c>
      <c r="M2805" s="6" t="s">
        <v>486</v>
      </c>
      <c r="N2805" s="6" t="s">
        <v>278</v>
      </c>
      <c r="O2805" s="6" t="s">
        <v>634</v>
      </c>
      <c r="P2805" s="6" t="str">
        <f aca="false">IF(J2805="S0","—",IF(K2805="","",IF(L2805="E0","QM",INDEX(10_ASIL_Matrix!$D$4:$F$15,MATCH(J2805&amp;"-"&amp;L2805,10_ASIL_Matrix!$C$4:$C$15,0),MATCH(N2805,10_ASIL_Matrix!$D$3:$F$3,0)))))</f>
        <v>—</v>
      </c>
      <c r="Q2805" s="6" t="s">
        <v>448</v>
      </c>
    </row>
    <row r="2806" customFormat="false" ht="35.05" hidden="false" customHeight="false" outlineLevel="0" collapsed="false">
      <c r="A2806" s="5" t="s">
        <v>6339</v>
      </c>
      <c r="B2806" s="5" t="s">
        <v>132</v>
      </c>
      <c r="C2806" s="5" t="s">
        <v>133</v>
      </c>
      <c r="D2806" s="5" t="s">
        <v>137</v>
      </c>
      <c r="E2806" s="5" t="s">
        <v>138</v>
      </c>
      <c r="F2806" s="5" t="s">
        <v>192</v>
      </c>
      <c r="G2806" s="5" t="s">
        <v>488</v>
      </c>
      <c r="H2806" s="5" t="s">
        <v>222</v>
      </c>
      <c r="I2806" s="5" t="s">
        <v>6340</v>
      </c>
      <c r="J2806" s="5" t="s">
        <v>238</v>
      </c>
      <c r="K2806" s="5" t="s">
        <v>6316</v>
      </c>
      <c r="L2806" s="5" t="s">
        <v>187</v>
      </c>
      <c r="M2806" s="5" t="s">
        <v>491</v>
      </c>
      <c r="N2806" s="5" t="s">
        <v>278</v>
      </c>
      <c r="O2806" s="5" t="s">
        <v>634</v>
      </c>
      <c r="P2806" s="5" t="str">
        <f aca="false">IF(J2806="S0","—",IF(K2806="","",IF(L2806="E0","QM",INDEX(10_ASIL_Matrix!$D$4:$F$15,MATCH(J2806&amp;"-"&amp;L2806,10_ASIL_Matrix!$C$4:$C$15,0),MATCH(N2806,10_ASIL_Matrix!$D$3:$F$3,0)))))</f>
        <v>—</v>
      </c>
      <c r="Q2806" s="5" t="s">
        <v>448</v>
      </c>
    </row>
    <row r="2807" customFormat="false" ht="35.05" hidden="false" customHeight="false" outlineLevel="0" collapsed="false">
      <c r="A2807" s="6" t="s">
        <v>6341</v>
      </c>
      <c r="B2807" s="6" t="s">
        <v>132</v>
      </c>
      <c r="C2807" s="6" t="s">
        <v>133</v>
      </c>
      <c r="D2807" s="6" t="s">
        <v>137</v>
      </c>
      <c r="E2807" s="6" t="s">
        <v>138</v>
      </c>
      <c r="F2807" s="6" t="s">
        <v>192</v>
      </c>
      <c r="G2807" s="6" t="s">
        <v>488</v>
      </c>
      <c r="H2807" s="6" t="s">
        <v>224</v>
      </c>
      <c r="I2807" s="6" t="s">
        <v>6342</v>
      </c>
      <c r="J2807" s="6" t="s">
        <v>238</v>
      </c>
      <c r="K2807" s="6" t="s">
        <v>6316</v>
      </c>
      <c r="L2807" s="6" t="s">
        <v>190</v>
      </c>
      <c r="M2807" s="6" t="s">
        <v>494</v>
      </c>
      <c r="N2807" s="6" t="s">
        <v>278</v>
      </c>
      <c r="O2807" s="6" t="s">
        <v>634</v>
      </c>
      <c r="P2807" s="6" t="str">
        <f aca="false">IF(J2807="S0","—",IF(K2807="","",IF(L2807="E0","QM",INDEX(10_ASIL_Matrix!$D$4:$F$15,MATCH(J2807&amp;"-"&amp;L2807,10_ASIL_Matrix!$C$4:$C$15,0),MATCH(N2807,10_ASIL_Matrix!$D$3:$F$3,0)))))</f>
        <v>—</v>
      </c>
      <c r="Q2807" s="6" t="s">
        <v>448</v>
      </c>
    </row>
    <row r="2808" customFormat="false" ht="35.05" hidden="false" customHeight="false" outlineLevel="0" collapsed="false">
      <c r="A2808" s="5" t="s">
        <v>6343</v>
      </c>
      <c r="B2808" s="5" t="s">
        <v>132</v>
      </c>
      <c r="C2808" s="5" t="s">
        <v>133</v>
      </c>
      <c r="D2808" s="5" t="s">
        <v>137</v>
      </c>
      <c r="E2808" s="5" t="s">
        <v>138</v>
      </c>
      <c r="F2808" s="5" t="s">
        <v>192</v>
      </c>
      <c r="G2808" s="5" t="s">
        <v>488</v>
      </c>
      <c r="H2808" s="5" t="s">
        <v>226</v>
      </c>
      <c r="I2808" s="5" t="s">
        <v>6344</v>
      </c>
      <c r="J2808" s="5" t="s">
        <v>238</v>
      </c>
      <c r="K2808" s="5" t="s">
        <v>6316</v>
      </c>
      <c r="L2808" s="5" t="s">
        <v>190</v>
      </c>
      <c r="M2808" s="5" t="s">
        <v>497</v>
      </c>
      <c r="N2808" s="5" t="s">
        <v>278</v>
      </c>
      <c r="O2808" s="5" t="s">
        <v>634</v>
      </c>
      <c r="P2808" s="5" t="str">
        <f aca="false">IF(J2808="S0","—",IF(K2808="","",IF(L2808="E0","QM",INDEX(10_ASIL_Matrix!$D$4:$F$15,MATCH(J2808&amp;"-"&amp;L2808,10_ASIL_Matrix!$C$4:$C$15,0),MATCH(N2808,10_ASIL_Matrix!$D$3:$F$3,0)))))</f>
        <v>—</v>
      </c>
      <c r="Q2808" s="5" t="s">
        <v>448</v>
      </c>
    </row>
    <row r="2809" customFormat="false" ht="35.05" hidden="false" customHeight="false" outlineLevel="0" collapsed="false">
      <c r="A2809" s="6" t="s">
        <v>6345</v>
      </c>
      <c r="B2809" s="6" t="s">
        <v>132</v>
      </c>
      <c r="C2809" s="6" t="s">
        <v>133</v>
      </c>
      <c r="D2809" s="6" t="s">
        <v>137</v>
      </c>
      <c r="E2809" s="6" t="s">
        <v>138</v>
      </c>
      <c r="F2809" s="6" t="s">
        <v>192</v>
      </c>
      <c r="G2809" s="6" t="s">
        <v>488</v>
      </c>
      <c r="H2809" s="6" t="s">
        <v>228</v>
      </c>
      <c r="I2809" s="6" t="s">
        <v>6346</v>
      </c>
      <c r="J2809" s="6" t="s">
        <v>238</v>
      </c>
      <c r="K2809" s="6" t="s">
        <v>6316</v>
      </c>
      <c r="L2809" s="6" t="s">
        <v>205</v>
      </c>
      <c r="M2809" s="6" t="s">
        <v>500</v>
      </c>
      <c r="N2809" s="6" t="s">
        <v>278</v>
      </c>
      <c r="O2809" s="6" t="s">
        <v>634</v>
      </c>
      <c r="P2809" s="6" t="str">
        <f aca="false">IF(J2809="S0","—",IF(K2809="","",IF(L2809="E0","QM",INDEX(10_ASIL_Matrix!$D$4:$F$15,MATCH(J2809&amp;"-"&amp;L2809,10_ASIL_Matrix!$C$4:$C$15,0),MATCH(N2809,10_ASIL_Matrix!$D$3:$F$3,0)))))</f>
        <v>—</v>
      </c>
      <c r="Q2809" s="6" t="s">
        <v>448</v>
      </c>
    </row>
    <row r="2810" customFormat="false" ht="35.05" hidden="false" customHeight="false" outlineLevel="0" collapsed="false">
      <c r="A2810" s="5" t="s">
        <v>6347</v>
      </c>
      <c r="B2810" s="5" t="s">
        <v>132</v>
      </c>
      <c r="C2810" s="5" t="s">
        <v>133</v>
      </c>
      <c r="D2810" s="5" t="s">
        <v>137</v>
      </c>
      <c r="E2810" s="5" t="s">
        <v>138</v>
      </c>
      <c r="F2810" s="5" t="s">
        <v>192</v>
      </c>
      <c r="G2810" s="5" t="s">
        <v>488</v>
      </c>
      <c r="H2810" s="5" t="s">
        <v>230</v>
      </c>
      <c r="I2810" s="5" t="s">
        <v>6348</v>
      </c>
      <c r="J2810" s="5" t="s">
        <v>238</v>
      </c>
      <c r="K2810" s="5" t="s">
        <v>6316</v>
      </c>
      <c r="L2810" s="5" t="s">
        <v>205</v>
      </c>
      <c r="M2810" s="5" t="s">
        <v>503</v>
      </c>
      <c r="N2810" s="5" t="s">
        <v>278</v>
      </c>
      <c r="O2810" s="5" t="s">
        <v>634</v>
      </c>
      <c r="P2810" s="5" t="str">
        <f aca="false">IF(J2810="S0","—",IF(K2810="","",IF(L2810="E0","QM",INDEX(10_ASIL_Matrix!$D$4:$F$15,MATCH(J2810&amp;"-"&amp;L2810,10_ASIL_Matrix!$C$4:$C$15,0),MATCH(N2810,10_ASIL_Matrix!$D$3:$F$3,0)))))</f>
        <v>—</v>
      </c>
      <c r="Q2810" s="5" t="s">
        <v>448</v>
      </c>
    </row>
    <row r="2811" customFormat="false" ht="46.25" hidden="false" customHeight="false" outlineLevel="0" collapsed="false">
      <c r="A2811" s="6" t="s">
        <v>6349</v>
      </c>
      <c r="B2811" s="6" t="s">
        <v>132</v>
      </c>
      <c r="C2811" s="6" t="s">
        <v>133</v>
      </c>
      <c r="D2811" s="6" t="s">
        <v>137</v>
      </c>
      <c r="E2811" s="6" t="s">
        <v>138</v>
      </c>
      <c r="F2811" s="6" t="s">
        <v>192</v>
      </c>
      <c r="G2811" s="6" t="s">
        <v>488</v>
      </c>
      <c r="H2811" s="6" t="s">
        <v>232</v>
      </c>
      <c r="I2811" s="6" t="s">
        <v>6350</v>
      </c>
      <c r="J2811" s="6" t="s">
        <v>238</v>
      </c>
      <c r="K2811" s="6" t="s">
        <v>6316</v>
      </c>
      <c r="L2811" s="6" t="s">
        <v>233</v>
      </c>
      <c r="M2811" s="6" t="s">
        <v>506</v>
      </c>
      <c r="N2811" s="6" t="s">
        <v>278</v>
      </c>
      <c r="O2811" s="6" t="s">
        <v>634</v>
      </c>
      <c r="P2811" s="6" t="str">
        <f aca="false">IF(J2811="S0","—",IF(K2811="","",IF(L2811="E0","QM",INDEX(10_ASIL_Matrix!$D$4:$F$15,MATCH(J2811&amp;"-"&amp;L2811,10_ASIL_Matrix!$C$4:$C$15,0),MATCH(N2811,10_ASIL_Matrix!$D$3:$F$3,0)))))</f>
        <v>—</v>
      </c>
      <c r="Q2811" s="6" t="s">
        <v>448</v>
      </c>
    </row>
    <row r="2812" customFormat="false" ht="35.05" hidden="false" customHeight="false" outlineLevel="0" collapsed="false">
      <c r="A2812" s="5" t="s">
        <v>6351</v>
      </c>
      <c r="B2812" s="5" t="s">
        <v>132</v>
      </c>
      <c r="C2812" s="5" t="s">
        <v>133</v>
      </c>
      <c r="D2812" s="5" t="s">
        <v>137</v>
      </c>
      <c r="E2812" s="5" t="s">
        <v>138</v>
      </c>
      <c r="F2812" s="5" t="s">
        <v>194</v>
      </c>
      <c r="G2812" s="5" t="s">
        <v>508</v>
      </c>
      <c r="H2812" s="5" t="s">
        <v>222</v>
      </c>
      <c r="I2812" s="5" t="s">
        <v>6352</v>
      </c>
      <c r="J2812" s="5" t="s">
        <v>238</v>
      </c>
      <c r="K2812" s="5" t="s">
        <v>6316</v>
      </c>
      <c r="L2812" s="5" t="s">
        <v>190</v>
      </c>
      <c r="M2812" s="5" t="s">
        <v>511</v>
      </c>
      <c r="N2812" s="5" t="s">
        <v>278</v>
      </c>
      <c r="O2812" s="5" t="s">
        <v>634</v>
      </c>
      <c r="P2812" s="5" t="str">
        <f aca="false">IF(J2812="S0","—",IF(K2812="","",IF(L2812="E0","QM",INDEX(10_ASIL_Matrix!$D$4:$F$15,MATCH(J2812&amp;"-"&amp;L2812,10_ASIL_Matrix!$C$4:$C$15,0),MATCH(N2812,10_ASIL_Matrix!$D$3:$F$3,0)))))</f>
        <v>—</v>
      </c>
      <c r="Q2812" s="5" t="s">
        <v>448</v>
      </c>
    </row>
    <row r="2813" customFormat="false" ht="35.05" hidden="false" customHeight="false" outlineLevel="0" collapsed="false">
      <c r="A2813" s="6" t="s">
        <v>6353</v>
      </c>
      <c r="B2813" s="6" t="s">
        <v>132</v>
      </c>
      <c r="C2813" s="6" t="s">
        <v>133</v>
      </c>
      <c r="D2813" s="6" t="s">
        <v>137</v>
      </c>
      <c r="E2813" s="6" t="s">
        <v>138</v>
      </c>
      <c r="F2813" s="6" t="s">
        <v>194</v>
      </c>
      <c r="G2813" s="6" t="s">
        <v>508</v>
      </c>
      <c r="H2813" s="6" t="s">
        <v>224</v>
      </c>
      <c r="I2813" s="6" t="s">
        <v>6354</v>
      </c>
      <c r="J2813" s="6" t="s">
        <v>238</v>
      </c>
      <c r="K2813" s="6" t="s">
        <v>6316</v>
      </c>
      <c r="L2813" s="6" t="s">
        <v>190</v>
      </c>
      <c r="M2813" s="6" t="s">
        <v>514</v>
      </c>
      <c r="N2813" s="6" t="s">
        <v>278</v>
      </c>
      <c r="O2813" s="6" t="s">
        <v>634</v>
      </c>
      <c r="P2813" s="6" t="str">
        <f aca="false">IF(J2813="S0","—",IF(K2813="","",IF(L2813="E0","QM",INDEX(10_ASIL_Matrix!$D$4:$F$15,MATCH(J2813&amp;"-"&amp;L2813,10_ASIL_Matrix!$C$4:$C$15,0),MATCH(N2813,10_ASIL_Matrix!$D$3:$F$3,0)))))</f>
        <v>—</v>
      </c>
      <c r="Q2813" s="6" t="s">
        <v>448</v>
      </c>
    </row>
    <row r="2814" customFormat="false" ht="35.05" hidden="false" customHeight="false" outlineLevel="0" collapsed="false">
      <c r="A2814" s="5" t="s">
        <v>6355</v>
      </c>
      <c r="B2814" s="5" t="s">
        <v>132</v>
      </c>
      <c r="C2814" s="5" t="s">
        <v>133</v>
      </c>
      <c r="D2814" s="5" t="s">
        <v>137</v>
      </c>
      <c r="E2814" s="5" t="s">
        <v>138</v>
      </c>
      <c r="F2814" s="5" t="s">
        <v>194</v>
      </c>
      <c r="G2814" s="5" t="s">
        <v>508</v>
      </c>
      <c r="H2814" s="5" t="s">
        <v>226</v>
      </c>
      <c r="I2814" s="5" t="s">
        <v>6356</v>
      </c>
      <c r="J2814" s="5" t="s">
        <v>238</v>
      </c>
      <c r="K2814" s="5" t="s">
        <v>6316</v>
      </c>
      <c r="L2814" s="5" t="s">
        <v>190</v>
      </c>
      <c r="M2814" s="5" t="s">
        <v>517</v>
      </c>
      <c r="N2814" s="5" t="s">
        <v>278</v>
      </c>
      <c r="O2814" s="5" t="s">
        <v>634</v>
      </c>
      <c r="P2814" s="5" t="str">
        <f aca="false">IF(J2814="S0","—",IF(K2814="","",IF(L2814="E0","QM",INDEX(10_ASIL_Matrix!$D$4:$F$15,MATCH(J2814&amp;"-"&amp;L2814,10_ASIL_Matrix!$C$4:$C$15,0),MATCH(N2814,10_ASIL_Matrix!$D$3:$F$3,0)))))</f>
        <v>—</v>
      </c>
      <c r="Q2814" s="5" t="s">
        <v>448</v>
      </c>
    </row>
    <row r="2815" customFormat="false" ht="46.25" hidden="false" customHeight="false" outlineLevel="0" collapsed="false">
      <c r="A2815" s="6" t="s">
        <v>6357</v>
      </c>
      <c r="B2815" s="6" t="s">
        <v>132</v>
      </c>
      <c r="C2815" s="6" t="s">
        <v>133</v>
      </c>
      <c r="D2815" s="6" t="s">
        <v>137</v>
      </c>
      <c r="E2815" s="6" t="s">
        <v>138</v>
      </c>
      <c r="F2815" s="6" t="s">
        <v>194</v>
      </c>
      <c r="G2815" s="6" t="s">
        <v>508</v>
      </c>
      <c r="H2815" s="6" t="s">
        <v>228</v>
      </c>
      <c r="I2815" s="6" t="s">
        <v>6358</v>
      </c>
      <c r="J2815" s="6" t="s">
        <v>238</v>
      </c>
      <c r="K2815" s="6" t="s">
        <v>6316</v>
      </c>
      <c r="L2815" s="6" t="s">
        <v>205</v>
      </c>
      <c r="M2815" s="6" t="s">
        <v>520</v>
      </c>
      <c r="N2815" s="6" t="s">
        <v>278</v>
      </c>
      <c r="O2815" s="6" t="s">
        <v>634</v>
      </c>
      <c r="P2815" s="6" t="str">
        <f aca="false">IF(J2815="S0","—",IF(K2815="","",IF(L2815="E0","QM",INDEX(10_ASIL_Matrix!$D$4:$F$15,MATCH(J2815&amp;"-"&amp;L2815,10_ASIL_Matrix!$C$4:$C$15,0),MATCH(N2815,10_ASIL_Matrix!$D$3:$F$3,0)))))</f>
        <v>—</v>
      </c>
      <c r="Q2815" s="6" t="s">
        <v>448</v>
      </c>
    </row>
    <row r="2816" customFormat="false" ht="35.05" hidden="false" customHeight="false" outlineLevel="0" collapsed="false">
      <c r="A2816" s="5" t="s">
        <v>6359</v>
      </c>
      <c r="B2816" s="5" t="s">
        <v>132</v>
      </c>
      <c r="C2816" s="5" t="s">
        <v>133</v>
      </c>
      <c r="D2816" s="5" t="s">
        <v>137</v>
      </c>
      <c r="E2816" s="5" t="s">
        <v>138</v>
      </c>
      <c r="F2816" s="5" t="s">
        <v>194</v>
      </c>
      <c r="G2816" s="5" t="s">
        <v>508</v>
      </c>
      <c r="H2816" s="5" t="s">
        <v>230</v>
      </c>
      <c r="I2816" s="5" t="s">
        <v>6360</v>
      </c>
      <c r="J2816" s="5" t="s">
        <v>238</v>
      </c>
      <c r="K2816" s="5" t="s">
        <v>6316</v>
      </c>
      <c r="L2816" s="5" t="s">
        <v>205</v>
      </c>
      <c r="M2816" s="5" t="s">
        <v>523</v>
      </c>
      <c r="N2816" s="5" t="s">
        <v>278</v>
      </c>
      <c r="O2816" s="5" t="s">
        <v>634</v>
      </c>
      <c r="P2816" s="5" t="str">
        <f aca="false">IF(J2816="S0","—",IF(K2816="","",IF(L2816="E0","QM",INDEX(10_ASIL_Matrix!$D$4:$F$15,MATCH(J2816&amp;"-"&amp;L2816,10_ASIL_Matrix!$C$4:$C$15,0),MATCH(N2816,10_ASIL_Matrix!$D$3:$F$3,0)))))</f>
        <v>—</v>
      </c>
      <c r="Q2816" s="5" t="s">
        <v>448</v>
      </c>
    </row>
    <row r="2817" customFormat="false" ht="46.25" hidden="false" customHeight="false" outlineLevel="0" collapsed="false">
      <c r="A2817" s="6" t="s">
        <v>6361</v>
      </c>
      <c r="B2817" s="6" t="s">
        <v>132</v>
      </c>
      <c r="C2817" s="6" t="s">
        <v>133</v>
      </c>
      <c r="D2817" s="6" t="s">
        <v>137</v>
      </c>
      <c r="E2817" s="6" t="s">
        <v>138</v>
      </c>
      <c r="F2817" s="6" t="s">
        <v>194</v>
      </c>
      <c r="G2817" s="6" t="s">
        <v>508</v>
      </c>
      <c r="H2817" s="6" t="s">
        <v>232</v>
      </c>
      <c r="I2817" s="6" t="s">
        <v>6362</v>
      </c>
      <c r="J2817" s="6" t="s">
        <v>238</v>
      </c>
      <c r="K2817" s="6" t="s">
        <v>6316</v>
      </c>
      <c r="L2817" s="6" t="s">
        <v>233</v>
      </c>
      <c r="M2817" s="6" t="s">
        <v>526</v>
      </c>
      <c r="N2817" s="6" t="s">
        <v>278</v>
      </c>
      <c r="O2817" s="6" t="s">
        <v>634</v>
      </c>
      <c r="P2817" s="6" t="str">
        <f aca="false">IF(J2817="S0","—",IF(K2817="","",IF(L2817="E0","QM",INDEX(10_ASIL_Matrix!$D$4:$F$15,MATCH(J2817&amp;"-"&amp;L2817,10_ASIL_Matrix!$C$4:$C$15,0),MATCH(N2817,10_ASIL_Matrix!$D$3:$F$3,0)))))</f>
        <v>—</v>
      </c>
      <c r="Q2817" s="6" t="s">
        <v>448</v>
      </c>
    </row>
    <row r="2818" customFormat="false" ht="35.05" hidden="false" customHeight="false" outlineLevel="0" collapsed="false">
      <c r="A2818" s="5" t="s">
        <v>6363</v>
      </c>
      <c r="B2818" s="5" t="s">
        <v>132</v>
      </c>
      <c r="C2818" s="5" t="s">
        <v>133</v>
      </c>
      <c r="D2818" s="5" t="s">
        <v>137</v>
      </c>
      <c r="E2818" s="5" t="s">
        <v>138</v>
      </c>
      <c r="F2818" s="5" t="s">
        <v>196</v>
      </c>
      <c r="G2818" s="5" t="s">
        <v>528</v>
      </c>
      <c r="H2818" s="5" t="s">
        <v>222</v>
      </c>
      <c r="I2818" s="5" t="s">
        <v>6364</v>
      </c>
      <c r="J2818" s="5" t="s">
        <v>238</v>
      </c>
      <c r="K2818" s="5" t="s">
        <v>6316</v>
      </c>
      <c r="L2818" s="5" t="s">
        <v>187</v>
      </c>
      <c r="M2818" s="5" t="s">
        <v>531</v>
      </c>
      <c r="N2818" s="5" t="s">
        <v>278</v>
      </c>
      <c r="O2818" s="5" t="s">
        <v>634</v>
      </c>
      <c r="P2818" s="5" t="str">
        <f aca="false">IF(J2818="S0","—",IF(K2818="","",IF(L2818="E0","QM",INDEX(10_ASIL_Matrix!$D$4:$F$15,MATCH(J2818&amp;"-"&amp;L2818,10_ASIL_Matrix!$C$4:$C$15,0),MATCH(N2818,10_ASIL_Matrix!$D$3:$F$3,0)))))</f>
        <v>—</v>
      </c>
      <c r="Q2818" s="5" t="s">
        <v>448</v>
      </c>
    </row>
    <row r="2819" customFormat="false" ht="35.05" hidden="false" customHeight="false" outlineLevel="0" collapsed="false">
      <c r="A2819" s="6" t="s">
        <v>6365</v>
      </c>
      <c r="B2819" s="6" t="s">
        <v>132</v>
      </c>
      <c r="C2819" s="6" t="s">
        <v>133</v>
      </c>
      <c r="D2819" s="6" t="s">
        <v>137</v>
      </c>
      <c r="E2819" s="6" t="s">
        <v>138</v>
      </c>
      <c r="F2819" s="6" t="s">
        <v>196</v>
      </c>
      <c r="G2819" s="6" t="s">
        <v>528</v>
      </c>
      <c r="H2819" s="6" t="s">
        <v>224</v>
      </c>
      <c r="I2819" s="6" t="s">
        <v>6366</v>
      </c>
      <c r="J2819" s="6" t="s">
        <v>238</v>
      </c>
      <c r="K2819" s="6" t="s">
        <v>6316</v>
      </c>
      <c r="L2819" s="6" t="s">
        <v>190</v>
      </c>
      <c r="M2819" s="6" t="s">
        <v>534</v>
      </c>
      <c r="N2819" s="6" t="s">
        <v>278</v>
      </c>
      <c r="O2819" s="6" t="s">
        <v>634</v>
      </c>
      <c r="P2819" s="6" t="str">
        <f aca="false">IF(J2819="S0","—",IF(K2819="","",IF(L2819="E0","QM",INDEX(10_ASIL_Matrix!$D$4:$F$15,MATCH(J2819&amp;"-"&amp;L2819,10_ASIL_Matrix!$C$4:$C$15,0),MATCH(N2819,10_ASIL_Matrix!$D$3:$F$3,0)))))</f>
        <v>—</v>
      </c>
      <c r="Q2819" s="6" t="s">
        <v>448</v>
      </c>
    </row>
    <row r="2820" customFormat="false" ht="35.05" hidden="false" customHeight="false" outlineLevel="0" collapsed="false">
      <c r="A2820" s="5" t="s">
        <v>6367</v>
      </c>
      <c r="B2820" s="5" t="s">
        <v>132</v>
      </c>
      <c r="C2820" s="5" t="s">
        <v>133</v>
      </c>
      <c r="D2820" s="5" t="s">
        <v>137</v>
      </c>
      <c r="E2820" s="5" t="s">
        <v>138</v>
      </c>
      <c r="F2820" s="5" t="s">
        <v>196</v>
      </c>
      <c r="G2820" s="5" t="s">
        <v>528</v>
      </c>
      <c r="H2820" s="5" t="s">
        <v>226</v>
      </c>
      <c r="I2820" s="5" t="s">
        <v>6368</v>
      </c>
      <c r="J2820" s="5" t="s">
        <v>238</v>
      </c>
      <c r="K2820" s="5" t="s">
        <v>6316</v>
      </c>
      <c r="L2820" s="5" t="s">
        <v>190</v>
      </c>
      <c r="M2820" s="5" t="s">
        <v>537</v>
      </c>
      <c r="N2820" s="5" t="s">
        <v>278</v>
      </c>
      <c r="O2820" s="5" t="s">
        <v>634</v>
      </c>
      <c r="P2820" s="5" t="str">
        <f aca="false">IF(J2820="S0","—",IF(K2820="","",IF(L2820="E0","QM",INDEX(10_ASIL_Matrix!$D$4:$F$15,MATCH(J2820&amp;"-"&amp;L2820,10_ASIL_Matrix!$C$4:$C$15,0),MATCH(N2820,10_ASIL_Matrix!$D$3:$F$3,0)))))</f>
        <v>—</v>
      </c>
      <c r="Q2820" s="5" t="s">
        <v>448</v>
      </c>
    </row>
    <row r="2821" customFormat="false" ht="35.05" hidden="false" customHeight="false" outlineLevel="0" collapsed="false">
      <c r="A2821" s="6" t="s">
        <v>6369</v>
      </c>
      <c r="B2821" s="6" t="s">
        <v>132</v>
      </c>
      <c r="C2821" s="6" t="s">
        <v>133</v>
      </c>
      <c r="D2821" s="6" t="s">
        <v>137</v>
      </c>
      <c r="E2821" s="6" t="s">
        <v>138</v>
      </c>
      <c r="F2821" s="6" t="s">
        <v>196</v>
      </c>
      <c r="G2821" s="6" t="s">
        <v>528</v>
      </c>
      <c r="H2821" s="6" t="s">
        <v>228</v>
      </c>
      <c r="I2821" s="6" t="s">
        <v>6370</v>
      </c>
      <c r="J2821" s="6" t="s">
        <v>238</v>
      </c>
      <c r="K2821" s="6" t="s">
        <v>6316</v>
      </c>
      <c r="L2821" s="6" t="s">
        <v>205</v>
      </c>
      <c r="M2821" s="6" t="s">
        <v>540</v>
      </c>
      <c r="N2821" s="6" t="s">
        <v>278</v>
      </c>
      <c r="O2821" s="6" t="s">
        <v>634</v>
      </c>
      <c r="P2821" s="6" t="str">
        <f aca="false">IF(J2821="S0","—",IF(K2821="","",IF(L2821="E0","QM",INDEX(10_ASIL_Matrix!$D$4:$F$15,MATCH(J2821&amp;"-"&amp;L2821,10_ASIL_Matrix!$C$4:$C$15,0),MATCH(N2821,10_ASIL_Matrix!$D$3:$F$3,0)))))</f>
        <v>—</v>
      </c>
      <c r="Q2821" s="6" t="s">
        <v>448</v>
      </c>
    </row>
    <row r="2822" customFormat="false" ht="35.05" hidden="false" customHeight="false" outlineLevel="0" collapsed="false">
      <c r="A2822" s="5" t="s">
        <v>6371</v>
      </c>
      <c r="B2822" s="5" t="s">
        <v>132</v>
      </c>
      <c r="C2822" s="5" t="s">
        <v>133</v>
      </c>
      <c r="D2822" s="5" t="s">
        <v>137</v>
      </c>
      <c r="E2822" s="5" t="s">
        <v>138</v>
      </c>
      <c r="F2822" s="5" t="s">
        <v>196</v>
      </c>
      <c r="G2822" s="5" t="s">
        <v>528</v>
      </c>
      <c r="H2822" s="5" t="s">
        <v>230</v>
      </c>
      <c r="I2822" s="5" t="s">
        <v>6372</v>
      </c>
      <c r="J2822" s="5" t="s">
        <v>238</v>
      </c>
      <c r="K2822" s="5" t="s">
        <v>6316</v>
      </c>
      <c r="L2822" s="5" t="s">
        <v>205</v>
      </c>
      <c r="M2822" s="5" t="s">
        <v>543</v>
      </c>
      <c r="N2822" s="5" t="s">
        <v>278</v>
      </c>
      <c r="O2822" s="5" t="s">
        <v>634</v>
      </c>
      <c r="P2822" s="5" t="str">
        <f aca="false">IF(J2822="S0","—",IF(K2822="","",IF(L2822="E0","QM",INDEX(10_ASIL_Matrix!$D$4:$F$15,MATCH(J2822&amp;"-"&amp;L2822,10_ASIL_Matrix!$C$4:$C$15,0),MATCH(N2822,10_ASIL_Matrix!$D$3:$F$3,0)))))</f>
        <v>—</v>
      </c>
      <c r="Q2822" s="5" t="s">
        <v>448</v>
      </c>
    </row>
    <row r="2823" customFormat="false" ht="46.25" hidden="false" customHeight="false" outlineLevel="0" collapsed="false">
      <c r="A2823" s="6" t="s">
        <v>6373</v>
      </c>
      <c r="B2823" s="6" t="s">
        <v>132</v>
      </c>
      <c r="C2823" s="6" t="s">
        <v>133</v>
      </c>
      <c r="D2823" s="6" t="s">
        <v>137</v>
      </c>
      <c r="E2823" s="6" t="s">
        <v>138</v>
      </c>
      <c r="F2823" s="6" t="s">
        <v>196</v>
      </c>
      <c r="G2823" s="6" t="s">
        <v>528</v>
      </c>
      <c r="H2823" s="6" t="s">
        <v>232</v>
      </c>
      <c r="I2823" s="6" t="s">
        <v>6374</v>
      </c>
      <c r="J2823" s="6" t="s">
        <v>238</v>
      </c>
      <c r="K2823" s="6" t="s">
        <v>6316</v>
      </c>
      <c r="L2823" s="6" t="s">
        <v>233</v>
      </c>
      <c r="M2823" s="6" t="s">
        <v>546</v>
      </c>
      <c r="N2823" s="6" t="s">
        <v>278</v>
      </c>
      <c r="O2823" s="6" t="s">
        <v>634</v>
      </c>
      <c r="P2823" s="6" t="str">
        <f aca="false">IF(J2823="S0","—",IF(K2823="","",IF(L2823="E0","QM",INDEX(10_ASIL_Matrix!$D$4:$F$15,MATCH(J2823&amp;"-"&amp;L2823,10_ASIL_Matrix!$C$4:$C$15,0),MATCH(N2823,10_ASIL_Matrix!$D$3:$F$3,0)))))</f>
        <v>—</v>
      </c>
      <c r="Q2823" s="6" t="s">
        <v>448</v>
      </c>
    </row>
    <row r="2824" customFormat="false" ht="35.05" hidden="false" customHeight="false" outlineLevel="0" collapsed="false">
      <c r="A2824" s="5" t="s">
        <v>6375</v>
      </c>
      <c r="B2824" s="5" t="s">
        <v>132</v>
      </c>
      <c r="C2824" s="5" t="s">
        <v>133</v>
      </c>
      <c r="D2824" s="5" t="s">
        <v>137</v>
      </c>
      <c r="E2824" s="5" t="s">
        <v>138</v>
      </c>
      <c r="F2824" s="5" t="s">
        <v>198</v>
      </c>
      <c r="G2824" s="5" t="s">
        <v>548</v>
      </c>
      <c r="H2824" s="5" t="s">
        <v>222</v>
      </c>
      <c r="I2824" s="5" t="s">
        <v>6376</v>
      </c>
      <c r="J2824" s="5" t="s">
        <v>238</v>
      </c>
      <c r="K2824" s="5" t="s">
        <v>6316</v>
      </c>
      <c r="L2824" s="5" t="s">
        <v>190</v>
      </c>
      <c r="M2824" s="5" t="s">
        <v>551</v>
      </c>
      <c r="N2824" s="5" t="s">
        <v>278</v>
      </c>
      <c r="O2824" s="5" t="s">
        <v>634</v>
      </c>
      <c r="P2824" s="5" t="str">
        <f aca="false">IF(J2824="S0","—",IF(K2824="","",IF(L2824="E0","QM",INDEX(10_ASIL_Matrix!$D$4:$F$15,MATCH(J2824&amp;"-"&amp;L2824,10_ASIL_Matrix!$C$4:$C$15,0),MATCH(N2824,10_ASIL_Matrix!$D$3:$F$3,0)))))</f>
        <v>—</v>
      </c>
      <c r="Q2824" s="5" t="s">
        <v>448</v>
      </c>
    </row>
    <row r="2825" customFormat="false" ht="35.05" hidden="false" customHeight="false" outlineLevel="0" collapsed="false">
      <c r="A2825" s="6" t="s">
        <v>6377</v>
      </c>
      <c r="B2825" s="6" t="s">
        <v>132</v>
      </c>
      <c r="C2825" s="6" t="s">
        <v>133</v>
      </c>
      <c r="D2825" s="6" t="s">
        <v>137</v>
      </c>
      <c r="E2825" s="6" t="s">
        <v>138</v>
      </c>
      <c r="F2825" s="6" t="s">
        <v>198</v>
      </c>
      <c r="G2825" s="6" t="s">
        <v>548</v>
      </c>
      <c r="H2825" s="6" t="s">
        <v>224</v>
      </c>
      <c r="I2825" s="6" t="s">
        <v>6378</v>
      </c>
      <c r="J2825" s="6" t="s">
        <v>238</v>
      </c>
      <c r="K2825" s="6" t="s">
        <v>6316</v>
      </c>
      <c r="L2825" s="6" t="s">
        <v>190</v>
      </c>
      <c r="M2825" s="6" t="s">
        <v>555</v>
      </c>
      <c r="N2825" s="6" t="s">
        <v>278</v>
      </c>
      <c r="O2825" s="6" t="s">
        <v>634</v>
      </c>
      <c r="P2825" s="6" t="str">
        <f aca="false">IF(J2825="S0","—",IF(K2825="","",IF(L2825="E0","QM",INDEX(10_ASIL_Matrix!$D$4:$F$15,MATCH(J2825&amp;"-"&amp;L2825,10_ASIL_Matrix!$C$4:$C$15,0),MATCH(N2825,10_ASIL_Matrix!$D$3:$F$3,0)))))</f>
        <v>—</v>
      </c>
      <c r="Q2825" s="6" t="s">
        <v>448</v>
      </c>
    </row>
    <row r="2826" customFormat="false" ht="35.05" hidden="false" customHeight="false" outlineLevel="0" collapsed="false">
      <c r="A2826" s="5" t="s">
        <v>6379</v>
      </c>
      <c r="B2826" s="5" t="s">
        <v>132</v>
      </c>
      <c r="C2826" s="5" t="s">
        <v>133</v>
      </c>
      <c r="D2826" s="5" t="s">
        <v>137</v>
      </c>
      <c r="E2826" s="5" t="s">
        <v>138</v>
      </c>
      <c r="F2826" s="5" t="s">
        <v>198</v>
      </c>
      <c r="G2826" s="5" t="s">
        <v>548</v>
      </c>
      <c r="H2826" s="5" t="s">
        <v>226</v>
      </c>
      <c r="I2826" s="5" t="s">
        <v>6380</v>
      </c>
      <c r="J2826" s="5" t="s">
        <v>238</v>
      </c>
      <c r="K2826" s="5" t="s">
        <v>6316</v>
      </c>
      <c r="L2826" s="5" t="s">
        <v>190</v>
      </c>
      <c r="M2826" s="5" t="s">
        <v>558</v>
      </c>
      <c r="N2826" s="5" t="s">
        <v>278</v>
      </c>
      <c r="O2826" s="5" t="s">
        <v>634</v>
      </c>
      <c r="P2826" s="5" t="str">
        <f aca="false">IF(J2826="S0","—",IF(K2826="","",IF(L2826="E0","QM",INDEX(10_ASIL_Matrix!$D$4:$F$15,MATCH(J2826&amp;"-"&amp;L2826,10_ASIL_Matrix!$C$4:$C$15,0),MATCH(N2826,10_ASIL_Matrix!$D$3:$F$3,0)))))</f>
        <v>—</v>
      </c>
      <c r="Q2826" s="5" t="s">
        <v>448</v>
      </c>
    </row>
    <row r="2827" customFormat="false" ht="46.25" hidden="false" customHeight="false" outlineLevel="0" collapsed="false">
      <c r="A2827" s="6" t="s">
        <v>6381</v>
      </c>
      <c r="B2827" s="6" t="s">
        <v>132</v>
      </c>
      <c r="C2827" s="6" t="s">
        <v>133</v>
      </c>
      <c r="D2827" s="6" t="s">
        <v>137</v>
      </c>
      <c r="E2827" s="6" t="s">
        <v>138</v>
      </c>
      <c r="F2827" s="6" t="s">
        <v>198</v>
      </c>
      <c r="G2827" s="6" t="s">
        <v>548</v>
      </c>
      <c r="H2827" s="6" t="s">
        <v>228</v>
      </c>
      <c r="I2827" s="6" t="s">
        <v>6382</v>
      </c>
      <c r="J2827" s="6" t="s">
        <v>238</v>
      </c>
      <c r="K2827" s="6" t="s">
        <v>6316</v>
      </c>
      <c r="L2827" s="6" t="s">
        <v>205</v>
      </c>
      <c r="M2827" s="6" t="s">
        <v>561</v>
      </c>
      <c r="N2827" s="6" t="s">
        <v>278</v>
      </c>
      <c r="O2827" s="6" t="s">
        <v>634</v>
      </c>
      <c r="P2827" s="6" t="str">
        <f aca="false">IF(J2827="S0","—",IF(K2827="","",IF(L2827="E0","QM",INDEX(10_ASIL_Matrix!$D$4:$F$15,MATCH(J2827&amp;"-"&amp;L2827,10_ASIL_Matrix!$C$4:$C$15,0),MATCH(N2827,10_ASIL_Matrix!$D$3:$F$3,0)))))</f>
        <v>—</v>
      </c>
      <c r="Q2827" s="6" t="s">
        <v>448</v>
      </c>
    </row>
    <row r="2828" customFormat="false" ht="46.25" hidden="false" customHeight="false" outlineLevel="0" collapsed="false">
      <c r="A2828" s="5" t="s">
        <v>6383</v>
      </c>
      <c r="B2828" s="5" t="s">
        <v>132</v>
      </c>
      <c r="C2828" s="5" t="s">
        <v>133</v>
      </c>
      <c r="D2828" s="5" t="s">
        <v>137</v>
      </c>
      <c r="E2828" s="5" t="s">
        <v>138</v>
      </c>
      <c r="F2828" s="5" t="s">
        <v>198</v>
      </c>
      <c r="G2828" s="5" t="s">
        <v>548</v>
      </c>
      <c r="H2828" s="5" t="s">
        <v>230</v>
      </c>
      <c r="I2828" s="5" t="s">
        <v>6384</v>
      </c>
      <c r="J2828" s="5" t="s">
        <v>238</v>
      </c>
      <c r="K2828" s="5" t="s">
        <v>6316</v>
      </c>
      <c r="L2828" s="5" t="s">
        <v>205</v>
      </c>
      <c r="M2828" s="5" t="s">
        <v>564</v>
      </c>
      <c r="N2828" s="5" t="s">
        <v>278</v>
      </c>
      <c r="O2828" s="5" t="s">
        <v>634</v>
      </c>
      <c r="P2828" s="5" t="str">
        <f aca="false">IF(J2828="S0","—",IF(K2828="","",IF(L2828="E0","QM",INDEX(10_ASIL_Matrix!$D$4:$F$15,MATCH(J2828&amp;"-"&amp;L2828,10_ASIL_Matrix!$C$4:$C$15,0),MATCH(N2828,10_ASIL_Matrix!$D$3:$F$3,0)))))</f>
        <v>—</v>
      </c>
      <c r="Q2828" s="5" t="s">
        <v>448</v>
      </c>
    </row>
    <row r="2829" customFormat="false" ht="46.25" hidden="false" customHeight="false" outlineLevel="0" collapsed="false">
      <c r="A2829" s="6" t="s">
        <v>6385</v>
      </c>
      <c r="B2829" s="6" t="s">
        <v>132</v>
      </c>
      <c r="C2829" s="6" t="s">
        <v>133</v>
      </c>
      <c r="D2829" s="6" t="s">
        <v>137</v>
      </c>
      <c r="E2829" s="6" t="s">
        <v>138</v>
      </c>
      <c r="F2829" s="6" t="s">
        <v>198</v>
      </c>
      <c r="G2829" s="6" t="s">
        <v>548</v>
      </c>
      <c r="H2829" s="6" t="s">
        <v>232</v>
      </c>
      <c r="I2829" s="6" t="s">
        <v>6386</v>
      </c>
      <c r="J2829" s="6" t="s">
        <v>238</v>
      </c>
      <c r="K2829" s="6" t="s">
        <v>6316</v>
      </c>
      <c r="L2829" s="6" t="s">
        <v>233</v>
      </c>
      <c r="M2829" s="6" t="s">
        <v>568</v>
      </c>
      <c r="N2829" s="6" t="s">
        <v>278</v>
      </c>
      <c r="O2829" s="6" t="s">
        <v>634</v>
      </c>
      <c r="P2829" s="6" t="str">
        <f aca="false">IF(J2829="S0","—",IF(K2829="","",IF(L2829="E0","QM",INDEX(10_ASIL_Matrix!$D$4:$F$15,MATCH(J2829&amp;"-"&amp;L2829,10_ASIL_Matrix!$C$4:$C$15,0),MATCH(N2829,10_ASIL_Matrix!$D$3:$F$3,0)))))</f>
        <v>—</v>
      </c>
      <c r="Q2829" s="6" t="s">
        <v>448</v>
      </c>
    </row>
    <row r="2830" customFormat="false" ht="35.05" hidden="false" customHeight="false" outlineLevel="0" collapsed="false">
      <c r="A2830" s="5" t="s">
        <v>6387</v>
      </c>
      <c r="B2830" s="5" t="s">
        <v>132</v>
      </c>
      <c r="C2830" s="5" t="s">
        <v>133</v>
      </c>
      <c r="D2830" s="5" t="s">
        <v>137</v>
      </c>
      <c r="E2830" s="5" t="s">
        <v>138</v>
      </c>
      <c r="F2830" s="5" t="s">
        <v>200</v>
      </c>
      <c r="G2830" s="5" t="s">
        <v>570</v>
      </c>
      <c r="H2830" s="5" t="s">
        <v>222</v>
      </c>
      <c r="I2830" s="5" t="s">
        <v>6388</v>
      </c>
      <c r="J2830" s="5" t="s">
        <v>238</v>
      </c>
      <c r="K2830" s="5" t="s">
        <v>6316</v>
      </c>
      <c r="L2830" s="5" t="s">
        <v>190</v>
      </c>
      <c r="M2830" s="5" t="s">
        <v>573</v>
      </c>
      <c r="N2830" s="5" t="s">
        <v>278</v>
      </c>
      <c r="O2830" s="5" t="s">
        <v>634</v>
      </c>
      <c r="P2830" s="5" t="str">
        <f aca="false">IF(J2830="S0","—",IF(K2830="","",IF(L2830="E0","QM",INDEX(10_ASIL_Matrix!$D$4:$F$15,MATCH(J2830&amp;"-"&amp;L2830,10_ASIL_Matrix!$C$4:$C$15,0),MATCH(N2830,10_ASIL_Matrix!$D$3:$F$3,0)))))</f>
        <v>—</v>
      </c>
      <c r="Q2830" s="5" t="s">
        <v>448</v>
      </c>
    </row>
    <row r="2831" customFormat="false" ht="35.05" hidden="false" customHeight="false" outlineLevel="0" collapsed="false">
      <c r="A2831" s="6" t="s">
        <v>6389</v>
      </c>
      <c r="B2831" s="6" t="s">
        <v>132</v>
      </c>
      <c r="C2831" s="6" t="s">
        <v>133</v>
      </c>
      <c r="D2831" s="6" t="s">
        <v>137</v>
      </c>
      <c r="E2831" s="6" t="s">
        <v>138</v>
      </c>
      <c r="F2831" s="6" t="s">
        <v>200</v>
      </c>
      <c r="G2831" s="6" t="s">
        <v>570</v>
      </c>
      <c r="H2831" s="6" t="s">
        <v>224</v>
      </c>
      <c r="I2831" s="6" t="s">
        <v>6390</v>
      </c>
      <c r="J2831" s="6" t="s">
        <v>238</v>
      </c>
      <c r="K2831" s="6" t="s">
        <v>6316</v>
      </c>
      <c r="L2831" s="6" t="s">
        <v>190</v>
      </c>
      <c r="M2831" s="6" t="s">
        <v>576</v>
      </c>
      <c r="N2831" s="6" t="s">
        <v>278</v>
      </c>
      <c r="O2831" s="6" t="s">
        <v>634</v>
      </c>
      <c r="P2831" s="6" t="str">
        <f aca="false">IF(J2831="S0","—",IF(K2831="","",IF(L2831="E0","QM",INDEX(10_ASIL_Matrix!$D$4:$F$15,MATCH(J2831&amp;"-"&amp;L2831,10_ASIL_Matrix!$C$4:$C$15,0),MATCH(N2831,10_ASIL_Matrix!$D$3:$F$3,0)))))</f>
        <v>—</v>
      </c>
      <c r="Q2831" s="6" t="s">
        <v>448</v>
      </c>
    </row>
    <row r="2832" customFormat="false" ht="35.05" hidden="false" customHeight="false" outlineLevel="0" collapsed="false">
      <c r="A2832" s="5" t="s">
        <v>6391</v>
      </c>
      <c r="B2832" s="5" t="s">
        <v>132</v>
      </c>
      <c r="C2832" s="5" t="s">
        <v>133</v>
      </c>
      <c r="D2832" s="5" t="s">
        <v>137</v>
      </c>
      <c r="E2832" s="5" t="s">
        <v>138</v>
      </c>
      <c r="F2832" s="5" t="s">
        <v>200</v>
      </c>
      <c r="G2832" s="5" t="s">
        <v>570</v>
      </c>
      <c r="H2832" s="5" t="s">
        <v>226</v>
      </c>
      <c r="I2832" s="5" t="s">
        <v>6392</v>
      </c>
      <c r="J2832" s="5" t="s">
        <v>238</v>
      </c>
      <c r="K2832" s="5" t="s">
        <v>6316</v>
      </c>
      <c r="L2832" s="5" t="s">
        <v>190</v>
      </c>
      <c r="M2832" s="5" t="s">
        <v>579</v>
      </c>
      <c r="N2832" s="5" t="s">
        <v>278</v>
      </c>
      <c r="O2832" s="5" t="s">
        <v>634</v>
      </c>
      <c r="P2832" s="5" t="str">
        <f aca="false">IF(J2832="S0","—",IF(K2832="","",IF(L2832="E0","QM",INDEX(10_ASIL_Matrix!$D$4:$F$15,MATCH(J2832&amp;"-"&amp;L2832,10_ASIL_Matrix!$C$4:$C$15,0),MATCH(N2832,10_ASIL_Matrix!$D$3:$F$3,0)))))</f>
        <v>—</v>
      </c>
      <c r="Q2832" s="5" t="s">
        <v>448</v>
      </c>
    </row>
    <row r="2833" customFormat="false" ht="46.25" hidden="false" customHeight="false" outlineLevel="0" collapsed="false">
      <c r="A2833" s="6" t="s">
        <v>6393</v>
      </c>
      <c r="B2833" s="6" t="s">
        <v>132</v>
      </c>
      <c r="C2833" s="6" t="s">
        <v>133</v>
      </c>
      <c r="D2833" s="6" t="s">
        <v>137</v>
      </c>
      <c r="E2833" s="6" t="s">
        <v>138</v>
      </c>
      <c r="F2833" s="6" t="s">
        <v>200</v>
      </c>
      <c r="G2833" s="6" t="s">
        <v>570</v>
      </c>
      <c r="H2833" s="6" t="s">
        <v>228</v>
      </c>
      <c r="I2833" s="6" t="s">
        <v>6394</v>
      </c>
      <c r="J2833" s="6" t="s">
        <v>238</v>
      </c>
      <c r="K2833" s="6" t="s">
        <v>6316</v>
      </c>
      <c r="L2833" s="6" t="s">
        <v>205</v>
      </c>
      <c r="M2833" s="6" t="s">
        <v>582</v>
      </c>
      <c r="N2833" s="6" t="s">
        <v>278</v>
      </c>
      <c r="O2833" s="6" t="s">
        <v>634</v>
      </c>
      <c r="P2833" s="6" t="str">
        <f aca="false">IF(J2833="S0","—",IF(K2833="","",IF(L2833="E0","QM",INDEX(10_ASIL_Matrix!$D$4:$F$15,MATCH(J2833&amp;"-"&amp;L2833,10_ASIL_Matrix!$C$4:$C$15,0),MATCH(N2833,10_ASIL_Matrix!$D$3:$F$3,0)))))</f>
        <v>—</v>
      </c>
      <c r="Q2833" s="6" t="s">
        <v>448</v>
      </c>
    </row>
    <row r="2834" customFormat="false" ht="46.25" hidden="false" customHeight="false" outlineLevel="0" collapsed="false">
      <c r="A2834" s="5" t="s">
        <v>6395</v>
      </c>
      <c r="B2834" s="5" t="s">
        <v>132</v>
      </c>
      <c r="C2834" s="5" t="s">
        <v>133</v>
      </c>
      <c r="D2834" s="5" t="s">
        <v>137</v>
      </c>
      <c r="E2834" s="5" t="s">
        <v>138</v>
      </c>
      <c r="F2834" s="5" t="s">
        <v>200</v>
      </c>
      <c r="G2834" s="5" t="s">
        <v>570</v>
      </c>
      <c r="H2834" s="5" t="s">
        <v>230</v>
      </c>
      <c r="I2834" s="5" t="s">
        <v>6396</v>
      </c>
      <c r="J2834" s="5" t="s">
        <v>238</v>
      </c>
      <c r="K2834" s="5" t="s">
        <v>6316</v>
      </c>
      <c r="L2834" s="5" t="s">
        <v>205</v>
      </c>
      <c r="M2834" s="5" t="s">
        <v>585</v>
      </c>
      <c r="N2834" s="5" t="s">
        <v>278</v>
      </c>
      <c r="O2834" s="5" t="s">
        <v>634</v>
      </c>
      <c r="P2834" s="5" t="str">
        <f aca="false">IF(J2834="S0","—",IF(K2834="","",IF(L2834="E0","QM",INDEX(10_ASIL_Matrix!$D$4:$F$15,MATCH(J2834&amp;"-"&amp;L2834,10_ASIL_Matrix!$C$4:$C$15,0),MATCH(N2834,10_ASIL_Matrix!$D$3:$F$3,0)))))</f>
        <v>—</v>
      </c>
      <c r="Q2834" s="5" t="s">
        <v>448</v>
      </c>
    </row>
    <row r="2835" customFormat="false" ht="46.25" hidden="false" customHeight="false" outlineLevel="0" collapsed="false">
      <c r="A2835" s="6" t="s">
        <v>6397</v>
      </c>
      <c r="B2835" s="6" t="s">
        <v>132</v>
      </c>
      <c r="C2835" s="6" t="s">
        <v>133</v>
      </c>
      <c r="D2835" s="6" t="s">
        <v>137</v>
      </c>
      <c r="E2835" s="6" t="s">
        <v>138</v>
      </c>
      <c r="F2835" s="6" t="s">
        <v>200</v>
      </c>
      <c r="G2835" s="6" t="s">
        <v>570</v>
      </c>
      <c r="H2835" s="6" t="s">
        <v>232</v>
      </c>
      <c r="I2835" s="6" t="s">
        <v>6398</v>
      </c>
      <c r="J2835" s="6" t="s">
        <v>238</v>
      </c>
      <c r="K2835" s="6" t="s">
        <v>6316</v>
      </c>
      <c r="L2835" s="6" t="s">
        <v>233</v>
      </c>
      <c r="M2835" s="6" t="s">
        <v>588</v>
      </c>
      <c r="N2835" s="6" t="s">
        <v>278</v>
      </c>
      <c r="O2835" s="6" t="s">
        <v>634</v>
      </c>
      <c r="P2835" s="6" t="str">
        <f aca="false">IF(J2835="S0","—",IF(K2835="","",IF(L2835="E0","QM",INDEX(10_ASIL_Matrix!$D$4:$F$15,MATCH(J2835&amp;"-"&amp;L2835,10_ASIL_Matrix!$C$4:$C$15,0),MATCH(N2835,10_ASIL_Matrix!$D$3:$F$3,0)))))</f>
        <v>—</v>
      </c>
      <c r="Q2835" s="6" t="s">
        <v>448</v>
      </c>
    </row>
    <row r="2836" customFormat="false" ht="35.05" hidden="false" customHeight="false" outlineLevel="0" collapsed="false">
      <c r="A2836" s="5" t="s">
        <v>6399</v>
      </c>
      <c r="B2836" s="5" t="s">
        <v>132</v>
      </c>
      <c r="C2836" s="5" t="s">
        <v>133</v>
      </c>
      <c r="D2836" s="5" t="s">
        <v>137</v>
      </c>
      <c r="E2836" s="5" t="s">
        <v>138</v>
      </c>
      <c r="F2836" s="5" t="s">
        <v>202</v>
      </c>
      <c r="G2836" s="5" t="s">
        <v>590</v>
      </c>
      <c r="H2836" s="5" t="s">
        <v>222</v>
      </c>
      <c r="I2836" s="5" t="s">
        <v>6400</v>
      </c>
      <c r="J2836" s="5" t="s">
        <v>238</v>
      </c>
      <c r="K2836" s="5" t="s">
        <v>6316</v>
      </c>
      <c r="L2836" s="5" t="s">
        <v>187</v>
      </c>
      <c r="M2836" s="5" t="s">
        <v>592</v>
      </c>
      <c r="N2836" s="5" t="s">
        <v>278</v>
      </c>
      <c r="O2836" s="5" t="s">
        <v>634</v>
      </c>
      <c r="P2836" s="5" t="str">
        <f aca="false">IF(J2836="S0","—",IF(K2836="","",IF(L2836="E0","QM",INDEX(10_ASIL_Matrix!$D$4:$F$15,MATCH(J2836&amp;"-"&amp;L2836,10_ASIL_Matrix!$C$4:$C$15,0),MATCH(N2836,10_ASIL_Matrix!$D$3:$F$3,0)))))</f>
        <v>—</v>
      </c>
      <c r="Q2836" s="5" t="s">
        <v>448</v>
      </c>
    </row>
    <row r="2837" customFormat="false" ht="35.05" hidden="false" customHeight="false" outlineLevel="0" collapsed="false">
      <c r="A2837" s="6" t="s">
        <v>6401</v>
      </c>
      <c r="B2837" s="6" t="s">
        <v>132</v>
      </c>
      <c r="C2837" s="6" t="s">
        <v>133</v>
      </c>
      <c r="D2837" s="6" t="s">
        <v>137</v>
      </c>
      <c r="E2837" s="6" t="s">
        <v>138</v>
      </c>
      <c r="F2837" s="6" t="s">
        <v>202</v>
      </c>
      <c r="G2837" s="6" t="s">
        <v>590</v>
      </c>
      <c r="H2837" s="6" t="s">
        <v>224</v>
      </c>
      <c r="I2837" s="6" t="s">
        <v>6402</v>
      </c>
      <c r="J2837" s="6" t="s">
        <v>238</v>
      </c>
      <c r="K2837" s="6" t="s">
        <v>6316</v>
      </c>
      <c r="L2837" s="6" t="s">
        <v>190</v>
      </c>
      <c r="M2837" s="6" t="s">
        <v>595</v>
      </c>
      <c r="N2837" s="6" t="s">
        <v>278</v>
      </c>
      <c r="O2837" s="6" t="s">
        <v>634</v>
      </c>
      <c r="P2837" s="6" t="str">
        <f aca="false">IF(J2837="S0","—",IF(K2837="","",IF(L2837="E0","QM",INDEX(10_ASIL_Matrix!$D$4:$F$15,MATCH(J2837&amp;"-"&amp;L2837,10_ASIL_Matrix!$C$4:$C$15,0),MATCH(N2837,10_ASIL_Matrix!$D$3:$F$3,0)))))</f>
        <v>—</v>
      </c>
      <c r="Q2837" s="6" t="s">
        <v>448</v>
      </c>
    </row>
    <row r="2838" customFormat="false" ht="35.05" hidden="false" customHeight="false" outlineLevel="0" collapsed="false">
      <c r="A2838" s="5" t="s">
        <v>6403</v>
      </c>
      <c r="B2838" s="5" t="s">
        <v>132</v>
      </c>
      <c r="C2838" s="5" t="s">
        <v>133</v>
      </c>
      <c r="D2838" s="5" t="s">
        <v>137</v>
      </c>
      <c r="E2838" s="5" t="s">
        <v>138</v>
      </c>
      <c r="F2838" s="5" t="s">
        <v>202</v>
      </c>
      <c r="G2838" s="5" t="s">
        <v>590</v>
      </c>
      <c r="H2838" s="5" t="s">
        <v>226</v>
      </c>
      <c r="I2838" s="5" t="s">
        <v>6404</v>
      </c>
      <c r="J2838" s="5" t="s">
        <v>238</v>
      </c>
      <c r="K2838" s="5" t="s">
        <v>6316</v>
      </c>
      <c r="L2838" s="5" t="s">
        <v>190</v>
      </c>
      <c r="M2838" s="5" t="s">
        <v>598</v>
      </c>
      <c r="N2838" s="5" t="s">
        <v>278</v>
      </c>
      <c r="O2838" s="5" t="s">
        <v>634</v>
      </c>
      <c r="P2838" s="5" t="str">
        <f aca="false">IF(J2838="S0","—",IF(K2838="","",IF(L2838="E0","QM",INDEX(10_ASIL_Matrix!$D$4:$F$15,MATCH(J2838&amp;"-"&amp;L2838,10_ASIL_Matrix!$C$4:$C$15,0),MATCH(N2838,10_ASIL_Matrix!$D$3:$F$3,0)))))</f>
        <v>—</v>
      </c>
      <c r="Q2838" s="5" t="s">
        <v>448</v>
      </c>
    </row>
    <row r="2839" customFormat="false" ht="35.05" hidden="false" customHeight="false" outlineLevel="0" collapsed="false">
      <c r="A2839" s="6" t="s">
        <v>6405</v>
      </c>
      <c r="B2839" s="6" t="s">
        <v>132</v>
      </c>
      <c r="C2839" s="6" t="s">
        <v>133</v>
      </c>
      <c r="D2839" s="6" t="s">
        <v>137</v>
      </c>
      <c r="E2839" s="6" t="s">
        <v>138</v>
      </c>
      <c r="F2839" s="6" t="s">
        <v>202</v>
      </c>
      <c r="G2839" s="6" t="s">
        <v>590</v>
      </c>
      <c r="H2839" s="6" t="s">
        <v>228</v>
      </c>
      <c r="I2839" s="6" t="s">
        <v>6406</v>
      </c>
      <c r="J2839" s="6" t="s">
        <v>238</v>
      </c>
      <c r="K2839" s="6" t="s">
        <v>6316</v>
      </c>
      <c r="L2839" s="6" t="s">
        <v>205</v>
      </c>
      <c r="M2839" s="6" t="s">
        <v>601</v>
      </c>
      <c r="N2839" s="6" t="s">
        <v>278</v>
      </c>
      <c r="O2839" s="6" t="s">
        <v>634</v>
      </c>
      <c r="P2839" s="6" t="str">
        <f aca="false">IF(J2839="S0","—",IF(K2839="","",IF(L2839="E0","QM",INDEX(10_ASIL_Matrix!$D$4:$F$15,MATCH(J2839&amp;"-"&amp;L2839,10_ASIL_Matrix!$C$4:$C$15,0),MATCH(N2839,10_ASIL_Matrix!$D$3:$F$3,0)))))</f>
        <v>—</v>
      </c>
      <c r="Q2839" s="6" t="s">
        <v>448</v>
      </c>
    </row>
    <row r="2840" customFormat="false" ht="35.05" hidden="false" customHeight="false" outlineLevel="0" collapsed="false">
      <c r="A2840" s="5" t="s">
        <v>6407</v>
      </c>
      <c r="B2840" s="5" t="s">
        <v>132</v>
      </c>
      <c r="C2840" s="5" t="s">
        <v>133</v>
      </c>
      <c r="D2840" s="5" t="s">
        <v>137</v>
      </c>
      <c r="E2840" s="5" t="s">
        <v>138</v>
      </c>
      <c r="F2840" s="5" t="s">
        <v>202</v>
      </c>
      <c r="G2840" s="5" t="s">
        <v>590</v>
      </c>
      <c r="H2840" s="5" t="s">
        <v>230</v>
      </c>
      <c r="I2840" s="5" t="s">
        <v>6408</v>
      </c>
      <c r="J2840" s="5" t="s">
        <v>238</v>
      </c>
      <c r="K2840" s="5" t="s">
        <v>6316</v>
      </c>
      <c r="L2840" s="5" t="s">
        <v>205</v>
      </c>
      <c r="M2840" s="5" t="s">
        <v>604</v>
      </c>
      <c r="N2840" s="5" t="s">
        <v>278</v>
      </c>
      <c r="O2840" s="5" t="s">
        <v>634</v>
      </c>
      <c r="P2840" s="5" t="str">
        <f aca="false">IF(J2840="S0","—",IF(K2840="","",IF(L2840="E0","QM",INDEX(10_ASIL_Matrix!$D$4:$F$15,MATCH(J2840&amp;"-"&amp;L2840,10_ASIL_Matrix!$C$4:$C$15,0),MATCH(N2840,10_ASIL_Matrix!$D$3:$F$3,0)))))</f>
        <v>—</v>
      </c>
      <c r="Q2840" s="5" t="s">
        <v>448</v>
      </c>
    </row>
    <row r="2841" customFormat="false" ht="46.25" hidden="false" customHeight="false" outlineLevel="0" collapsed="false">
      <c r="A2841" s="6" t="s">
        <v>6409</v>
      </c>
      <c r="B2841" s="6" t="s">
        <v>132</v>
      </c>
      <c r="C2841" s="6" t="s">
        <v>133</v>
      </c>
      <c r="D2841" s="6" t="s">
        <v>137</v>
      </c>
      <c r="E2841" s="6" t="s">
        <v>138</v>
      </c>
      <c r="F2841" s="6" t="s">
        <v>202</v>
      </c>
      <c r="G2841" s="6" t="s">
        <v>590</v>
      </c>
      <c r="H2841" s="6" t="s">
        <v>232</v>
      </c>
      <c r="I2841" s="6" t="s">
        <v>6410</v>
      </c>
      <c r="J2841" s="6" t="s">
        <v>238</v>
      </c>
      <c r="K2841" s="6" t="s">
        <v>6316</v>
      </c>
      <c r="L2841" s="6" t="s">
        <v>233</v>
      </c>
      <c r="M2841" s="6" t="s">
        <v>607</v>
      </c>
      <c r="N2841" s="6" t="s">
        <v>278</v>
      </c>
      <c r="O2841" s="6" t="s">
        <v>634</v>
      </c>
      <c r="P2841" s="6" t="str">
        <f aca="false">IF(J2841="S0","—",IF(K2841="","",IF(L2841="E0","QM",INDEX(10_ASIL_Matrix!$D$4:$F$15,MATCH(J2841&amp;"-"&amp;L2841,10_ASIL_Matrix!$C$4:$C$15,0),MATCH(N2841,10_ASIL_Matrix!$D$3:$F$3,0)))))</f>
        <v>—</v>
      </c>
      <c r="Q2841" s="6" t="s">
        <v>448</v>
      </c>
    </row>
    <row r="2842" customFormat="false" ht="35.05" hidden="false" customHeight="false" outlineLevel="0" collapsed="false">
      <c r="A2842" s="5" t="s">
        <v>6411</v>
      </c>
      <c r="B2842" s="5" t="s">
        <v>132</v>
      </c>
      <c r="C2842" s="5" t="s">
        <v>133</v>
      </c>
      <c r="D2842" s="5" t="s">
        <v>137</v>
      </c>
      <c r="E2842" s="5" t="s">
        <v>138</v>
      </c>
      <c r="F2842" s="5" t="s">
        <v>204</v>
      </c>
      <c r="G2842" s="5" t="s">
        <v>609</v>
      </c>
      <c r="H2842" s="5" t="s">
        <v>222</v>
      </c>
      <c r="I2842" s="5" t="s">
        <v>6412</v>
      </c>
      <c r="J2842" s="5" t="s">
        <v>238</v>
      </c>
      <c r="K2842" s="5" t="s">
        <v>6316</v>
      </c>
      <c r="L2842" s="5" t="s">
        <v>205</v>
      </c>
      <c r="M2842" s="5" t="s">
        <v>612</v>
      </c>
      <c r="N2842" s="5" t="s">
        <v>278</v>
      </c>
      <c r="O2842" s="5" t="s">
        <v>634</v>
      </c>
      <c r="P2842" s="5" t="str">
        <f aca="false">IF(J2842="S0","—",IF(K2842="","",IF(L2842="E0","QM",INDEX(10_ASIL_Matrix!$D$4:$F$15,MATCH(J2842&amp;"-"&amp;L2842,10_ASIL_Matrix!$C$4:$C$15,0),MATCH(N2842,10_ASIL_Matrix!$D$3:$F$3,0)))))</f>
        <v>—</v>
      </c>
      <c r="Q2842" s="5" t="s">
        <v>448</v>
      </c>
    </row>
    <row r="2843" customFormat="false" ht="35.05" hidden="false" customHeight="false" outlineLevel="0" collapsed="false">
      <c r="A2843" s="6" t="s">
        <v>6413</v>
      </c>
      <c r="B2843" s="6" t="s">
        <v>132</v>
      </c>
      <c r="C2843" s="6" t="s">
        <v>133</v>
      </c>
      <c r="D2843" s="6" t="s">
        <v>137</v>
      </c>
      <c r="E2843" s="6" t="s">
        <v>138</v>
      </c>
      <c r="F2843" s="6" t="s">
        <v>204</v>
      </c>
      <c r="G2843" s="6" t="s">
        <v>609</v>
      </c>
      <c r="H2843" s="6" t="s">
        <v>224</v>
      </c>
      <c r="I2843" s="6" t="s">
        <v>6414</v>
      </c>
      <c r="J2843" s="6" t="s">
        <v>238</v>
      </c>
      <c r="K2843" s="6" t="s">
        <v>6316</v>
      </c>
      <c r="L2843" s="6" t="s">
        <v>205</v>
      </c>
      <c r="M2843" s="6" t="s">
        <v>616</v>
      </c>
      <c r="N2843" s="6" t="s">
        <v>278</v>
      </c>
      <c r="O2843" s="6" t="s">
        <v>634</v>
      </c>
      <c r="P2843" s="6" t="str">
        <f aca="false">IF(J2843="S0","—",IF(K2843="","",IF(L2843="E0","QM",INDEX(10_ASIL_Matrix!$D$4:$F$15,MATCH(J2843&amp;"-"&amp;L2843,10_ASIL_Matrix!$C$4:$C$15,0),MATCH(N2843,10_ASIL_Matrix!$D$3:$F$3,0)))))</f>
        <v>—</v>
      </c>
      <c r="Q2843" s="6" t="s">
        <v>448</v>
      </c>
    </row>
    <row r="2844" customFormat="false" ht="35.05" hidden="false" customHeight="false" outlineLevel="0" collapsed="false">
      <c r="A2844" s="5" t="s">
        <v>6415</v>
      </c>
      <c r="B2844" s="5" t="s">
        <v>132</v>
      </c>
      <c r="C2844" s="5" t="s">
        <v>133</v>
      </c>
      <c r="D2844" s="5" t="s">
        <v>137</v>
      </c>
      <c r="E2844" s="5" t="s">
        <v>138</v>
      </c>
      <c r="F2844" s="5" t="s">
        <v>204</v>
      </c>
      <c r="G2844" s="5" t="s">
        <v>609</v>
      </c>
      <c r="H2844" s="5" t="s">
        <v>226</v>
      </c>
      <c r="I2844" s="5" t="s">
        <v>6416</v>
      </c>
      <c r="J2844" s="5" t="s">
        <v>238</v>
      </c>
      <c r="K2844" s="5" t="s">
        <v>6316</v>
      </c>
      <c r="L2844" s="5" t="s">
        <v>205</v>
      </c>
      <c r="M2844" s="5" t="s">
        <v>619</v>
      </c>
      <c r="N2844" s="5" t="s">
        <v>278</v>
      </c>
      <c r="O2844" s="5" t="s">
        <v>634</v>
      </c>
      <c r="P2844" s="5" t="str">
        <f aca="false">IF(J2844="S0","—",IF(K2844="","",IF(L2844="E0","QM",INDEX(10_ASIL_Matrix!$D$4:$F$15,MATCH(J2844&amp;"-"&amp;L2844,10_ASIL_Matrix!$C$4:$C$15,0),MATCH(N2844,10_ASIL_Matrix!$D$3:$F$3,0)))))</f>
        <v>—</v>
      </c>
      <c r="Q2844" s="5" t="s">
        <v>448</v>
      </c>
    </row>
    <row r="2845" customFormat="false" ht="46.25" hidden="false" customHeight="false" outlineLevel="0" collapsed="false">
      <c r="A2845" s="6" t="s">
        <v>6417</v>
      </c>
      <c r="B2845" s="6" t="s">
        <v>132</v>
      </c>
      <c r="C2845" s="6" t="s">
        <v>133</v>
      </c>
      <c r="D2845" s="6" t="s">
        <v>137</v>
      </c>
      <c r="E2845" s="6" t="s">
        <v>138</v>
      </c>
      <c r="F2845" s="6" t="s">
        <v>204</v>
      </c>
      <c r="G2845" s="6" t="s">
        <v>609</v>
      </c>
      <c r="H2845" s="6" t="s">
        <v>228</v>
      </c>
      <c r="I2845" s="6" t="s">
        <v>6418</v>
      </c>
      <c r="J2845" s="6" t="s">
        <v>238</v>
      </c>
      <c r="K2845" s="6" t="s">
        <v>6316</v>
      </c>
      <c r="L2845" s="6" t="s">
        <v>205</v>
      </c>
      <c r="M2845" s="6" t="s">
        <v>622</v>
      </c>
      <c r="N2845" s="6" t="s">
        <v>278</v>
      </c>
      <c r="O2845" s="6" t="s">
        <v>634</v>
      </c>
      <c r="P2845" s="6" t="str">
        <f aca="false">IF(J2845="S0","—",IF(K2845="","",IF(L2845="E0","QM",INDEX(10_ASIL_Matrix!$D$4:$F$15,MATCH(J2845&amp;"-"&amp;L2845,10_ASIL_Matrix!$C$4:$C$15,0),MATCH(N2845,10_ASIL_Matrix!$D$3:$F$3,0)))))</f>
        <v>—</v>
      </c>
      <c r="Q2845" s="6" t="s">
        <v>448</v>
      </c>
    </row>
    <row r="2846" customFormat="false" ht="35.05" hidden="false" customHeight="false" outlineLevel="0" collapsed="false">
      <c r="A2846" s="5" t="s">
        <v>6419</v>
      </c>
      <c r="B2846" s="5" t="s">
        <v>132</v>
      </c>
      <c r="C2846" s="5" t="s">
        <v>133</v>
      </c>
      <c r="D2846" s="5" t="s">
        <v>137</v>
      </c>
      <c r="E2846" s="5" t="s">
        <v>138</v>
      </c>
      <c r="F2846" s="5" t="s">
        <v>204</v>
      </c>
      <c r="G2846" s="5" t="s">
        <v>609</v>
      </c>
      <c r="H2846" s="5" t="s">
        <v>230</v>
      </c>
      <c r="I2846" s="5" t="s">
        <v>6420</v>
      </c>
      <c r="J2846" s="5" t="s">
        <v>238</v>
      </c>
      <c r="K2846" s="5" t="s">
        <v>6316</v>
      </c>
      <c r="L2846" s="5" t="s">
        <v>205</v>
      </c>
      <c r="M2846" s="5" t="s">
        <v>625</v>
      </c>
      <c r="N2846" s="5" t="s">
        <v>278</v>
      </c>
      <c r="O2846" s="5" t="s">
        <v>634</v>
      </c>
      <c r="P2846" s="5" t="str">
        <f aca="false">IF(J2846="S0","—",IF(K2846="","",IF(L2846="E0","QM",INDEX(10_ASIL_Matrix!$D$4:$F$15,MATCH(J2846&amp;"-"&amp;L2846,10_ASIL_Matrix!$C$4:$C$15,0),MATCH(N2846,10_ASIL_Matrix!$D$3:$F$3,0)))))</f>
        <v>—</v>
      </c>
      <c r="Q2846" s="5" t="s">
        <v>448</v>
      </c>
    </row>
    <row r="2847" customFormat="false" ht="46.25" hidden="false" customHeight="false" outlineLevel="0" collapsed="false">
      <c r="A2847" s="6" t="s">
        <v>6421</v>
      </c>
      <c r="B2847" s="6" t="s">
        <v>132</v>
      </c>
      <c r="C2847" s="6" t="s">
        <v>133</v>
      </c>
      <c r="D2847" s="6" t="s">
        <v>137</v>
      </c>
      <c r="E2847" s="6" t="s">
        <v>138</v>
      </c>
      <c r="F2847" s="6" t="s">
        <v>204</v>
      </c>
      <c r="G2847" s="6" t="s">
        <v>609</v>
      </c>
      <c r="H2847" s="6" t="s">
        <v>232</v>
      </c>
      <c r="I2847" s="6" t="s">
        <v>6422</v>
      </c>
      <c r="J2847" s="6" t="s">
        <v>238</v>
      </c>
      <c r="K2847" s="6" t="s">
        <v>6316</v>
      </c>
      <c r="L2847" s="6" t="s">
        <v>233</v>
      </c>
      <c r="M2847" s="6" t="s">
        <v>629</v>
      </c>
      <c r="N2847" s="6" t="s">
        <v>278</v>
      </c>
      <c r="O2847" s="6" t="s">
        <v>634</v>
      </c>
      <c r="P2847" s="6" t="str">
        <f aca="false">IF(J2847="S0","—",IF(K2847="","",IF(L2847="E0","QM",INDEX(10_ASIL_Matrix!$D$4:$F$15,MATCH(J2847&amp;"-"&amp;L2847,10_ASIL_Matrix!$C$4:$C$15,0),MATCH(N2847,10_ASIL_Matrix!$D$3:$F$3,0)))))</f>
        <v>—</v>
      </c>
      <c r="Q2847" s="6" t="s">
        <v>448</v>
      </c>
    </row>
    <row r="2848" customFormat="false" ht="35.05" hidden="false" customHeight="false" outlineLevel="0" collapsed="false">
      <c r="A2848" s="5" t="s">
        <v>6423</v>
      </c>
      <c r="B2848" s="5" t="s">
        <v>132</v>
      </c>
      <c r="C2848" s="5" t="s">
        <v>133</v>
      </c>
      <c r="D2848" s="5" t="s">
        <v>137</v>
      </c>
      <c r="E2848" s="5" t="s">
        <v>138</v>
      </c>
      <c r="F2848" s="5" t="s">
        <v>207</v>
      </c>
      <c r="G2848" s="5" t="s">
        <v>609</v>
      </c>
      <c r="H2848" s="5" t="s">
        <v>222</v>
      </c>
      <c r="I2848" s="5" t="s">
        <v>6424</v>
      </c>
      <c r="J2848" s="5" t="s">
        <v>238</v>
      </c>
      <c r="K2848" s="5" t="s">
        <v>6316</v>
      </c>
      <c r="L2848" s="5" t="s">
        <v>190</v>
      </c>
      <c r="M2848" s="5" t="s">
        <v>633</v>
      </c>
      <c r="N2848" s="5" t="s">
        <v>278</v>
      </c>
      <c r="O2848" s="5" t="s">
        <v>634</v>
      </c>
      <c r="P2848" s="5" t="str">
        <f aca="false">IF(J2848="S0","—",IF(K2848="","",IF(L2848="E0","QM",INDEX(10_ASIL_Matrix!$D$4:$F$15,MATCH(J2848&amp;"-"&amp;L2848,10_ASIL_Matrix!$C$4:$C$15,0),MATCH(N2848,10_ASIL_Matrix!$D$3:$F$3,0)))))</f>
        <v>—</v>
      </c>
      <c r="Q2848" s="5" t="s">
        <v>448</v>
      </c>
    </row>
    <row r="2849" customFormat="false" ht="35.05" hidden="false" customHeight="false" outlineLevel="0" collapsed="false">
      <c r="A2849" s="6" t="s">
        <v>6425</v>
      </c>
      <c r="B2849" s="6" t="s">
        <v>132</v>
      </c>
      <c r="C2849" s="6" t="s">
        <v>133</v>
      </c>
      <c r="D2849" s="6" t="s">
        <v>137</v>
      </c>
      <c r="E2849" s="6" t="s">
        <v>138</v>
      </c>
      <c r="F2849" s="6" t="s">
        <v>207</v>
      </c>
      <c r="G2849" s="6" t="s">
        <v>609</v>
      </c>
      <c r="H2849" s="6" t="s">
        <v>224</v>
      </c>
      <c r="I2849" s="6" t="s">
        <v>6426</v>
      </c>
      <c r="J2849" s="6" t="s">
        <v>238</v>
      </c>
      <c r="K2849" s="6" t="s">
        <v>6316</v>
      </c>
      <c r="L2849" s="6" t="s">
        <v>190</v>
      </c>
      <c r="M2849" s="6" t="s">
        <v>637</v>
      </c>
      <c r="N2849" s="6" t="s">
        <v>278</v>
      </c>
      <c r="O2849" s="6" t="s">
        <v>634</v>
      </c>
      <c r="P2849" s="6" t="str">
        <f aca="false">IF(J2849="S0","—",IF(K2849="","",IF(L2849="E0","QM",INDEX(10_ASIL_Matrix!$D$4:$F$15,MATCH(J2849&amp;"-"&amp;L2849,10_ASIL_Matrix!$C$4:$C$15,0),MATCH(N2849,10_ASIL_Matrix!$D$3:$F$3,0)))))</f>
        <v>—</v>
      </c>
      <c r="Q2849" s="6" t="s">
        <v>448</v>
      </c>
    </row>
    <row r="2850" customFormat="false" ht="35.05" hidden="false" customHeight="false" outlineLevel="0" collapsed="false">
      <c r="A2850" s="5" t="s">
        <v>6427</v>
      </c>
      <c r="B2850" s="5" t="s">
        <v>132</v>
      </c>
      <c r="C2850" s="5" t="s">
        <v>133</v>
      </c>
      <c r="D2850" s="5" t="s">
        <v>137</v>
      </c>
      <c r="E2850" s="5" t="s">
        <v>138</v>
      </c>
      <c r="F2850" s="5" t="s">
        <v>207</v>
      </c>
      <c r="G2850" s="5" t="s">
        <v>609</v>
      </c>
      <c r="H2850" s="5" t="s">
        <v>226</v>
      </c>
      <c r="I2850" s="5" t="s">
        <v>6428</v>
      </c>
      <c r="J2850" s="5" t="s">
        <v>238</v>
      </c>
      <c r="K2850" s="5" t="s">
        <v>6316</v>
      </c>
      <c r="L2850" s="5" t="s">
        <v>190</v>
      </c>
      <c r="M2850" s="5" t="s">
        <v>640</v>
      </c>
      <c r="N2850" s="5" t="s">
        <v>278</v>
      </c>
      <c r="O2850" s="5" t="s">
        <v>634</v>
      </c>
      <c r="P2850" s="5" t="str">
        <f aca="false">IF(J2850="S0","—",IF(K2850="","",IF(L2850="E0","QM",INDEX(10_ASIL_Matrix!$D$4:$F$15,MATCH(J2850&amp;"-"&amp;L2850,10_ASIL_Matrix!$C$4:$C$15,0),MATCH(N2850,10_ASIL_Matrix!$D$3:$F$3,0)))))</f>
        <v>—</v>
      </c>
      <c r="Q2850" s="5" t="s">
        <v>448</v>
      </c>
    </row>
    <row r="2851" customFormat="false" ht="46.25" hidden="false" customHeight="false" outlineLevel="0" collapsed="false">
      <c r="A2851" s="6" t="s">
        <v>6429</v>
      </c>
      <c r="B2851" s="6" t="s">
        <v>132</v>
      </c>
      <c r="C2851" s="6" t="s">
        <v>133</v>
      </c>
      <c r="D2851" s="6" t="s">
        <v>137</v>
      </c>
      <c r="E2851" s="6" t="s">
        <v>138</v>
      </c>
      <c r="F2851" s="6" t="s">
        <v>207</v>
      </c>
      <c r="G2851" s="6" t="s">
        <v>609</v>
      </c>
      <c r="H2851" s="6" t="s">
        <v>228</v>
      </c>
      <c r="I2851" s="6" t="s">
        <v>6430</v>
      </c>
      <c r="J2851" s="6" t="s">
        <v>238</v>
      </c>
      <c r="K2851" s="6" t="s">
        <v>6316</v>
      </c>
      <c r="L2851" s="6" t="s">
        <v>205</v>
      </c>
      <c r="M2851" s="6" t="s">
        <v>643</v>
      </c>
      <c r="N2851" s="6" t="s">
        <v>278</v>
      </c>
      <c r="O2851" s="6" t="s">
        <v>634</v>
      </c>
      <c r="P2851" s="6" t="str">
        <f aca="false">IF(J2851="S0","—",IF(K2851="","",IF(L2851="E0","QM",INDEX(10_ASIL_Matrix!$D$4:$F$15,MATCH(J2851&amp;"-"&amp;L2851,10_ASIL_Matrix!$C$4:$C$15,0),MATCH(N2851,10_ASIL_Matrix!$D$3:$F$3,0)))))</f>
        <v>—</v>
      </c>
      <c r="Q2851" s="6" t="s">
        <v>448</v>
      </c>
    </row>
    <row r="2852" customFormat="false" ht="46.25" hidden="false" customHeight="false" outlineLevel="0" collapsed="false">
      <c r="A2852" s="5" t="s">
        <v>6431</v>
      </c>
      <c r="B2852" s="5" t="s">
        <v>132</v>
      </c>
      <c r="C2852" s="5" t="s">
        <v>133</v>
      </c>
      <c r="D2852" s="5" t="s">
        <v>137</v>
      </c>
      <c r="E2852" s="5" t="s">
        <v>138</v>
      </c>
      <c r="F2852" s="5" t="s">
        <v>207</v>
      </c>
      <c r="G2852" s="5" t="s">
        <v>609</v>
      </c>
      <c r="H2852" s="5" t="s">
        <v>230</v>
      </c>
      <c r="I2852" s="5" t="s">
        <v>6432</v>
      </c>
      <c r="J2852" s="5" t="s">
        <v>238</v>
      </c>
      <c r="K2852" s="5" t="s">
        <v>6316</v>
      </c>
      <c r="L2852" s="5" t="s">
        <v>205</v>
      </c>
      <c r="M2852" s="5" t="s">
        <v>646</v>
      </c>
      <c r="N2852" s="5" t="s">
        <v>278</v>
      </c>
      <c r="O2852" s="5" t="s">
        <v>634</v>
      </c>
      <c r="P2852" s="5" t="str">
        <f aca="false">IF(J2852="S0","—",IF(K2852="","",IF(L2852="E0","QM",INDEX(10_ASIL_Matrix!$D$4:$F$15,MATCH(J2852&amp;"-"&amp;L2852,10_ASIL_Matrix!$C$4:$C$15,0),MATCH(N2852,10_ASIL_Matrix!$D$3:$F$3,0)))))</f>
        <v>—</v>
      </c>
      <c r="Q2852" s="5" t="s">
        <v>448</v>
      </c>
    </row>
    <row r="2853" customFormat="false" ht="46.25" hidden="false" customHeight="false" outlineLevel="0" collapsed="false">
      <c r="A2853" s="6" t="s">
        <v>6433</v>
      </c>
      <c r="B2853" s="6" t="s">
        <v>132</v>
      </c>
      <c r="C2853" s="6" t="s">
        <v>133</v>
      </c>
      <c r="D2853" s="6" t="s">
        <v>137</v>
      </c>
      <c r="E2853" s="6" t="s">
        <v>138</v>
      </c>
      <c r="F2853" s="6" t="s">
        <v>207</v>
      </c>
      <c r="G2853" s="6" t="s">
        <v>609</v>
      </c>
      <c r="H2853" s="6" t="s">
        <v>232</v>
      </c>
      <c r="I2853" s="6" t="s">
        <v>6434</v>
      </c>
      <c r="J2853" s="6" t="s">
        <v>238</v>
      </c>
      <c r="K2853" s="6" t="s">
        <v>6316</v>
      </c>
      <c r="L2853" s="6" t="s">
        <v>233</v>
      </c>
      <c r="M2853" s="6" t="s">
        <v>649</v>
      </c>
      <c r="N2853" s="6" t="s">
        <v>278</v>
      </c>
      <c r="O2853" s="6" t="s">
        <v>634</v>
      </c>
      <c r="P2853" s="6" t="str">
        <f aca="false">IF(J2853="S0","—",IF(K2853="","",IF(L2853="E0","QM",INDEX(10_ASIL_Matrix!$D$4:$F$15,MATCH(J2853&amp;"-"&amp;L2853,10_ASIL_Matrix!$C$4:$C$15,0),MATCH(N2853,10_ASIL_Matrix!$D$3:$F$3,0)))))</f>
        <v>—</v>
      </c>
      <c r="Q2853" s="6" t="s">
        <v>448</v>
      </c>
    </row>
    <row r="2854" customFormat="false" ht="35.05" hidden="false" customHeight="false" outlineLevel="0" collapsed="false">
      <c r="A2854" s="5" t="s">
        <v>6435</v>
      </c>
      <c r="B2854" s="5" t="s">
        <v>132</v>
      </c>
      <c r="C2854" s="5" t="s">
        <v>133</v>
      </c>
      <c r="D2854" s="5" t="s">
        <v>137</v>
      </c>
      <c r="E2854" s="5" t="s">
        <v>138</v>
      </c>
      <c r="F2854" s="5" t="s">
        <v>209</v>
      </c>
      <c r="G2854" s="5" t="s">
        <v>570</v>
      </c>
      <c r="H2854" s="5" t="s">
        <v>222</v>
      </c>
      <c r="I2854" s="5" t="s">
        <v>6436</v>
      </c>
      <c r="J2854" s="5" t="s">
        <v>238</v>
      </c>
      <c r="K2854" s="5" t="s">
        <v>6316</v>
      </c>
      <c r="L2854" s="5" t="s">
        <v>190</v>
      </c>
      <c r="M2854" s="5" t="s">
        <v>653</v>
      </c>
      <c r="N2854" s="5" t="s">
        <v>278</v>
      </c>
      <c r="O2854" s="5" t="s">
        <v>634</v>
      </c>
      <c r="P2854" s="5" t="str">
        <f aca="false">IF(J2854="S0","—",IF(K2854="","",IF(L2854="E0","QM",INDEX(10_ASIL_Matrix!$D$4:$F$15,MATCH(J2854&amp;"-"&amp;L2854,10_ASIL_Matrix!$C$4:$C$15,0),MATCH(N2854,10_ASIL_Matrix!$D$3:$F$3,0)))))</f>
        <v>—</v>
      </c>
      <c r="Q2854" s="5" t="s">
        <v>448</v>
      </c>
    </row>
    <row r="2855" customFormat="false" ht="35.05" hidden="false" customHeight="false" outlineLevel="0" collapsed="false">
      <c r="A2855" s="6" t="s">
        <v>6437</v>
      </c>
      <c r="B2855" s="6" t="s">
        <v>132</v>
      </c>
      <c r="C2855" s="6" t="s">
        <v>133</v>
      </c>
      <c r="D2855" s="6" t="s">
        <v>137</v>
      </c>
      <c r="E2855" s="6" t="s">
        <v>138</v>
      </c>
      <c r="F2855" s="6" t="s">
        <v>209</v>
      </c>
      <c r="G2855" s="6" t="s">
        <v>570</v>
      </c>
      <c r="H2855" s="6" t="s">
        <v>224</v>
      </c>
      <c r="I2855" s="6" t="s">
        <v>6438</v>
      </c>
      <c r="J2855" s="6" t="s">
        <v>238</v>
      </c>
      <c r="K2855" s="6" t="s">
        <v>6316</v>
      </c>
      <c r="L2855" s="6" t="s">
        <v>190</v>
      </c>
      <c r="M2855" s="6" t="s">
        <v>656</v>
      </c>
      <c r="N2855" s="6" t="s">
        <v>278</v>
      </c>
      <c r="O2855" s="6" t="s">
        <v>634</v>
      </c>
      <c r="P2855" s="6" t="str">
        <f aca="false">IF(J2855="S0","—",IF(K2855="","",IF(L2855="E0","QM",INDEX(10_ASIL_Matrix!$D$4:$F$15,MATCH(J2855&amp;"-"&amp;L2855,10_ASIL_Matrix!$C$4:$C$15,0),MATCH(N2855,10_ASIL_Matrix!$D$3:$F$3,0)))))</f>
        <v>—</v>
      </c>
      <c r="Q2855" s="6" t="s">
        <v>448</v>
      </c>
    </row>
    <row r="2856" customFormat="false" ht="35.05" hidden="false" customHeight="false" outlineLevel="0" collapsed="false">
      <c r="A2856" s="5" t="s">
        <v>6439</v>
      </c>
      <c r="B2856" s="5" t="s">
        <v>132</v>
      </c>
      <c r="C2856" s="5" t="s">
        <v>133</v>
      </c>
      <c r="D2856" s="5" t="s">
        <v>137</v>
      </c>
      <c r="E2856" s="5" t="s">
        <v>138</v>
      </c>
      <c r="F2856" s="5" t="s">
        <v>209</v>
      </c>
      <c r="G2856" s="5" t="s">
        <v>570</v>
      </c>
      <c r="H2856" s="5" t="s">
        <v>226</v>
      </c>
      <c r="I2856" s="5" t="s">
        <v>6440</v>
      </c>
      <c r="J2856" s="5" t="s">
        <v>238</v>
      </c>
      <c r="K2856" s="5" t="s">
        <v>6316</v>
      </c>
      <c r="L2856" s="5" t="s">
        <v>190</v>
      </c>
      <c r="M2856" s="5" t="s">
        <v>659</v>
      </c>
      <c r="N2856" s="5" t="s">
        <v>278</v>
      </c>
      <c r="O2856" s="5" t="s">
        <v>634</v>
      </c>
      <c r="P2856" s="5" t="str">
        <f aca="false">IF(J2856="S0","—",IF(K2856="","",IF(L2856="E0","QM",INDEX(10_ASIL_Matrix!$D$4:$F$15,MATCH(J2856&amp;"-"&amp;L2856,10_ASIL_Matrix!$C$4:$C$15,0),MATCH(N2856,10_ASIL_Matrix!$D$3:$F$3,0)))))</f>
        <v>—</v>
      </c>
      <c r="Q2856" s="5" t="s">
        <v>448</v>
      </c>
    </row>
    <row r="2857" customFormat="false" ht="35.05" hidden="false" customHeight="false" outlineLevel="0" collapsed="false">
      <c r="A2857" s="6" t="s">
        <v>6441</v>
      </c>
      <c r="B2857" s="6" t="s">
        <v>132</v>
      </c>
      <c r="C2857" s="6" t="s">
        <v>133</v>
      </c>
      <c r="D2857" s="6" t="s">
        <v>137</v>
      </c>
      <c r="E2857" s="6" t="s">
        <v>138</v>
      </c>
      <c r="F2857" s="6" t="s">
        <v>209</v>
      </c>
      <c r="G2857" s="6" t="s">
        <v>570</v>
      </c>
      <c r="H2857" s="6" t="s">
        <v>228</v>
      </c>
      <c r="I2857" s="6" t="s">
        <v>6442</v>
      </c>
      <c r="J2857" s="6" t="s">
        <v>238</v>
      </c>
      <c r="K2857" s="6" t="s">
        <v>6316</v>
      </c>
      <c r="L2857" s="6" t="s">
        <v>205</v>
      </c>
      <c r="M2857" s="6" t="s">
        <v>662</v>
      </c>
      <c r="N2857" s="6" t="s">
        <v>278</v>
      </c>
      <c r="O2857" s="6" t="s">
        <v>634</v>
      </c>
      <c r="P2857" s="6" t="str">
        <f aca="false">IF(J2857="S0","—",IF(K2857="","",IF(L2857="E0","QM",INDEX(10_ASIL_Matrix!$D$4:$F$15,MATCH(J2857&amp;"-"&amp;L2857,10_ASIL_Matrix!$C$4:$C$15,0),MATCH(N2857,10_ASIL_Matrix!$D$3:$F$3,0)))))</f>
        <v>—</v>
      </c>
      <c r="Q2857" s="6" t="s">
        <v>448</v>
      </c>
    </row>
    <row r="2858" customFormat="false" ht="35.05" hidden="false" customHeight="false" outlineLevel="0" collapsed="false">
      <c r="A2858" s="5" t="s">
        <v>6443</v>
      </c>
      <c r="B2858" s="5" t="s">
        <v>132</v>
      </c>
      <c r="C2858" s="5" t="s">
        <v>133</v>
      </c>
      <c r="D2858" s="5" t="s">
        <v>137</v>
      </c>
      <c r="E2858" s="5" t="s">
        <v>138</v>
      </c>
      <c r="F2858" s="5" t="s">
        <v>209</v>
      </c>
      <c r="G2858" s="5" t="s">
        <v>570</v>
      </c>
      <c r="H2858" s="5" t="s">
        <v>230</v>
      </c>
      <c r="I2858" s="5" t="s">
        <v>6444</v>
      </c>
      <c r="J2858" s="5" t="s">
        <v>238</v>
      </c>
      <c r="K2858" s="5" t="s">
        <v>6316</v>
      </c>
      <c r="L2858" s="5" t="s">
        <v>205</v>
      </c>
      <c r="M2858" s="5" t="s">
        <v>665</v>
      </c>
      <c r="N2858" s="5" t="s">
        <v>278</v>
      </c>
      <c r="O2858" s="5" t="s">
        <v>634</v>
      </c>
      <c r="P2858" s="5" t="str">
        <f aca="false">IF(J2858="S0","—",IF(K2858="","",IF(L2858="E0","QM",INDEX(10_ASIL_Matrix!$D$4:$F$15,MATCH(J2858&amp;"-"&amp;L2858,10_ASIL_Matrix!$C$4:$C$15,0),MATCH(N2858,10_ASIL_Matrix!$D$3:$F$3,0)))))</f>
        <v>—</v>
      </c>
      <c r="Q2858" s="5" t="s">
        <v>448</v>
      </c>
    </row>
    <row r="2859" customFormat="false" ht="46.25" hidden="false" customHeight="false" outlineLevel="0" collapsed="false">
      <c r="A2859" s="6" t="s">
        <v>6445</v>
      </c>
      <c r="B2859" s="6" t="s">
        <v>132</v>
      </c>
      <c r="C2859" s="6" t="s">
        <v>133</v>
      </c>
      <c r="D2859" s="6" t="s">
        <v>137</v>
      </c>
      <c r="E2859" s="6" t="s">
        <v>138</v>
      </c>
      <c r="F2859" s="6" t="s">
        <v>209</v>
      </c>
      <c r="G2859" s="6" t="s">
        <v>570</v>
      </c>
      <c r="H2859" s="6" t="s">
        <v>232</v>
      </c>
      <c r="I2859" s="6" t="s">
        <v>6446</v>
      </c>
      <c r="J2859" s="6" t="s">
        <v>238</v>
      </c>
      <c r="K2859" s="6" t="s">
        <v>6316</v>
      </c>
      <c r="L2859" s="6" t="s">
        <v>233</v>
      </c>
      <c r="M2859" s="6" t="s">
        <v>668</v>
      </c>
      <c r="N2859" s="6" t="s">
        <v>278</v>
      </c>
      <c r="O2859" s="6" t="s">
        <v>634</v>
      </c>
      <c r="P2859" s="6" t="str">
        <f aca="false">IF(J2859="S0","—",IF(K2859="","",IF(L2859="E0","QM",INDEX(10_ASIL_Matrix!$D$4:$F$15,MATCH(J2859&amp;"-"&amp;L2859,10_ASIL_Matrix!$C$4:$C$15,0),MATCH(N2859,10_ASIL_Matrix!$D$3:$F$3,0)))))</f>
        <v>—</v>
      </c>
      <c r="Q2859" s="6" t="s">
        <v>448</v>
      </c>
    </row>
    <row r="2860" customFormat="false" ht="35.05" hidden="false" customHeight="false" outlineLevel="0" collapsed="false">
      <c r="A2860" s="5" t="s">
        <v>6447</v>
      </c>
      <c r="B2860" s="5" t="s">
        <v>132</v>
      </c>
      <c r="C2860" s="5" t="s">
        <v>133</v>
      </c>
      <c r="D2860" s="5" t="s">
        <v>137</v>
      </c>
      <c r="E2860" s="5" t="s">
        <v>138</v>
      </c>
      <c r="F2860" s="5" t="s">
        <v>211</v>
      </c>
      <c r="G2860" s="5" t="s">
        <v>609</v>
      </c>
      <c r="H2860" s="5" t="s">
        <v>222</v>
      </c>
      <c r="I2860" s="5" t="s">
        <v>6448</v>
      </c>
      <c r="J2860" s="5" t="s">
        <v>238</v>
      </c>
      <c r="K2860" s="5" t="s">
        <v>671</v>
      </c>
      <c r="L2860" s="5" t="s">
        <v>187</v>
      </c>
      <c r="M2860" s="5" t="s">
        <v>672</v>
      </c>
      <c r="N2860" s="5" t="s">
        <v>278</v>
      </c>
      <c r="O2860" s="5" t="s">
        <v>634</v>
      </c>
      <c r="P2860" s="5" t="str">
        <f aca="false">IF(J2860="S0","—",IF(K2860="","",IF(L2860="E0","QM",INDEX(10_ASIL_Matrix!$D$4:$F$15,MATCH(J2860&amp;"-"&amp;L2860,10_ASIL_Matrix!$C$4:$C$15,0),MATCH(N2860,10_ASIL_Matrix!$D$3:$F$3,0)))))</f>
        <v>—</v>
      </c>
      <c r="Q2860" s="5" t="s">
        <v>448</v>
      </c>
    </row>
    <row r="2861" customFormat="false" ht="35.05" hidden="false" customHeight="false" outlineLevel="0" collapsed="false">
      <c r="A2861" s="6" t="s">
        <v>6449</v>
      </c>
      <c r="B2861" s="6" t="s">
        <v>132</v>
      </c>
      <c r="C2861" s="6" t="s">
        <v>133</v>
      </c>
      <c r="D2861" s="6" t="s">
        <v>137</v>
      </c>
      <c r="E2861" s="6" t="s">
        <v>138</v>
      </c>
      <c r="F2861" s="6" t="s">
        <v>211</v>
      </c>
      <c r="G2861" s="6" t="s">
        <v>609</v>
      </c>
      <c r="H2861" s="6" t="s">
        <v>224</v>
      </c>
      <c r="I2861" s="6" t="s">
        <v>6450</v>
      </c>
      <c r="J2861" s="6" t="s">
        <v>238</v>
      </c>
      <c r="K2861" s="6" t="s">
        <v>671</v>
      </c>
      <c r="L2861" s="6" t="s">
        <v>190</v>
      </c>
      <c r="M2861" s="6" t="s">
        <v>675</v>
      </c>
      <c r="N2861" s="6" t="s">
        <v>278</v>
      </c>
      <c r="O2861" s="6" t="s">
        <v>634</v>
      </c>
      <c r="P2861" s="6" t="str">
        <f aca="false">IF(J2861="S0","—",IF(K2861="","",IF(L2861="E0","QM",INDEX(10_ASIL_Matrix!$D$4:$F$15,MATCH(J2861&amp;"-"&amp;L2861,10_ASIL_Matrix!$C$4:$C$15,0),MATCH(N2861,10_ASIL_Matrix!$D$3:$F$3,0)))))</f>
        <v>—</v>
      </c>
      <c r="Q2861" s="6" t="s">
        <v>448</v>
      </c>
    </row>
    <row r="2862" customFormat="false" ht="35.05" hidden="false" customHeight="false" outlineLevel="0" collapsed="false">
      <c r="A2862" s="5" t="s">
        <v>6451</v>
      </c>
      <c r="B2862" s="5" t="s">
        <v>132</v>
      </c>
      <c r="C2862" s="5" t="s">
        <v>133</v>
      </c>
      <c r="D2862" s="5" t="s">
        <v>137</v>
      </c>
      <c r="E2862" s="5" t="s">
        <v>138</v>
      </c>
      <c r="F2862" s="5" t="s">
        <v>211</v>
      </c>
      <c r="G2862" s="5" t="s">
        <v>609</v>
      </c>
      <c r="H2862" s="5" t="s">
        <v>226</v>
      </c>
      <c r="I2862" s="5" t="s">
        <v>6452</v>
      </c>
      <c r="J2862" s="5" t="s">
        <v>238</v>
      </c>
      <c r="K2862" s="5" t="s">
        <v>671</v>
      </c>
      <c r="L2862" s="5" t="s">
        <v>190</v>
      </c>
      <c r="M2862" s="5" t="s">
        <v>678</v>
      </c>
      <c r="N2862" s="5" t="s">
        <v>278</v>
      </c>
      <c r="O2862" s="5" t="s">
        <v>634</v>
      </c>
      <c r="P2862" s="5" t="str">
        <f aca="false">IF(J2862="S0","—",IF(K2862="","",IF(L2862="E0","QM",INDEX(10_ASIL_Matrix!$D$4:$F$15,MATCH(J2862&amp;"-"&amp;L2862,10_ASIL_Matrix!$C$4:$C$15,0),MATCH(N2862,10_ASIL_Matrix!$D$3:$F$3,0)))))</f>
        <v>—</v>
      </c>
      <c r="Q2862" s="5" t="s">
        <v>448</v>
      </c>
    </row>
    <row r="2863" customFormat="false" ht="35.05" hidden="false" customHeight="false" outlineLevel="0" collapsed="false">
      <c r="A2863" s="6" t="s">
        <v>6453</v>
      </c>
      <c r="B2863" s="6" t="s">
        <v>132</v>
      </c>
      <c r="C2863" s="6" t="s">
        <v>133</v>
      </c>
      <c r="D2863" s="6" t="s">
        <v>137</v>
      </c>
      <c r="E2863" s="6" t="s">
        <v>138</v>
      </c>
      <c r="F2863" s="6" t="s">
        <v>211</v>
      </c>
      <c r="G2863" s="6" t="s">
        <v>609</v>
      </c>
      <c r="H2863" s="6" t="s">
        <v>228</v>
      </c>
      <c r="I2863" s="6" t="s">
        <v>6454</v>
      </c>
      <c r="J2863" s="6" t="s">
        <v>238</v>
      </c>
      <c r="K2863" s="6" t="s">
        <v>671</v>
      </c>
      <c r="L2863" s="6" t="s">
        <v>205</v>
      </c>
      <c r="M2863" s="6" t="s">
        <v>681</v>
      </c>
      <c r="N2863" s="6" t="s">
        <v>278</v>
      </c>
      <c r="O2863" s="6" t="s">
        <v>634</v>
      </c>
      <c r="P2863" s="6" t="str">
        <f aca="false">IF(J2863="S0","—",IF(K2863="","",IF(L2863="E0","QM",INDEX(10_ASIL_Matrix!$D$4:$F$15,MATCH(J2863&amp;"-"&amp;L2863,10_ASIL_Matrix!$C$4:$C$15,0),MATCH(N2863,10_ASIL_Matrix!$D$3:$F$3,0)))))</f>
        <v>—</v>
      </c>
      <c r="Q2863" s="6" t="s">
        <v>448</v>
      </c>
    </row>
    <row r="2864" customFormat="false" ht="35.05" hidden="false" customHeight="false" outlineLevel="0" collapsed="false">
      <c r="A2864" s="5" t="s">
        <v>6455</v>
      </c>
      <c r="B2864" s="5" t="s">
        <v>132</v>
      </c>
      <c r="C2864" s="5" t="s">
        <v>133</v>
      </c>
      <c r="D2864" s="5" t="s">
        <v>137</v>
      </c>
      <c r="E2864" s="5" t="s">
        <v>138</v>
      </c>
      <c r="F2864" s="5" t="s">
        <v>211</v>
      </c>
      <c r="G2864" s="5" t="s">
        <v>609</v>
      </c>
      <c r="H2864" s="5" t="s">
        <v>230</v>
      </c>
      <c r="I2864" s="5" t="s">
        <v>6456</v>
      </c>
      <c r="J2864" s="5" t="s">
        <v>238</v>
      </c>
      <c r="K2864" s="5" t="s">
        <v>671</v>
      </c>
      <c r="L2864" s="5" t="s">
        <v>205</v>
      </c>
      <c r="M2864" s="5" t="s">
        <v>684</v>
      </c>
      <c r="N2864" s="5" t="s">
        <v>278</v>
      </c>
      <c r="O2864" s="5" t="s">
        <v>634</v>
      </c>
      <c r="P2864" s="5" t="str">
        <f aca="false">IF(J2864="S0","—",IF(K2864="","",IF(L2864="E0","QM",INDEX(10_ASIL_Matrix!$D$4:$F$15,MATCH(J2864&amp;"-"&amp;L2864,10_ASIL_Matrix!$C$4:$C$15,0),MATCH(N2864,10_ASIL_Matrix!$D$3:$F$3,0)))))</f>
        <v>—</v>
      </c>
      <c r="Q2864" s="5" t="s">
        <v>448</v>
      </c>
    </row>
    <row r="2865" customFormat="false" ht="46.25" hidden="false" customHeight="false" outlineLevel="0" collapsed="false">
      <c r="A2865" s="6" t="s">
        <v>6457</v>
      </c>
      <c r="B2865" s="6" t="s">
        <v>132</v>
      </c>
      <c r="C2865" s="6" t="s">
        <v>133</v>
      </c>
      <c r="D2865" s="6" t="s">
        <v>137</v>
      </c>
      <c r="E2865" s="6" t="s">
        <v>138</v>
      </c>
      <c r="F2865" s="6" t="s">
        <v>211</v>
      </c>
      <c r="G2865" s="6" t="s">
        <v>609</v>
      </c>
      <c r="H2865" s="6" t="s">
        <v>232</v>
      </c>
      <c r="I2865" s="6" t="s">
        <v>6458</v>
      </c>
      <c r="J2865" s="6" t="s">
        <v>238</v>
      </c>
      <c r="K2865" s="6" t="s">
        <v>671</v>
      </c>
      <c r="L2865" s="6" t="s">
        <v>233</v>
      </c>
      <c r="M2865" s="6" t="s">
        <v>687</v>
      </c>
      <c r="N2865" s="6" t="s">
        <v>278</v>
      </c>
      <c r="O2865" s="6" t="s">
        <v>634</v>
      </c>
      <c r="P2865" s="6" t="str">
        <f aca="false">IF(J2865="S0","—",IF(K2865="","",IF(L2865="E0","QM",INDEX(10_ASIL_Matrix!$D$4:$F$15,MATCH(J2865&amp;"-"&amp;L2865,10_ASIL_Matrix!$C$4:$C$15,0),MATCH(N2865,10_ASIL_Matrix!$D$3:$F$3,0)))))</f>
        <v>—</v>
      </c>
      <c r="Q2865" s="6" t="s">
        <v>448</v>
      </c>
    </row>
    <row r="2866" customFormat="false" ht="46.25" hidden="false" customHeight="false" outlineLevel="0" collapsed="false">
      <c r="A2866" s="5" t="s">
        <v>6459</v>
      </c>
      <c r="B2866" s="5" t="s">
        <v>132</v>
      </c>
      <c r="C2866" s="5" t="s">
        <v>133</v>
      </c>
      <c r="D2866" s="5" t="s">
        <v>137</v>
      </c>
      <c r="E2866" s="5" t="s">
        <v>138</v>
      </c>
      <c r="F2866" s="5" t="s">
        <v>213</v>
      </c>
      <c r="G2866" s="5" t="s">
        <v>689</v>
      </c>
      <c r="H2866" s="5" t="s">
        <v>222</v>
      </c>
      <c r="I2866" s="5" t="s">
        <v>6460</v>
      </c>
      <c r="J2866" s="5" t="s">
        <v>250</v>
      </c>
      <c r="K2866" s="5" t="s">
        <v>6461</v>
      </c>
      <c r="L2866" s="5" t="s">
        <v>205</v>
      </c>
      <c r="M2866" s="5" t="s">
        <v>692</v>
      </c>
      <c r="N2866" s="5" t="s">
        <v>286</v>
      </c>
      <c r="O2866" s="5" t="s">
        <v>6462</v>
      </c>
      <c r="P2866" s="19" t="str">
        <f aca="false">IF(J2866="S0","—",IF(K2866="","",IF(L2866="E0","QM",INDEX(10_ASIL_Matrix!$D$4:$F$15,MATCH(J2866&amp;"-"&amp;L2866,10_ASIL_Matrix!$C$4:$C$15,0),MATCH(N2866,10_ASIL_Matrix!$D$3:$F$3,0)))))</f>
        <v>A</v>
      </c>
      <c r="Q2866" s="5" t="s">
        <v>448</v>
      </c>
    </row>
    <row r="2867" customFormat="false" ht="46.25" hidden="false" customHeight="false" outlineLevel="0" collapsed="false">
      <c r="A2867" s="6" t="s">
        <v>6463</v>
      </c>
      <c r="B2867" s="6" t="s">
        <v>132</v>
      </c>
      <c r="C2867" s="6" t="s">
        <v>133</v>
      </c>
      <c r="D2867" s="6" t="s">
        <v>137</v>
      </c>
      <c r="E2867" s="6" t="s">
        <v>138</v>
      </c>
      <c r="F2867" s="6" t="s">
        <v>213</v>
      </c>
      <c r="G2867" s="6" t="s">
        <v>689</v>
      </c>
      <c r="H2867" s="6" t="s">
        <v>224</v>
      </c>
      <c r="I2867" s="6" t="s">
        <v>6464</v>
      </c>
      <c r="J2867" s="6" t="s">
        <v>250</v>
      </c>
      <c r="K2867" s="6" t="s">
        <v>6461</v>
      </c>
      <c r="L2867" s="6" t="s">
        <v>205</v>
      </c>
      <c r="M2867" s="6" t="s">
        <v>696</v>
      </c>
      <c r="N2867" s="6" t="s">
        <v>286</v>
      </c>
      <c r="O2867" s="6" t="s">
        <v>6462</v>
      </c>
      <c r="P2867" s="19" t="str">
        <f aca="false">IF(J2867="S0","—",IF(K2867="","",IF(L2867="E0","QM",INDEX(10_ASIL_Matrix!$D$4:$F$15,MATCH(J2867&amp;"-"&amp;L2867,10_ASIL_Matrix!$C$4:$C$15,0),MATCH(N2867,10_ASIL_Matrix!$D$3:$F$3,0)))))</f>
        <v>A</v>
      </c>
      <c r="Q2867" s="6" t="s">
        <v>448</v>
      </c>
    </row>
    <row r="2868" customFormat="false" ht="46.25" hidden="false" customHeight="false" outlineLevel="0" collapsed="false">
      <c r="A2868" s="5" t="s">
        <v>6465</v>
      </c>
      <c r="B2868" s="5" t="s">
        <v>132</v>
      </c>
      <c r="C2868" s="5" t="s">
        <v>133</v>
      </c>
      <c r="D2868" s="5" t="s">
        <v>137</v>
      </c>
      <c r="E2868" s="5" t="s">
        <v>138</v>
      </c>
      <c r="F2868" s="5" t="s">
        <v>213</v>
      </c>
      <c r="G2868" s="5" t="s">
        <v>689</v>
      </c>
      <c r="H2868" s="5" t="s">
        <v>226</v>
      </c>
      <c r="I2868" s="5" t="s">
        <v>6466</v>
      </c>
      <c r="J2868" s="5" t="s">
        <v>250</v>
      </c>
      <c r="K2868" s="5" t="s">
        <v>6461</v>
      </c>
      <c r="L2868" s="5" t="s">
        <v>205</v>
      </c>
      <c r="M2868" s="5" t="s">
        <v>699</v>
      </c>
      <c r="N2868" s="5" t="s">
        <v>286</v>
      </c>
      <c r="O2868" s="5" t="s">
        <v>6462</v>
      </c>
      <c r="P2868" s="19" t="str">
        <f aca="false">IF(J2868="S0","—",IF(K2868="","",IF(L2868="E0","QM",INDEX(10_ASIL_Matrix!$D$4:$F$15,MATCH(J2868&amp;"-"&amp;L2868,10_ASIL_Matrix!$C$4:$C$15,0),MATCH(N2868,10_ASIL_Matrix!$D$3:$F$3,0)))))</f>
        <v>A</v>
      </c>
      <c r="Q2868" s="5" t="s">
        <v>448</v>
      </c>
    </row>
    <row r="2869" customFormat="false" ht="46.25" hidden="false" customHeight="false" outlineLevel="0" collapsed="false">
      <c r="A2869" s="6" t="s">
        <v>6467</v>
      </c>
      <c r="B2869" s="6" t="s">
        <v>132</v>
      </c>
      <c r="C2869" s="6" t="s">
        <v>133</v>
      </c>
      <c r="D2869" s="6" t="s">
        <v>137</v>
      </c>
      <c r="E2869" s="6" t="s">
        <v>138</v>
      </c>
      <c r="F2869" s="6" t="s">
        <v>213</v>
      </c>
      <c r="G2869" s="6" t="s">
        <v>689</v>
      </c>
      <c r="H2869" s="6" t="s">
        <v>228</v>
      </c>
      <c r="I2869" s="6" t="s">
        <v>6468</v>
      </c>
      <c r="J2869" s="6" t="s">
        <v>250</v>
      </c>
      <c r="K2869" s="6" t="s">
        <v>6461</v>
      </c>
      <c r="L2869" s="6" t="s">
        <v>205</v>
      </c>
      <c r="M2869" s="6" t="s">
        <v>702</v>
      </c>
      <c r="N2869" s="6" t="s">
        <v>290</v>
      </c>
      <c r="O2869" s="6" t="s">
        <v>6469</v>
      </c>
      <c r="P2869" s="18" t="str">
        <f aca="false">IF(J2869="S0","—",IF(K2869="","",IF(L2869="E0","QM",INDEX(10_ASIL_Matrix!$D$4:$F$15,MATCH(J2869&amp;"-"&amp;L2869,10_ASIL_Matrix!$C$4:$C$15,0),MATCH(N2869,10_ASIL_Matrix!$D$3:$F$3,0)))))</f>
        <v>B</v>
      </c>
      <c r="Q2869" s="6" t="s">
        <v>448</v>
      </c>
    </row>
    <row r="2870" customFormat="false" ht="46.25" hidden="false" customHeight="false" outlineLevel="0" collapsed="false">
      <c r="A2870" s="5" t="s">
        <v>6470</v>
      </c>
      <c r="B2870" s="5" t="s">
        <v>132</v>
      </c>
      <c r="C2870" s="5" t="s">
        <v>133</v>
      </c>
      <c r="D2870" s="5" t="s">
        <v>137</v>
      </c>
      <c r="E2870" s="5" t="s">
        <v>138</v>
      </c>
      <c r="F2870" s="5" t="s">
        <v>213</v>
      </c>
      <c r="G2870" s="5" t="s">
        <v>689</v>
      </c>
      <c r="H2870" s="5" t="s">
        <v>230</v>
      </c>
      <c r="I2870" s="5" t="s">
        <v>6471</v>
      </c>
      <c r="J2870" s="5" t="s">
        <v>250</v>
      </c>
      <c r="K2870" s="5" t="s">
        <v>6461</v>
      </c>
      <c r="L2870" s="5" t="s">
        <v>205</v>
      </c>
      <c r="M2870" s="5" t="s">
        <v>705</v>
      </c>
      <c r="N2870" s="5" t="s">
        <v>290</v>
      </c>
      <c r="O2870" s="5" t="s">
        <v>6472</v>
      </c>
      <c r="P2870" s="18" t="str">
        <f aca="false">IF(J2870="S0","—",IF(K2870="","",IF(L2870="E0","QM",INDEX(10_ASIL_Matrix!$D$4:$F$15,MATCH(J2870&amp;"-"&amp;L2870,10_ASIL_Matrix!$C$4:$C$15,0),MATCH(N2870,10_ASIL_Matrix!$D$3:$F$3,0)))))</f>
        <v>B</v>
      </c>
      <c r="Q2870" s="5" t="s">
        <v>448</v>
      </c>
    </row>
    <row r="2871" customFormat="false" ht="46.25" hidden="false" customHeight="false" outlineLevel="0" collapsed="false">
      <c r="A2871" s="6" t="s">
        <v>6473</v>
      </c>
      <c r="B2871" s="6" t="s">
        <v>132</v>
      </c>
      <c r="C2871" s="6" t="s">
        <v>133</v>
      </c>
      <c r="D2871" s="6" t="s">
        <v>137</v>
      </c>
      <c r="E2871" s="6" t="s">
        <v>138</v>
      </c>
      <c r="F2871" s="6" t="s">
        <v>213</v>
      </c>
      <c r="G2871" s="6" t="s">
        <v>689</v>
      </c>
      <c r="H2871" s="6" t="s">
        <v>232</v>
      </c>
      <c r="I2871" s="6" t="s">
        <v>6474</v>
      </c>
      <c r="J2871" s="6" t="s">
        <v>250</v>
      </c>
      <c r="K2871" s="6" t="s">
        <v>6461</v>
      </c>
      <c r="L2871" s="6" t="s">
        <v>233</v>
      </c>
      <c r="M2871" s="6" t="s">
        <v>709</v>
      </c>
      <c r="N2871" s="6" t="s">
        <v>290</v>
      </c>
      <c r="O2871" s="6" t="s">
        <v>6469</v>
      </c>
      <c r="P2871" s="19" t="str">
        <f aca="false">IF(J2871="S0","—",IF(K2871="","",IF(L2871="E0","QM",INDEX(10_ASIL_Matrix!$D$4:$F$15,MATCH(J2871&amp;"-"&amp;L2871,10_ASIL_Matrix!$C$4:$C$15,0),MATCH(N2871,10_ASIL_Matrix!$D$3:$F$3,0)))))</f>
        <v>A</v>
      </c>
      <c r="Q2871" s="6" t="s">
        <v>448</v>
      </c>
    </row>
    <row r="2872" customFormat="false" ht="35.05" hidden="false" customHeight="false" outlineLevel="0" collapsed="false">
      <c r="A2872" s="5" t="s">
        <v>6475</v>
      </c>
      <c r="B2872" s="5" t="s">
        <v>132</v>
      </c>
      <c r="C2872" s="5" t="s">
        <v>133</v>
      </c>
      <c r="D2872" s="5" t="s">
        <v>137</v>
      </c>
      <c r="E2872" s="5" t="s">
        <v>138</v>
      </c>
      <c r="F2872" s="5" t="s">
        <v>215</v>
      </c>
      <c r="G2872" s="5" t="s">
        <v>711</v>
      </c>
      <c r="H2872" s="5" t="s">
        <v>222</v>
      </c>
      <c r="I2872" s="5" t="s">
        <v>6476</v>
      </c>
      <c r="J2872" s="5" t="s">
        <v>250</v>
      </c>
      <c r="K2872" s="5" t="s">
        <v>6477</v>
      </c>
      <c r="L2872" s="5" t="s">
        <v>190</v>
      </c>
      <c r="M2872" s="5" t="s">
        <v>714</v>
      </c>
      <c r="N2872" s="5" t="s">
        <v>286</v>
      </c>
      <c r="O2872" s="5" t="s">
        <v>6478</v>
      </c>
      <c r="P2872" s="18" t="str">
        <f aca="false">IF(J2872="S0","—",IF(K2872="","",IF(L2872="E0","QM",INDEX(10_ASIL_Matrix!$D$4:$F$15,MATCH(J2872&amp;"-"&amp;L2872,10_ASIL_Matrix!$C$4:$C$15,0),MATCH(N2872,10_ASIL_Matrix!$D$3:$F$3,0)))))</f>
        <v>B</v>
      </c>
      <c r="Q2872" s="5" t="s">
        <v>448</v>
      </c>
    </row>
    <row r="2873" customFormat="false" ht="35.05" hidden="false" customHeight="false" outlineLevel="0" collapsed="false">
      <c r="A2873" s="6" t="s">
        <v>6479</v>
      </c>
      <c r="B2873" s="6" t="s">
        <v>132</v>
      </c>
      <c r="C2873" s="6" t="s">
        <v>133</v>
      </c>
      <c r="D2873" s="6" t="s">
        <v>137</v>
      </c>
      <c r="E2873" s="6" t="s">
        <v>138</v>
      </c>
      <c r="F2873" s="6" t="s">
        <v>215</v>
      </c>
      <c r="G2873" s="6" t="s">
        <v>711</v>
      </c>
      <c r="H2873" s="6" t="s">
        <v>224</v>
      </c>
      <c r="I2873" s="6" t="s">
        <v>6480</v>
      </c>
      <c r="J2873" s="6" t="s">
        <v>250</v>
      </c>
      <c r="K2873" s="6" t="s">
        <v>6477</v>
      </c>
      <c r="L2873" s="6" t="s">
        <v>190</v>
      </c>
      <c r="M2873" s="6" t="s">
        <v>717</v>
      </c>
      <c r="N2873" s="6" t="s">
        <v>286</v>
      </c>
      <c r="O2873" s="6" t="s">
        <v>6478</v>
      </c>
      <c r="P2873" s="18" t="str">
        <f aca="false">IF(J2873="S0","—",IF(K2873="","",IF(L2873="E0","QM",INDEX(10_ASIL_Matrix!$D$4:$F$15,MATCH(J2873&amp;"-"&amp;L2873,10_ASIL_Matrix!$C$4:$C$15,0),MATCH(N2873,10_ASIL_Matrix!$D$3:$F$3,0)))))</f>
        <v>B</v>
      </c>
      <c r="Q2873" s="6" t="s">
        <v>448</v>
      </c>
    </row>
    <row r="2874" customFormat="false" ht="35.05" hidden="false" customHeight="false" outlineLevel="0" collapsed="false">
      <c r="A2874" s="5" t="s">
        <v>6481</v>
      </c>
      <c r="B2874" s="5" t="s">
        <v>132</v>
      </c>
      <c r="C2874" s="5" t="s">
        <v>133</v>
      </c>
      <c r="D2874" s="5" t="s">
        <v>137</v>
      </c>
      <c r="E2874" s="5" t="s">
        <v>138</v>
      </c>
      <c r="F2874" s="5" t="s">
        <v>215</v>
      </c>
      <c r="G2874" s="5" t="s">
        <v>711</v>
      </c>
      <c r="H2874" s="5" t="s">
        <v>226</v>
      </c>
      <c r="I2874" s="5" t="s">
        <v>6482</v>
      </c>
      <c r="J2874" s="5" t="s">
        <v>250</v>
      </c>
      <c r="K2874" s="5" t="s">
        <v>6477</v>
      </c>
      <c r="L2874" s="5" t="s">
        <v>190</v>
      </c>
      <c r="M2874" s="5" t="s">
        <v>720</v>
      </c>
      <c r="N2874" s="5" t="s">
        <v>286</v>
      </c>
      <c r="O2874" s="5" t="s">
        <v>6478</v>
      </c>
      <c r="P2874" s="18" t="str">
        <f aca="false">IF(J2874="S0","—",IF(K2874="","",IF(L2874="E0","QM",INDEX(10_ASIL_Matrix!$D$4:$F$15,MATCH(J2874&amp;"-"&amp;L2874,10_ASIL_Matrix!$C$4:$C$15,0),MATCH(N2874,10_ASIL_Matrix!$D$3:$F$3,0)))))</f>
        <v>B</v>
      </c>
      <c r="Q2874" s="5" t="s">
        <v>448</v>
      </c>
    </row>
    <row r="2875" customFormat="false" ht="46.25" hidden="false" customHeight="false" outlineLevel="0" collapsed="false">
      <c r="A2875" s="6" t="s">
        <v>6483</v>
      </c>
      <c r="B2875" s="6" t="s">
        <v>132</v>
      </c>
      <c r="C2875" s="6" t="s">
        <v>133</v>
      </c>
      <c r="D2875" s="6" t="s">
        <v>137</v>
      </c>
      <c r="E2875" s="6" t="s">
        <v>138</v>
      </c>
      <c r="F2875" s="6" t="s">
        <v>215</v>
      </c>
      <c r="G2875" s="6" t="s">
        <v>711</v>
      </c>
      <c r="H2875" s="6" t="s">
        <v>228</v>
      </c>
      <c r="I2875" s="6" t="s">
        <v>6484</v>
      </c>
      <c r="J2875" s="6" t="s">
        <v>250</v>
      </c>
      <c r="K2875" s="6" t="s">
        <v>6477</v>
      </c>
      <c r="L2875" s="6" t="s">
        <v>205</v>
      </c>
      <c r="M2875" s="6" t="s">
        <v>723</v>
      </c>
      <c r="N2875" s="6" t="s">
        <v>290</v>
      </c>
      <c r="O2875" s="6" t="s">
        <v>6485</v>
      </c>
      <c r="P2875" s="18" t="str">
        <f aca="false">IF(J2875="S0","—",IF(K2875="","",IF(L2875="E0","QM",INDEX(10_ASIL_Matrix!$D$4:$F$15,MATCH(J2875&amp;"-"&amp;L2875,10_ASIL_Matrix!$C$4:$C$15,0),MATCH(N2875,10_ASIL_Matrix!$D$3:$F$3,0)))))</f>
        <v>B</v>
      </c>
      <c r="Q2875" s="6" t="s">
        <v>448</v>
      </c>
    </row>
    <row r="2876" customFormat="false" ht="46.25" hidden="false" customHeight="false" outlineLevel="0" collapsed="false">
      <c r="A2876" s="5" t="s">
        <v>6486</v>
      </c>
      <c r="B2876" s="5" t="s">
        <v>132</v>
      </c>
      <c r="C2876" s="5" t="s">
        <v>133</v>
      </c>
      <c r="D2876" s="5" t="s">
        <v>137</v>
      </c>
      <c r="E2876" s="5" t="s">
        <v>138</v>
      </c>
      <c r="F2876" s="5" t="s">
        <v>215</v>
      </c>
      <c r="G2876" s="5" t="s">
        <v>711</v>
      </c>
      <c r="H2876" s="5" t="s">
        <v>230</v>
      </c>
      <c r="I2876" s="5" t="s">
        <v>6487</v>
      </c>
      <c r="J2876" s="5" t="s">
        <v>250</v>
      </c>
      <c r="K2876" s="5" t="s">
        <v>6477</v>
      </c>
      <c r="L2876" s="5" t="s">
        <v>205</v>
      </c>
      <c r="M2876" s="5" t="s">
        <v>726</v>
      </c>
      <c r="N2876" s="5" t="s">
        <v>290</v>
      </c>
      <c r="O2876" s="5" t="s">
        <v>6488</v>
      </c>
      <c r="P2876" s="18" t="str">
        <f aca="false">IF(J2876="S0","—",IF(K2876="","",IF(L2876="E0","QM",INDEX(10_ASIL_Matrix!$D$4:$F$15,MATCH(J2876&amp;"-"&amp;L2876,10_ASIL_Matrix!$C$4:$C$15,0),MATCH(N2876,10_ASIL_Matrix!$D$3:$F$3,0)))))</f>
        <v>B</v>
      </c>
      <c r="Q2876" s="5" t="s">
        <v>448</v>
      </c>
    </row>
    <row r="2877" customFormat="false" ht="46.25" hidden="false" customHeight="false" outlineLevel="0" collapsed="false">
      <c r="A2877" s="6" t="s">
        <v>6489</v>
      </c>
      <c r="B2877" s="6" t="s">
        <v>132</v>
      </c>
      <c r="C2877" s="6" t="s">
        <v>133</v>
      </c>
      <c r="D2877" s="6" t="s">
        <v>137</v>
      </c>
      <c r="E2877" s="6" t="s">
        <v>138</v>
      </c>
      <c r="F2877" s="6" t="s">
        <v>215</v>
      </c>
      <c r="G2877" s="6" t="s">
        <v>711</v>
      </c>
      <c r="H2877" s="6" t="s">
        <v>232</v>
      </c>
      <c r="I2877" s="6" t="s">
        <v>6490</v>
      </c>
      <c r="J2877" s="6" t="s">
        <v>250</v>
      </c>
      <c r="K2877" s="6" t="s">
        <v>6477</v>
      </c>
      <c r="L2877" s="6" t="s">
        <v>233</v>
      </c>
      <c r="M2877" s="6" t="s">
        <v>729</v>
      </c>
      <c r="N2877" s="6" t="s">
        <v>290</v>
      </c>
      <c r="O2877" s="6" t="s">
        <v>6485</v>
      </c>
      <c r="P2877" s="19" t="str">
        <f aca="false">IF(J2877="S0","—",IF(K2877="","",IF(L2877="E0","QM",INDEX(10_ASIL_Matrix!$D$4:$F$15,MATCH(J2877&amp;"-"&amp;L2877,10_ASIL_Matrix!$C$4:$C$15,0),MATCH(N2877,10_ASIL_Matrix!$D$3:$F$3,0)))))</f>
        <v>A</v>
      </c>
      <c r="Q2877" s="6" t="s">
        <v>448</v>
      </c>
    </row>
    <row r="2878" customFormat="false" ht="35.05" hidden="false" customHeight="false" outlineLevel="0" collapsed="false">
      <c r="A2878" s="5" t="s">
        <v>6491</v>
      </c>
      <c r="B2878" s="5" t="s">
        <v>132</v>
      </c>
      <c r="C2878" s="5" t="s">
        <v>133</v>
      </c>
      <c r="D2878" s="5" t="s">
        <v>137</v>
      </c>
      <c r="E2878" s="5" t="s">
        <v>138</v>
      </c>
      <c r="F2878" s="5" t="s">
        <v>217</v>
      </c>
      <c r="G2878" s="5" t="s">
        <v>488</v>
      </c>
      <c r="H2878" s="5" t="s">
        <v>222</v>
      </c>
      <c r="I2878" s="5" t="s">
        <v>6492</v>
      </c>
      <c r="J2878" s="5" t="s">
        <v>238</v>
      </c>
      <c r="K2878" s="5" t="s">
        <v>6316</v>
      </c>
      <c r="L2878" s="5" t="s">
        <v>190</v>
      </c>
      <c r="M2878" s="5" t="s">
        <v>733</v>
      </c>
      <c r="N2878" s="5" t="s">
        <v>278</v>
      </c>
      <c r="O2878" s="5" t="s">
        <v>634</v>
      </c>
      <c r="P2878" s="5" t="str">
        <f aca="false">IF(J2878="S0","—",IF(K2878="","",IF(L2878="E0","QM",INDEX(10_ASIL_Matrix!$D$4:$F$15,MATCH(J2878&amp;"-"&amp;L2878,10_ASIL_Matrix!$C$4:$C$15,0),MATCH(N2878,10_ASIL_Matrix!$D$3:$F$3,0)))))</f>
        <v>—</v>
      </c>
      <c r="Q2878" s="5" t="s">
        <v>448</v>
      </c>
    </row>
    <row r="2879" customFormat="false" ht="35.05" hidden="false" customHeight="false" outlineLevel="0" collapsed="false">
      <c r="A2879" s="6" t="s">
        <v>6493</v>
      </c>
      <c r="B2879" s="6" t="s">
        <v>132</v>
      </c>
      <c r="C2879" s="6" t="s">
        <v>133</v>
      </c>
      <c r="D2879" s="6" t="s">
        <v>137</v>
      </c>
      <c r="E2879" s="6" t="s">
        <v>138</v>
      </c>
      <c r="F2879" s="6" t="s">
        <v>217</v>
      </c>
      <c r="G2879" s="6" t="s">
        <v>488</v>
      </c>
      <c r="H2879" s="6" t="s">
        <v>224</v>
      </c>
      <c r="I2879" s="6" t="s">
        <v>6494</v>
      </c>
      <c r="J2879" s="6" t="s">
        <v>238</v>
      </c>
      <c r="K2879" s="6" t="s">
        <v>6316</v>
      </c>
      <c r="L2879" s="6" t="s">
        <v>190</v>
      </c>
      <c r="M2879" s="6" t="s">
        <v>736</v>
      </c>
      <c r="N2879" s="6" t="s">
        <v>278</v>
      </c>
      <c r="O2879" s="6" t="s">
        <v>634</v>
      </c>
      <c r="P2879" s="6" t="str">
        <f aca="false">IF(J2879="S0","—",IF(K2879="","",IF(L2879="E0","QM",INDEX(10_ASIL_Matrix!$D$4:$F$15,MATCH(J2879&amp;"-"&amp;L2879,10_ASIL_Matrix!$C$4:$C$15,0),MATCH(N2879,10_ASIL_Matrix!$D$3:$F$3,0)))))</f>
        <v>—</v>
      </c>
      <c r="Q2879" s="6" t="s">
        <v>448</v>
      </c>
    </row>
    <row r="2880" customFormat="false" ht="35.05" hidden="false" customHeight="false" outlineLevel="0" collapsed="false">
      <c r="A2880" s="5" t="s">
        <v>6495</v>
      </c>
      <c r="B2880" s="5" t="s">
        <v>132</v>
      </c>
      <c r="C2880" s="5" t="s">
        <v>133</v>
      </c>
      <c r="D2880" s="5" t="s">
        <v>137</v>
      </c>
      <c r="E2880" s="5" t="s">
        <v>138</v>
      </c>
      <c r="F2880" s="5" t="s">
        <v>217</v>
      </c>
      <c r="G2880" s="5" t="s">
        <v>488</v>
      </c>
      <c r="H2880" s="5" t="s">
        <v>226</v>
      </c>
      <c r="I2880" s="5" t="s">
        <v>6496</v>
      </c>
      <c r="J2880" s="5" t="s">
        <v>238</v>
      </c>
      <c r="K2880" s="5" t="s">
        <v>6316</v>
      </c>
      <c r="L2880" s="5" t="s">
        <v>190</v>
      </c>
      <c r="M2880" s="5" t="s">
        <v>739</v>
      </c>
      <c r="N2880" s="5" t="s">
        <v>278</v>
      </c>
      <c r="O2880" s="5" t="s">
        <v>634</v>
      </c>
      <c r="P2880" s="5" t="str">
        <f aca="false">IF(J2880="S0","—",IF(K2880="","",IF(L2880="E0","QM",INDEX(10_ASIL_Matrix!$D$4:$F$15,MATCH(J2880&amp;"-"&amp;L2880,10_ASIL_Matrix!$C$4:$C$15,0),MATCH(N2880,10_ASIL_Matrix!$D$3:$F$3,0)))))</f>
        <v>—</v>
      </c>
      <c r="Q2880" s="5" t="s">
        <v>448</v>
      </c>
    </row>
    <row r="2881" customFormat="false" ht="46.25" hidden="false" customHeight="false" outlineLevel="0" collapsed="false">
      <c r="A2881" s="6" t="s">
        <v>6497</v>
      </c>
      <c r="B2881" s="6" t="s">
        <v>132</v>
      </c>
      <c r="C2881" s="6" t="s">
        <v>133</v>
      </c>
      <c r="D2881" s="6" t="s">
        <v>137</v>
      </c>
      <c r="E2881" s="6" t="s">
        <v>138</v>
      </c>
      <c r="F2881" s="6" t="s">
        <v>217</v>
      </c>
      <c r="G2881" s="6" t="s">
        <v>488</v>
      </c>
      <c r="H2881" s="6" t="s">
        <v>228</v>
      </c>
      <c r="I2881" s="6" t="s">
        <v>6498</v>
      </c>
      <c r="J2881" s="6" t="s">
        <v>238</v>
      </c>
      <c r="K2881" s="6" t="s">
        <v>6316</v>
      </c>
      <c r="L2881" s="6" t="s">
        <v>205</v>
      </c>
      <c r="M2881" s="6" t="s">
        <v>742</v>
      </c>
      <c r="N2881" s="6" t="s">
        <v>278</v>
      </c>
      <c r="O2881" s="6" t="s">
        <v>634</v>
      </c>
      <c r="P2881" s="6" t="str">
        <f aca="false">IF(J2881="S0","—",IF(K2881="","",IF(L2881="E0","QM",INDEX(10_ASIL_Matrix!$D$4:$F$15,MATCH(J2881&amp;"-"&amp;L2881,10_ASIL_Matrix!$C$4:$C$15,0),MATCH(N2881,10_ASIL_Matrix!$D$3:$F$3,0)))))</f>
        <v>—</v>
      </c>
      <c r="Q2881" s="6" t="s">
        <v>448</v>
      </c>
    </row>
    <row r="2882" customFormat="false" ht="35.05" hidden="false" customHeight="false" outlineLevel="0" collapsed="false">
      <c r="A2882" s="5" t="s">
        <v>6499</v>
      </c>
      <c r="B2882" s="5" t="s">
        <v>132</v>
      </c>
      <c r="C2882" s="5" t="s">
        <v>133</v>
      </c>
      <c r="D2882" s="5" t="s">
        <v>137</v>
      </c>
      <c r="E2882" s="5" t="s">
        <v>138</v>
      </c>
      <c r="F2882" s="5" t="s">
        <v>217</v>
      </c>
      <c r="G2882" s="5" t="s">
        <v>488</v>
      </c>
      <c r="H2882" s="5" t="s">
        <v>230</v>
      </c>
      <c r="I2882" s="5" t="s">
        <v>6500</v>
      </c>
      <c r="J2882" s="5" t="s">
        <v>238</v>
      </c>
      <c r="K2882" s="5" t="s">
        <v>6316</v>
      </c>
      <c r="L2882" s="5" t="s">
        <v>205</v>
      </c>
      <c r="M2882" s="5" t="s">
        <v>745</v>
      </c>
      <c r="N2882" s="5" t="s">
        <v>278</v>
      </c>
      <c r="O2882" s="5" t="s">
        <v>634</v>
      </c>
      <c r="P2882" s="5" t="str">
        <f aca="false">IF(J2882="S0","—",IF(K2882="","",IF(L2882="E0","QM",INDEX(10_ASIL_Matrix!$D$4:$F$15,MATCH(J2882&amp;"-"&amp;L2882,10_ASIL_Matrix!$C$4:$C$15,0),MATCH(N2882,10_ASIL_Matrix!$D$3:$F$3,0)))))</f>
        <v>—</v>
      </c>
      <c r="Q2882" s="5" t="s">
        <v>448</v>
      </c>
    </row>
    <row r="2883" customFormat="false" ht="46.25" hidden="false" customHeight="false" outlineLevel="0" collapsed="false">
      <c r="A2883" s="6" t="s">
        <v>6501</v>
      </c>
      <c r="B2883" s="6" t="s">
        <v>132</v>
      </c>
      <c r="C2883" s="6" t="s">
        <v>133</v>
      </c>
      <c r="D2883" s="6" t="s">
        <v>137</v>
      </c>
      <c r="E2883" s="6" t="s">
        <v>138</v>
      </c>
      <c r="F2883" s="6" t="s">
        <v>217</v>
      </c>
      <c r="G2883" s="6" t="s">
        <v>488</v>
      </c>
      <c r="H2883" s="6" t="s">
        <v>232</v>
      </c>
      <c r="I2883" s="6" t="s">
        <v>6502</v>
      </c>
      <c r="J2883" s="6" t="s">
        <v>238</v>
      </c>
      <c r="K2883" s="6" t="s">
        <v>6316</v>
      </c>
      <c r="L2883" s="6" t="s">
        <v>233</v>
      </c>
      <c r="M2883" s="6" t="s">
        <v>748</v>
      </c>
      <c r="N2883" s="6" t="s">
        <v>278</v>
      </c>
      <c r="O2883" s="6" t="s">
        <v>634</v>
      </c>
      <c r="P2883" s="6" t="str">
        <f aca="false">IF(J2883="S0","—",IF(K2883="","",IF(L2883="E0","QM",INDEX(10_ASIL_Matrix!$D$4:$F$15,MATCH(J2883&amp;"-"&amp;L2883,10_ASIL_Matrix!$C$4:$C$15,0),MATCH(N2883,10_ASIL_Matrix!$D$3:$F$3,0)))))</f>
        <v>—</v>
      </c>
      <c r="Q2883" s="6" t="s">
        <v>448</v>
      </c>
    </row>
    <row r="2884" customFormat="false" ht="35.05" hidden="false" customHeight="false" outlineLevel="0" collapsed="false">
      <c r="A2884" s="5" t="s">
        <v>6503</v>
      </c>
      <c r="B2884" s="5" t="s">
        <v>132</v>
      </c>
      <c r="C2884" s="5" t="s">
        <v>133</v>
      </c>
      <c r="D2884" s="5" t="s">
        <v>143</v>
      </c>
      <c r="E2884" s="5" t="s">
        <v>144</v>
      </c>
      <c r="F2884" s="5" t="s">
        <v>186</v>
      </c>
      <c r="G2884" s="5" t="s">
        <v>443</v>
      </c>
      <c r="H2884" s="5" t="s">
        <v>222</v>
      </c>
      <c r="I2884" s="5" t="s">
        <v>6504</v>
      </c>
      <c r="J2884" s="5" t="s">
        <v>246</v>
      </c>
      <c r="K2884" s="5" t="s">
        <v>2789</v>
      </c>
      <c r="L2884" s="5" t="s">
        <v>187</v>
      </c>
      <c r="M2884" s="5" t="s">
        <v>446</v>
      </c>
      <c r="N2884" s="5" t="s">
        <v>282</v>
      </c>
      <c r="O2884" s="5" t="s">
        <v>2790</v>
      </c>
      <c r="P2884" s="19" t="str">
        <f aca="false">IF(J2884="S0","—",IF(K2884="","",IF(L2884="E0","QM",INDEX(10_ASIL_Matrix!$D$4:$F$15,MATCH(J2884&amp;"-"&amp;L2884,10_ASIL_Matrix!$C$4:$C$15,0),MATCH(N2884,10_ASIL_Matrix!$D$3:$F$3,0)))))</f>
        <v>A</v>
      </c>
      <c r="Q2884" s="5" t="s">
        <v>448</v>
      </c>
    </row>
    <row r="2885" customFormat="false" ht="35.05" hidden="false" customHeight="false" outlineLevel="0" collapsed="false">
      <c r="A2885" s="6" t="s">
        <v>6505</v>
      </c>
      <c r="B2885" s="6" t="s">
        <v>132</v>
      </c>
      <c r="C2885" s="6" t="s">
        <v>133</v>
      </c>
      <c r="D2885" s="6" t="s">
        <v>143</v>
      </c>
      <c r="E2885" s="6" t="s">
        <v>144</v>
      </c>
      <c r="F2885" s="6" t="s">
        <v>186</v>
      </c>
      <c r="G2885" s="6" t="s">
        <v>443</v>
      </c>
      <c r="H2885" s="6" t="s">
        <v>224</v>
      </c>
      <c r="I2885" s="6" t="s">
        <v>6506</v>
      </c>
      <c r="J2885" s="6" t="s">
        <v>246</v>
      </c>
      <c r="K2885" s="6" t="s">
        <v>2789</v>
      </c>
      <c r="L2885" s="6" t="s">
        <v>190</v>
      </c>
      <c r="M2885" s="6" t="s">
        <v>451</v>
      </c>
      <c r="N2885" s="6" t="s">
        <v>282</v>
      </c>
      <c r="O2885" s="6" t="s">
        <v>2790</v>
      </c>
      <c r="P2885" s="6" t="str">
        <f aca="false">IF(J2885="S0","—",IF(K2885="","",IF(L2885="E0","QM",INDEX(10_ASIL_Matrix!$D$4:$F$15,MATCH(J2885&amp;"-"&amp;L2885,10_ASIL_Matrix!$C$4:$C$15,0),MATCH(N2885,10_ASIL_Matrix!$D$3:$F$3,0)))))</f>
        <v>QM</v>
      </c>
      <c r="Q2885" s="6" t="s">
        <v>448</v>
      </c>
    </row>
    <row r="2886" customFormat="false" ht="35.05" hidden="false" customHeight="false" outlineLevel="0" collapsed="false">
      <c r="A2886" s="5" t="s">
        <v>6507</v>
      </c>
      <c r="B2886" s="5" t="s">
        <v>132</v>
      </c>
      <c r="C2886" s="5" t="s">
        <v>133</v>
      </c>
      <c r="D2886" s="5" t="s">
        <v>143</v>
      </c>
      <c r="E2886" s="5" t="s">
        <v>144</v>
      </c>
      <c r="F2886" s="5" t="s">
        <v>186</v>
      </c>
      <c r="G2886" s="5" t="s">
        <v>443</v>
      </c>
      <c r="H2886" s="5" t="s">
        <v>226</v>
      </c>
      <c r="I2886" s="5" t="s">
        <v>6508</v>
      </c>
      <c r="J2886" s="5" t="s">
        <v>246</v>
      </c>
      <c r="K2886" s="5" t="s">
        <v>2789</v>
      </c>
      <c r="L2886" s="5" t="s">
        <v>190</v>
      </c>
      <c r="M2886" s="5" t="s">
        <v>454</v>
      </c>
      <c r="N2886" s="5" t="s">
        <v>282</v>
      </c>
      <c r="O2886" s="5" t="s">
        <v>2790</v>
      </c>
      <c r="P2886" s="5" t="str">
        <f aca="false">IF(J2886="S0","—",IF(K2886="","",IF(L2886="E0","QM",INDEX(10_ASIL_Matrix!$D$4:$F$15,MATCH(J2886&amp;"-"&amp;L2886,10_ASIL_Matrix!$C$4:$C$15,0),MATCH(N2886,10_ASIL_Matrix!$D$3:$F$3,0)))))</f>
        <v>QM</v>
      </c>
      <c r="Q2886" s="5" t="s">
        <v>448</v>
      </c>
    </row>
    <row r="2887" customFormat="false" ht="46.25" hidden="false" customHeight="false" outlineLevel="0" collapsed="false">
      <c r="A2887" s="6" t="s">
        <v>6509</v>
      </c>
      <c r="B2887" s="6" t="s">
        <v>132</v>
      </c>
      <c r="C2887" s="6" t="s">
        <v>133</v>
      </c>
      <c r="D2887" s="6" t="s">
        <v>143</v>
      </c>
      <c r="E2887" s="6" t="s">
        <v>144</v>
      </c>
      <c r="F2887" s="6" t="s">
        <v>186</v>
      </c>
      <c r="G2887" s="6" t="s">
        <v>443</v>
      </c>
      <c r="H2887" s="6" t="s">
        <v>228</v>
      </c>
      <c r="I2887" s="6" t="s">
        <v>6510</v>
      </c>
      <c r="J2887" s="6" t="s">
        <v>246</v>
      </c>
      <c r="K2887" s="6" t="s">
        <v>2789</v>
      </c>
      <c r="L2887" s="6" t="s">
        <v>205</v>
      </c>
      <c r="M2887" s="6" t="s">
        <v>457</v>
      </c>
      <c r="N2887" s="6" t="s">
        <v>282</v>
      </c>
      <c r="O2887" s="6" t="s">
        <v>2790</v>
      </c>
      <c r="P2887" s="6" t="str">
        <f aca="false">IF(J2887="S0","—",IF(K2887="","",IF(L2887="E0","QM",INDEX(10_ASIL_Matrix!$D$4:$F$15,MATCH(J2887&amp;"-"&amp;L2887,10_ASIL_Matrix!$C$4:$C$15,0),MATCH(N2887,10_ASIL_Matrix!$D$3:$F$3,0)))))</f>
        <v>QM</v>
      </c>
      <c r="Q2887" s="6" t="s">
        <v>448</v>
      </c>
    </row>
    <row r="2888" customFormat="false" ht="35.05" hidden="false" customHeight="false" outlineLevel="0" collapsed="false">
      <c r="A2888" s="5" t="s">
        <v>6511</v>
      </c>
      <c r="B2888" s="5" t="s">
        <v>132</v>
      </c>
      <c r="C2888" s="5" t="s">
        <v>133</v>
      </c>
      <c r="D2888" s="5" t="s">
        <v>143</v>
      </c>
      <c r="E2888" s="5" t="s">
        <v>144</v>
      </c>
      <c r="F2888" s="5" t="s">
        <v>186</v>
      </c>
      <c r="G2888" s="5" t="s">
        <v>443</v>
      </c>
      <c r="H2888" s="5" t="s">
        <v>230</v>
      </c>
      <c r="I2888" s="5" t="s">
        <v>6512</v>
      </c>
      <c r="J2888" s="5" t="s">
        <v>250</v>
      </c>
      <c r="K2888" s="5" t="s">
        <v>2799</v>
      </c>
      <c r="L2888" s="5" t="s">
        <v>205</v>
      </c>
      <c r="M2888" s="5" t="s">
        <v>460</v>
      </c>
      <c r="N2888" s="5" t="s">
        <v>286</v>
      </c>
      <c r="O2888" s="5" t="s">
        <v>2800</v>
      </c>
      <c r="P2888" s="19" t="str">
        <f aca="false">IF(J2888="S0","—",IF(K2888="","",IF(L2888="E0","QM",INDEX(10_ASIL_Matrix!$D$4:$F$15,MATCH(J2888&amp;"-"&amp;L2888,10_ASIL_Matrix!$C$4:$C$15,0),MATCH(N2888,10_ASIL_Matrix!$D$3:$F$3,0)))))</f>
        <v>A</v>
      </c>
      <c r="Q2888" s="5" t="s">
        <v>448</v>
      </c>
    </row>
    <row r="2889" customFormat="false" ht="46.25" hidden="false" customHeight="false" outlineLevel="0" collapsed="false">
      <c r="A2889" s="6" t="s">
        <v>6513</v>
      </c>
      <c r="B2889" s="6" t="s">
        <v>132</v>
      </c>
      <c r="C2889" s="6" t="s">
        <v>133</v>
      </c>
      <c r="D2889" s="6" t="s">
        <v>143</v>
      </c>
      <c r="E2889" s="6" t="s">
        <v>144</v>
      </c>
      <c r="F2889" s="6" t="s">
        <v>186</v>
      </c>
      <c r="G2889" s="6" t="s">
        <v>443</v>
      </c>
      <c r="H2889" s="6" t="s">
        <v>232</v>
      </c>
      <c r="I2889" s="6" t="s">
        <v>6514</v>
      </c>
      <c r="J2889" s="6" t="s">
        <v>246</v>
      </c>
      <c r="K2889" s="6" t="s">
        <v>2789</v>
      </c>
      <c r="L2889" s="6" t="s">
        <v>233</v>
      </c>
      <c r="M2889" s="6" t="s">
        <v>464</v>
      </c>
      <c r="N2889" s="6" t="s">
        <v>282</v>
      </c>
      <c r="O2889" s="6" t="s">
        <v>2790</v>
      </c>
      <c r="P2889" s="6" t="str">
        <f aca="false">IF(J2889="S0","—",IF(K2889="","",IF(L2889="E0","QM",INDEX(10_ASIL_Matrix!$D$4:$F$15,MATCH(J2889&amp;"-"&amp;L2889,10_ASIL_Matrix!$C$4:$C$15,0),MATCH(N2889,10_ASIL_Matrix!$D$3:$F$3,0)))))</f>
        <v>QM</v>
      </c>
      <c r="Q2889" s="6" t="s">
        <v>448</v>
      </c>
    </row>
    <row r="2890" customFormat="false" ht="35.05" hidden="false" customHeight="false" outlineLevel="0" collapsed="false">
      <c r="A2890" s="5" t="s">
        <v>6515</v>
      </c>
      <c r="B2890" s="5" t="s">
        <v>132</v>
      </c>
      <c r="C2890" s="5" t="s">
        <v>133</v>
      </c>
      <c r="D2890" s="5" t="s">
        <v>143</v>
      </c>
      <c r="E2890" s="5" t="s">
        <v>144</v>
      </c>
      <c r="F2890" s="5" t="s">
        <v>189</v>
      </c>
      <c r="G2890" s="5" t="s">
        <v>466</v>
      </c>
      <c r="H2890" s="5" t="s">
        <v>222</v>
      </c>
      <c r="I2890" s="5" t="s">
        <v>6516</v>
      </c>
      <c r="J2890" s="5" t="s">
        <v>246</v>
      </c>
      <c r="K2890" s="5" t="s">
        <v>2805</v>
      </c>
      <c r="L2890" s="5" t="s">
        <v>190</v>
      </c>
      <c r="M2890" s="5" t="s">
        <v>469</v>
      </c>
      <c r="N2890" s="5" t="s">
        <v>282</v>
      </c>
      <c r="O2890" s="5" t="s">
        <v>2790</v>
      </c>
      <c r="P2890" s="5" t="str">
        <f aca="false">IF(J2890="S0","—",IF(K2890="","",IF(L2890="E0","QM",INDEX(10_ASIL_Matrix!$D$4:$F$15,MATCH(J2890&amp;"-"&amp;L2890,10_ASIL_Matrix!$C$4:$C$15,0),MATCH(N2890,10_ASIL_Matrix!$D$3:$F$3,0)))))</f>
        <v>QM</v>
      </c>
      <c r="Q2890" s="5" t="s">
        <v>448</v>
      </c>
    </row>
    <row r="2891" customFormat="false" ht="35.05" hidden="false" customHeight="false" outlineLevel="0" collapsed="false">
      <c r="A2891" s="6" t="s">
        <v>6517</v>
      </c>
      <c r="B2891" s="6" t="s">
        <v>132</v>
      </c>
      <c r="C2891" s="6" t="s">
        <v>133</v>
      </c>
      <c r="D2891" s="6" t="s">
        <v>143</v>
      </c>
      <c r="E2891" s="6" t="s">
        <v>144</v>
      </c>
      <c r="F2891" s="6" t="s">
        <v>189</v>
      </c>
      <c r="G2891" s="6" t="s">
        <v>466</v>
      </c>
      <c r="H2891" s="6" t="s">
        <v>224</v>
      </c>
      <c r="I2891" s="6" t="s">
        <v>6518</v>
      </c>
      <c r="J2891" s="6" t="s">
        <v>250</v>
      </c>
      <c r="K2891" s="6" t="s">
        <v>2808</v>
      </c>
      <c r="L2891" s="6" t="s">
        <v>190</v>
      </c>
      <c r="M2891" s="6" t="s">
        <v>473</v>
      </c>
      <c r="N2891" s="6" t="s">
        <v>282</v>
      </c>
      <c r="O2891" s="6" t="s">
        <v>2809</v>
      </c>
      <c r="P2891" s="19" t="str">
        <f aca="false">IF(J2891="S0","—",IF(K2891="","",IF(L2891="E0","QM",INDEX(10_ASIL_Matrix!$D$4:$F$15,MATCH(J2891&amp;"-"&amp;L2891,10_ASIL_Matrix!$C$4:$C$15,0),MATCH(N2891,10_ASIL_Matrix!$D$3:$F$3,0)))))</f>
        <v>A</v>
      </c>
      <c r="Q2891" s="6" t="s">
        <v>448</v>
      </c>
    </row>
    <row r="2892" customFormat="false" ht="35.05" hidden="false" customHeight="false" outlineLevel="0" collapsed="false">
      <c r="A2892" s="5" t="s">
        <v>6519</v>
      </c>
      <c r="B2892" s="5" t="s">
        <v>132</v>
      </c>
      <c r="C2892" s="5" t="s">
        <v>133</v>
      </c>
      <c r="D2892" s="5" t="s">
        <v>143</v>
      </c>
      <c r="E2892" s="5" t="s">
        <v>144</v>
      </c>
      <c r="F2892" s="5" t="s">
        <v>189</v>
      </c>
      <c r="G2892" s="5" t="s">
        <v>466</v>
      </c>
      <c r="H2892" s="5" t="s">
        <v>226</v>
      </c>
      <c r="I2892" s="5" t="s">
        <v>6520</v>
      </c>
      <c r="J2892" s="5" t="s">
        <v>246</v>
      </c>
      <c r="K2892" s="5" t="s">
        <v>2805</v>
      </c>
      <c r="L2892" s="5" t="s">
        <v>190</v>
      </c>
      <c r="M2892" s="5" t="s">
        <v>476</v>
      </c>
      <c r="N2892" s="5" t="s">
        <v>282</v>
      </c>
      <c r="O2892" s="5" t="s">
        <v>2790</v>
      </c>
      <c r="P2892" s="5" t="str">
        <f aca="false">IF(J2892="S0","—",IF(K2892="","",IF(L2892="E0","QM",INDEX(10_ASIL_Matrix!$D$4:$F$15,MATCH(J2892&amp;"-"&amp;L2892,10_ASIL_Matrix!$C$4:$C$15,0),MATCH(N2892,10_ASIL_Matrix!$D$3:$F$3,0)))))</f>
        <v>QM</v>
      </c>
      <c r="Q2892" s="5" t="s">
        <v>448</v>
      </c>
    </row>
    <row r="2893" customFormat="false" ht="46.25" hidden="false" customHeight="false" outlineLevel="0" collapsed="false">
      <c r="A2893" s="6" t="s">
        <v>6521</v>
      </c>
      <c r="B2893" s="6" t="s">
        <v>132</v>
      </c>
      <c r="C2893" s="6" t="s">
        <v>133</v>
      </c>
      <c r="D2893" s="6" t="s">
        <v>143</v>
      </c>
      <c r="E2893" s="6" t="s">
        <v>144</v>
      </c>
      <c r="F2893" s="6" t="s">
        <v>189</v>
      </c>
      <c r="G2893" s="6" t="s">
        <v>466</v>
      </c>
      <c r="H2893" s="6" t="s">
        <v>228</v>
      </c>
      <c r="I2893" s="6" t="s">
        <v>6522</v>
      </c>
      <c r="J2893" s="6" t="s">
        <v>250</v>
      </c>
      <c r="K2893" s="6" t="s">
        <v>2808</v>
      </c>
      <c r="L2893" s="6" t="s">
        <v>205</v>
      </c>
      <c r="M2893" s="6" t="s">
        <v>479</v>
      </c>
      <c r="N2893" s="6" t="s">
        <v>282</v>
      </c>
      <c r="O2893" s="6" t="s">
        <v>2809</v>
      </c>
      <c r="P2893" s="6" t="str">
        <f aca="false">IF(J2893="S0","—",IF(K2893="","",IF(L2893="E0","QM",INDEX(10_ASIL_Matrix!$D$4:$F$15,MATCH(J2893&amp;"-"&amp;L2893,10_ASIL_Matrix!$C$4:$C$15,0),MATCH(N2893,10_ASIL_Matrix!$D$3:$F$3,0)))))</f>
        <v>QM</v>
      </c>
      <c r="Q2893" s="6" t="s">
        <v>448</v>
      </c>
    </row>
    <row r="2894" customFormat="false" ht="46.25" hidden="false" customHeight="false" outlineLevel="0" collapsed="false">
      <c r="A2894" s="5" t="s">
        <v>6523</v>
      </c>
      <c r="B2894" s="5" t="s">
        <v>132</v>
      </c>
      <c r="C2894" s="5" t="s">
        <v>133</v>
      </c>
      <c r="D2894" s="5" t="s">
        <v>143</v>
      </c>
      <c r="E2894" s="5" t="s">
        <v>144</v>
      </c>
      <c r="F2894" s="5" t="s">
        <v>189</v>
      </c>
      <c r="G2894" s="5" t="s">
        <v>466</v>
      </c>
      <c r="H2894" s="5" t="s">
        <v>230</v>
      </c>
      <c r="I2894" s="5" t="s">
        <v>6524</v>
      </c>
      <c r="J2894" s="5" t="s">
        <v>250</v>
      </c>
      <c r="K2894" s="5" t="s">
        <v>2816</v>
      </c>
      <c r="L2894" s="5" t="s">
        <v>205</v>
      </c>
      <c r="M2894" s="5" t="s">
        <v>482</v>
      </c>
      <c r="N2894" s="5" t="s">
        <v>286</v>
      </c>
      <c r="O2894" s="5" t="s">
        <v>2800</v>
      </c>
      <c r="P2894" s="19" t="str">
        <f aca="false">IF(J2894="S0","—",IF(K2894="","",IF(L2894="E0","QM",INDEX(10_ASIL_Matrix!$D$4:$F$15,MATCH(J2894&amp;"-"&amp;L2894,10_ASIL_Matrix!$C$4:$C$15,0),MATCH(N2894,10_ASIL_Matrix!$D$3:$F$3,0)))))</f>
        <v>A</v>
      </c>
      <c r="Q2894" s="5" t="s">
        <v>448</v>
      </c>
    </row>
    <row r="2895" customFormat="false" ht="46.25" hidden="false" customHeight="false" outlineLevel="0" collapsed="false">
      <c r="A2895" s="6" t="s">
        <v>6525</v>
      </c>
      <c r="B2895" s="6" t="s">
        <v>132</v>
      </c>
      <c r="C2895" s="6" t="s">
        <v>133</v>
      </c>
      <c r="D2895" s="6" t="s">
        <v>143</v>
      </c>
      <c r="E2895" s="6" t="s">
        <v>144</v>
      </c>
      <c r="F2895" s="6" t="s">
        <v>189</v>
      </c>
      <c r="G2895" s="6" t="s">
        <v>466</v>
      </c>
      <c r="H2895" s="6" t="s">
        <v>232</v>
      </c>
      <c r="I2895" s="6" t="s">
        <v>6526</v>
      </c>
      <c r="J2895" s="6" t="s">
        <v>246</v>
      </c>
      <c r="K2895" s="6" t="s">
        <v>2805</v>
      </c>
      <c r="L2895" s="6" t="s">
        <v>233</v>
      </c>
      <c r="M2895" s="6" t="s">
        <v>486</v>
      </c>
      <c r="N2895" s="6" t="s">
        <v>282</v>
      </c>
      <c r="O2895" s="6" t="s">
        <v>2790</v>
      </c>
      <c r="P2895" s="6" t="str">
        <f aca="false">IF(J2895="S0","—",IF(K2895="","",IF(L2895="E0","QM",INDEX(10_ASIL_Matrix!$D$4:$F$15,MATCH(J2895&amp;"-"&amp;L2895,10_ASIL_Matrix!$C$4:$C$15,0),MATCH(N2895,10_ASIL_Matrix!$D$3:$F$3,0)))))</f>
        <v>QM</v>
      </c>
      <c r="Q2895" s="6" t="s">
        <v>448</v>
      </c>
    </row>
    <row r="2896" customFormat="false" ht="35.05" hidden="false" customHeight="false" outlineLevel="0" collapsed="false">
      <c r="A2896" s="5" t="s">
        <v>6527</v>
      </c>
      <c r="B2896" s="5" t="s">
        <v>132</v>
      </c>
      <c r="C2896" s="5" t="s">
        <v>133</v>
      </c>
      <c r="D2896" s="5" t="s">
        <v>143</v>
      </c>
      <c r="E2896" s="5" t="s">
        <v>144</v>
      </c>
      <c r="F2896" s="5" t="s">
        <v>192</v>
      </c>
      <c r="G2896" s="5" t="s">
        <v>488</v>
      </c>
      <c r="H2896" s="5" t="s">
        <v>222</v>
      </c>
      <c r="I2896" s="5" t="s">
        <v>6528</v>
      </c>
      <c r="J2896" s="5" t="s">
        <v>246</v>
      </c>
      <c r="K2896" s="5" t="s">
        <v>2821</v>
      </c>
      <c r="L2896" s="5" t="s">
        <v>187</v>
      </c>
      <c r="M2896" s="5" t="s">
        <v>491</v>
      </c>
      <c r="N2896" s="5" t="s">
        <v>282</v>
      </c>
      <c r="O2896" s="5" t="s">
        <v>2790</v>
      </c>
      <c r="P2896" s="19" t="str">
        <f aca="false">IF(J2896="S0","—",IF(K2896="","",IF(L2896="E0","QM",INDEX(10_ASIL_Matrix!$D$4:$F$15,MATCH(J2896&amp;"-"&amp;L2896,10_ASIL_Matrix!$C$4:$C$15,0),MATCH(N2896,10_ASIL_Matrix!$D$3:$F$3,0)))))</f>
        <v>A</v>
      </c>
      <c r="Q2896" s="5" t="s">
        <v>448</v>
      </c>
    </row>
    <row r="2897" customFormat="false" ht="35.05" hidden="false" customHeight="false" outlineLevel="0" collapsed="false">
      <c r="A2897" s="6" t="s">
        <v>6529</v>
      </c>
      <c r="B2897" s="6" t="s">
        <v>132</v>
      </c>
      <c r="C2897" s="6" t="s">
        <v>133</v>
      </c>
      <c r="D2897" s="6" t="s">
        <v>143</v>
      </c>
      <c r="E2897" s="6" t="s">
        <v>144</v>
      </c>
      <c r="F2897" s="6" t="s">
        <v>192</v>
      </c>
      <c r="G2897" s="6" t="s">
        <v>488</v>
      </c>
      <c r="H2897" s="6" t="s">
        <v>224</v>
      </c>
      <c r="I2897" s="6" t="s">
        <v>6530</v>
      </c>
      <c r="J2897" s="6" t="s">
        <v>246</v>
      </c>
      <c r="K2897" s="6" t="s">
        <v>2821</v>
      </c>
      <c r="L2897" s="6" t="s">
        <v>190</v>
      </c>
      <c r="M2897" s="6" t="s">
        <v>494</v>
      </c>
      <c r="N2897" s="6" t="s">
        <v>282</v>
      </c>
      <c r="O2897" s="6" t="s">
        <v>2790</v>
      </c>
      <c r="P2897" s="6" t="str">
        <f aca="false">IF(J2897="S0","—",IF(K2897="","",IF(L2897="E0","QM",INDEX(10_ASIL_Matrix!$D$4:$F$15,MATCH(J2897&amp;"-"&amp;L2897,10_ASIL_Matrix!$C$4:$C$15,0),MATCH(N2897,10_ASIL_Matrix!$D$3:$F$3,0)))))</f>
        <v>QM</v>
      </c>
      <c r="Q2897" s="6" t="s">
        <v>448</v>
      </c>
    </row>
    <row r="2898" customFormat="false" ht="35.05" hidden="false" customHeight="false" outlineLevel="0" collapsed="false">
      <c r="A2898" s="5" t="s">
        <v>6531</v>
      </c>
      <c r="B2898" s="5" t="s">
        <v>132</v>
      </c>
      <c r="C2898" s="5" t="s">
        <v>133</v>
      </c>
      <c r="D2898" s="5" t="s">
        <v>143</v>
      </c>
      <c r="E2898" s="5" t="s">
        <v>144</v>
      </c>
      <c r="F2898" s="5" t="s">
        <v>192</v>
      </c>
      <c r="G2898" s="5" t="s">
        <v>488</v>
      </c>
      <c r="H2898" s="5" t="s">
        <v>226</v>
      </c>
      <c r="I2898" s="5" t="s">
        <v>6532</v>
      </c>
      <c r="J2898" s="5" t="s">
        <v>246</v>
      </c>
      <c r="K2898" s="5" t="s">
        <v>2821</v>
      </c>
      <c r="L2898" s="5" t="s">
        <v>190</v>
      </c>
      <c r="M2898" s="5" t="s">
        <v>497</v>
      </c>
      <c r="N2898" s="5" t="s">
        <v>282</v>
      </c>
      <c r="O2898" s="5" t="s">
        <v>2790</v>
      </c>
      <c r="P2898" s="5" t="str">
        <f aca="false">IF(J2898="S0","—",IF(K2898="","",IF(L2898="E0","QM",INDEX(10_ASIL_Matrix!$D$4:$F$15,MATCH(J2898&amp;"-"&amp;L2898,10_ASIL_Matrix!$C$4:$C$15,0),MATCH(N2898,10_ASIL_Matrix!$D$3:$F$3,0)))))</f>
        <v>QM</v>
      </c>
      <c r="Q2898" s="5" t="s">
        <v>448</v>
      </c>
    </row>
    <row r="2899" customFormat="false" ht="46.25" hidden="false" customHeight="false" outlineLevel="0" collapsed="false">
      <c r="A2899" s="6" t="s">
        <v>6533</v>
      </c>
      <c r="B2899" s="6" t="s">
        <v>132</v>
      </c>
      <c r="C2899" s="6" t="s">
        <v>133</v>
      </c>
      <c r="D2899" s="6" t="s">
        <v>143</v>
      </c>
      <c r="E2899" s="6" t="s">
        <v>144</v>
      </c>
      <c r="F2899" s="6" t="s">
        <v>192</v>
      </c>
      <c r="G2899" s="6" t="s">
        <v>488</v>
      </c>
      <c r="H2899" s="6" t="s">
        <v>228</v>
      </c>
      <c r="I2899" s="6" t="s">
        <v>6534</v>
      </c>
      <c r="J2899" s="6" t="s">
        <v>246</v>
      </c>
      <c r="K2899" s="6" t="s">
        <v>2821</v>
      </c>
      <c r="L2899" s="6" t="s">
        <v>205</v>
      </c>
      <c r="M2899" s="6" t="s">
        <v>500</v>
      </c>
      <c r="N2899" s="6" t="s">
        <v>282</v>
      </c>
      <c r="O2899" s="6" t="s">
        <v>2790</v>
      </c>
      <c r="P2899" s="6" t="str">
        <f aca="false">IF(J2899="S0","—",IF(K2899="","",IF(L2899="E0","QM",INDEX(10_ASIL_Matrix!$D$4:$F$15,MATCH(J2899&amp;"-"&amp;L2899,10_ASIL_Matrix!$C$4:$C$15,0),MATCH(N2899,10_ASIL_Matrix!$D$3:$F$3,0)))))</f>
        <v>QM</v>
      </c>
      <c r="Q2899" s="6" t="s">
        <v>448</v>
      </c>
    </row>
    <row r="2900" customFormat="false" ht="35.05" hidden="false" customHeight="false" outlineLevel="0" collapsed="false">
      <c r="A2900" s="5" t="s">
        <v>6535</v>
      </c>
      <c r="B2900" s="5" t="s">
        <v>132</v>
      </c>
      <c r="C2900" s="5" t="s">
        <v>133</v>
      </c>
      <c r="D2900" s="5" t="s">
        <v>143</v>
      </c>
      <c r="E2900" s="5" t="s">
        <v>144</v>
      </c>
      <c r="F2900" s="5" t="s">
        <v>192</v>
      </c>
      <c r="G2900" s="5" t="s">
        <v>488</v>
      </c>
      <c r="H2900" s="5" t="s">
        <v>230</v>
      </c>
      <c r="I2900" s="5" t="s">
        <v>6536</v>
      </c>
      <c r="J2900" s="5" t="s">
        <v>250</v>
      </c>
      <c r="K2900" s="5" t="s">
        <v>2830</v>
      </c>
      <c r="L2900" s="5" t="s">
        <v>205</v>
      </c>
      <c r="M2900" s="5" t="s">
        <v>503</v>
      </c>
      <c r="N2900" s="5" t="s">
        <v>286</v>
      </c>
      <c r="O2900" s="5" t="s">
        <v>2800</v>
      </c>
      <c r="P2900" s="19" t="str">
        <f aca="false">IF(J2900="S0","—",IF(K2900="","",IF(L2900="E0","QM",INDEX(10_ASIL_Matrix!$D$4:$F$15,MATCH(J2900&amp;"-"&amp;L2900,10_ASIL_Matrix!$C$4:$C$15,0),MATCH(N2900,10_ASIL_Matrix!$D$3:$F$3,0)))))</f>
        <v>A</v>
      </c>
      <c r="Q2900" s="5" t="s">
        <v>448</v>
      </c>
    </row>
    <row r="2901" customFormat="false" ht="46.25" hidden="false" customHeight="false" outlineLevel="0" collapsed="false">
      <c r="A2901" s="6" t="s">
        <v>6537</v>
      </c>
      <c r="B2901" s="6" t="s">
        <v>132</v>
      </c>
      <c r="C2901" s="6" t="s">
        <v>133</v>
      </c>
      <c r="D2901" s="6" t="s">
        <v>143</v>
      </c>
      <c r="E2901" s="6" t="s">
        <v>144</v>
      </c>
      <c r="F2901" s="6" t="s">
        <v>192</v>
      </c>
      <c r="G2901" s="6" t="s">
        <v>488</v>
      </c>
      <c r="H2901" s="6" t="s">
        <v>232</v>
      </c>
      <c r="I2901" s="6" t="s">
        <v>6538</v>
      </c>
      <c r="J2901" s="6" t="s">
        <v>246</v>
      </c>
      <c r="K2901" s="6" t="s">
        <v>2821</v>
      </c>
      <c r="L2901" s="6" t="s">
        <v>233</v>
      </c>
      <c r="M2901" s="6" t="s">
        <v>506</v>
      </c>
      <c r="N2901" s="6" t="s">
        <v>282</v>
      </c>
      <c r="O2901" s="6" t="s">
        <v>2790</v>
      </c>
      <c r="P2901" s="6" t="str">
        <f aca="false">IF(J2901="S0","—",IF(K2901="","",IF(L2901="E0","QM",INDEX(10_ASIL_Matrix!$D$4:$F$15,MATCH(J2901&amp;"-"&amp;L2901,10_ASIL_Matrix!$C$4:$C$15,0),MATCH(N2901,10_ASIL_Matrix!$D$3:$F$3,0)))))</f>
        <v>QM</v>
      </c>
      <c r="Q2901" s="6" t="s">
        <v>448</v>
      </c>
    </row>
    <row r="2902" customFormat="false" ht="35.05" hidden="false" customHeight="false" outlineLevel="0" collapsed="false">
      <c r="A2902" s="5" t="s">
        <v>6539</v>
      </c>
      <c r="B2902" s="5" t="s">
        <v>132</v>
      </c>
      <c r="C2902" s="5" t="s">
        <v>133</v>
      </c>
      <c r="D2902" s="5" t="s">
        <v>143</v>
      </c>
      <c r="E2902" s="5" t="s">
        <v>144</v>
      </c>
      <c r="F2902" s="5" t="s">
        <v>194</v>
      </c>
      <c r="G2902" s="5" t="s">
        <v>508</v>
      </c>
      <c r="H2902" s="5" t="s">
        <v>222</v>
      </c>
      <c r="I2902" s="5" t="s">
        <v>6540</v>
      </c>
      <c r="J2902" s="5" t="s">
        <v>242</v>
      </c>
      <c r="K2902" s="5" t="s">
        <v>2835</v>
      </c>
      <c r="L2902" s="5" t="s">
        <v>190</v>
      </c>
      <c r="M2902" s="5" t="s">
        <v>511</v>
      </c>
      <c r="N2902" s="5" t="s">
        <v>282</v>
      </c>
      <c r="O2902" s="5" t="s">
        <v>2790</v>
      </c>
      <c r="P2902" s="5" t="str">
        <f aca="false">IF(J2902="S0","—",IF(K2902="","",IF(L2902="E0","QM",INDEX(10_ASIL_Matrix!$D$4:$F$15,MATCH(J2902&amp;"-"&amp;L2902,10_ASIL_Matrix!$C$4:$C$15,0),MATCH(N2902,10_ASIL_Matrix!$D$3:$F$3,0)))))</f>
        <v>QM</v>
      </c>
      <c r="Q2902" s="5" t="s">
        <v>448</v>
      </c>
    </row>
    <row r="2903" customFormat="false" ht="35.05" hidden="false" customHeight="false" outlineLevel="0" collapsed="false">
      <c r="A2903" s="6" t="s">
        <v>6541</v>
      </c>
      <c r="B2903" s="6" t="s">
        <v>132</v>
      </c>
      <c r="C2903" s="6" t="s">
        <v>133</v>
      </c>
      <c r="D2903" s="6" t="s">
        <v>143</v>
      </c>
      <c r="E2903" s="6" t="s">
        <v>144</v>
      </c>
      <c r="F2903" s="6" t="s">
        <v>194</v>
      </c>
      <c r="G2903" s="6" t="s">
        <v>508</v>
      </c>
      <c r="H2903" s="6" t="s">
        <v>224</v>
      </c>
      <c r="I2903" s="6" t="s">
        <v>6542</v>
      </c>
      <c r="J2903" s="6" t="s">
        <v>242</v>
      </c>
      <c r="K2903" s="6" t="s">
        <v>2835</v>
      </c>
      <c r="L2903" s="6" t="s">
        <v>190</v>
      </c>
      <c r="M2903" s="6" t="s">
        <v>514</v>
      </c>
      <c r="N2903" s="6" t="s">
        <v>282</v>
      </c>
      <c r="O2903" s="6" t="s">
        <v>2790</v>
      </c>
      <c r="P2903" s="6" t="str">
        <f aca="false">IF(J2903="S0","—",IF(K2903="","",IF(L2903="E0","QM",INDEX(10_ASIL_Matrix!$D$4:$F$15,MATCH(J2903&amp;"-"&amp;L2903,10_ASIL_Matrix!$C$4:$C$15,0),MATCH(N2903,10_ASIL_Matrix!$D$3:$F$3,0)))))</f>
        <v>QM</v>
      </c>
      <c r="Q2903" s="6" t="s">
        <v>448</v>
      </c>
    </row>
    <row r="2904" customFormat="false" ht="35.05" hidden="false" customHeight="false" outlineLevel="0" collapsed="false">
      <c r="A2904" s="5" t="s">
        <v>6543</v>
      </c>
      <c r="B2904" s="5" t="s">
        <v>132</v>
      </c>
      <c r="C2904" s="5" t="s">
        <v>133</v>
      </c>
      <c r="D2904" s="5" t="s">
        <v>143</v>
      </c>
      <c r="E2904" s="5" t="s">
        <v>144</v>
      </c>
      <c r="F2904" s="5" t="s">
        <v>194</v>
      </c>
      <c r="G2904" s="5" t="s">
        <v>508</v>
      </c>
      <c r="H2904" s="5" t="s">
        <v>226</v>
      </c>
      <c r="I2904" s="5" t="s">
        <v>6544</v>
      </c>
      <c r="J2904" s="5" t="s">
        <v>242</v>
      </c>
      <c r="K2904" s="5" t="s">
        <v>2835</v>
      </c>
      <c r="L2904" s="5" t="s">
        <v>190</v>
      </c>
      <c r="M2904" s="5" t="s">
        <v>517</v>
      </c>
      <c r="N2904" s="5" t="s">
        <v>282</v>
      </c>
      <c r="O2904" s="5" t="s">
        <v>2790</v>
      </c>
      <c r="P2904" s="5" t="str">
        <f aca="false">IF(J2904="S0","—",IF(K2904="","",IF(L2904="E0","QM",INDEX(10_ASIL_Matrix!$D$4:$F$15,MATCH(J2904&amp;"-"&amp;L2904,10_ASIL_Matrix!$C$4:$C$15,0),MATCH(N2904,10_ASIL_Matrix!$D$3:$F$3,0)))))</f>
        <v>QM</v>
      </c>
      <c r="Q2904" s="5" t="s">
        <v>448</v>
      </c>
    </row>
    <row r="2905" customFormat="false" ht="46.25" hidden="false" customHeight="false" outlineLevel="0" collapsed="false">
      <c r="A2905" s="6" t="s">
        <v>6545</v>
      </c>
      <c r="B2905" s="6" t="s">
        <v>132</v>
      </c>
      <c r="C2905" s="6" t="s">
        <v>133</v>
      </c>
      <c r="D2905" s="6" t="s">
        <v>143</v>
      </c>
      <c r="E2905" s="6" t="s">
        <v>144</v>
      </c>
      <c r="F2905" s="6" t="s">
        <v>194</v>
      </c>
      <c r="G2905" s="6" t="s">
        <v>508</v>
      </c>
      <c r="H2905" s="6" t="s">
        <v>228</v>
      </c>
      <c r="I2905" s="6" t="s">
        <v>6546</v>
      </c>
      <c r="J2905" s="6" t="s">
        <v>242</v>
      </c>
      <c r="K2905" s="6" t="s">
        <v>2835</v>
      </c>
      <c r="L2905" s="6" t="s">
        <v>205</v>
      </c>
      <c r="M2905" s="6" t="s">
        <v>520</v>
      </c>
      <c r="N2905" s="6" t="s">
        <v>282</v>
      </c>
      <c r="O2905" s="6" t="s">
        <v>2790</v>
      </c>
      <c r="P2905" s="6" t="str">
        <f aca="false">IF(J2905="S0","—",IF(K2905="","",IF(L2905="E0","QM",INDEX(10_ASIL_Matrix!$D$4:$F$15,MATCH(J2905&amp;"-"&amp;L2905,10_ASIL_Matrix!$C$4:$C$15,0),MATCH(N2905,10_ASIL_Matrix!$D$3:$F$3,0)))))</f>
        <v>QM</v>
      </c>
      <c r="Q2905" s="6" t="s">
        <v>448</v>
      </c>
    </row>
    <row r="2906" customFormat="false" ht="46.25" hidden="false" customHeight="false" outlineLevel="0" collapsed="false">
      <c r="A2906" s="5" t="s">
        <v>6547</v>
      </c>
      <c r="B2906" s="5" t="s">
        <v>132</v>
      </c>
      <c r="C2906" s="5" t="s">
        <v>133</v>
      </c>
      <c r="D2906" s="5" t="s">
        <v>143</v>
      </c>
      <c r="E2906" s="5" t="s">
        <v>144</v>
      </c>
      <c r="F2906" s="5" t="s">
        <v>194</v>
      </c>
      <c r="G2906" s="5" t="s">
        <v>508</v>
      </c>
      <c r="H2906" s="5" t="s">
        <v>230</v>
      </c>
      <c r="I2906" s="5" t="s">
        <v>6548</v>
      </c>
      <c r="J2906" s="5" t="s">
        <v>246</v>
      </c>
      <c r="K2906" s="5" t="s">
        <v>2844</v>
      </c>
      <c r="L2906" s="5" t="s">
        <v>205</v>
      </c>
      <c r="M2906" s="5" t="s">
        <v>523</v>
      </c>
      <c r="N2906" s="5" t="s">
        <v>286</v>
      </c>
      <c r="O2906" s="5" t="s">
        <v>2800</v>
      </c>
      <c r="P2906" s="5" t="str">
        <f aca="false">IF(J2906="S0","—",IF(K2906="","",IF(L2906="E0","QM",INDEX(10_ASIL_Matrix!$D$4:$F$15,MATCH(J2906&amp;"-"&amp;L2906,10_ASIL_Matrix!$C$4:$C$15,0),MATCH(N2906,10_ASIL_Matrix!$D$3:$F$3,0)))))</f>
        <v>QM</v>
      </c>
      <c r="Q2906" s="5" t="s">
        <v>448</v>
      </c>
    </row>
    <row r="2907" customFormat="false" ht="46.25" hidden="false" customHeight="false" outlineLevel="0" collapsed="false">
      <c r="A2907" s="6" t="s">
        <v>6549</v>
      </c>
      <c r="B2907" s="6" t="s">
        <v>132</v>
      </c>
      <c r="C2907" s="6" t="s">
        <v>133</v>
      </c>
      <c r="D2907" s="6" t="s">
        <v>143</v>
      </c>
      <c r="E2907" s="6" t="s">
        <v>144</v>
      </c>
      <c r="F2907" s="6" t="s">
        <v>194</v>
      </c>
      <c r="G2907" s="6" t="s">
        <v>508</v>
      </c>
      <c r="H2907" s="6" t="s">
        <v>232</v>
      </c>
      <c r="I2907" s="6" t="s">
        <v>6550</v>
      </c>
      <c r="J2907" s="6" t="s">
        <v>242</v>
      </c>
      <c r="K2907" s="6" t="s">
        <v>2835</v>
      </c>
      <c r="L2907" s="6" t="s">
        <v>233</v>
      </c>
      <c r="M2907" s="6" t="s">
        <v>526</v>
      </c>
      <c r="N2907" s="6" t="s">
        <v>282</v>
      </c>
      <c r="O2907" s="6" t="s">
        <v>2790</v>
      </c>
      <c r="P2907" s="6" t="str">
        <f aca="false">IF(J2907="S0","—",IF(K2907="","",IF(L2907="E0","QM",INDEX(10_ASIL_Matrix!$D$4:$F$15,MATCH(J2907&amp;"-"&amp;L2907,10_ASIL_Matrix!$C$4:$C$15,0),MATCH(N2907,10_ASIL_Matrix!$D$3:$F$3,0)))))</f>
        <v>QM</v>
      </c>
      <c r="Q2907" s="6" t="s">
        <v>448</v>
      </c>
    </row>
    <row r="2908" customFormat="false" ht="35.05" hidden="false" customHeight="false" outlineLevel="0" collapsed="false">
      <c r="A2908" s="5" t="s">
        <v>6551</v>
      </c>
      <c r="B2908" s="5" t="s">
        <v>132</v>
      </c>
      <c r="C2908" s="5" t="s">
        <v>133</v>
      </c>
      <c r="D2908" s="5" t="s">
        <v>143</v>
      </c>
      <c r="E2908" s="5" t="s">
        <v>144</v>
      </c>
      <c r="F2908" s="5" t="s">
        <v>196</v>
      </c>
      <c r="G2908" s="5" t="s">
        <v>528</v>
      </c>
      <c r="H2908" s="5" t="s">
        <v>222</v>
      </c>
      <c r="I2908" s="5" t="s">
        <v>6552</v>
      </c>
      <c r="J2908" s="5" t="s">
        <v>246</v>
      </c>
      <c r="K2908" s="5" t="s">
        <v>2849</v>
      </c>
      <c r="L2908" s="5" t="s">
        <v>187</v>
      </c>
      <c r="M2908" s="5" t="s">
        <v>531</v>
      </c>
      <c r="N2908" s="5" t="s">
        <v>286</v>
      </c>
      <c r="O2908" s="5" t="s">
        <v>2850</v>
      </c>
      <c r="P2908" s="18" t="str">
        <f aca="false">IF(J2908="S0","—",IF(K2908="","",IF(L2908="E0","QM",INDEX(10_ASIL_Matrix!$D$4:$F$15,MATCH(J2908&amp;"-"&amp;L2908,10_ASIL_Matrix!$C$4:$C$15,0),MATCH(N2908,10_ASIL_Matrix!$D$3:$F$3,0)))))</f>
        <v>B</v>
      </c>
      <c r="Q2908" s="5" t="s">
        <v>448</v>
      </c>
    </row>
    <row r="2909" customFormat="false" ht="35.05" hidden="false" customHeight="false" outlineLevel="0" collapsed="false">
      <c r="A2909" s="6" t="s">
        <v>6553</v>
      </c>
      <c r="B2909" s="6" t="s">
        <v>132</v>
      </c>
      <c r="C2909" s="6" t="s">
        <v>133</v>
      </c>
      <c r="D2909" s="6" t="s">
        <v>143</v>
      </c>
      <c r="E2909" s="6" t="s">
        <v>144</v>
      </c>
      <c r="F2909" s="6" t="s">
        <v>196</v>
      </c>
      <c r="G2909" s="6" t="s">
        <v>528</v>
      </c>
      <c r="H2909" s="6" t="s">
        <v>224</v>
      </c>
      <c r="I2909" s="6" t="s">
        <v>6554</v>
      </c>
      <c r="J2909" s="6" t="s">
        <v>246</v>
      </c>
      <c r="K2909" s="6" t="s">
        <v>2849</v>
      </c>
      <c r="L2909" s="6" t="s">
        <v>190</v>
      </c>
      <c r="M2909" s="6" t="s">
        <v>534</v>
      </c>
      <c r="N2909" s="6" t="s">
        <v>286</v>
      </c>
      <c r="O2909" s="6" t="s">
        <v>2850</v>
      </c>
      <c r="P2909" s="19" t="str">
        <f aca="false">IF(J2909="S0","—",IF(K2909="","",IF(L2909="E0","QM",INDEX(10_ASIL_Matrix!$D$4:$F$15,MATCH(J2909&amp;"-"&amp;L2909,10_ASIL_Matrix!$C$4:$C$15,0),MATCH(N2909,10_ASIL_Matrix!$D$3:$F$3,0)))))</f>
        <v>A</v>
      </c>
      <c r="Q2909" s="6" t="s">
        <v>448</v>
      </c>
    </row>
    <row r="2910" customFormat="false" ht="35.05" hidden="false" customHeight="false" outlineLevel="0" collapsed="false">
      <c r="A2910" s="5" t="s">
        <v>6555</v>
      </c>
      <c r="B2910" s="5" t="s">
        <v>132</v>
      </c>
      <c r="C2910" s="5" t="s">
        <v>133</v>
      </c>
      <c r="D2910" s="5" t="s">
        <v>143</v>
      </c>
      <c r="E2910" s="5" t="s">
        <v>144</v>
      </c>
      <c r="F2910" s="5" t="s">
        <v>196</v>
      </c>
      <c r="G2910" s="5" t="s">
        <v>528</v>
      </c>
      <c r="H2910" s="5" t="s">
        <v>226</v>
      </c>
      <c r="I2910" s="5" t="s">
        <v>6556</v>
      </c>
      <c r="J2910" s="5" t="s">
        <v>246</v>
      </c>
      <c r="K2910" s="5" t="s">
        <v>2849</v>
      </c>
      <c r="L2910" s="5" t="s">
        <v>190</v>
      </c>
      <c r="M2910" s="5" t="s">
        <v>537</v>
      </c>
      <c r="N2910" s="5" t="s">
        <v>286</v>
      </c>
      <c r="O2910" s="5" t="s">
        <v>2850</v>
      </c>
      <c r="P2910" s="19" t="str">
        <f aca="false">IF(J2910="S0","—",IF(K2910="","",IF(L2910="E0","QM",INDEX(10_ASIL_Matrix!$D$4:$F$15,MATCH(J2910&amp;"-"&amp;L2910,10_ASIL_Matrix!$C$4:$C$15,0),MATCH(N2910,10_ASIL_Matrix!$D$3:$F$3,0)))))</f>
        <v>A</v>
      </c>
      <c r="Q2910" s="5" t="s">
        <v>448</v>
      </c>
    </row>
    <row r="2911" customFormat="false" ht="46.25" hidden="false" customHeight="false" outlineLevel="0" collapsed="false">
      <c r="A2911" s="6" t="s">
        <v>6557</v>
      </c>
      <c r="B2911" s="6" t="s">
        <v>132</v>
      </c>
      <c r="C2911" s="6" t="s">
        <v>133</v>
      </c>
      <c r="D2911" s="6" t="s">
        <v>143</v>
      </c>
      <c r="E2911" s="6" t="s">
        <v>144</v>
      </c>
      <c r="F2911" s="6" t="s">
        <v>196</v>
      </c>
      <c r="G2911" s="6" t="s">
        <v>528</v>
      </c>
      <c r="H2911" s="6" t="s">
        <v>228</v>
      </c>
      <c r="I2911" s="6" t="s">
        <v>6558</v>
      </c>
      <c r="J2911" s="6" t="s">
        <v>246</v>
      </c>
      <c r="K2911" s="6" t="s">
        <v>2849</v>
      </c>
      <c r="L2911" s="6" t="s">
        <v>205</v>
      </c>
      <c r="M2911" s="6" t="s">
        <v>540</v>
      </c>
      <c r="N2911" s="6" t="s">
        <v>286</v>
      </c>
      <c r="O2911" s="6" t="s">
        <v>2850</v>
      </c>
      <c r="P2911" s="6" t="str">
        <f aca="false">IF(J2911="S0","—",IF(K2911="","",IF(L2911="E0","QM",INDEX(10_ASIL_Matrix!$D$4:$F$15,MATCH(J2911&amp;"-"&amp;L2911,10_ASIL_Matrix!$C$4:$C$15,0),MATCH(N2911,10_ASIL_Matrix!$D$3:$F$3,0)))))</f>
        <v>QM</v>
      </c>
      <c r="Q2911" s="6" t="s">
        <v>448</v>
      </c>
    </row>
    <row r="2912" customFormat="false" ht="46.25" hidden="false" customHeight="false" outlineLevel="0" collapsed="false">
      <c r="A2912" s="5" t="s">
        <v>6559</v>
      </c>
      <c r="B2912" s="5" t="s">
        <v>132</v>
      </c>
      <c r="C2912" s="5" t="s">
        <v>133</v>
      </c>
      <c r="D2912" s="5" t="s">
        <v>143</v>
      </c>
      <c r="E2912" s="5" t="s">
        <v>144</v>
      </c>
      <c r="F2912" s="5" t="s">
        <v>196</v>
      </c>
      <c r="G2912" s="5" t="s">
        <v>528</v>
      </c>
      <c r="H2912" s="5" t="s">
        <v>230</v>
      </c>
      <c r="I2912" s="5" t="s">
        <v>6560</v>
      </c>
      <c r="J2912" s="5" t="s">
        <v>250</v>
      </c>
      <c r="K2912" s="5" t="s">
        <v>2859</v>
      </c>
      <c r="L2912" s="5" t="s">
        <v>205</v>
      </c>
      <c r="M2912" s="5" t="s">
        <v>543</v>
      </c>
      <c r="N2912" s="5" t="s">
        <v>290</v>
      </c>
      <c r="O2912" s="5" t="s">
        <v>2860</v>
      </c>
      <c r="P2912" s="18" t="str">
        <f aca="false">IF(J2912="S0","—",IF(K2912="","",IF(L2912="E0","QM",INDEX(10_ASIL_Matrix!$D$4:$F$15,MATCH(J2912&amp;"-"&amp;L2912,10_ASIL_Matrix!$C$4:$C$15,0),MATCH(N2912,10_ASIL_Matrix!$D$3:$F$3,0)))))</f>
        <v>B</v>
      </c>
      <c r="Q2912" s="5" t="s">
        <v>448</v>
      </c>
    </row>
    <row r="2913" customFormat="false" ht="46.25" hidden="false" customHeight="false" outlineLevel="0" collapsed="false">
      <c r="A2913" s="6" t="s">
        <v>6561</v>
      </c>
      <c r="B2913" s="6" t="s">
        <v>132</v>
      </c>
      <c r="C2913" s="6" t="s">
        <v>133</v>
      </c>
      <c r="D2913" s="6" t="s">
        <v>143</v>
      </c>
      <c r="E2913" s="6" t="s">
        <v>144</v>
      </c>
      <c r="F2913" s="6" t="s">
        <v>196</v>
      </c>
      <c r="G2913" s="6" t="s">
        <v>528</v>
      </c>
      <c r="H2913" s="6" t="s">
        <v>232</v>
      </c>
      <c r="I2913" s="6" t="s">
        <v>6562</v>
      </c>
      <c r="J2913" s="6" t="s">
        <v>246</v>
      </c>
      <c r="K2913" s="6" t="s">
        <v>2849</v>
      </c>
      <c r="L2913" s="6" t="s">
        <v>233</v>
      </c>
      <c r="M2913" s="6" t="s">
        <v>546</v>
      </c>
      <c r="N2913" s="6" t="s">
        <v>286</v>
      </c>
      <c r="O2913" s="6" t="s">
        <v>2850</v>
      </c>
      <c r="P2913" s="6" t="str">
        <f aca="false">IF(J2913="S0","—",IF(K2913="","",IF(L2913="E0","QM",INDEX(10_ASIL_Matrix!$D$4:$F$15,MATCH(J2913&amp;"-"&amp;L2913,10_ASIL_Matrix!$C$4:$C$15,0),MATCH(N2913,10_ASIL_Matrix!$D$3:$F$3,0)))))</f>
        <v>QM</v>
      </c>
      <c r="Q2913" s="6" t="s">
        <v>448</v>
      </c>
    </row>
    <row r="2914" customFormat="false" ht="35.05" hidden="false" customHeight="false" outlineLevel="0" collapsed="false">
      <c r="A2914" s="5" t="s">
        <v>6563</v>
      </c>
      <c r="B2914" s="5" t="s">
        <v>132</v>
      </c>
      <c r="C2914" s="5" t="s">
        <v>133</v>
      </c>
      <c r="D2914" s="5" t="s">
        <v>143</v>
      </c>
      <c r="E2914" s="5" t="s">
        <v>144</v>
      </c>
      <c r="F2914" s="5" t="s">
        <v>198</v>
      </c>
      <c r="G2914" s="5" t="s">
        <v>548</v>
      </c>
      <c r="H2914" s="5" t="s">
        <v>222</v>
      </c>
      <c r="I2914" s="5" t="s">
        <v>6564</v>
      </c>
      <c r="J2914" s="5" t="s">
        <v>242</v>
      </c>
      <c r="K2914" s="5" t="s">
        <v>2865</v>
      </c>
      <c r="L2914" s="5" t="s">
        <v>190</v>
      </c>
      <c r="M2914" s="5" t="s">
        <v>551</v>
      </c>
      <c r="N2914" s="5" t="s">
        <v>282</v>
      </c>
      <c r="O2914" s="5" t="s">
        <v>2790</v>
      </c>
      <c r="P2914" s="5" t="str">
        <f aca="false">IF(J2914="S0","—",IF(K2914="","",IF(L2914="E0","QM",INDEX(10_ASIL_Matrix!$D$4:$F$15,MATCH(J2914&amp;"-"&amp;L2914,10_ASIL_Matrix!$C$4:$C$15,0),MATCH(N2914,10_ASIL_Matrix!$D$3:$F$3,0)))))</f>
        <v>QM</v>
      </c>
      <c r="Q2914" s="5" t="s">
        <v>448</v>
      </c>
    </row>
    <row r="2915" customFormat="false" ht="35.05" hidden="false" customHeight="false" outlineLevel="0" collapsed="false">
      <c r="A2915" s="6" t="s">
        <v>6565</v>
      </c>
      <c r="B2915" s="6" t="s">
        <v>132</v>
      </c>
      <c r="C2915" s="6" t="s">
        <v>133</v>
      </c>
      <c r="D2915" s="6" t="s">
        <v>143</v>
      </c>
      <c r="E2915" s="6" t="s">
        <v>144</v>
      </c>
      <c r="F2915" s="6" t="s">
        <v>198</v>
      </c>
      <c r="G2915" s="6" t="s">
        <v>548</v>
      </c>
      <c r="H2915" s="6" t="s">
        <v>224</v>
      </c>
      <c r="I2915" s="6" t="s">
        <v>6566</v>
      </c>
      <c r="J2915" s="6" t="s">
        <v>242</v>
      </c>
      <c r="K2915" s="6" t="s">
        <v>2865</v>
      </c>
      <c r="L2915" s="6" t="s">
        <v>190</v>
      </c>
      <c r="M2915" s="6" t="s">
        <v>555</v>
      </c>
      <c r="N2915" s="6" t="s">
        <v>282</v>
      </c>
      <c r="O2915" s="6" t="s">
        <v>2790</v>
      </c>
      <c r="P2915" s="6" t="str">
        <f aca="false">IF(J2915="S0","—",IF(K2915="","",IF(L2915="E0","QM",INDEX(10_ASIL_Matrix!$D$4:$F$15,MATCH(J2915&amp;"-"&amp;L2915,10_ASIL_Matrix!$C$4:$C$15,0),MATCH(N2915,10_ASIL_Matrix!$D$3:$F$3,0)))))</f>
        <v>QM</v>
      </c>
      <c r="Q2915" s="6" t="s">
        <v>448</v>
      </c>
    </row>
    <row r="2916" customFormat="false" ht="35.05" hidden="false" customHeight="false" outlineLevel="0" collapsed="false">
      <c r="A2916" s="5" t="s">
        <v>6567</v>
      </c>
      <c r="B2916" s="5" t="s">
        <v>132</v>
      </c>
      <c r="C2916" s="5" t="s">
        <v>133</v>
      </c>
      <c r="D2916" s="5" t="s">
        <v>143</v>
      </c>
      <c r="E2916" s="5" t="s">
        <v>144</v>
      </c>
      <c r="F2916" s="5" t="s">
        <v>198</v>
      </c>
      <c r="G2916" s="5" t="s">
        <v>548</v>
      </c>
      <c r="H2916" s="5" t="s">
        <v>226</v>
      </c>
      <c r="I2916" s="5" t="s">
        <v>6568</v>
      </c>
      <c r="J2916" s="5" t="s">
        <v>242</v>
      </c>
      <c r="K2916" s="5" t="s">
        <v>2865</v>
      </c>
      <c r="L2916" s="5" t="s">
        <v>190</v>
      </c>
      <c r="M2916" s="5" t="s">
        <v>558</v>
      </c>
      <c r="N2916" s="5" t="s">
        <v>282</v>
      </c>
      <c r="O2916" s="5" t="s">
        <v>2790</v>
      </c>
      <c r="P2916" s="5" t="str">
        <f aca="false">IF(J2916="S0","—",IF(K2916="","",IF(L2916="E0","QM",INDEX(10_ASIL_Matrix!$D$4:$F$15,MATCH(J2916&amp;"-"&amp;L2916,10_ASIL_Matrix!$C$4:$C$15,0),MATCH(N2916,10_ASIL_Matrix!$D$3:$F$3,0)))))</f>
        <v>QM</v>
      </c>
      <c r="Q2916" s="5" t="s">
        <v>448</v>
      </c>
    </row>
    <row r="2917" customFormat="false" ht="46.25" hidden="false" customHeight="false" outlineLevel="0" collapsed="false">
      <c r="A2917" s="6" t="s">
        <v>6569</v>
      </c>
      <c r="B2917" s="6" t="s">
        <v>132</v>
      </c>
      <c r="C2917" s="6" t="s">
        <v>133</v>
      </c>
      <c r="D2917" s="6" t="s">
        <v>143</v>
      </c>
      <c r="E2917" s="6" t="s">
        <v>144</v>
      </c>
      <c r="F2917" s="6" t="s">
        <v>198</v>
      </c>
      <c r="G2917" s="6" t="s">
        <v>548</v>
      </c>
      <c r="H2917" s="6" t="s">
        <v>228</v>
      </c>
      <c r="I2917" s="6" t="s">
        <v>6570</v>
      </c>
      <c r="J2917" s="6" t="s">
        <v>242</v>
      </c>
      <c r="K2917" s="6" t="s">
        <v>2865</v>
      </c>
      <c r="L2917" s="6" t="s">
        <v>205</v>
      </c>
      <c r="M2917" s="6" t="s">
        <v>561</v>
      </c>
      <c r="N2917" s="6" t="s">
        <v>282</v>
      </c>
      <c r="O2917" s="6" t="s">
        <v>2790</v>
      </c>
      <c r="P2917" s="6" t="str">
        <f aca="false">IF(J2917="S0","—",IF(K2917="","",IF(L2917="E0","QM",INDEX(10_ASIL_Matrix!$D$4:$F$15,MATCH(J2917&amp;"-"&amp;L2917,10_ASIL_Matrix!$C$4:$C$15,0),MATCH(N2917,10_ASIL_Matrix!$D$3:$F$3,0)))))</f>
        <v>QM</v>
      </c>
      <c r="Q2917" s="6" t="s">
        <v>448</v>
      </c>
    </row>
    <row r="2918" customFormat="false" ht="46.25" hidden="false" customHeight="false" outlineLevel="0" collapsed="false">
      <c r="A2918" s="5" t="s">
        <v>6571</v>
      </c>
      <c r="B2918" s="5" t="s">
        <v>132</v>
      </c>
      <c r="C2918" s="5" t="s">
        <v>133</v>
      </c>
      <c r="D2918" s="5" t="s">
        <v>143</v>
      </c>
      <c r="E2918" s="5" t="s">
        <v>144</v>
      </c>
      <c r="F2918" s="5" t="s">
        <v>198</v>
      </c>
      <c r="G2918" s="5" t="s">
        <v>548</v>
      </c>
      <c r="H2918" s="5" t="s">
        <v>230</v>
      </c>
      <c r="I2918" s="5" t="s">
        <v>6572</v>
      </c>
      <c r="J2918" s="5" t="s">
        <v>246</v>
      </c>
      <c r="K2918" s="5" t="s">
        <v>2874</v>
      </c>
      <c r="L2918" s="5" t="s">
        <v>205</v>
      </c>
      <c r="M2918" s="5" t="s">
        <v>564</v>
      </c>
      <c r="N2918" s="5" t="s">
        <v>286</v>
      </c>
      <c r="O2918" s="5" t="s">
        <v>2800</v>
      </c>
      <c r="P2918" s="5" t="str">
        <f aca="false">IF(J2918="S0","—",IF(K2918="","",IF(L2918="E0","QM",INDEX(10_ASIL_Matrix!$D$4:$F$15,MATCH(J2918&amp;"-"&amp;L2918,10_ASIL_Matrix!$C$4:$C$15,0),MATCH(N2918,10_ASIL_Matrix!$D$3:$F$3,0)))))</f>
        <v>QM</v>
      </c>
      <c r="Q2918" s="5" t="s">
        <v>448</v>
      </c>
    </row>
    <row r="2919" customFormat="false" ht="46.25" hidden="false" customHeight="false" outlineLevel="0" collapsed="false">
      <c r="A2919" s="6" t="s">
        <v>6573</v>
      </c>
      <c r="B2919" s="6" t="s">
        <v>132</v>
      </c>
      <c r="C2919" s="6" t="s">
        <v>133</v>
      </c>
      <c r="D2919" s="6" t="s">
        <v>143</v>
      </c>
      <c r="E2919" s="6" t="s">
        <v>144</v>
      </c>
      <c r="F2919" s="6" t="s">
        <v>198</v>
      </c>
      <c r="G2919" s="6" t="s">
        <v>548</v>
      </c>
      <c r="H2919" s="6" t="s">
        <v>232</v>
      </c>
      <c r="I2919" s="6" t="s">
        <v>6574</v>
      </c>
      <c r="J2919" s="6" t="s">
        <v>242</v>
      </c>
      <c r="K2919" s="6" t="s">
        <v>2865</v>
      </c>
      <c r="L2919" s="6" t="s">
        <v>233</v>
      </c>
      <c r="M2919" s="6" t="s">
        <v>568</v>
      </c>
      <c r="N2919" s="6" t="s">
        <v>282</v>
      </c>
      <c r="O2919" s="6" t="s">
        <v>2790</v>
      </c>
      <c r="P2919" s="6" t="str">
        <f aca="false">IF(J2919="S0","—",IF(K2919="","",IF(L2919="E0","QM",INDEX(10_ASIL_Matrix!$D$4:$F$15,MATCH(J2919&amp;"-"&amp;L2919,10_ASIL_Matrix!$C$4:$C$15,0),MATCH(N2919,10_ASIL_Matrix!$D$3:$F$3,0)))))</f>
        <v>QM</v>
      </c>
      <c r="Q2919" s="6" t="s">
        <v>448</v>
      </c>
    </row>
    <row r="2920" customFormat="false" ht="35.05" hidden="false" customHeight="false" outlineLevel="0" collapsed="false">
      <c r="A2920" s="5" t="s">
        <v>6575</v>
      </c>
      <c r="B2920" s="5" t="s">
        <v>132</v>
      </c>
      <c r="C2920" s="5" t="s">
        <v>133</v>
      </c>
      <c r="D2920" s="5" t="s">
        <v>143</v>
      </c>
      <c r="E2920" s="5" t="s">
        <v>144</v>
      </c>
      <c r="F2920" s="5" t="s">
        <v>200</v>
      </c>
      <c r="G2920" s="5" t="s">
        <v>570</v>
      </c>
      <c r="H2920" s="5" t="s">
        <v>222</v>
      </c>
      <c r="I2920" s="5" t="s">
        <v>6576</v>
      </c>
      <c r="J2920" s="5" t="s">
        <v>242</v>
      </c>
      <c r="K2920" s="5" t="s">
        <v>2879</v>
      </c>
      <c r="L2920" s="5" t="s">
        <v>190</v>
      </c>
      <c r="M2920" s="5" t="s">
        <v>573</v>
      </c>
      <c r="N2920" s="5" t="s">
        <v>282</v>
      </c>
      <c r="O2920" s="5" t="s">
        <v>2790</v>
      </c>
      <c r="P2920" s="5" t="str">
        <f aca="false">IF(J2920="S0","—",IF(K2920="","",IF(L2920="E0","QM",INDEX(10_ASIL_Matrix!$D$4:$F$15,MATCH(J2920&amp;"-"&amp;L2920,10_ASIL_Matrix!$C$4:$C$15,0),MATCH(N2920,10_ASIL_Matrix!$D$3:$F$3,0)))))</f>
        <v>QM</v>
      </c>
      <c r="Q2920" s="5" t="s">
        <v>448</v>
      </c>
    </row>
    <row r="2921" customFormat="false" ht="35.05" hidden="false" customHeight="false" outlineLevel="0" collapsed="false">
      <c r="A2921" s="6" t="s">
        <v>6577</v>
      </c>
      <c r="B2921" s="6" t="s">
        <v>132</v>
      </c>
      <c r="C2921" s="6" t="s">
        <v>133</v>
      </c>
      <c r="D2921" s="6" t="s">
        <v>143</v>
      </c>
      <c r="E2921" s="6" t="s">
        <v>144</v>
      </c>
      <c r="F2921" s="6" t="s">
        <v>200</v>
      </c>
      <c r="G2921" s="6" t="s">
        <v>570</v>
      </c>
      <c r="H2921" s="6" t="s">
        <v>224</v>
      </c>
      <c r="I2921" s="6" t="s">
        <v>6578</v>
      </c>
      <c r="J2921" s="6" t="s">
        <v>242</v>
      </c>
      <c r="K2921" s="6" t="s">
        <v>2879</v>
      </c>
      <c r="L2921" s="6" t="s">
        <v>190</v>
      </c>
      <c r="M2921" s="6" t="s">
        <v>576</v>
      </c>
      <c r="N2921" s="6" t="s">
        <v>282</v>
      </c>
      <c r="O2921" s="6" t="s">
        <v>2790</v>
      </c>
      <c r="P2921" s="6" t="str">
        <f aca="false">IF(J2921="S0","—",IF(K2921="","",IF(L2921="E0","QM",INDEX(10_ASIL_Matrix!$D$4:$F$15,MATCH(J2921&amp;"-"&amp;L2921,10_ASIL_Matrix!$C$4:$C$15,0),MATCH(N2921,10_ASIL_Matrix!$D$3:$F$3,0)))))</f>
        <v>QM</v>
      </c>
      <c r="Q2921" s="6" t="s">
        <v>448</v>
      </c>
    </row>
    <row r="2922" customFormat="false" ht="35.05" hidden="false" customHeight="false" outlineLevel="0" collapsed="false">
      <c r="A2922" s="5" t="s">
        <v>6579</v>
      </c>
      <c r="B2922" s="5" t="s">
        <v>132</v>
      </c>
      <c r="C2922" s="5" t="s">
        <v>133</v>
      </c>
      <c r="D2922" s="5" t="s">
        <v>143</v>
      </c>
      <c r="E2922" s="5" t="s">
        <v>144</v>
      </c>
      <c r="F2922" s="5" t="s">
        <v>200</v>
      </c>
      <c r="G2922" s="5" t="s">
        <v>570</v>
      </c>
      <c r="H2922" s="5" t="s">
        <v>226</v>
      </c>
      <c r="I2922" s="5" t="s">
        <v>6580</v>
      </c>
      <c r="J2922" s="5" t="s">
        <v>242</v>
      </c>
      <c r="K2922" s="5" t="s">
        <v>2879</v>
      </c>
      <c r="L2922" s="5" t="s">
        <v>190</v>
      </c>
      <c r="M2922" s="5" t="s">
        <v>579</v>
      </c>
      <c r="N2922" s="5" t="s">
        <v>282</v>
      </c>
      <c r="O2922" s="5" t="s">
        <v>2790</v>
      </c>
      <c r="P2922" s="5" t="str">
        <f aca="false">IF(J2922="S0","—",IF(K2922="","",IF(L2922="E0","QM",INDEX(10_ASIL_Matrix!$D$4:$F$15,MATCH(J2922&amp;"-"&amp;L2922,10_ASIL_Matrix!$C$4:$C$15,0),MATCH(N2922,10_ASIL_Matrix!$D$3:$F$3,0)))))</f>
        <v>QM</v>
      </c>
      <c r="Q2922" s="5" t="s">
        <v>448</v>
      </c>
    </row>
    <row r="2923" customFormat="false" ht="46.25" hidden="false" customHeight="false" outlineLevel="0" collapsed="false">
      <c r="A2923" s="6" t="s">
        <v>6581</v>
      </c>
      <c r="B2923" s="6" t="s">
        <v>132</v>
      </c>
      <c r="C2923" s="6" t="s">
        <v>133</v>
      </c>
      <c r="D2923" s="6" t="s">
        <v>143</v>
      </c>
      <c r="E2923" s="6" t="s">
        <v>144</v>
      </c>
      <c r="F2923" s="6" t="s">
        <v>200</v>
      </c>
      <c r="G2923" s="6" t="s">
        <v>570</v>
      </c>
      <c r="H2923" s="6" t="s">
        <v>228</v>
      </c>
      <c r="I2923" s="6" t="s">
        <v>6582</v>
      </c>
      <c r="J2923" s="6" t="s">
        <v>242</v>
      </c>
      <c r="K2923" s="6" t="s">
        <v>2879</v>
      </c>
      <c r="L2923" s="6" t="s">
        <v>205</v>
      </c>
      <c r="M2923" s="6" t="s">
        <v>582</v>
      </c>
      <c r="N2923" s="6" t="s">
        <v>282</v>
      </c>
      <c r="O2923" s="6" t="s">
        <v>2790</v>
      </c>
      <c r="P2923" s="6" t="str">
        <f aca="false">IF(J2923="S0","—",IF(K2923="","",IF(L2923="E0","QM",INDEX(10_ASIL_Matrix!$D$4:$F$15,MATCH(J2923&amp;"-"&amp;L2923,10_ASIL_Matrix!$C$4:$C$15,0),MATCH(N2923,10_ASIL_Matrix!$D$3:$F$3,0)))))</f>
        <v>QM</v>
      </c>
      <c r="Q2923" s="6" t="s">
        <v>448</v>
      </c>
    </row>
    <row r="2924" customFormat="false" ht="46.25" hidden="false" customHeight="false" outlineLevel="0" collapsed="false">
      <c r="A2924" s="5" t="s">
        <v>6583</v>
      </c>
      <c r="B2924" s="5" t="s">
        <v>132</v>
      </c>
      <c r="C2924" s="5" t="s">
        <v>133</v>
      </c>
      <c r="D2924" s="5" t="s">
        <v>143</v>
      </c>
      <c r="E2924" s="5" t="s">
        <v>144</v>
      </c>
      <c r="F2924" s="5" t="s">
        <v>200</v>
      </c>
      <c r="G2924" s="5" t="s">
        <v>570</v>
      </c>
      <c r="H2924" s="5" t="s">
        <v>230</v>
      </c>
      <c r="I2924" s="5" t="s">
        <v>6584</v>
      </c>
      <c r="J2924" s="5" t="s">
        <v>246</v>
      </c>
      <c r="K2924" s="5" t="s">
        <v>2888</v>
      </c>
      <c r="L2924" s="5" t="s">
        <v>205</v>
      </c>
      <c r="M2924" s="5" t="s">
        <v>585</v>
      </c>
      <c r="N2924" s="5" t="s">
        <v>286</v>
      </c>
      <c r="O2924" s="5" t="s">
        <v>2800</v>
      </c>
      <c r="P2924" s="5" t="str">
        <f aca="false">IF(J2924="S0","—",IF(K2924="","",IF(L2924="E0","QM",INDEX(10_ASIL_Matrix!$D$4:$F$15,MATCH(J2924&amp;"-"&amp;L2924,10_ASIL_Matrix!$C$4:$C$15,0),MATCH(N2924,10_ASIL_Matrix!$D$3:$F$3,0)))))</f>
        <v>QM</v>
      </c>
      <c r="Q2924" s="5" t="s">
        <v>448</v>
      </c>
    </row>
    <row r="2925" customFormat="false" ht="46.25" hidden="false" customHeight="false" outlineLevel="0" collapsed="false">
      <c r="A2925" s="6" t="s">
        <v>6585</v>
      </c>
      <c r="B2925" s="6" t="s">
        <v>132</v>
      </c>
      <c r="C2925" s="6" t="s">
        <v>133</v>
      </c>
      <c r="D2925" s="6" t="s">
        <v>143</v>
      </c>
      <c r="E2925" s="6" t="s">
        <v>144</v>
      </c>
      <c r="F2925" s="6" t="s">
        <v>200</v>
      </c>
      <c r="G2925" s="6" t="s">
        <v>570</v>
      </c>
      <c r="H2925" s="6" t="s">
        <v>232</v>
      </c>
      <c r="I2925" s="6" t="s">
        <v>6586</v>
      </c>
      <c r="J2925" s="6" t="s">
        <v>242</v>
      </c>
      <c r="K2925" s="6" t="s">
        <v>2879</v>
      </c>
      <c r="L2925" s="6" t="s">
        <v>233</v>
      </c>
      <c r="M2925" s="6" t="s">
        <v>588</v>
      </c>
      <c r="N2925" s="6" t="s">
        <v>282</v>
      </c>
      <c r="O2925" s="6" t="s">
        <v>2790</v>
      </c>
      <c r="P2925" s="6" t="str">
        <f aca="false">IF(J2925="S0","—",IF(K2925="","",IF(L2925="E0","QM",INDEX(10_ASIL_Matrix!$D$4:$F$15,MATCH(J2925&amp;"-"&amp;L2925,10_ASIL_Matrix!$C$4:$C$15,0),MATCH(N2925,10_ASIL_Matrix!$D$3:$F$3,0)))))</f>
        <v>QM</v>
      </c>
      <c r="Q2925" s="6" t="s">
        <v>448</v>
      </c>
    </row>
    <row r="2926" customFormat="false" ht="35.05" hidden="false" customHeight="false" outlineLevel="0" collapsed="false">
      <c r="A2926" s="5" t="s">
        <v>6587</v>
      </c>
      <c r="B2926" s="5" t="s">
        <v>132</v>
      </c>
      <c r="C2926" s="5" t="s">
        <v>133</v>
      </c>
      <c r="D2926" s="5" t="s">
        <v>143</v>
      </c>
      <c r="E2926" s="5" t="s">
        <v>144</v>
      </c>
      <c r="F2926" s="5" t="s">
        <v>202</v>
      </c>
      <c r="G2926" s="5" t="s">
        <v>590</v>
      </c>
      <c r="H2926" s="5" t="s">
        <v>222</v>
      </c>
      <c r="I2926" s="5" t="s">
        <v>6588</v>
      </c>
      <c r="J2926" s="5" t="s">
        <v>246</v>
      </c>
      <c r="K2926" s="5" t="s">
        <v>2893</v>
      </c>
      <c r="L2926" s="5" t="s">
        <v>187</v>
      </c>
      <c r="M2926" s="5" t="s">
        <v>592</v>
      </c>
      <c r="N2926" s="5" t="s">
        <v>286</v>
      </c>
      <c r="O2926" s="5" t="s">
        <v>2850</v>
      </c>
      <c r="P2926" s="18" t="str">
        <f aca="false">IF(J2926="S0","—",IF(K2926="","",IF(L2926="E0","QM",INDEX(10_ASIL_Matrix!$D$4:$F$15,MATCH(J2926&amp;"-"&amp;L2926,10_ASIL_Matrix!$C$4:$C$15,0),MATCH(N2926,10_ASIL_Matrix!$D$3:$F$3,0)))))</f>
        <v>B</v>
      </c>
      <c r="Q2926" s="5" t="s">
        <v>448</v>
      </c>
    </row>
    <row r="2927" customFormat="false" ht="35.05" hidden="false" customHeight="false" outlineLevel="0" collapsed="false">
      <c r="A2927" s="6" t="s">
        <v>6589</v>
      </c>
      <c r="B2927" s="6" t="s">
        <v>132</v>
      </c>
      <c r="C2927" s="6" t="s">
        <v>133</v>
      </c>
      <c r="D2927" s="6" t="s">
        <v>143</v>
      </c>
      <c r="E2927" s="6" t="s">
        <v>144</v>
      </c>
      <c r="F2927" s="6" t="s">
        <v>202</v>
      </c>
      <c r="G2927" s="6" t="s">
        <v>590</v>
      </c>
      <c r="H2927" s="6" t="s">
        <v>224</v>
      </c>
      <c r="I2927" s="6" t="s">
        <v>6590</v>
      </c>
      <c r="J2927" s="6" t="s">
        <v>246</v>
      </c>
      <c r="K2927" s="6" t="s">
        <v>2893</v>
      </c>
      <c r="L2927" s="6" t="s">
        <v>190</v>
      </c>
      <c r="M2927" s="6" t="s">
        <v>595</v>
      </c>
      <c r="N2927" s="6" t="s">
        <v>286</v>
      </c>
      <c r="O2927" s="6" t="s">
        <v>2850</v>
      </c>
      <c r="P2927" s="19" t="str">
        <f aca="false">IF(J2927="S0","—",IF(K2927="","",IF(L2927="E0","QM",INDEX(10_ASIL_Matrix!$D$4:$F$15,MATCH(J2927&amp;"-"&amp;L2927,10_ASIL_Matrix!$C$4:$C$15,0),MATCH(N2927,10_ASIL_Matrix!$D$3:$F$3,0)))))</f>
        <v>A</v>
      </c>
      <c r="Q2927" s="6" t="s">
        <v>448</v>
      </c>
    </row>
    <row r="2928" customFormat="false" ht="35.05" hidden="false" customHeight="false" outlineLevel="0" collapsed="false">
      <c r="A2928" s="5" t="s">
        <v>6591</v>
      </c>
      <c r="B2928" s="5" t="s">
        <v>132</v>
      </c>
      <c r="C2928" s="5" t="s">
        <v>133</v>
      </c>
      <c r="D2928" s="5" t="s">
        <v>143</v>
      </c>
      <c r="E2928" s="5" t="s">
        <v>144</v>
      </c>
      <c r="F2928" s="5" t="s">
        <v>202</v>
      </c>
      <c r="G2928" s="5" t="s">
        <v>590</v>
      </c>
      <c r="H2928" s="5" t="s">
        <v>226</v>
      </c>
      <c r="I2928" s="5" t="s">
        <v>6592</v>
      </c>
      <c r="J2928" s="5" t="s">
        <v>246</v>
      </c>
      <c r="K2928" s="5" t="s">
        <v>2893</v>
      </c>
      <c r="L2928" s="5" t="s">
        <v>190</v>
      </c>
      <c r="M2928" s="5" t="s">
        <v>598</v>
      </c>
      <c r="N2928" s="5" t="s">
        <v>286</v>
      </c>
      <c r="O2928" s="5" t="s">
        <v>2850</v>
      </c>
      <c r="P2928" s="19" t="str">
        <f aca="false">IF(J2928="S0","—",IF(K2928="","",IF(L2928="E0","QM",INDEX(10_ASIL_Matrix!$D$4:$F$15,MATCH(J2928&amp;"-"&amp;L2928,10_ASIL_Matrix!$C$4:$C$15,0),MATCH(N2928,10_ASIL_Matrix!$D$3:$F$3,0)))))</f>
        <v>A</v>
      </c>
      <c r="Q2928" s="5" t="s">
        <v>448</v>
      </c>
    </row>
    <row r="2929" customFormat="false" ht="35.05" hidden="false" customHeight="false" outlineLevel="0" collapsed="false">
      <c r="A2929" s="6" t="s">
        <v>6593</v>
      </c>
      <c r="B2929" s="6" t="s">
        <v>132</v>
      </c>
      <c r="C2929" s="6" t="s">
        <v>133</v>
      </c>
      <c r="D2929" s="6" t="s">
        <v>143</v>
      </c>
      <c r="E2929" s="6" t="s">
        <v>144</v>
      </c>
      <c r="F2929" s="6" t="s">
        <v>202</v>
      </c>
      <c r="G2929" s="6" t="s">
        <v>590</v>
      </c>
      <c r="H2929" s="6" t="s">
        <v>228</v>
      </c>
      <c r="I2929" s="6" t="s">
        <v>6594</v>
      </c>
      <c r="J2929" s="6" t="s">
        <v>246</v>
      </c>
      <c r="K2929" s="6" t="s">
        <v>2893</v>
      </c>
      <c r="L2929" s="6" t="s">
        <v>205</v>
      </c>
      <c r="M2929" s="6" t="s">
        <v>601</v>
      </c>
      <c r="N2929" s="6" t="s">
        <v>286</v>
      </c>
      <c r="O2929" s="6" t="s">
        <v>2850</v>
      </c>
      <c r="P2929" s="6" t="str">
        <f aca="false">IF(J2929="S0","—",IF(K2929="","",IF(L2929="E0","QM",INDEX(10_ASIL_Matrix!$D$4:$F$15,MATCH(J2929&amp;"-"&amp;L2929,10_ASIL_Matrix!$C$4:$C$15,0),MATCH(N2929,10_ASIL_Matrix!$D$3:$F$3,0)))))</f>
        <v>QM</v>
      </c>
      <c r="Q2929" s="6" t="s">
        <v>448</v>
      </c>
    </row>
    <row r="2930" customFormat="false" ht="35.05" hidden="false" customHeight="false" outlineLevel="0" collapsed="false">
      <c r="A2930" s="5" t="s">
        <v>6595</v>
      </c>
      <c r="B2930" s="5" t="s">
        <v>132</v>
      </c>
      <c r="C2930" s="5" t="s">
        <v>133</v>
      </c>
      <c r="D2930" s="5" t="s">
        <v>143</v>
      </c>
      <c r="E2930" s="5" t="s">
        <v>144</v>
      </c>
      <c r="F2930" s="5" t="s">
        <v>202</v>
      </c>
      <c r="G2930" s="5" t="s">
        <v>590</v>
      </c>
      <c r="H2930" s="5" t="s">
        <v>230</v>
      </c>
      <c r="I2930" s="5" t="s">
        <v>6596</v>
      </c>
      <c r="J2930" s="5" t="s">
        <v>250</v>
      </c>
      <c r="K2930" s="5" t="s">
        <v>2902</v>
      </c>
      <c r="L2930" s="5" t="s">
        <v>205</v>
      </c>
      <c r="M2930" s="5" t="s">
        <v>604</v>
      </c>
      <c r="N2930" s="5" t="s">
        <v>290</v>
      </c>
      <c r="O2930" s="5" t="s">
        <v>2860</v>
      </c>
      <c r="P2930" s="18" t="str">
        <f aca="false">IF(J2930="S0","—",IF(K2930="","",IF(L2930="E0","QM",INDEX(10_ASIL_Matrix!$D$4:$F$15,MATCH(J2930&amp;"-"&amp;L2930,10_ASIL_Matrix!$C$4:$C$15,0),MATCH(N2930,10_ASIL_Matrix!$D$3:$F$3,0)))))</f>
        <v>B</v>
      </c>
      <c r="Q2930" s="5" t="s">
        <v>448</v>
      </c>
    </row>
    <row r="2931" customFormat="false" ht="46.25" hidden="false" customHeight="false" outlineLevel="0" collapsed="false">
      <c r="A2931" s="6" t="s">
        <v>6597</v>
      </c>
      <c r="B2931" s="6" t="s">
        <v>132</v>
      </c>
      <c r="C2931" s="6" t="s">
        <v>133</v>
      </c>
      <c r="D2931" s="6" t="s">
        <v>143</v>
      </c>
      <c r="E2931" s="6" t="s">
        <v>144</v>
      </c>
      <c r="F2931" s="6" t="s">
        <v>202</v>
      </c>
      <c r="G2931" s="6" t="s">
        <v>590</v>
      </c>
      <c r="H2931" s="6" t="s">
        <v>232</v>
      </c>
      <c r="I2931" s="6" t="s">
        <v>6598</v>
      </c>
      <c r="J2931" s="6" t="s">
        <v>246</v>
      </c>
      <c r="K2931" s="6" t="s">
        <v>2893</v>
      </c>
      <c r="L2931" s="6" t="s">
        <v>233</v>
      </c>
      <c r="M2931" s="6" t="s">
        <v>607</v>
      </c>
      <c r="N2931" s="6" t="s">
        <v>286</v>
      </c>
      <c r="O2931" s="6" t="s">
        <v>2850</v>
      </c>
      <c r="P2931" s="6" t="str">
        <f aca="false">IF(J2931="S0","—",IF(K2931="","",IF(L2931="E0","QM",INDEX(10_ASIL_Matrix!$D$4:$F$15,MATCH(J2931&amp;"-"&amp;L2931,10_ASIL_Matrix!$C$4:$C$15,0),MATCH(N2931,10_ASIL_Matrix!$D$3:$F$3,0)))))</f>
        <v>QM</v>
      </c>
      <c r="Q2931" s="6" t="s">
        <v>448</v>
      </c>
    </row>
    <row r="2932" customFormat="false" ht="35.05" hidden="false" customHeight="false" outlineLevel="0" collapsed="false">
      <c r="A2932" s="5" t="s">
        <v>6599</v>
      </c>
      <c r="B2932" s="5" t="s">
        <v>132</v>
      </c>
      <c r="C2932" s="5" t="s">
        <v>133</v>
      </c>
      <c r="D2932" s="5" t="s">
        <v>143</v>
      </c>
      <c r="E2932" s="5" t="s">
        <v>144</v>
      </c>
      <c r="F2932" s="5" t="s">
        <v>204</v>
      </c>
      <c r="G2932" s="5" t="s">
        <v>609</v>
      </c>
      <c r="H2932" s="5" t="s">
        <v>222</v>
      </c>
      <c r="I2932" s="5" t="s">
        <v>6600</v>
      </c>
      <c r="J2932" s="5" t="s">
        <v>238</v>
      </c>
      <c r="K2932" s="5" t="s">
        <v>2907</v>
      </c>
      <c r="L2932" s="5" t="s">
        <v>205</v>
      </c>
      <c r="M2932" s="5" t="s">
        <v>612</v>
      </c>
      <c r="N2932" s="5" t="s">
        <v>278</v>
      </c>
      <c r="O2932" s="5" t="s">
        <v>634</v>
      </c>
      <c r="P2932" s="5" t="str">
        <f aca="false">IF(J2932="S0","—",IF(K2932="","",IF(L2932="E0","QM",INDEX(10_ASIL_Matrix!$D$4:$F$15,MATCH(J2932&amp;"-"&amp;L2932,10_ASIL_Matrix!$C$4:$C$15,0),MATCH(N2932,10_ASIL_Matrix!$D$3:$F$3,0)))))</f>
        <v>—</v>
      </c>
      <c r="Q2932" s="5" t="s">
        <v>448</v>
      </c>
    </row>
    <row r="2933" customFormat="false" ht="35.05" hidden="false" customHeight="false" outlineLevel="0" collapsed="false">
      <c r="A2933" s="6" t="s">
        <v>6601</v>
      </c>
      <c r="B2933" s="6" t="s">
        <v>132</v>
      </c>
      <c r="C2933" s="6" t="s">
        <v>133</v>
      </c>
      <c r="D2933" s="6" t="s">
        <v>143</v>
      </c>
      <c r="E2933" s="6" t="s">
        <v>144</v>
      </c>
      <c r="F2933" s="6" t="s">
        <v>204</v>
      </c>
      <c r="G2933" s="6" t="s">
        <v>609</v>
      </c>
      <c r="H2933" s="6" t="s">
        <v>224</v>
      </c>
      <c r="I2933" s="6" t="s">
        <v>6602</v>
      </c>
      <c r="J2933" s="6" t="s">
        <v>238</v>
      </c>
      <c r="K2933" s="6" t="s">
        <v>2907</v>
      </c>
      <c r="L2933" s="6" t="s">
        <v>205</v>
      </c>
      <c r="M2933" s="6" t="s">
        <v>616</v>
      </c>
      <c r="N2933" s="6" t="s">
        <v>278</v>
      </c>
      <c r="O2933" s="6" t="s">
        <v>634</v>
      </c>
      <c r="P2933" s="6" t="str">
        <f aca="false">IF(J2933="S0","—",IF(K2933="","",IF(L2933="E0","QM",INDEX(10_ASIL_Matrix!$D$4:$F$15,MATCH(J2933&amp;"-"&amp;L2933,10_ASIL_Matrix!$C$4:$C$15,0),MATCH(N2933,10_ASIL_Matrix!$D$3:$F$3,0)))))</f>
        <v>—</v>
      </c>
      <c r="Q2933" s="6" t="s">
        <v>448</v>
      </c>
    </row>
    <row r="2934" customFormat="false" ht="35.05" hidden="false" customHeight="false" outlineLevel="0" collapsed="false">
      <c r="A2934" s="5" t="s">
        <v>6603</v>
      </c>
      <c r="B2934" s="5" t="s">
        <v>132</v>
      </c>
      <c r="C2934" s="5" t="s">
        <v>133</v>
      </c>
      <c r="D2934" s="5" t="s">
        <v>143</v>
      </c>
      <c r="E2934" s="5" t="s">
        <v>144</v>
      </c>
      <c r="F2934" s="5" t="s">
        <v>204</v>
      </c>
      <c r="G2934" s="5" t="s">
        <v>609</v>
      </c>
      <c r="H2934" s="5" t="s">
        <v>226</v>
      </c>
      <c r="I2934" s="5" t="s">
        <v>6604</v>
      </c>
      <c r="J2934" s="5" t="s">
        <v>238</v>
      </c>
      <c r="K2934" s="5" t="s">
        <v>2907</v>
      </c>
      <c r="L2934" s="5" t="s">
        <v>205</v>
      </c>
      <c r="M2934" s="5" t="s">
        <v>619</v>
      </c>
      <c r="N2934" s="5" t="s">
        <v>278</v>
      </c>
      <c r="O2934" s="5" t="s">
        <v>634</v>
      </c>
      <c r="P2934" s="5" t="str">
        <f aca="false">IF(J2934="S0","—",IF(K2934="","",IF(L2934="E0","QM",INDEX(10_ASIL_Matrix!$D$4:$F$15,MATCH(J2934&amp;"-"&amp;L2934,10_ASIL_Matrix!$C$4:$C$15,0),MATCH(N2934,10_ASIL_Matrix!$D$3:$F$3,0)))))</f>
        <v>—</v>
      </c>
      <c r="Q2934" s="5" t="s">
        <v>448</v>
      </c>
    </row>
    <row r="2935" customFormat="false" ht="46.25" hidden="false" customHeight="false" outlineLevel="0" collapsed="false">
      <c r="A2935" s="6" t="s">
        <v>6605</v>
      </c>
      <c r="B2935" s="6" t="s">
        <v>132</v>
      </c>
      <c r="C2935" s="6" t="s">
        <v>133</v>
      </c>
      <c r="D2935" s="6" t="s">
        <v>143</v>
      </c>
      <c r="E2935" s="6" t="s">
        <v>144</v>
      </c>
      <c r="F2935" s="6" t="s">
        <v>204</v>
      </c>
      <c r="G2935" s="6" t="s">
        <v>609</v>
      </c>
      <c r="H2935" s="6" t="s">
        <v>228</v>
      </c>
      <c r="I2935" s="6" t="s">
        <v>6606</v>
      </c>
      <c r="J2935" s="6" t="s">
        <v>238</v>
      </c>
      <c r="K2935" s="6" t="s">
        <v>2907</v>
      </c>
      <c r="L2935" s="6" t="s">
        <v>205</v>
      </c>
      <c r="M2935" s="6" t="s">
        <v>622</v>
      </c>
      <c r="N2935" s="6" t="s">
        <v>278</v>
      </c>
      <c r="O2935" s="6" t="s">
        <v>634</v>
      </c>
      <c r="P2935" s="6" t="str">
        <f aca="false">IF(J2935="S0","—",IF(K2935="","",IF(L2935="E0","QM",INDEX(10_ASIL_Matrix!$D$4:$F$15,MATCH(J2935&amp;"-"&amp;L2935,10_ASIL_Matrix!$C$4:$C$15,0),MATCH(N2935,10_ASIL_Matrix!$D$3:$F$3,0)))))</f>
        <v>—</v>
      </c>
      <c r="Q2935" s="6" t="s">
        <v>448</v>
      </c>
    </row>
    <row r="2936" customFormat="false" ht="46.25" hidden="false" customHeight="false" outlineLevel="0" collapsed="false">
      <c r="A2936" s="5" t="s">
        <v>6607</v>
      </c>
      <c r="B2936" s="5" t="s">
        <v>132</v>
      </c>
      <c r="C2936" s="5" t="s">
        <v>133</v>
      </c>
      <c r="D2936" s="5" t="s">
        <v>143</v>
      </c>
      <c r="E2936" s="5" t="s">
        <v>144</v>
      </c>
      <c r="F2936" s="5" t="s">
        <v>204</v>
      </c>
      <c r="G2936" s="5" t="s">
        <v>609</v>
      </c>
      <c r="H2936" s="5" t="s">
        <v>230</v>
      </c>
      <c r="I2936" s="5" t="s">
        <v>6608</v>
      </c>
      <c r="J2936" s="5" t="s">
        <v>238</v>
      </c>
      <c r="K2936" s="5" t="s">
        <v>2907</v>
      </c>
      <c r="L2936" s="5" t="s">
        <v>205</v>
      </c>
      <c r="M2936" s="5" t="s">
        <v>625</v>
      </c>
      <c r="N2936" s="5" t="s">
        <v>278</v>
      </c>
      <c r="O2936" s="5" t="s">
        <v>634</v>
      </c>
      <c r="P2936" s="5" t="str">
        <f aca="false">IF(J2936="S0","—",IF(K2936="","",IF(L2936="E0","QM",INDEX(10_ASIL_Matrix!$D$4:$F$15,MATCH(J2936&amp;"-"&amp;L2936,10_ASIL_Matrix!$C$4:$C$15,0),MATCH(N2936,10_ASIL_Matrix!$D$3:$F$3,0)))))</f>
        <v>—</v>
      </c>
      <c r="Q2936" s="5" t="s">
        <v>448</v>
      </c>
    </row>
    <row r="2937" customFormat="false" ht="46.25" hidden="false" customHeight="false" outlineLevel="0" collapsed="false">
      <c r="A2937" s="6" t="s">
        <v>6609</v>
      </c>
      <c r="B2937" s="6" t="s">
        <v>132</v>
      </c>
      <c r="C2937" s="6" t="s">
        <v>133</v>
      </c>
      <c r="D2937" s="6" t="s">
        <v>143</v>
      </c>
      <c r="E2937" s="6" t="s">
        <v>144</v>
      </c>
      <c r="F2937" s="6" t="s">
        <v>204</v>
      </c>
      <c r="G2937" s="6" t="s">
        <v>609</v>
      </c>
      <c r="H2937" s="6" t="s">
        <v>232</v>
      </c>
      <c r="I2937" s="6" t="s">
        <v>6610</v>
      </c>
      <c r="J2937" s="6" t="s">
        <v>238</v>
      </c>
      <c r="K2937" s="6" t="s">
        <v>2907</v>
      </c>
      <c r="L2937" s="6" t="s">
        <v>233</v>
      </c>
      <c r="M2937" s="6" t="s">
        <v>629</v>
      </c>
      <c r="N2937" s="6" t="s">
        <v>278</v>
      </c>
      <c r="O2937" s="6" t="s">
        <v>634</v>
      </c>
      <c r="P2937" s="6" t="str">
        <f aca="false">IF(J2937="S0","—",IF(K2937="","",IF(L2937="E0","QM",INDEX(10_ASIL_Matrix!$D$4:$F$15,MATCH(J2937&amp;"-"&amp;L2937,10_ASIL_Matrix!$C$4:$C$15,0),MATCH(N2937,10_ASIL_Matrix!$D$3:$F$3,0)))))</f>
        <v>—</v>
      </c>
      <c r="Q2937" s="6" t="s">
        <v>448</v>
      </c>
    </row>
    <row r="2938" customFormat="false" ht="35.05" hidden="false" customHeight="false" outlineLevel="0" collapsed="false">
      <c r="A2938" s="5" t="s">
        <v>6611</v>
      </c>
      <c r="B2938" s="5" t="s">
        <v>132</v>
      </c>
      <c r="C2938" s="5" t="s">
        <v>133</v>
      </c>
      <c r="D2938" s="5" t="s">
        <v>143</v>
      </c>
      <c r="E2938" s="5" t="s">
        <v>144</v>
      </c>
      <c r="F2938" s="5" t="s">
        <v>207</v>
      </c>
      <c r="G2938" s="5" t="s">
        <v>609</v>
      </c>
      <c r="H2938" s="5" t="s">
        <v>222</v>
      </c>
      <c r="I2938" s="5" t="s">
        <v>6612</v>
      </c>
      <c r="J2938" s="5" t="s">
        <v>246</v>
      </c>
      <c r="K2938" s="5" t="s">
        <v>2920</v>
      </c>
      <c r="L2938" s="5" t="s">
        <v>190</v>
      </c>
      <c r="M2938" s="5" t="s">
        <v>633</v>
      </c>
      <c r="N2938" s="5" t="s">
        <v>282</v>
      </c>
      <c r="O2938" s="5" t="s">
        <v>2790</v>
      </c>
      <c r="P2938" s="5" t="str">
        <f aca="false">IF(J2938="S0","—",IF(K2938="","",IF(L2938="E0","QM",INDEX(10_ASIL_Matrix!$D$4:$F$15,MATCH(J2938&amp;"-"&amp;L2938,10_ASIL_Matrix!$C$4:$C$15,0),MATCH(N2938,10_ASIL_Matrix!$D$3:$F$3,0)))))</f>
        <v>QM</v>
      </c>
      <c r="Q2938" s="5" t="s">
        <v>448</v>
      </c>
    </row>
    <row r="2939" customFormat="false" ht="35.05" hidden="false" customHeight="false" outlineLevel="0" collapsed="false">
      <c r="A2939" s="6" t="s">
        <v>6613</v>
      </c>
      <c r="B2939" s="6" t="s">
        <v>132</v>
      </c>
      <c r="C2939" s="6" t="s">
        <v>133</v>
      </c>
      <c r="D2939" s="6" t="s">
        <v>143</v>
      </c>
      <c r="E2939" s="6" t="s">
        <v>144</v>
      </c>
      <c r="F2939" s="6" t="s">
        <v>207</v>
      </c>
      <c r="G2939" s="6" t="s">
        <v>609</v>
      </c>
      <c r="H2939" s="6" t="s">
        <v>224</v>
      </c>
      <c r="I2939" s="6" t="s">
        <v>6614</v>
      </c>
      <c r="J2939" s="6" t="s">
        <v>246</v>
      </c>
      <c r="K2939" s="6" t="s">
        <v>2920</v>
      </c>
      <c r="L2939" s="6" t="s">
        <v>190</v>
      </c>
      <c r="M2939" s="6" t="s">
        <v>637</v>
      </c>
      <c r="N2939" s="6" t="s">
        <v>282</v>
      </c>
      <c r="O2939" s="6" t="s">
        <v>2790</v>
      </c>
      <c r="P2939" s="6" t="str">
        <f aca="false">IF(J2939="S0","—",IF(K2939="","",IF(L2939="E0","QM",INDEX(10_ASIL_Matrix!$D$4:$F$15,MATCH(J2939&amp;"-"&amp;L2939,10_ASIL_Matrix!$C$4:$C$15,0),MATCH(N2939,10_ASIL_Matrix!$D$3:$F$3,0)))))</f>
        <v>QM</v>
      </c>
      <c r="Q2939" s="6" t="s">
        <v>448</v>
      </c>
    </row>
    <row r="2940" customFormat="false" ht="35.05" hidden="false" customHeight="false" outlineLevel="0" collapsed="false">
      <c r="A2940" s="5" t="s">
        <v>6615</v>
      </c>
      <c r="B2940" s="5" t="s">
        <v>132</v>
      </c>
      <c r="C2940" s="5" t="s">
        <v>133</v>
      </c>
      <c r="D2940" s="5" t="s">
        <v>143</v>
      </c>
      <c r="E2940" s="5" t="s">
        <v>144</v>
      </c>
      <c r="F2940" s="5" t="s">
        <v>207</v>
      </c>
      <c r="G2940" s="5" t="s">
        <v>609</v>
      </c>
      <c r="H2940" s="5" t="s">
        <v>226</v>
      </c>
      <c r="I2940" s="5" t="s">
        <v>6616</v>
      </c>
      <c r="J2940" s="5" t="s">
        <v>246</v>
      </c>
      <c r="K2940" s="5" t="s">
        <v>2920</v>
      </c>
      <c r="L2940" s="5" t="s">
        <v>190</v>
      </c>
      <c r="M2940" s="5" t="s">
        <v>640</v>
      </c>
      <c r="N2940" s="5" t="s">
        <v>282</v>
      </c>
      <c r="O2940" s="5" t="s">
        <v>2790</v>
      </c>
      <c r="P2940" s="5" t="str">
        <f aca="false">IF(J2940="S0","—",IF(K2940="","",IF(L2940="E0","QM",INDEX(10_ASIL_Matrix!$D$4:$F$15,MATCH(J2940&amp;"-"&amp;L2940,10_ASIL_Matrix!$C$4:$C$15,0),MATCH(N2940,10_ASIL_Matrix!$D$3:$F$3,0)))))</f>
        <v>QM</v>
      </c>
      <c r="Q2940" s="5" t="s">
        <v>448</v>
      </c>
    </row>
    <row r="2941" customFormat="false" ht="46.25" hidden="false" customHeight="false" outlineLevel="0" collapsed="false">
      <c r="A2941" s="6" t="s">
        <v>6617</v>
      </c>
      <c r="B2941" s="6" t="s">
        <v>132</v>
      </c>
      <c r="C2941" s="6" t="s">
        <v>133</v>
      </c>
      <c r="D2941" s="6" t="s">
        <v>143</v>
      </c>
      <c r="E2941" s="6" t="s">
        <v>144</v>
      </c>
      <c r="F2941" s="6" t="s">
        <v>207</v>
      </c>
      <c r="G2941" s="6" t="s">
        <v>609</v>
      </c>
      <c r="H2941" s="6" t="s">
        <v>228</v>
      </c>
      <c r="I2941" s="6" t="s">
        <v>6618</v>
      </c>
      <c r="J2941" s="6" t="s">
        <v>246</v>
      </c>
      <c r="K2941" s="6" t="s">
        <v>2920</v>
      </c>
      <c r="L2941" s="6" t="s">
        <v>205</v>
      </c>
      <c r="M2941" s="6" t="s">
        <v>643</v>
      </c>
      <c r="N2941" s="6" t="s">
        <v>282</v>
      </c>
      <c r="O2941" s="6" t="s">
        <v>2790</v>
      </c>
      <c r="P2941" s="6" t="str">
        <f aca="false">IF(J2941="S0","—",IF(K2941="","",IF(L2941="E0","QM",INDEX(10_ASIL_Matrix!$D$4:$F$15,MATCH(J2941&amp;"-"&amp;L2941,10_ASIL_Matrix!$C$4:$C$15,0),MATCH(N2941,10_ASIL_Matrix!$D$3:$F$3,0)))))</f>
        <v>QM</v>
      </c>
      <c r="Q2941" s="6" t="s">
        <v>448</v>
      </c>
    </row>
    <row r="2942" customFormat="false" ht="46.25" hidden="false" customHeight="false" outlineLevel="0" collapsed="false">
      <c r="A2942" s="5" t="s">
        <v>6619</v>
      </c>
      <c r="B2942" s="5" t="s">
        <v>132</v>
      </c>
      <c r="C2942" s="5" t="s">
        <v>133</v>
      </c>
      <c r="D2942" s="5" t="s">
        <v>143</v>
      </c>
      <c r="E2942" s="5" t="s">
        <v>144</v>
      </c>
      <c r="F2942" s="5" t="s">
        <v>207</v>
      </c>
      <c r="G2942" s="5" t="s">
        <v>609</v>
      </c>
      <c r="H2942" s="5" t="s">
        <v>230</v>
      </c>
      <c r="I2942" s="5" t="s">
        <v>6620</v>
      </c>
      <c r="J2942" s="5" t="s">
        <v>250</v>
      </c>
      <c r="K2942" s="5" t="s">
        <v>2929</v>
      </c>
      <c r="L2942" s="5" t="s">
        <v>205</v>
      </c>
      <c r="M2942" s="5" t="s">
        <v>646</v>
      </c>
      <c r="N2942" s="5" t="s">
        <v>286</v>
      </c>
      <c r="O2942" s="5" t="s">
        <v>2800</v>
      </c>
      <c r="P2942" s="19" t="str">
        <f aca="false">IF(J2942="S0","—",IF(K2942="","",IF(L2942="E0","QM",INDEX(10_ASIL_Matrix!$D$4:$F$15,MATCH(J2942&amp;"-"&amp;L2942,10_ASIL_Matrix!$C$4:$C$15,0),MATCH(N2942,10_ASIL_Matrix!$D$3:$F$3,0)))))</f>
        <v>A</v>
      </c>
      <c r="Q2942" s="5" t="s">
        <v>448</v>
      </c>
    </row>
    <row r="2943" customFormat="false" ht="46.25" hidden="false" customHeight="false" outlineLevel="0" collapsed="false">
      <c r="A2943" s="6" t="s">
        <v>6621</v>
      </c>
      <c r="B2943" s="6" t="s">
        <v>132</v>
      </c>
      <c r="C2943" s="6" t="s">
        <v>133</v>
      </c>
      <c r="D2943" s="6" t="s">
        <v>143</v>
      </c>
      <c r="E2943" s="6" t="s">
        <v>144</v>
      </c>
      <c r="F2943" s="6" t="s">
        <v>207</v>
      </c>
      <c r="G2943" s="6" t="s">
        <v>609</v>
      </c>
      <c r="H2943" s="6" t="s">
        <v>232</v>
      </c>
      <c r="I2943" s="6" t="s">
        <v>6622</v>
      </c>
      <c r="J2943" s="6" t="s">
        <v>246</v>
      </c>
      <c r="K2943" s="6" t="s">
        <v>2920</v>
      </c>
      <c r="L2943" s="6" t="s">
        <v>233</v>
      </c>
      <c r="M2943" s="6" t="s">
        <v>649</v>
      </c>
      <c r="N2943" s="6" t="s">
        <v>282</v>
      </c>
      <c r="O2943" s="6" t="s">
        <v>2790</v>
      </c>
      <c r="P2943" s="6" t="str">
        <f aca="false">IF(J2943="S0","—",IF(K2943="","",IF(L2943="E0","QM",INDEX(10_ASIL_Matrix!$D$4:$F$15,MATCH(J2943&amp;"-"&amp;L2943,10_ASIL_Matrix!$C$4:$C$15,0),MATCH(N2943,10_ASIL_Matrix!$D$3:$F$3,0)))))</f>
        <v>QM</v>
      </c>
      <c r="Q2943" s="6" t="s">
        <v>448</v>
      </c>
    </row>
    <row r="2944" customFormat="false" ht="35.05" hidden="false" customHeight="false" outlineLevel="0" collapsed="false">
      <c r="A2944" s="5" t="s">
        <v>6623</v>
      </c>
      <c r="B2944" s="5" t="s">
        <v>132</v>
      </c>
      <c r="C2944" s="5" t="s">
        <v>133</v>
      </c>
      <c r="D2944" s="5" t="s">
        <v>143</v>
      </c>
      <c r="E2944" s="5" t="s">
        <v>144</v>
      </c>
      <c r="F2944" s="5" t="s">
        <v>209</v>
      </c>
      <c r="G2944" s="5" t="s">
        <v>570</v>
      </c>
      <c r="H2944" s="5" t="s">
        <v>222</v>
      </c>
      <c r="I2944" s="5" t="s">
        <v>6624</v>
      </c>
      <c r="J2944" s="5" t="s">
        <v>246</v>
      </c>
      <c r="K2944" s="5" t="s">
        <v>2934</v>
      </c>
      <c r="L2944" s="5" t="s">
        <v>190</v>
      </c>
      <c r="M2944" s="5" t="s">
        <v>653</v>
      </c>
      <c r="N2944" s="5" t="s">
        <v>286</v>
      </c>
      <c r="O2944" s="5" t="s">
        <v>2850</v>
      </c>
      <c r="P2944" s="19" t="str">
        <f aca="false">IF(J2944="S0","—",IF(K2944="","",IF(L2944="E0","QM",INDEX(10_ASIL_Matrix!$D$4:$F$15,MATCH(J2944&amp;"-"&amp;L2944,10_ASIL_Matrix!$C$4:$C$15,0),MATCH(N2944,10_ASIL_Matrix!$D$3:$F$3,0)))))</f>
        <v>A</v>
      </c>
      <c r="Q2944" s="5" t="s">
        <v>448</v>
      </c>
    </row>
    <row r="2945" customFormat="false" ht="35.05" hidden="false" customHeight="false" outlineLevel="0" collapsed="false">
      <c r="A2945" s="6" t="s">
        <v>6625</v>
      </c>
      <c r="B2945" s="6" t="s">
        <v>132</v>
      </c>
      <c r="C2945" s="6" t="s">
        <v>133</v>
      </c>
      <c r="D2945" s="6" t="s">
        <v>143</v>
      </c>
      <c r="E2945" s="6" t="s">
        <v>144</v>
      </c>
      <c r="F2945" s="6" t="s">
        <v>209</v>
      </c>
      <c r="G2945" s="6" t="s">
        <v>570</v>
      </c>
      <c r="H2945" s="6" t="s">
        <v>224</v>
      </c>
      <c r="I2945" s="6" t="s">
        <v>6626</v>
      </c>
      <c r="J2945" s="6" t="s">
        <v>246</v>
      </c>
      <c r="K2945" s="6" t="s">
        <v>2934</v>
      </c>
      <c r="L2945" s="6" t="s">
        <v>190</v>
      </c>
      <c r="M2945" s="6" t="s">
        <v>656</v>
      </c>
      <c r="N2945" s="6" t="s">
        <v>286</v>
      </c>
      <c r="O2945" s="6" t="s">
        <v>2850</v>
      </c>
      <c r="P2945" s="19" t="str">
        <f aca="false">IF(J2945="S0","—",IF(K2945="","",IF(L2945="E0","QM",INDEX(10_ASIL_Matrix!$D$4:$F$15,MATCH(J2945&amp;"-"&amp;L2945,10_ASIL_Matrix!$C$4:$C$15,0),MATCH(N2945,10_ASIL_Matrix!$D$3:$F$3,0)))))</f>
        <v>A</v>
      </c>
      <c r="Q2945" s="6" t="s">
        <v>448</v>
      </c>
    </row>
    <row r="2946" customFormat="false" ht="35.05" hidden="false" customHeight="false" outlineLevel="0" collapsed="false">
      <c r="A2946" s="5" t="s">
        <v>6627</v>
      </c>
      <c r="B2946" s="5" t="s">
        <v>132</v>
      </c>
      <c r="C2946" s="5" t="s">
        <v>133</v>
      </c>
      <c r="D2946" s="5" t="s">
        <v>143</v>
      </c>
      <c r="E2946" s="5" t="s">
        <v>144</v>
      </c>
      <c r="F2946" s="5" t="s">
        <v>209</v>
      </c>
      <c r="G2946" s="5" t="s">
        <v>570</v>
      </c>
      <c r="H2946" s="5" t="s">
        <v>226</v>
      </c>
      <c r="I2946" s="5" t="s">
        <v>6628</v>
      </c>
      <c r="J2946" s="5" t="s">
        <v>246</v>
      </c>
      <c r="K2946" s="5" t="s">
        <v>2934</v>
      </c>
      <c r="L2946" s="5" t="s">
        <v>190</v>
      </c>
      <c r="M2946" s="5" t="s">
        <v>659</v>
      </c>
      <c r="N2946" s="5" t="s">
        <v>286</v>
      </c>
      <c r="O2946" s="5" t="s">
        <v>2850</v>
      </c>
      <c r="P2946" s="19" t="str">
        <f aca="false">IF(J2946="S0","—",IF(K2946="","",IF(L2946="E0","QM",INDEX(10_ASIL_Matrix!$D$4:$F$15,MATCH(J2946&amp;"-"&amp;L2946,10_ASIL_Matrix!$C$4:$C$15,0),MATCH(N2946,10_ASIL_Matrix!$D$3:$F$3,0)))))</f>
        <v>A</v>
      </c>
      <c r="Q2946" s="5" t="s">
        <v>448</v>
      </c>
    </row>
    <row r="2947" customFormat="false" ht="35.05" hidden="false" customHeight="false" outlineLevel="0" collapsed="false">
      <c r="A2947" s="6" t="s">
        <v>6629</v>
      </c>
      <c r="B2947" s="6" t="s">
        <v>132</v>
      </c>
      <c r="C2947" s="6" t="s">
        <v>133</v>
      </c>
      <c r="D2947" s="6" t="s">
        <v>143</v>
      </c>
      <c r="E2947" s="6" t="s">
        <v>144</v>
      </c>
      <c r="F2947" s="6" t="s">
        <v>209</v>
      </c>
      <c r="G2947" s="6" t="s">
        <v>570</v>
      </c>
      <c r="H2947" s="6" t="s">
        <v>228</v>
      </c>
      <c r="I2947" s="6" t="s">
        <v>6630</v>
      </c>
      <c r="J2947" s="6" t="s">
        <v>246</v>
      </c>
      <c r="K2947" s="6" t="s">
        <v>2934</v>
      </c>
      <c r="L2947" s="6" t="s">
        <v>205</v>
      </c>
      <c r="M2947" s="6" t="s">
        <v>662</v>
      </c>
      <c r="N2947" s="6" t="s">
        <v>286</v>
      </c>
      <c r="O2947" s="6" t="s">
        <v>2850</v>
      </c>
      <c r="P2947" s="6" t="str">
        <f aca="false">IF(J2947="S0","—",IF(K2947="","",IF(L2947="E0","QM",INDEX(10_ASIL_Matrix!$D$4:$F$15,MATCH(J2947&amp;"-"&amp;L2947,10_ASIL_Matrix!$C$4:$C$15,0),MATCH(N2947,10_ASIL_Matrix!$D$3:$F$3,0)))))</f>
        <v>QM</v>
      </c>
      <c r="Q2947" s="6" t="s">
        <v>448</v>
      </c>
    </row>
    <row r="2948" customFormat="false" ht="35.05" hidden="false" customHeight="false" outlineLevel="0" collapsed="false">
      <c r="A2948" s="5" t="s">
        <v>6631</v>
      </c>
      <c r="B2948" s="5" t="s">
        <v>132</v>
      </c>
      <c r="C2948" s="5" t="s">
        <v>133</v>
      </c>
      <c r="D2948" s="5" t="s">
        <v>143</v>
      </c>
      <c r="E2948" s="5" t="s">
        <v>144</v>
      </c>
      <c r="F2948" s="5" t="s">
        <v>209</v>
      </c>
      <c r="G2948" s="5" t="s">
        <v>570</v>
      </c>
      <c r="H2948" s="5" t="s">
        <v>230</v>
      </c>
      <c r="I2948" s="5" t="s">
        <v>6632</v>
      </c>
      <c r="J2948" s="5" t="s">
        <v>250</v>
      </c>
      <c r="K2948" s="5" t="s">
        <v>2943</v>
      </c>
      <c r="L2948" s="5" t="s">
        <v>205</v>
      </c>
      <c r="M2948" s="5" t="s">
        <v>665</v>
      </c>
      <c r="N2948" s="5" t="s">
        <v>290</v>
      </c>
      <c r="O2948" s="5" t="s">
        <v>2860</v>
      </c>
      <c r="P2948" s="18" t="str">
        <f aca="false">IF(J2948="S0","—",IF(K2948="","",IF(L2948="E0","QM",INDEX(10_ASIL_Matrix!$D$4:$F$15,MATCH(J2948&amp;"-"&amp;L2948,10_ASIL_Matrix!$C$4:$C$15,0),MATCH(N2948,10_ASIL_Matrix!$D$3:$F$3,0)))))</f>
        <v>B</v>
      </c>
      <c r="Q2948" s="5" t="s">
        <v>448</v>
      </c>
    </row>
    <row r="2949" customFormat="false" ht="46.25" hidden="false" customHeight="false" outlineLevel="0" collapsed="false">
      <c r="A2949" s="6" t="s">
        <v>6633</v>
      </c>
      <c r="B2949" s="6" t="s">
        <v>132</v>
      </c>
      <c r="C2949" s="6" t="s">
        <v>133</v>
      </c>
      <c r="D2949" s="6" t="s">
        <v>143</v>
      </c>
      <c r="E2949" s="6" t="s">
        <v>144</v>
      </c>
      <c r="F2949" s="6" t="s">
        <v>209</v>
      </c>
      <c r="G2949" s="6" t="s">
        <v>570</v>
      </c>
      <c r="H2949" s="6" t="s">
        <v>232</v>
      </c>
      <c r="I2949" s="6" t="s">
        <v>6634</v>
      </c>
      <c r="J2949" s="6" t="s">
        <v>246</v>
      </c>
      <c r="K2949" s="6" t="s">
        <v>2934</v>
      </c>
      <c r="L2949" s="6" t="s">
        <v>233</v>
      </c>
      <c r="M2949" s="6" t="s">
        <v>668</v>
      </c>
      <c r="N2949" s="6" t="s">
        <v>286</v>
      </c>
      <c r="O2949" s="6" t="s">
        <v>2850</v>
      </c>
      <c r="P2949" s="6" t="str">
        <f aca="false">IF(J2949="S0","—",IF(K2949="","",IF(L2949="E0","QM",INDEX(10_ASIL_Matrix!$D$4:$F$15,MATCH(J2949&amp;"-"&amp;L2949,10_ASIL_Matrix!$C$4:$C$15,0),MATCH(N2949,10_ASIL_Matrix!$D$3:$F$3,0)))))</f>
        <v>QM</v>
      </c>
      <c r="Q2949" s="6" t="s">
        <v>448</v>
      </c>
    </row>
    <row r="2950" customFormat="false" ht="35.05" hidden="false" customHeight="false" outlineLevel="0" collapsed="false">
      <c r="A2950" s="5" t="s">
        <v>6635</v>
      </c>
      <c r="B2950" s="5" t="s">
        <v>132</v>
      </c>
      <c r="C2950" s="5" t="s">
        <v>133</v>
      </c>
      <c r="D2950" s="5" t="s">
        <v>143</v>
      </c>
      <c r="E2950" s="5" t="s">
        <v>144</v>
      </c>
      <c r="F2950" s="5" t="s">
        <v>211</v>
      </c>
      <c r="G2950" s="5" t="s">
        <v>609</v>
      </c>
      <c r="H2950" s="5" t="s">
        <v>222</v>
      </c>
      <c r="I2950" s="5" t="s">
        <v>6636</v>
      </c>
      <c r="J2950" s="5" t="s">
        <v>246</v>
      </c>
      <c r="K2950" s="5" t="s">
        <v>2948</v>
      </c>
      <c r="L2950" s="5" t="s">
        <v>187</v>
      </c>
      <c r="M2950" s="5" t="s">
        <v>672</v>
      </c>
      <c r="N2950" s="5" t="s">
        <v>286</v>
      </c>
      <c r="O2950" s="5" t="s">
        <v>2850</v>
      </c>
      <c r="P2950" s="18" t="str">
        <f aca="false">IF(J2950="S0","—",IF(K2950="","",IF(L2950="E0","QM",INDEX(10_ASIL_Matrix!$D$4:$F$15,MATCH(J2950&amp;"-"&amp;L2950,10_ASIL_Matrix!$C$4:$C$15,0),MATCH(N2950,10_ASIL_Matrix!$D$3:$F$3,0)))))</f>
        <v>B</v>
      </c>
      <c r="Q2950" s="5" t="s">
        <v>448</v>
      </c>
    </row>
    <row r="2951" customFormat="false" ht="35.05" hidden="false" customHeight="false" outlineLevel="0" collapsed="false">
      <c r="A2951" s="6" t="s">
        <v>6637</v>
      </c>
      <c r="B2951" s="6" t="s">
        <v>132</v>
      </c>
      <c r="C2951" s="6" t="s">
        <v>133</v>
      </c>
      <c r="D2951" s="6" t="s">
        <v>143</v>
      </c>
      <c r="E2951" s="6" t="s">
        <v>144</v>
      </c>
      <c r="F2951" s="6" t="s">
        <v>211</v>
      </c>
      <c r="G2951" s="6" t="s">
        <v>609</v>
      </c>
      <c r="H2951" s="6" t="s">
        <v>224</v>
      </c>
      <c r="I2951" s="6" t="s">
        <v>6638</v>
      </c>
      <c r="J2951" s="6" t="s">
        <v>246</v>
      </c>
      <c r="K2951" s="6" t="s">
        <v>2948</v>
      </c>
      <c r="L2951" s="6" t="s">
        <v>190</v>
      </c>
      <c r="M2951" s="6" t="s">
        <v>675</v>
      </c>
      <c r="N2951" s="6" t="s">
        <v>286</v>
      </c>
      <c r="O2951" s="6" t="s">
        <v>2850</v>
      </c>
      <c r="P2951" s="19" t="str">
        <f aca="false">IF(J2951="S0","—",IF(K2951="","",IF(L2951="E0","QM",INDEX(10_ASIL_Matrix!$D$4:$F$15,MATCH(J2951&amp;"-"&amp;L2951,10_ASIL_Matrix!$C$4:$C$15,0),MATCH(N2951,10_ASIL_Matrix!$D$3:$F$3,0)))))</f>
        <v>A</v>
      </c>
      <c r="Q2951" s="6" t="s">
        <v>448</v>
      </c>
    </row>
    <row r="2952" customFormat="false" ht="35.05" hidden="false" customHeight="false" outlineLevel="0" collapsed="false">
      <c r="A2952" s="5" t="s">
        <v>6639</v>
      </c>
      <c r="B2952" s="5" t="s">
        <v>132</v>
      </c>
      <c r="C2952" s="5" t="s">
        <v>133</v>
      </c>
      <c r="D2952" s="5" t="s">
        <v>143</v>
      </c>
      <c r="E2952" s="5" t="s">
        <v>144</v>
      </c>
      <c r="F2952" s="5" t="s">
        <v>211</v>
      </c>
      <c r="G2952" s="5" t="s">
        <v>609</v>
      </c>
      <c r="H2952" s="5" t="s">
        <v>226</v>
      </c>
      <c r="I2952" s="5" t="s">
        <v>6640</v>
      </c>
      <c r="J2952" s="5" t="s">
        <v>246</v>
      </c>
      <c r="K2952" s="5" t="s">
        <v>2948</v>
      </c>
      <c r="L2952" s="5" t="s">
        <v>190</v>
      </c>
      <c r="M2952" s="5" t="s">
        <v>678</v>
      </c>
      <c r="N2952" s="5" t="s">
        <v>286</v>
      </c>
      <c r="O2952" s="5" t="s">
        <v>2850</v>
      </c>
      <c r="P2952" s="19" t="str">
        <f aca="false">IF(J2952="S0","—",IF(K2952="","",IF(L2952="E0","QM",INDEX(10_ASIL_Matrix!$D$4:$F$15,MATCH(J2952&amp;"-"&amp;L2952,10_ASIL_Matrix!$C$4:$C$15,0),MATCH(N2952,10_ASIL_Matrix!$D$3:$F$3,0)))))</f>
        <v>A</v>
      </c>
      <c r="Q2952" s="5" t="s">
        <v>448</v>
      </c>
    </row>
    <row r="2953" customFormat="false" ht="46.25" hidden="false" customHeight="false" outlineLevel="0" collapsed="false">
      <c r="A2953" s="6" t="s">
        <v>6641</v>
      </c>
      <c r="B2953" s="6" t="s">
        <v>132</v>
      </c>
      <c r="C2953" s="6" t="s">
        <v>133</v>
      </c>
      <c r="D2953" s="6" t="s">
        <v>143</v>
      </c>
      <c r="E2953" s="6" t="s">
        <v>144</v>
      </c>
      <c r="F2953" s="6" t="s">
        <v>211</v>
      </c>
      <c r="G2953" s="6" t="s">
        <v>609</v>
      </c>
      <c r="H2953" s="6" t="s">
        <v>228</v>
      </c>
      <c r="I2953" s="6" t="s">
        <v>6642</v>
      </c>
      <c r="J2953" s="6" t="s">
        <v>246</v>
      </c>
      <c r="K2953" s="6" t="s">
        <v>2948</v>
      </c>
      <c r="L2953" s="6" t="s">
        <v>205</v>
      </c>
      <c r="M2953" s="6" t="s">
        <v>681</v>
      </c>
      <c r="N2953" s="6" t="s">
        <v>286</v>
      </c>
      <c r="O2953" s="6" t="s">
        <v>2850</v>
      </c>
      <c r="P2953" s="6" t="str">
        <f aca="false">IF(J2953="S0","—",IF(K2953="","",IF(L2953="E0","QM",INDEX(10_ASIL_Matrix!$D$4:$F$15,MATCH(J2953&amp;"-"&amp;L2953,10_ASIL_Matrix!$C$4:$C$15,0),MATCH(N2953,10_ASIL_Matrix!$D$3:$F$3,0)))))</f>
        <v>QM</v>
      </c>
      <c r="Q2953" s="6" t="s">
        <v>448</v>
      </c>
    </row>
    <row r="2954" customFormat="false" ht="35.05" hidden="false" customHeight="false" outlineLevel="0" collapsed="false">
      <c r="A2954" s="5" t="s">
        <v>6643</v>
      </c>
      <c r="B2954" s="5" t="s">
        <v>132</v>
      </c>
      <c r="C2954" s="5" t="s">
        <v>133</v>
      </c>
      <c r="D2954" s="5" t="s">
        <v>143</v>
      </c>
      <c r="E2954" s="5" t="s">
        <v>144</v>
      </c>
      <c r="F2954" s="5" t="s">
        <v>211</v>
      </c>
      <c r="G2954" s="5" t="s">
        <v>609</v>
      </c>
      <c r="H2954" s="5" t="s">
        <v>230</v>
      </c>
      <c r="I2954" s="5" t="s">
        <v>6644</v>
      </c>
      <c r="J2954" s="5" t="s">
        <v>250</v>
      </c>
      <c r="K2954" s="5" t="s">
        <v>2957</v>
      </c>
      <c r="L2954" s="5" t="s">
        <v>205</v>
      </c>
      <c r="M2954" s="5" t="s">
        <v>684</v>
      </c>
      <c r="N2954" s="5" t="s">
        <v>290</v>
      </c>
      <c r="O2954" s="5" t="s">
        <v>2860</v>
      </c>
      <c r="P2954" s="18" t="str">
        <f aca="false">IF(J2954="S0","—",IF(K2954="","",IF(L2954="E0","QM",INDEX(10_ASIL_Matrix!$D$4:$F$15,MATCH(J2954&amp;"-"&amp;L2954,10_ASIL_Matrix!$C$4:$C$15,0),MATCH(N2954,10_ASIL_Matrix!$D$3:$F$3,0)))))</f>
        <v>B</v>
      </c>
      <c r="Q2954" s="5" t="s">
        <v>448</v>
      </c>
    </row>
    <row r="2955" customFormat="false" ht="46.25" hidden="false" customHeight="false" outlineLevel="0" collapsed="false">
      <c r="A2955" s="6" t="s">
        <v>6645</v>
      </c>
      <c r="B2955" s="6" t="s">
        <v>132</v>
      </c>
      <c r="C2955" s="6" t="s">
        <v>133</v>
      </c>
      <c r="D2955" s="6" t="s">
        <v>143</v>
      </c>
      <c r="E2955" s="6" t="s">
        <v>144</v>
      </c>
      <c r="F2955" s="6" t="s">
        <v>211</v>
      </c>
      <c r="G2955" s="6" t="s">
        <v>609</v>
      </c>
      <c r="H2955" s="6" t="s">
        <v>232</v>
      </c>
      <c r="I2955" s="6" t="s">
        <v>6646</v>
      </c>
      <c r="J2955" s="6" t="s">
        <v>246</v>
      </c>
      <c r="K2955" s="6" t="s">
        <v>2948</v>
      </c>
      <c r="L2955" s="6" t="s">
        <v>233</v>
      </c>
      <c r="M2955" s="6" t="s">
        <v>687</v>
      </c>
      <c r="N2955" s="6" t="s">
        <v>286</v>
      </c>
      <c r="O2955" s="6" t="s">
        <v>2850</v>
      </c>
      <c r="P2955" s="6" t="str">
        <f aca="false">IF(J2955="S0","—",IF(K2955="","",IF(L2955="E0","QM",INDEX(10_ASIL_Matrix!$D$4:$F$15,MATCH(J2955&amp;"-"&amp;L2955,10_ASIL_Matrix!$C$4:$C$15,0),MATCH(N2955,10_ASIL_Matrix!$D$3:$F$3,0)))))</f>
        <v>QM</v>
      </c>
      <c r="Q2955" s="6" t="s">
        <v>448</v>
      </c>
    </row>
    <row r="2956" customFormat="false" ht="46.25" hidden="false" customHeight="false" outlineLevel="0" collapsed="false">
      <c r="A2956" s="5" t="s">
        <v>6647</v>
      </c>
      <c r="B2956" s="5" t="s">
        <v>132</v>
      </c>
      <c r="C2956" s="5" t="s">
        <v>133</v>
      </c>
      <c r="D2956" s="5" t="s">
        <v>143</v>
      </c>
      <c r="E2956" s="5" t="s">
        <v>144</v>
      </c>
      <c r="F2956" s="5" t="s">
        <v>213</v>
      </c>
      <c r="G2956" s="5" t="s">
        <v>689</v>
      </c>
      <c r="H2956" s="5" t="s">
        <v>222</v>
      </c>
      <c r="I2956" s="5" t="s">
        <v>6648</v>
      </c>
      <c r="J2956" s="5" t="s">
        <v>242</v>
      </c>
      <c r="K2956" s="5" t="s">
        <v>2962</v>
      </c>
      <c r="L2956" s="5" t="s">
        <v>205</v>
      </c>
      <c r="M2956" s="5" t="s">
        <v>692</v>
      </c>
      <c r="N2956" s="5" t="s">
        <v>282</v>
      </c>
      <c r="O2956" s="5" t="s">
        <v>2790</v>
      </c>
      <c r="P2956" s="5" t="str">
        <f aca="false">IF(J2956="S0","—",IF(K2956="","",IF(L2956="E0","QM",INDEX(10_ASIL_Matrix!$D$4:$F$15,MATCH(J2956&amp;"-"&amp;L2956,10_ASIL_Matrix!$C$4:$C$15,0),MATCH(N2956,10_ASIL_Matrix!$D$3:$F$3,0)))))</f>
        <v>QM</v>
      </c>
      <c r="Q2956" s="5" t="s">
        <v>448</v>
      </c>
    </row>
    <row r="2957" customFormat="false" ht="46.25" hidden="false" customHeight="false" outlineLevel="0" collapsed="false">
      <c r="A2957" s="6" t="s">
        <v>6649</v>
      </c>
      <c r="B2957" s="6" t="s">
        <v>132</v>
      </c>
      <c r="C2957" s="6" t="s">
        <v>133</v>
      </c>
      <c r="D2957" s="6" t="s">
        <v>143</v>
      </c>
      <c r="E2957" s="6" t="s">
        <v>144</v>
      </c>
      <c r="F2957" s="6" t="s">
        <v>213</v>
      </c>
      <c r="G2957" s="6" t="s">
        <v>689</v>
      </c>
      <c r="H2957" s="6" t="s">
        <v>224</v>
      </c>
      <c r="I2957" s="6" t="s">
        <v>6650</v>
      </c>
      <c r="J2957" s="6" t="s">
        <v>250</v>
      </c>
      <c r="K2957" s="6" t="s">
        <v>2965</v>
      </c>
      <c r="L2957" s="6" t="s">
        <v>205</v>
      </c>
      <c r="M2957" s="6" t="s">
        <v>696</v>
      </c>
      <c r="N2957" s="6" t="s">
        <v>282</v>
      </c>
      <c r="O2957" s="6" t="s">
        <v>2809</v>
      </c>
      <c r="P2957" s="6" t="str">
        <f aca="false">IF(J2957="S0","—",IF(K2957="","",IF(L2957="E0","QM",INDEX(10_ASIL_Matrix!$D$4:$F$15,MATCH(J2957&amp;"-"&amp;L2957,10_ASIL_Matrix!$C$4:$C$15,0),MATCH(N2957,10_ASIL_Matrix!$D$3:$F$3,0)))))</f>
        <v>QM</v>
      </c>
      <c r="Q2957" s="6" t="s">
        <v>448</v>
      </c>
    </row>
    <row r="2958" customFormat="false" ht="46.25" hidden="false" customHeight="false" outlineLevel="0" collapsed="false">
      <c r="A2958" s="5" t="s">
        <v>6651</v>
      </c>
      <c r="B2958" s="5" t="s">
        <v>132</v>
      </c>
      <c r="C2958" s="5" t="s">
        <v>133</v>
      </c>
      <c r="D2958" s="5" t="s">
        <v>143</v>
      </c>
      <c r="E2958" s="5" t="s">
        <v>144</v>
      </c>
      <c r="F2958" s="5" t="s">
        <v>213</v>
      </c>
      <c r="G2958" s="5" t="s">
        <v>689</v>
      </c>
      <c r="H2958" s="5" t="s">
        <v>226</v>
      </c>
      <c r="I2958" s="5" t="s">
        <v>6652</v>
      </c>
      <c r="J2958" s="5" t="s">
        <v>242</v>
      </c>
      <c r="K2958" s="5" t="s">
        <v>2962</v>
      </c>
      <c r="L2958" s="5" t="s">
        <v>205</v>
      </c>
      <c r="M2958" s="5" t="s">
        <v>699</v>
      </c>
      <c r="N2958" s="5" t="s">
        <v>282</v>
      </c>
      <c r="O2958" s="5" t="s">
        <v>2790</v>
      </c>
      <c r="P2958" s="5" t="str">
        <f aca="false">IF(J2958="S0","—",IF(K2958="","",IF(L2958="E0","QM",INDEX(10_ASIL_Matrix!$D$4:$F$15,MATCH(J2958&amp;"-"&amp;L2958,10_ASIL_Matrix!$C$4:$C$15,0),MATCH(N2958,10_ASIL_Matrix!$D$3:$F$3,0)))))</f>
        <v>QM</v>
      </c>
      <c r="Q2958" s="5" t="s">
        <v>448</v>
      </c>
    </row>
    <row r="2959" customFormat="false" ht="46.25" hidden="false" customHeight="false" outlineLevel="0" collapsed="false">
      <c r="A2959" s="6" t="s">
        <v>6653</v>
      </c>
      <c r="B2959" s="6" t="s">
        <v>132</v>
      </c>
      <c r="C2959" s="6" t="s">
        <v>133</v>
      </c>
      <c r="D2959" s="6" t="s">
        <v>143</v>
      </c>
      <c r="E2959" s="6" t="s">
        <v>144</v>
      </c>
      <c r="F2959" s="6" t="s">
        <v>213</v>
      </c>
      <c r="G2959" s="6" t="s">
        <v>689</v>
      </c>
      <c r="H2959" s="6" t="s">
        <v>228</v>
      </c>
      <c r="I2959" s="6" t="s">
        <v>6654</v>
      </c>
      <c r="J2959" s="6" t="s">
        <v>250</v>
      </c>
      <c r="K2959" s="6" t="s">
        <v>2965</v>
      </c>
      <c r="L2959" s="6" t="s">
        <v>205</v>
      </c>
      <c r="M2959" s="6" t="s">
        <v>702</v>
      </c>
      <c r="N2959" s="6" t="s">
        <v>282</v>
      </c>
      <c r="O2959" s="6" t="s">
        <v>2809</v>
      </c>
      <c r="P2959" s="6" t="str">
        <f aca="false">IF(J2959="S0","—",IF(K2959="","",IF(L2959="E0","QM",INDEX(10_ASIL_Matrix!$D$4:$F$15,MATCH(J2959&amp;"-"&amp;L2959,10_ASIL_Matrix!$C$4:$C$15,0),MATCH(N2959,10_ASIL_Matrix!$D$3:$F$3,0)))))</f>
        <v>QM</v>
      </c>
      <c r="Q2959" s="6" t="s">
        <v>448</v>
      </c>
    </row>
    <row r="2960" customFormat="false" ht="46.25" hidden="false" customHeight="false" outlineLevel="0" collapsed="false">
      <c r="A2960" s="5" t="s">
        <v>6655</v>
      </c>
      <c r="B2960" s="5" t="s">
        <v>132</v>
      </c>
      <c r="C2960" s="5" t="s">
        <v>133</v>
      </c>
      <c r="D2960" s="5" t="s">
        <v>143</v>
      </c>
      <c r="E2960" s="5" t="s">
        <v>144</v>
      </c>
      <c r="F2960" s="5" t="s">
        <v>213</v>
      </c>
      <c r="G2960" s="5" t="s">
        <v>689</v>
      </c>
      <c r="H2960" s="5" t="s">
        <v>230</v>
      </c>
      <c r="I2960" s="5" t="s">
        <v>6656</v>
      </c>
      <c r="J2960" s="5" t="s">
        <v>246</v>
      </c>
      <c r="K2960" s="5" t="s">
        <v>2972</v>
      </c>
      <c r="L2960" s="5" t="s">
        <v>205</v>
      </c>
      <c r="M2960" s="5" t="s">
        <v>705</v>
      </c>
      <c r="N2960" s="5" t="s">
        <v>286</v>
      </c>
      <c r="O2960" s="5" t="s">
        <v>2800</v>
      </c>
      <c r="P2960" s="5" t="str">
        <f aca="false">IF(J2960="S0","—",IF(K2960="","",IF(L2960="E0","QM",INDEX(10_ASIL_Matrix!$D$4:$F$15,MATCH(J2960&amp;"-"&amp;L2960,10_ASIL_Matrix!$C$4:$C$15,0),MATCH(N2960,10_ASIL_Matrix!$D$3:$F$3,0)))))</f>
        <v>QM</v>
      </c>
      <c r="Q2960" s="5" t="s">
        <v>448</v>
      </c>
    </row>
    <row r="2961" customFormat="false" ht="46.25" hidden="false" customHeight="false" outlineLevel="0" collapsed="false">
      <c r="A2961" s="6" t="s">
        <v>6657</v>
      </c>
      <c r="B2961" s="6" t="s">
        <v>132</v>
      </c>
      <c r="C2961" s="6" t="s">
        <v>133</v>
      </c>
      <c r="D2961" s="6" t="s">
        <v>143</v>
      </c>
      <c r="E2961" s="6" t="s">
        <v>144</v>
      </c>
      <c r="F2961" s="6" t="s">
        <v>213</v>
      </c>
      <c r="G2961" s="6" t="s">
        <v>689</v>
      </c>
      <c r="H2961" s="6" t="s">
        <v>232</v>
      </c>
      <c r="I2961" s="6" t="s">
        <v>6658</v>
      </c>
      <c r="J2961" s="6" t="s">
        <v>242</v>
      </c>
      <c r="K2961" s="6" t="s">
        <v>2962</v>
      </c>
      <c r="L2961" s="6" t="s">
        <v>233</v>
      </c>
      <c r="M2961" s="6" t="s">
        <v>709</v>
      </c>
      <c r="N2961" s="6" t="s">
        <v>282</v>
      </c>
      <c r="O2961" s="6" t="s">
        <v>2790</v>
      </c>
      <c r="P2961" s="6" t="str">
        <f aca="false">IF(J2961="S0","—",IF(K2961="","",IF(L2961="E0","QM",INDEX(10_ASIL_Matrix!$D$4:$F$15,MATCH(J2961&amp;"-"&amp;L2961,10_ASIL_Matrix!$C$4:$C$15,0),MATCH(N2961,10_ASIL_Matrix!$D$3:$F$3,0)))))</f>
        <v>QM</v>
      </c>
      <c r="Q2961" s="6" t="s">
        <v>448</v>
      </c>
    </row>
    <row r="2962" customFormat="false" ht="35.05" hidden="false" customHeight="false" outlineLevel="0" collapsed="false">
      <c r="A2962" s="5" t="s">
        <v>6659</v>
      </c>
      <c r="B2962" s="5" t="s">
        <v>132</v>
      </c>
      <c r="C2962" s="5" t="s">
        <v>133</v>
      </c>
      <c r="D2962" s="5" t="s">
        <v>143</v>
      </c>
      <c r="E2962" s="5" t="s">
        <v>144</v>
      </c>
      <c r="F2962" s="5" t="s">
        <v>215</v>
      </c>
      <c r="G2962" s="5" t="s">
        <v>711</v>
      </c>
      <c r="H2962" s="5" t="s">
        <v>222</v>
      </c>
      <c r="I2962" s="5" t="s">
        <v>6660</v>
      </c>
      <c r="J2962" s="5" t="s">
        <v>246</v>
      </c>
      <c r="K2962" s="5" t="s">
        <v>2977</v>
      </c>
      <c r="L2962" s="5" t="s">
        <v>190</v>
      </c>
      <c r="M2962" s="5" t="s">
        <v>714</v>
      </c>
      <c r="N2962" s="5" t="s">
        <v>282</v>
      </c>
      <c r="O2962" s="5" t="s">
        <v>2790</v>
      </c>
      <c r="P2962" s="5" t="str">
        <f aca="false">IF(J2962="S0","—",IF(K2962="","",IF(L2962="E0","QM",INDEX(10_ASIL_Matrix!$D$4:$F$15,MATCH(J2962&amp;"-"&amp;L2962,10_ASIL_Matrix!$C$4:$C$15,0),MATCH(N2962,10_ASIL_Matrix!$D$3:$F$3,0)))))</f>
        <v>QM</v>
      </c>
      <c r="Q2962" s="5" t="s">
        <v>448</v>
      </c>
    </row>
    <row r="2963" customFormat="false" ht="35.05" hidden="false" customHeight="false" outlineLevel="0" collapsed="false">
      <c r="A2963" s="6" t="s">
        <v>6661</v>
      </c>
      <c r="B2963" s="6" t="s">
        <v>132</v>
      </c>
      <c r="C2963" s="6" t="s">
        <v>133</v>
      </c>
      <c r="D2963" s="6" t="s">
        <v>143</v>
      </c>
      <c r="E2963" s="6" t="s">
        <v>144</v>
      </c>
      <c r="F2963" s="6" t="s">
        <v>215</v>
      </c>
      <c r="G2963" s="6" t="s">
        <v>711</v>
      </c>
      <c r="H2963" s="6" t="s">
        <v>224</v>
      </c>
      <c r="I2963" s="6" t="s">
        <v>6662</v>
      </c>
      <c r="J2963" s="6" t="s">
        <v>246</v>
      </c>
      <c r="K2963" s="6" t="s">
        <v>2977</v>
      </c>
      <c r="L2963" s="6" t="s">
        <v>190</v>
      </c>
      <c r="M2963" s="6" t="s">
        <v>717</v>
      </c>
      <c r="N2963" s="6" t="s">
        <v>282</v>
      </c>
      <c r="O2963" s="6" t="s">
        <v>2790</v>
      </c>
      <c r="P2963" s="6" t="str">
        <f aca="false">IF(J2963="S0","—",IF(K2963="","",IF(L2963="E0","QM",INDEX(10_ASIL_Matrix!$D$4:$F$15,MATCH(J2963&amp;"-"&amp;L2963,10_ASIL_Matrix!$C$4:$C$15,0),MATCH(N2963,10_ASIL_Matrix!$D$3:$F$3,0)))))</f>
        <v>QM</v>
      </c>
      <c r="Q2963" s="6" t="s">
        <v>448</v>
      </c>
    </row>
    <row r="2964" customFormat="false" ht="35.05" hidden="false" customHeight="false" outlineLevel="0" collapsed="false">
      <c r="A2964" s="5" t="s">
        <v>6663</v>
      </c>
      <c r="B2964" s="5" t="s">
        <v>132</v>
      </c>
      <c r="C2964" s="5" t="s">
        <v>133</v>
      </c>
      <c r="D2964" s="5" t="s">
        <v>143</v>
      </c>
      <c r="E2964" s="5" t="s">
        <v>144</v>
      </c>
      <c r="F2964" s="5" t="s">
        <v>215</v>
      </c>
      <c r="G2964" s="5" t="s">
        <v>711</v>
      </c>
      <c r="H2964" s="5" t="s">
        <v>226</v>
      </c>
      <c r="I2964" s="5" t="s">
        <v>6664</v>
      </c>
      <c r="J2964" s="5" t="s">
        <v>246</v>
      </c>
      <c r="K2964" s="5" t="s">
        <v>2977</v>
      </c>
      <c r="L2964" s="5" t="s">
        <v>190</v>
      </c>
      <c r="M2964" s="5" t="s">
        <v>720</v>
      </c>
      <c r="N2964" s="5" t="s">
        <v>282</v>
      </c>
      <c r="O2964" s="5" t="s">
        <v>2790</v>
      </c>
      <c r="P2964" s="5" t="str">
        <f aca="false">IF(J2964="S0","—",IF(K2964="","",IF(L2964="E0","QM",INDEX(10_ASIL_Matrix!$D$4:$F$15,MATCH(J2964&amp;"-"&amp;L2964,10_ASIL_Matrix!$C$4:$C$15,0),MATCH(N2964,10_ASIL_Matrix!$D$3:$F$3,0)))))</f>
        <v>QM</v>
      </c>
      <c r="Q2964" s="5" t="s">
        <v>448</v>
      </c>
    </row>
    <row r="2965" customFormat="false" ht="46.25" hidden="false" customHeight="false" outlineLevel="0" collapsed="false">
      <c r="A2965" s="6" t="s">
        <v>6665</v>
      </c>
      <c r="B2965" s="6" t="s">
        <v>132</v>
      </c>
      <c r="C2965" s="6" t="s">
        <v>133</v>
      </c>
      <c r="D2965" s="6" t="s">
        <v>143</v>
      </c>
      <c r="E2965" s="6" t="s">
        <v>144</v>
      </c>
      <c r="F2965" s="6" t="s">
        <v>215</v>
      </c>
      <c r="G2965" s="6" t="s">
        <v>711</v>
      </c>
      <c r="H2965" s="6" t="s">
        <v>228</v>
      </c>
      <c r="I2965" s="6" t="s">
        <v>6666</v>
      </c>
      <c r="J2965" s="6" t="s">
        <v>246</v>
      </c>
      <c r="K2965" s="6" t="s">
        <v>2977</v>
      </c>
      <c r="L2965" s="6" t="s">
        <v>205</v>
      </c>
      <c r="M2965" s="6" t="s">
        <v>723</v>
      </c>
      <c r="N2965" s="6" t="s">
        <v>282</v>
      </c>
      <c r="O2965" s="6" t="s">
        <v>2790</v>
      </c>
      <c r="P2965" s="6" t="str">
        <f aca="false">IF(J2965="S0","—",IF(K2965="","",IF(L2965="E0","QM",INDEX(10_ASIL_Matrix!$D$4:$F$15,MATCH(J2965&amp;"-"&amp;L2965,10_ASIL_Matrix!$C$4:$C$15,0),MATCH(N2965,10_ASIL_Matrix!$D$3:$F$3,0)))))</f>
        <v>QM</v>
      </c>
      <c r="Q2965" s="6" t="s">
        <v>448</v>
      </c>
    </row>
    <row r="2966" customFormat="false" ht="46.25" hidden="false" customHeight="false" outlineLevel="0" collapsed="false">
      <c r="A2966" s="5" t="s">
        <v>6667</v>
      </c>
      <c r="B2966" s="5" t="s">
        <v>132</v>
      </c>
      <c r="C2966" s="5" t="s">
        <v>133</v>
      </c>
      <c r="D2966" s="5" t="s">
        <v>143</v>
      </c>
      <c r="E2966" s="5" t="s">
        <v>144</v>
      </c>
      <c r="F2966" s="5" t="s">
        <v>215</v>
      </c>
      <c r="G2966" s="5" t="s">
        <v>711</v>
      </c>
      <c r="H2966" s="5" t="s">
        <v>230</v>
      </c>
      <c r="I2966" s="5" t="s">
        <v>6668</v>
      </c>
      <c r="J2966" s="5" t="s">
        <v>250</v>
      </c>
      <c r="K2966" s="5" t="s">
        <v>2986</v>
      </c>
      <c r="L2966" s="5" t="s">
        <v>205</v>
      </c>
      <c r="M2966" s="5" t="s">
        <v>726</v>
      </c>
      <c r="N2966" s="5" t="s">
        <v>286</v>
      </c>
      <c r="O2966" s="5" t="s">
        <v>2800</v>
      </c>
      <c r="P2966" s="19" t="str">
        <f aca="false">IF(J2966="S0","—",IF(K2966="","",IF(L2966="E0","QM",INDEX(10_ASIL_Matrix!$D$4:$F$15,MATCH(J2966&amp;"-"&amp;L2966,10_ASIL_Matrix!$C$4:$C$15,0),MATCH(N2966,10_ASIL_Matrix!$D$3:$F$3,0)))))</f>
        <v>A</v>
      </c>
      <c r="Q2966" s="5" t="s">
        <v>448</v>
      </c>
    </row>
    <row r="2967" customFormat="false" ht="46.25" hidden="false" customHeight="false" outlineLevel="0" collapsed="false">
      <c r="A2967" s="6" t="s">
        <v>6669</v>
      </c>
      <c r="B2967" s="6" t="s">
        <v>132</v>
      </c>
      <c r="C2967" s="6" t="s">
        <v>133</v>
      </c>
      <c r="D2967" s="6" t="s">
        <v>143</v>
      </c>
      <c r="E2967" s="6" t="s">
        <v>144</v>
      </c>
      <c r="F2967" s="6" t="s">
        <v>215</v>
      </c>
      <c r="G2967" s="6" t="s">
        <v>711</v>
      </c>
      <c r="H2967" s="6" t="s">
        <v>232</v>
      </c>
      <c r="I2967" s="6" t="s">
        <v>6670</v>
      </c>
      <c r="J2967" s="6" t="s">
        <v>246</v>
      </c>
      <c r="K2967" s="6" t="s">
        <v>2977</v>
      </c>
      <c r="L2967" s="6" t="s">
        <v>233</v>
      </c>
      <c r="M2967" s="6" t="s">
        <v>729</v>
      </c>
      <c r="N2967" s="6" t="s">
        <v>282</v>
      </c>
      <c r="O2967" s="6" t="s">
        <v>2790</v>
      </c>
      <c r="P2967" s="6" t="str">
        <f aca="false">IF(J2967="S0","—",IF(K2967="","",IF(L2967="E0","QM",INDEX(10_ASIL_Matrix!$D$4:$F$15,MATCH(J2967&amp;"-"&amp;L2967,10_ASIL_Matrix!$C$4:$C$15,0),MATCH(N2967,10_ASIL_Matrix!$D$3:$F$3,0)))))</f>
        <v>QM</v>
      </c>
      <c r="Q2967" s="6" t="s">
        <v>448</v>
      </c>
    </row>
    <row r="2968" customFormat="false" ht="35.05" hidden="false" customHeight="false" outlineLevel="0" collapsed="false">
      <c r="A2968" s="5" t="s">
        <v>6671</v>
      </c>
      <c r="B2968" s="5" t="s">
        <v>132</v>
      </c>
      <c r="C2968" s="5" t="s">
        <v>133</v>
      </c>
      <c r="D2968" s="5" t="s">
        <v>143</v>
      </c>
      <c r="E2968" s="5" t="s">
        <v>144</v>
      </c>
      <c r="F2968" s="5" t="s">
        <v>217</v>
      </c>
      <c r="G2968" s="5" t="s">
        <v>488</v>
      </c>
      <c r="H2968" s="5" t="s">
        <v>222</v>
      </c>
      <c r="I2968" s="5" t="s">
        <v>6672</v>
      </c>
      <c r="J2968" s="5" t="s">
        <v>246</v>
      </c>
      <c r="K2968" s="5" t="s">
        <v>2991</v>
      </c>
      <c r="L2968" s="5" t="s">
        <v>190</v>
      </c>
      <c r="M2968" s="5" t="s">
        <v>733</v>
      </c>
      <c r="N2968" s="5" t="s">
        <v>282</v>
      </c>
      <c r="O2968" s="5" t="s">
        <v>2790</v>
      </c>
      <c r="P2968" s="5" t="str">
        <f aca="false">IF(J2968="S0","—",IF(K2968="","",IF(L2968="E0","QM",INDEX(10_ASIL_Matrix!$D$4:$F$15,MATCH(J2968&amp;"-"&amp;L2968,10_ASIL_Matrix!$C$4:$C$15,0),MATCH(N2968,10_ASIL_Matrix!$D$3:$F$3,0)))))</f>
        <v>QM</v>
      </c>
      <c r="Q2968" s="5" t="s">
        <v>448</v>
      </c>
    </row>
    <row r="2969" customFormat="false" ht="35.05" hidden="false" customHeight="false" outlineLevel="0" collapsed="false">
      <c r="A2969" s="6" t="s">
        <v>6673</v>
      </c>
      <c r="B2969" s="6" t="s">
        <v>132</v>
      </c>
      <c r="C2969" s="6" t="s">
        <v>133</v>
      </c>
      <c r="D2969" s="6" t="s">
        <v>143</v>
      </c>
      <c r="E2969" s="6" t="s">
        <v>144</v>
      </c>
      <c r="F2969" s="6" t="s">
        <v>217</v>
      </c>
      <c r="G2969" s="6" t="s">
        <v>488</v>
      </c>
      <c r="H2969" s="6" t="s">
        <v>224</v>
      </c>
      <c r="I2969" s="6" t="s">
        <v>6674</v>
      </c>
      <c r="J2969" s="6" t="s">
        <v>250</v>
      </c>
      <c r="K2969" s="6" t="s">
        <v>2994</v>
      </c>
      <c r="L2969" s="6" t="s">
        <v>190</v>
      </c>
      <c r="M2969" s="6" t="s">
        <v>736</v>
      </c>
      <c r="N2969" s="6" t="s">
        <v>282</v>
      </c>
      <c r="O2969" s="6" t="s">
        <v>2809</v>
      </c>
      <c r="P2969" s="19" t="str">
        <f aca="false">IF(J2969="S0","—",IF(K2969="","",IF(L2969="E0","QM",INDEX(10_ASIL_Matrix!$D$4:$F$15,MATCH(J2969&amp;"-"&amp;L2969,10_ASIL_Matrix!$C$4:$C$15,0),MATCH(N2969,10_ASIL_Matrix!$D$3:$F$3,0)))))</f>
        <v>A</v>
      </c>
      <c r="Q2969" s="6" t="s">
        <v>448</v>
      </c>
    </row>
    <row r="2970" customFormat="false" ht="35.05" hidden="false" customHeight="false" outlineLevel="0" collapsed="false">
      <c r="A2970" s="5" t="s">
        <v>6675</v>
      </c>
      <c r="B2970" s="5" t="s">
        <v>132</v>
      </c>
      <c r="C2970" s="5" t="s">
        <v>133</v>
      </c>
      <c r="D2970" s="5" t="s">
        <v>143</v>
      </c>
      <c r="E2970" s="5" t="s">
        <v>144</v>
      </c>
      <c r="F2970" s="5" t="s">
        <v>217</v>
      </c>
      <c r="G2970" s="5" t="s">
        <v>488</v>
      </c>
      <c r="H2970" s="5" t="s">
        <v>226</v>
      </c>
      <c r="I2970" s="5" t="s">
        <v>6676</v>
      </c>
      <c r="J2970" s="5" t="s">
        <v>246</v>
      </c>
      <c r="K2970" s="5" t="s">
        <v>2991</v>
      </c>
      <c r="L2970" s="5" t="s">
        <v>190</v>
      </c>
      <c r="M2970" s="5" t="s">
        <v>739</v>
      </c>
      <c r="N2970" s="5" t="s">
        <v>282</v>
      </c>
      <c r="O2970" s="5" t="s">
        <v>2790</v>
      </c>
      <c r="P2970" s="5" t="str">
        <f aca="false">IF(J2970="S0","—",IF(K2970="","",IF(L2970="E0","QM",INDEX(10_ASIL_Matrix!$D$4:$F$15,MATCH(J2970&amp;"-"&amp;L2970,10_ASIL_Matrix!$C$4:$C$15,0),MATCH(N2970,10_ASIL_Matrix!$D$3:$F$3,0)))))</f>
        <v>QM</v>
      </c>
      <c r="Q2970" s="5" t="s">
        <v>448</v>
      </c>
    </row>
    <row r="2971" customFormat="false" ht="46.25" hidden="false" customHeight="false" outlineLevel="0" collapsed="false">
      <c r="A2971" s="6" t="s">
        <v>6677</v>
      </c>
      <c r="B2971" s="6" t="s">
        <v>132</v>
      </c>
      <c r="C2971" s="6" t="s">
        <v>133</v>
      </c>
      <c r="D2971" s="6" t="s">
        <v>143</v>
      </c>
      <c r="E2971" s="6" t="s">
        <v>144</v>
      </c>
      <c r="F2971" s="6" t="s">
        <v>217</v>
      </c>
      <c r="G2971" s="6" t="s">
        <v>488</v>
      </c>
      <c r="H2971" s="6" t="s">
        <v>228</v>
      </c>
      <c r="I2971" s="6" t="s">
        <v>6678</v>
      </c>
      <c r="J2971" s="6" t="s">
        <v>250</v>
      </c>
      <c r="K2971" s="6" t="s">
        <v>2994</v>
      </c>
      <c r="L2971" s="6" t="s">
        <v>205</v>
      </c>
      <c r="M2971" s="6" t="s">
        <v>742</v>
      </c>
      <c r="N2971" s="6" t="s">
        <v>282</v>
      </c>
      <c r="O2971" s="6" t="s">
        <v>2809</v>
      </c>
      <c r="P2971" s="6" t="str">
        <f aca="false">IF(J2971="S0","—",IF(K2971="","",IF(L2971="E0","QM",INDEX(10_ASIL_Matrix!$D$4:$F$15,MATCH(J2971&amp;"-"&amp;L2971,10_ASIL_Matrix!$C$4:$C$15,0),MATCH(N2971,10_ASIL_Matrix!$D$3:$F$3,0)))))</f>
        <v>QM</v>
      </c>
      <c r="Q2971" s="6" t="s">
        <v>448</v>
      </c>
    </row>
    <row r="2972" customFormat="false" ht="46.25" hidden="false" customHeight="false" outlineLevel="0" collapsed="false">
      <c r="A2972" s="5" t="s">
        <v>6679</v>
      </c>
      <c r="B2972" s="5" t="s">
        <v>132</v>
      </c>
      <c r="C2972" s="5" t="s">
        <v>133</v>
      </c>
      <c r="D2972" s="5" t="s">
        <v>143</v>
      </c>
      <c r="E2972" s="5" t="s">
        <v>144</v>
      </c>
      <c r="F2972" s="5" t="s">
        <v>217</v>
      </c>
      <c r="G2972" s="5" t="s">
        <v>488</v>
      </c>
      <c r="H2972" s="5" t="s">
        <v>230</v>
      </c>
      <c r="I2972" s="5" t="s">
        <v>6680</v>
      </c>
      <c r="J2972" s="5" t="s">
        <v>250</v>
      </c>
      <c r="K2972" s="5" t="s">
        <v>3001</v>
      </c>
      <c r="L2972" s="5" t="s">
        <v>205</v>
      </c>
      <c r="M2972" s="5" t="s">
        <v>745</v>
      </c>
      <c r="N2972" s="5" t="s">
        <v>286</v>
      </c>
      <c r="O2972" s="5" t="s">
        <v>2800</v>
      </c>
      <c r="P2972" s="19" t="str">
        <f aca="false">IF(J2972="S0","—",IF(K2972="","",IF(L2972="E0","QM",INDEX(10_ASIL_Matrix!$D$4:$F$15,MATCH(J2972&amp;"-"&amp;L2972,10_ASIL_Matrix!$C$4:$C$15,0),MATCH(N2972,10_ASIL_Matrix!$D$3:$F$3,0)))))</f>
        <v>A</v>
      </c>
      <c r="Q2972" s="5" t="s">
        <v>448</v>
      </c>
    </row>
    <row r="2973" customFormat="false" ht="46.25" hidden="false" customHeight="false" outlineLevel="0" collapsed="false">
      <c r="A2973" s="6" t="s">
        <v>6681</v>
      </c>
      <c r="B2973" s="6" t="s">
        <v>132</v>
      </c>
      <c r="C2973" s="6" t="s">
        <v>133</v>
      </c>
      <c r="D2973" s="6" t="s">
        <v>143</v>
      </c>
      <c r="E2973" s="6" t="s">
        <v>144</v>
      </c>
      <c r="F2973" s="6" t="s">
        <v>217</v>
      </c>
      <c r="G2973" s="6" t="s">
        <v>488</v>
      </c>
      <c r="H2973" s="6" t="s">
        <v>232</v>
      </c>
      <c r="I2973" s="6" t="s">
        <v>6682</v>
      </c>
      <c r="J2973" s="6" t="s">
        <v>246</v>
      </c>
      <c r="K2973" s="6" t="s">
        <v>2991</v>
      </c>
      <c r="L2973" s="6" t="s">
        <v>233</v>
      </c>
      <c r="M2973" s="6" t="s">
        <v>748</v>
      </c>
      <c r="N2973" s="6" t="s">
        <v>282</v>
      </c>
      <c r="O2973" s="6" t="s">
        <v>2790</v>
      </c>
      <c r="P2973" s="6" t="str">
        <f aca="false">IF(J2973="S0","—",IF(K2973="","",IF(L2973="E0","QM",INDEX(10_ASIL_Matrix!$D$4:$F$15,MATCH(J2973&amp;"-"&amp;L2973,10_ASIL_Matrix!$C$4:$C$15,0),MATCH(N2973,10_ASIL_Matrix!$D$3:$F$3,0)))))</f>
        <v>QM</v>
      </c>
      <c r="Q2973" s="6" t="s">
        <v>448</v>
      </c>
    </row>
  </sheetData>
  <autoFilter ref="A3:Q2973"/>
  <mergeCells count="1">
    <mergeCell ref="A1:Q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50"/>
    <col collapsed="false" customWidth="true" hidden="false" outlineLevel="0" max="4" min="4" style="0" width="14"/>
    <col collapsed="false" customWidth="true" hidden="false" outlineLevel="0" max="5" min="5" style="0" width="28"/>
    <col collapsed="false" customWidth="true" hidden="false" outlineLevel="0" max="6" min="6" style="0" width="60"/>
    <col collapsed="false" customWidth="true" hidden="false" outlineLevel="0" max="7" min="7" style="0" width="40"/>
    <col collapsed="false" customWidth="true" hidden="false" outlineLevel="0" max="8" min="8" style="0" width="30"/>
  </cols>
  <sheetData>
    <row r="1" customFormat="false" ht="27.75" hidden="false" customHeight="true" outlineLevel="0" collapsed="false">
      <c r="A1" s="1" t="s">
        <v>6683</v>
      </c>
      <c r="B1" s="1"/>
      <c r="C1" s="1"/>
      <c r="D1" s="1"/>
      <c r="E1" s="1"/>
      <c r="F1" s="1"/>
      <c r="G1" s="1"/>
    </row>
    <row r="2" customFormat="false" ht="36" hidden="false" customHeight="true" outlineLevel="0" collapsed="false">
      <c r="A2" s="21" t="s">
        <v>6684</v>
      </c>
      <c r="B2" s="21"/>
      <c r="C2" s="21"/>
      <c r="D2" s="21"/>
      <c r="E2" s="21"/>
      <c r="F2" s="21"/>
      <c r="G2" s="21"/>
    </row>
    <row r="4" customFormat="false" ht="31.5" hidden="false" customHeight="true" outlineLevel="0" collapsed="false">
      <c r="A4" s="4" t="s">
        <v>6685</v>
      </c>
      <c r="B4" s="4" t="s">
        <v>303</v>
      </c>
      <c r="C4" s="4" t="s">
        <v>6686</v>
      </c>
      <c r="D4" s="4" t="s">
        <v>6687</v>
      </c>
      <c r="E4" s="4" t="s">
        <v>6688</v>
      </c>
      <c r="F4" s="4" t="s">
        <v>6689</v>
      </c>
      <c r="G4" s="4" t="s">
        <v>441</v>
      </c>
      <c r="H4" s="13" t="s">
        <v>6690</v>
      </c>
    </row>
    <row r="5" customFormat="false" ht="23.85" hidden="false" customHeight="false" outlineLevel="0" collapsed="false">
      <c r="A5" s="5" t="s">
        <v>6691</v>
      </c>
      <c r="B5" s="5" t="s">
        <v>102</v>
      </c>
      <c r="C5" s="5" t="s">
        <v>314</v>
      </c>
      <c r="D5" s="20" t="s">
        <v>277</v>
      </c>
      <c r="E5" s="5" t="s">
        <v>6692</v>
      </c>
      <c r="F5" s="5" t="s">
        <v>6693</v>
      </c>
      <c r="G5" s="5" t="s">
        <v>448</v>
      </c>
      <c r="H5" s="22" t="s">
        <v>6694</v>
      </c>
    </row>
    <row r="6" customFormat="false" ht="23.85" hidden="false" customHeight="false" outlineLevel="0" collapsed="false">
      <c r="A6" s="6" t="s">
        <v>6695</v>
      </c>
      <c r="B6" s="6" t="s">
        <v>109</v>
      </c>
      <c r="C6" s="6" t="s">
        <v>314</v>
      </c>
      <c r="D6" s="20" t="s">
        <v>277</v>
      </c>
      <c r="E6" s="6" t="s">
        <v>6696</v>
      </c>
      <c r="F6" s="6" t="s">
        <v>6693</v>
      </c>
      <c r="G6" s="6" t="s">
        <v>448</v>
      </c>
      <c r="H6" s="22" t="s">
        <v>6694</v>
      </c>
    </row>
    <row r="7" customFormat="false" ht="23.85" hidden="false" customHeight="false" outlineLevel="0" collapsed="false">
      <c r="A7" s="5" t="s">
        <v>6697</v>
      </c>
      <c r="B7" s="5" t="s">
        <v>102</v>
      </c>
      <c r="C7" s="5" t="s">
        <v>311</v>
      </c>
      <c r="D7" s="18" t="s">
        <v>298</v>
      </c>
      <c r="E7" s="5" t="s">
        <v>6698</v>
      </c>
      <c r="F7" s="5" t="s">
        <v>6699</v>
      </c>
      <c r="G7" s="5" t="s">
        <v>448</v>
      </c>
      <c r="H7" s="22" t="s">
        <v>6700</v>
      </c>
    </row>
    <row r="8" customFormat="false" ht="23.85" hidden="false" customHeight="false" outlineLevel="0" collapsed="false">
      <c r="A8" s="6" t="s">
        <v>6701</v>
      </c>
      <c r="B8" s="6" t="s">
        <v>106</v>
      </c>
      <c r="C8" s="6" t="s">
        <v>327</v>
      </c>
      <c r="D8" s="18" t="s">
        <v>298</v>
      </c>
      <c r="E8" s="6" t="s">
        <v>6702</v>
      </c>
      <c r="F8" s="6" t="s">
        <v>6703</v>
      </c>
      <c r="G8" s="6" t="s">
        <v>448</v>
      </c>
      <c r="H8" s="22" t="s">
        <v>6704</v>
      </c>
    </row>
    <row r="9" customFormat="false" ht="23.85" hidden="false" customHeight="false" outlineLevel="0" collapsed="false">
      <c r="A9" s="5" t="s">
        <v>6705</v>
      </c>
      <c r="B9" s="5" t="s">
        <v>106</v>
      </c>
      <c r="C9" s="5" t="s">
        <v>330</v>
      </c>
      <c r="D9" s="18" t="s">
        <v>298</v>
      </c>
      <c r="E9" s="5" t="s">
        <v>6706</v>
      </c>
      <c r="F9" s="5" t="s">
        <v>6707</v>
      </c>
      <c r="G9" s="5" t="s">
        <v>448</v>
      </c>
      <c r="H9" s="22" t="s">
        <v>6708</v>
      </c>
    </row>
    <row r="10" customFormat="false" ht="23.85" hidden="false" customHeight="false" outlineLevel="0" collapsed="false">
      <c r="A10" s="6" t="s">
        <v>6709</v>
      </c>
      <c r="B10" s="6" t="s">
        <v>106</v>
      </c>
      <c r="C10" s="6" t="s">
        <v>332</v>
      </c>
      <c r="D10" s="18" t="s">
        <v>298</v>
      </c>
      <c r="E10" s="6" t="s">
        <v>6710</v>
      </c>
      <c r="F10" s="6" t="s">
        <v>6711</v>
      </c>
      <c r="G10" s="6" t="s">
        <v>448</v>
      </c>
      <c r="H10" s="22" t="s">
        <v>6712</v>
      </c>
    </row>
    <row r="11" customFormat="false" ht="23.85" hidden="false" customHeight="false" outlineLevel="0" collapsed="false">
      <c r="A11" s="5" t="s">
        <v>6713</v>
      </c>
      <c r="B11" s="5" t="s">
        <v>109</v>
      </c>
      <c r="C11" s="5" t="s">
        <v>345</v>
      </c>
      <c r="D11" s="18" t="s">
        <v>298</v>
      </c>
      <c r="E11" s="5" t="s">
        <v>6714</v>
      </c>
      <c r="F11" s="5" t="s">
        <v>6715</v>
      </c>
      <c r="G11" s="5" t="s">
        <v>448</v>
      </c>
      <c r="H11" s="22" t="s">
        <v>6716</v>
      </c>
    </row>
    <row r="12" customFormat="false" ht="23.85" hidden="false" customHeight="false" outlineLevel="0" collapsed="false">
      <c r="A12" s="6" t="s">
        <v>6717</v>
      </c>
      <c r="B12" s="6" t="s">
        <v>109</v>
      </c>
      <c r="C12" s="6" t="s">
        <v>311</v>
      </c>
      <c r="D12" s="18" t="s">
        <v>298</v>
      </c>
      <c r="E12" s="6" t="s">
        <v>6718</v>
      </c>
      <c r="F12" s="6" t="s">
        <v>6699</v>
      </c>
      <c r="G12" s="6" t="s">
        <v>448</v>
      </c>
      <c r="H12" s="22" t="s">
        <v>6700</v>
      </c>
    </row>
    <row r="13" customFormat="false" ht="23.85" hidden="false" customHeight="false" outlineLevel="0" collapsed="false">
      <c r="A13" s="5" t="s">
        <v>6719</v>
      </c>
      <c r="B13" s="5" t="s">
        <v>113</v>
      </c>
      <c r="C13" s="5" t="s">
        <v>330</v>
      </c>
      <c r="D13" s="18" t="s">
        <v>298</v>
      </c>
      <c r="E13" s="5" t="s">
        <v>6720</v>
      </c>
      <c r="F13" s="5" t="s">
        <v>6707</v>
      </c>
      <c r="G13" s="5" t="s">
        <v>448</v>
      </c>
      <c r="H13" s="22" t="s">
        <v>6708</v>
      </c>
    </row>
    <row r="14" customFormat="false" ht="23.85" hidden="false" customHeight="false" outlineLevel="0" collapsed="false">
      <c r="A14" s="6" t="s">
        <v>6721</v>
      </c>
      <c r="B14" s="6" t="s">
        <v>116</v>
      </c>
      <c r="C14" s="6" t="s">
        <v>375</v>
      </c>
      <c r="D14" s="18" t="s">
        <v>298</v>
      </c>
      <c r="E14" s="6" t="s">
        <v>6722</v>
      </c>
      <c r="F14" s="6" t="s">
        <v>6723</v>
      </c>
      <c r="G14" s="6" t="s">
        <v>448</v>
      </c>
      <c r="H14" s="22" t="s">
        <v>6724</v>
      </c>
    </row>
    <row r="15" customFormat="false" ht="23.85" hidden="false" customHeight="false" outlineLevel="0" collapsed="false">
      <c r="A15" s="5" t="s">
        <v>6725</v>
      </c>
      <c r="B15" s="5" t="s">
        <v>126</v>
      </c>
      <c r="C15" s="5" t="s">
        <v>405</v>
      </c>
      <c r="D15" s="18" t="s">
        <v>298</v>
      </c>
      <c r="E15" s="5" t="s">
        <v>6726</v>
      </c>
      <c r="F15" s="5" t="s">
        <v>6727</v>
      </c>
      <c r="G15" s="5" t="s">
        <v>448</v>
      </c>
      <c r="H15" s="22" t="s">
        <v>6728</v>
      </c>
    </row>
    <row r="16" customFormat="false" ht="23.85" hidden="false" customHeight="false" outlineLevel="0" collapsed="false">
      <c r="A16" s="6" t="s">
        <v>6729</v>
      </c>
      <c r="B16" s="6" t="s">
        <v>126</v>
      </c>
      <c r="C16" s="6" t="s">
        <v>311</v>
      </c>
      <c r="D16" s="18" t="s">
        <v>298</v>
      </c>
      <c r="E16" s="6" t="s">
        <v>6730</v>
      </c>
      <c r="F16" s="6" t="s">
        <v>6699</v>
      </c>
      <c r="G16" s="6" t="s">
        <v>448</v>
      </c>
      <c r="H16" s="22" t="s">
        <v>6700</v>
      </c>
    </row>
    <row r="17" customFormat="false" ht="35.05" hidden="false" customHeight="false" outlineLevel="0" collapsed="false">
      <c r="A17" s="5" t="s">
        <v>6731</v>
      </c>
      <c r="B17" s="5" t="s">
        <v>133</v>
      </c>
      <c r="C17" s="5" t="s">
        <v>417</v>
      </c>
      <c r="D17" s="18" t="s">
        <v>298</v>
      </c>
      <c r="E17" s="5" t="s">
        <v>6732</v>
      </c>
      <c r="F17" s="5" t="s">
        <v>6733</v>
      </c>
      <c r="G17" s="5" t="s">
        <v>448</v>
      </c>
      <c r="H17" s="22" t="s">
        <v>6734</v>
      </c>
    </row>
    <row r="18" customFormat="false" ht="35.05" hidden="false" customHeight="false" outlineLevel="0" collapsed="false">
      <c r="A18" s="6" t="s">
        <v>6735</v>
      </c>
      <c r="B18" s="6" t="s">
        <v>133</v>
      </c>
      <c r="C18" s="6" t="s">
        <v>330</v>
      </c>
      <c r="D18" s="18" t="s">
        <v>298</v>
      </c>
      <c r="E18" s="6" t="s">
        <v>6736</v>
      </c>
      <c r="F18" s="6" t="s">
        <v>6707</v>
      </c>
      <c r="G18" s="6" t="s">
        <v>448</v>
      </c>
      <c r="H18" s="22" t="s">
        <v>6708</v>
      </c>
    </row>
    <row r="19" customFormat="false" ht="23.85" hidden="false" customHeight="false" outlineLevel="0" collapsed="false">
      <c r="A19" s="5" t="s">
        <v>6737</v>
      </c>
      <c r="B19" s="5" t="s">
        <v>120</v>
      </c>
      <c r="C19" s="5" t="s">
        <v>330</v>
      </c>
      <c r="D19" s="19" t="s">
        <v>297</v>
      </c>
      <c r="E19" s="5" t="s">
        <v>6738</v>
      </c>
      <c r="F19" s="5" t="s">
        <v>6707</v>
      </c>
      <c r="G19" s="5" t="s">
        <v>448</v>
      </c>
      <c r="H19" s="22" t="s">
        <v>6708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6" min="6" style="0" width="22"/>
    <col collapsed="false" customWidth="true" hidden="false" outlineLevel="0" max="7" min="7" style="0" width="36"/>
    <col collapsed="false" customWidth="true" hidden="false" outlineLevel="0" max="8" min="8" style="0" width="14"/>
    <col collapsed="false" customWidth="true" hidden="false" outlineLevel="0" max="9" min="9" style="0" width="50"/>
    <col collapsed="false" customWidth="true" hidden="false" outlineLevel="0" max="10" min="10" style="0" width="16"/>
    <col collapsed="false" customWidth="true" hidden="false" outlineLevel="0" max="11" min="11" style="0" width="22"/>
  </cols>
  <sheetData>
    <row r="1" customFormat="false" ht="27.75" hidden="false" customHeight="true" outlineLevel="0" collapsed="false">
      <c r="A1" s="1" t="s">
        <v>6739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36" hidden="false" customHeight="true" outlineLevel="0" collapsed="false">
      <c r="A2" s="21" t="s">
        <v>6740</v>
      </c>
      <c r="B2" s="21"/>
      <c r="C2" s="21"/>
      <c r="D2" s="21"/>
      <c r="E2" s="21"/>
      <c r="F2" s="21"/>
      <c r="G2" s="21"/>
      <c r="H2" s="21"/>
      <c r="I2" s="21"/>
      <c r="J2" s="21"/>
      <c r="K2" s="21"/>
    </row>
    <row r="4" customFormat="false" ht="31.5" hidden="false" customHeight="true" outlineLevel="0" collapsed="false">
      <c r="A4" s="4" t="s">
        <v>6685</v>
      </c>
      <c r="B4" s="4" t="s">
        <v>6689</v>
      </c>
      <c r="C4" s="4" t="s">
        <v>440</v>
      </c>
      <c r="D4" s="4" t="s">
        <v>441</v>
      </c>
      <c r="E4" s="4" t="s">
        <v>6741</v>
      </c>
      <c r="F4" s="4" t="s">
        <v>6742</v>
      </c>
      <c r="G4" s="4" t="s">
        <v>6743</v>
      </c>
      <c r="H4" s="4" t="s">
        <v>6744</v>
      </c>
      <c r="I4" s="4" t="s">
        <v>6745</v>
      </c>
      <c r="J4" s="4" t="s">
        <v>6746</v>
      </c>
      <c r="K4" s="4" t="s">
        <v>6747</v>
      </c>
    </row>
    <row r="5" customFormat="false" ht="35.05" hidden="false" customHeight="false" outlineLevel="0" collapsed="false">
      <c r="A5" s="5" t="s">
        <v>6691</v>
      </c>
      <c r="B5" s="5" t="s">
        <v>6693</v>
      </c>
      <c r="C5" s="5" t="s">
        <v>277</v>
      </c>
      <c r="D5" s="5" t="s">
        <v>448</v>
      </c>
      <c r="E5" s="5"/>
      <c r="F5" s="5"/>
      <c r="G5" s="5"/>
      <c r="H5" s="5" t="s">
        <v>6748</v>
      </c>
      <c r="I5" s="5" t="s">
        <v>6749</v>
      </c>
      <c r="J5" s="5" t="s">
        <v>6750</v>
      </c>
      <c r="K5" s="5" t="s">
        <v>6751</v>
      </c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 t="s">
        <v>6752</v>
      </c>
      <c r="I6" s="6" t="s">
        <v>6749</v>
      </c>
      <c r="J6" s="6" t="s">
        <v>6750</v>
      </c>
      <c r="K6" s="6" t="s">
        <v>6751</v>
      </c>
    </row>
    <row r="7" customFormat="false" ht="15" hidden="false" customHeight="false" outlineLevel="0" collapsed="false">
      <c r="A7" s="5"/>
      <c r="B7" s="5"/>
      <c r="C7" s="5"/>
      <c r="D7" s="5"/>
      <c r="E7" s="5"/>
      <c r="F7" s="5"/>
      <c r="G7" s="5"/>
      <c r="H7" s="5" t="s">
        <v>6753</v>
      </c>
      <c r="I7" s="5" t="s">
        <v>6749</v>
      </c>
      <c r="J7" s="5" t="s">
        <v>6750</v>
      </c>
      <c r="K7" s="5" t="s">
        <v>6751</v>
      </c>
    </row>
    <row r="8" customFormat="false" ht="35.05" hidden="false" customHeight="false" outlineLevel="0" collapsed="false">
      <c r="A8" s="6" t="s">
        <v>6695</v>
      </c>
      <c r="B8" s="6" t="s">
        <v>6693</v>
      </c>
      <c r="C8" s="6" t="s">
        <v>277</v>
      </c>
      <c r="D8" s="6" t="s">
        <v>448</v>
      </c>
      <c r="E8" s="6"/>
      <c r="F8" s="6"/>
      <c r="G8" s="6"/>
      <c r="H8" s="6" t="s">
        <v>6754</v>
      </c>
      <c r="I8" s="6" t="s">
        <v>6749</v>
      </c>
      <c r="J8" s="6" t="s">
        <v>6750</v>
      </c>
      <c r="K8" s="6" t="s">
        <v>6751</v>
      </c>
    </row>
    <row r="9" customFormat="false" ht="15" hidden="false" customHeight="false" outlineLevel="0" collapsed="false">
      <c r="A9" s="5"/>
      <c r="B9" s="5"/>
      <c r="C9" s="5"/>
      <c r="D9" s="5"/>
      <c r="E9" s="5"/>
      <c r="F9" s="5"/>
      <c r="G9" s="5"/>
      <c r="H9" s="5" t="s">
        <v>6755</v>
      </c>
      <c r="I9" s="5" t="s">
        <v>6749</v>
      </c>
      <c r="J9" s="5" t="s">
        <v>6750</v>
      </c>
      <c r="K9" s="5" t="s">
        <v>6751</v>
      </c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 t="s">
        <v>6756</v>
      </c>
      <c r="I10" s="6" t="s">
        <v>6749</v>
      </c>
      <c r="J10" s="6" t="s">
        <v>6750</v>
      </c>
      <c r="K10" s="6" t="s">
        <v>6751</v>
      </c>
    </row>
    <row r="11" customFormat="false" ht="35.05" hidden="false" customHeight="false" outlineLevel="0" collapsed="false">
      <c r="A11" s="5" t="s">
        <v>6697</v>
      </c>
      <c r="B11" s="5" t="s">
        <v>6699</v>
      </c>
      <c r="C11" s="5" t="s">
        <v>298</v>
      </c>
      <c r="D11" s="5" t="s">
        <v>448</v>
      </c>
      <c r="E11" s="5"/>
      <c r="F11" s="5"/>
      <c r="G11" s="5"/>
      <c r="H11" s="5" t="s">
        <v>6757</v>
      </c>
      <c r="I11" s="5" t="s">
        <v>6749</v>
      </c>
      <c r="J11" s="5" t="s">
        <v>6750</v>
      </c>
      <c r="K11" s="5" t="s">
        <v>6751</v>
      </c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 t="s">
        <v>6758</v>
      </c>
      <c r="I12" s="6" t="s">
        <v>6749</v>
      </c>
      <c r="J12" s="6" t="s">
        <v>6750</v>
      </c>
      <c r="K12" s="6" t="s">
        <v>6751</v>
      </c>
    </row>
    <row r="13" customFormat="false" ht="15" hidden="false" customHeight="false" outlineLevel="0" collapsed="false">
      <c r="A13" s="5"/>
      <c r="B13" s="5"/>
      <c r="C13" s="5"/>
      <c r="D13" s="5"/>
      <c r="E13" s="5"/>
      <c r="F13" s="5"/>
      <c r="G13" s="5"/>
      <c r="H13" s="5" t="s">
        <v>6759</v>
      </c>
      <c r="I13" s="5" t="s">
        <v>6749</v>
      </c>
      <c r="J13" s="5" t="s">
        <v>6750</v>
      </c>
      <c r="K13" s="5" t="s">
        <v>6751</v>
      </c>
    </row>
    <row r="14" customFormat="false" ht="35.05" hidden="false" customHeight="false" outlineLevel="0" collapsed="false">
      <c r="A14" s="6" t="s">
        <v>6701</v>
      </c>
      <c r="B14" s="6" t="s">
        <v>6703</v>
      </c>
      <c r="C14" s="6" t="s">
        <v>298</v>
      </c>
      <c r="D14" s="6" t="s">
        <v>448</v>
      </c>
      <c r="E14" s="6"/>
      <c r="F14" s="6"/>
      <c r="G14" s="6"/>
      <c r="H14" s="6" t="s">
        <v>6760</v>
      </c>
      <c r="I14" s="6" t="s">
        <v>6749</v>
      </c>
      <c r="J14" s="6" t="s">
        <v>6750</v>
      </c>
      <c r="K14" s="6" t="s">
        <v>6751</v>
      </c>
    </row>
    <row r="15" customFormat="false" ht="15" hidden="false" customHeight="false" outlineLevel="0" collapsed="false">
      <c r="A15" s="5"/>
      <c r="B15" s="5"/>
      <c r="C15" s="5"/>
      <c r="D15" s="5"/>
      <c r="E15" s="5"/>
      <c r="F15" s="5"/>
      <c r="G15" s="5"/>
      <c r="H15" s="5" t="s">
        <v>6761</v>
      </c>
      <c r="I15" s="5" t="s">
        <v>6749</v>
      </c>
      <c r="J15" s="5" t="s">
        <v>6750</v>
      </c>
      <c r="K15" s="5" t="s">
        <v>6751</v>
      </c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 t="s">
        <v>6762</v>
      </c>
      <c r="I16" s="6" t="s">
        <v>6749</v>
      </c>
      <c r="J16" s="6" t="s">
        <v>6750</v>
      </c>
      <c r="K16" s="6" t="s">
        <v>6751</v>
      </c>
    </row>
    <row r="17" customFormat="false" ht="35.05" hidden="false" customHeight="false" outlineLevel="0" collapsed="false">
      <c r="A17" s="5" t="s">
        <v>6705</v>
      </c>
      <c r="B17" s="5" t="s">
        <v>6707</v>
      </c>
      <c r="C17" s="5" t="s">
        <v>298</v>
      </c>
      <c r="D17" s="5" t="s">
        <v>448</v>
      </c>
      <c r="E17" s="5"/>
      <c r="F17" s="5"/>
      <c r="G17" s="5"/>
      <c r="H17" s="5" t="s">
        <v>6763</v>
      </c>
      <c r="I17" s="5" t="s">
        <v>6749</v>
      </c>
      <c r="J17" s="5" t="s">
        <v>6750</v>
      </c>
      <c r="K17" s="5" t="s">
        <v>6751</v>
      </c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 t="s">
        <v>6764</v>
      </c>
      <c r="I18" s="6" t="s">
        <v>6749</v>
      </c>
      <c r="J18" s="6" t="s">
        <v>6750</v>
      </c>
      <c r="K18" s="6" t="s">
        <v>6751</v>
      </c>
    </row>
    <row r="19" customFormat="false" ht="15" hidden="false" customHeight="false" outlineLevel="0" collapsed="false">
      <c r="A19" s="5"/>
      <c r="B19" s="5"/>
      <c r="C19" s="5"/>
      <c r="D19" s="5"/>
      <c r="E19" s="5"/>
      <c r="F19" s="5"/>
      <c r="G19" s="5"/>
      <c r="H19" s="5" t="s">
        <v>6765</v>
      </c>
      <c r="I19" s="5" t="s">
        <v>6749</v>
      </c>
      <c r="J19" s="5" t="s">
        <v>6750</v>
      </c>
      <c r="K19" s="5" t="s">
        <v>6751</v>
      </c>
    </row>
    <row r="20" customFormat="false" ht="35.05" hidden="false" customHeight="false" outlineLevel="0" collapsed="false">
      <c r="A20" s="6" t="s">
        <v>6709</v>
      </c>
      <c r="B20" s="6" t="s">
        <v>6711</v>
      </c>
      <c r="C20" s="6" t="s">
        <v>298</v>
      </c>
      <c r="D20" s="6" t="s">
        <v>448</v>
      </c>
      <c r="E20" s="6"/>
      <c r="F20" s="6"/>
      <c r="G20" s="6"/>
      <c r="H20" s="6" t="s">
        <v>6766</v>
      </c>
      <c r="I20" s="6" t="s">
        <v>6749</v>
      </c>
      <c r="J20" s="6" t="s">
        <v>6750</v>
      </c>
      <c r="K20" s="6" t="s">
        <v>6751</v>
      </c>
    </row>
    <row r="21" customFormat="false" ht="15" hidden="false" customHeight="false" outlineLevel="0" collapsed="false">
      <c r="A21" s="5"/>
      <c r="B21" s="5"/>
      <c r="C21" s="5"/>
      <c r="D21" s="5"/>
      <c r="E21" s="5"/>
      <c r="F21" s="5"/>
      <c r="G21" s="5"/>
      <c r="H21" s="5" t="s">
        <v>6767</v>
      </c>
      <c r="I21" s="5" t="s">
        <v>6749</v>
      </c>
      <c r="J21" s="5" t="s">
        <v>6750</v>
      </c>
      <c r="K21" s="5" t="s">
        <v>6751</v>
      </c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 t="s">
        <v>6768</v>
      </c>
      <c r="I22" s="6" t="s">
        <v>6749</v>
      </c>
      <c r="J22" s="6" t="s">
        <v>6750</v>
      </c>
      <c r="K22" s="6" t="s">
        <v>6751</v>
      </c>
    </row>
    <row r="23" customFormat="false" ht="35.05" hidden="false" customHeight="false" outlineLevel="0" collapsed="false">
      <c r="A23" s="5" t="s">
        <v>6713</v>
      </c>
      <c r="B23" s="5" t="s">
        <v>6715</v>
      </c>
      <c r="C23" s="5" t="s">
        <v>298</v>
      </c>
      <c r="D23" s="5" t="s">
        <v>448</v>
      </c>
      <c r="E23" s="5"/>
      <c r="F23" s="5"/>
      <c r="G23" s="5"/>
      <c r="H23" s="5" t="s">
        <v>6769</v>
      </c>
      <c r="I23" s="5" t="s">
        <v>6749</v>
      </c>
      <c r="J23" s="5" t="s">
        <v>6750</v>
      </c>
      <c r="K23" s="5" t="s">
        <v>6751</v>
      </c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 t="s">
        <v>6770</v>
      </c>
      <c r="I24" s="6" t="s">
        <v>6749</v>
      </c>
      <c r="J24" s="6" t="s">
        <v>6750</v>
      </c>
      <c r="K24" s="6" t="s">
        <v>6751</v>
      </c>
    </row>
    <row r="25" customFormat="false" ht="15" hidden="false" customHeight="false" outlineLevel="0" collapsed="false">
      <c r="A25" s="5"/>
      <c r="B25" s="5"/>
      <c r="C25" s="5"/>
      <c r="D25" s="5"/>
      <c r="E25" s="5"/>
      <c r="F25" s="5"/>
      <c r="G25" s="5"/>
      <c r="H25" s="5" t="s">
        <v>6771</v>
      </c>
      <c r="I25" s="5" t="s">
        <v>6749</v>
      </c>
      <c r="J25" s="5" t="s">
        <v>6750</v>
      </c>
      <c r="K25" s="5" t="s">
        <v>6751</v>
      </c>
    </row>
    <row r="26" customFormat="false" ht="35.05" hidden="false" customHeight="false" outlineLevel="0" collapsed="false">
      <c r="A26" s="6" t="s">
        <v>6717</v>
      </c>
      <c r="B26" s="6" t="s">
        <v>6699</v>
      </c>
      <c r="C26" s="6" t="s">
        <v>298</v>
      </c>
      <c r="D26" s="6" t="s">
        <v>448</v>
      </c>
      <c r="E26" s="6"/>
      <c r="F26" s="6"/>
      <c r="G26" s="6"/>
      <c r="H26" s="6" t="s">
        <v>6772</v>
      </c>
      <c r="I26" s="6" t="s">
        <v>6749</v>
      </c>
      <c r="J26" s="6" t="s">
        <v>6750</v>
      </c>
      <c r="K26" s="6" t="s">
        <v>6751</v>
      </c>
    </row>
    <row r="27" customFormat="false" ht="15" hidden="false" customHeight="false" outlineLevel="0" collapsed="false">
      <c r="A27" s="5"/>
      <c r="B27" s="5"/>
      <c r="C27" s="5"/>
      <c r="D27" s="5"/>
      <c r="E27" s="5"/>
      <c r="F27" s="5"/>
      <c r="G27" s="5"/>
      <c r="H27" s="5" t="s">
        <v>6773</v>
      </c>
      <c r="I27" s="5" t="s">
        <v>6749</v>
      </c>
      <c r="J27" s="5" t="s">
        <v>6750</v>
      </c>
      <c r="K27" s="5" t="s">
        <v>6751</v>
      </c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 t="s">
        <v>6774</v>
      </c>
      <c r="I28" s="6" t="s">
        <v>6749</v>
      </c>
      <c r="J28" s="6" t="s">
        <v>6750</v>
      </c>
      <c r="K28" s="6" t="s">
        <v>6751</v>
      </c>
    </row>
    <row r="29" customFormat="false" ht="35.05" hidden="false" customHeight="false" outlineLevel="0" collapsed="false">
      <c r="A29" s="5" t="s">
        <v>6719</v>
      </c>
      <c r="B29" s="5" t="s">
        <v>6707</v>
      </c>
      <c r="C29" s="5" t="s">
        <v>298</v>
      </c>
      <c r="D29" s="5" t="s">
        <v>448</v>
      </c>
      <c r="E29" s="5"/>
      <c r="F29" s="5"/>
      <c r="G29" s="5"/>
      <c r="H29" s="5" t="s">
        <v>6775</v>
      </c>
      <c r="I29" s="5" t="s">
        <v>6749</v>
      </c>
      <c r="J29" s="5" t="s">
        <v>6750</v>
      </c>
      <c r="K29" s="5" t="s">
        <v>6751</v>
      </c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 t="s">
        <v>6776</v>
      </c>
      <c r="I30" s="6" t="s">
        <v>6749</v>
      </c>
      <c r="J30" s="6" t="s">
        <v>6750</v>
      </c>
      <c r="K30" s="6" t="s">
        <v>6751</v>
      </c>
    </row>
    <row r="31" customFormat="false" ht="15" hidden="false" customHeight="false" outlineLevel="0" collapsed="false">
      <c r="A31" s="5"/>
      <c r="B31" s="5"/>
      <c r="C31" s="5"/>
      <c r="D31" s="5"/>
      <c r="E31" s="5"/>
      <c r="F31" s="5"/>
      <c r="G31" s="5"/>
      <c r="H31" s="5" t="s">
        <v>6777</v>
      </c>
      <c r="I31" s="5" t="s">
        <v>6749</v>
      </c>
      <c r="J31" s="5" t="s">
        <v>6750</v>
      </c>
      <c r="K31" s="5" t="s">
        <v>6751</v>
      </c>
    </row>
    <row r="32" customFormat="false" ht="35.05" hidden="false" customHeight="false" outlineLevel="0" collapsed="false">
      <c r="A32" s="6" t="s">
        <v>6721</v>
      </c>
      <c r="B32" s="6" t="s">
        <v>6723</v>
      </c>
      <c r="C32" s="6" t="s">
        <v>298</v>
      </c>
      <c r="D32" s="6" t="s">
        <v>448</v>
      </c>
      <c r="E32" s="6"/>
      <c r="F32" s="6"/>
      <c r="G32" s="6"/>
      <c r="H32" s="6" t="s">
        <v>6778</v>
      </c>
      <c r="I32" s="6" t="s">
        <v>6749</v>
      </c>
      <c r="J32" s="6" t="s">
        <v>6750</v>
      </c>
      <c r="K32" s="6" t="s">
        <v>6751</v>
      </c>
    </row>
    <row r="33" customFormat="false" ht="15" hidden="false" customHeight="false" outlineLevel="0" collapsed="false">
      <c r="A33" s="5"/>
      <c r="B33" s="5"/>
      <c r="C33" s="5"/>
      <c r="D33" s="5"/>
      <c r="E33" s="5"/>
      <c r="F33" s="5"/>
      <c r="G33" s="5"/>
      <c r="H33" s="5" t="s">
        <v>6779</v>
      </c>
      <c r="I33" s="5" t="s">
        <v>6749</v>
      </c>
      <c r="J33" s="5" t="s">
        <v>6750</v>
      </c>
      <c r="K33" s="5" t="s">
        <v>6751</v>
      </c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 t="s">
        <v>6780</v>
      </c>
      <c r="I34" s="6" t="s">
        <v>6749</v>
      </c>
      <c r="J34" s="6" t="s">
        <v>6750</v>
      </c>
      <c r="K34" s="6" t="s">
        <v>6751</v>
      </c>
    </row>
    <row r="35" customFormat="false" ht="35.05" hidden="false" customHeight="false" outlineLevel="0" collapsed="false">
      <c r="A35" s="5" t="s">
        <v>6725</v>
      </c>
      <c r="B35" s="5" t="s">
        <v>6727</v>
      </c>
      <c r="C35" s="5" t="s">
        <v>298</v>
      </c>
      <c r="D35" s="5" t="s">
        <v>448</v>
      </c>
      <c r="E35" s="5"/>
      <c r="F35" s="5"/>
      <c r="G35" s="5"/>
      <c r="H35" s="5" t="s">
        <v>6781</v>
      </c>
      <c r="I35" s="5" t="s">
        <v>6749</v>
      </c>
      <c r="J35" s="5" t="s">
        <v>6750</v>
      </c>
      <c r="K35" s="5" t="s">
        <v>6751</v>
      </c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 t="s">
        <v>6782</v>
      </c>
      <c r="I36" s="6" t="s">
        <v>6749</v>
      </c>
      <c r="J36" s="6" t="s">
        <v>6750</v>
      </c>
      <c r="K36" s="6" t="s">
        <v>6751</v>
      </c>
    </row>
    <row r="37" customFormat="false" ht="15" hidden="false" customHeight="false" outlineLevel="0" collapsed="false">
      <c r="A37" s="5"/>
      <c r="B37" s="5"/>
      <c r="C37" s="5"/>
      <c r="D37" s="5"/>
      <c r="E37" s="5"/>
      <c r="F37" s="5"/>
      <c r="G37" s="5"/>
      <c r="H37" s="5" t="s">
        <v>6783</v>
      </c>
      <c r="I37" s="5" t="s">
        <v>6749</v>
      </c>
      <c r="J37" s="5" t="s">
        <v>6750</v>
      </c>
      <c r="K37" s="5" t="s">
        <v>6751</v>
      </c>
    </row>
    <row r="38" customFormat="false" ht="35.05" hidden="false" customHeight="false" outlineLevel="0" collapsed="false">
      <c r="A38" s="6" t="s">
        <v>6729</v>
      </c>
      <c r="B38" s="6" t="s">
        <v>6699</v>
      </c>
      <c r="C38" s="6" t="s">
        <v>298</v>
      </c>
      <c r="D38" s="6" t="s">
        <v>448</v>
      </c>
      <c r="E38" s="6"/>
      <c r="F38" s="6"/>
      <c r="G38" s="6"/>
      <c r="H38" s="6" t="s">
        <v>6784</v>
      </c>
      <c r="I38" s="6" t="s">
        <v>6749</v>
      </c>
      <c r="J38" s="6" t="s">
        <v>6750</v>
      </c>
      <c r="K38" s="6" t="s">
        <v>6751</v>
      </c>
    </row>
    <row r="39" customFormat="false" ht="15" hidden="false" customHeight="false" outlineLevel="0" collapsed="false">
      <c r="A39" s="5"/>
      <c r="B39" s="5"/>
      <c r="C39" s="5"/>
      <c r="D39" s="5"/>
      <c r="E39" s="5"/>
      <c r="F39" s="5"/>
      <c r="G39" s="5"/>
      <c r="H39" s="5" t="s">
        <v>6785</v>
      </c>
      <c r="I39" s="5" t="s">
        <v>6749</v>
      </c>
      <c r="J39" s="5" t="s">
        <v>6750</v>
      </c>
      <c r="K39" s="5" t="s">
        <v>6751</v>
      </c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 t="s">
        <v>6786</v>
      </c>
      <c r="I40" s="6" t="s">
        <v>6749</v>
      </c>
      <c r="J40" s="6" t="s">
        <v>6750</v>
      </c>
      <c r="K40" s="6" t="s">
        <v>6751</v>
      </c>
    </row>
    <row r="41" customFormat="false" ht="35.05" hidden="false" customHeight="false" outlineLevel="0" collapsed="false">
      <c r="A41" s="5" t="s">
        <v>6731</v>
      </c>
      <c r="B41" s="5" t="s">
        <v>6733</v>
      </c>
      <c r="C41" s="5" t="s">
        <v>298</v>
      </c>
      <c r="D41" s="5" t="s">
        <v>448</v>
      </c>
      <c r="E41" s="5"/>
      <c r="F41" s="5"/>
      <c r="G41" s="5"/>
      <c r="H41" s="5" t="s">
        <v>6787</v>
      </c>
      <c r="I41" s="5" t="s">
        <v>6749</v>
      </c>
      <c r="J41" s="5" t="s">
        <v>6750</v>
      </c>
      <c r="K41" s="5" t="s">
        <v>6751</v>
      </c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 t="s">
        <v>6788</v>
      </c>
      <c r="I42" s="6" t="s">
        <v>6749</v>
      </c>
      <c r="J42" s="6" t="s">
        <v>6750</v>
      </c>
      <c r="K42" s="6" t="s">
        <v>6751</v>
      </c>
    </row>
    <row r="43" customFormat="false" ht="15" hidden="false" customHeight="false" outlineLevel="0" collapsed="false">
      <c r="A43" s="5"/>
      <c r="B43" s="5"/>
      <c r="C43" s="5"/>
      <c r="D43" s="5"/>
      <c r="E43" s="5"/>
      <c r="F43" s="5"/>
      <c r="G43" s="5"/>
      <c r="H43" s="5" t="s">
        <v>6789</v>
      </c>
      <c r="I43" s="5" t="s">
        <v>6749</v>
      </c>
      <c r="J43" s="5" t="s">
        <v>6750</v>
      </c>
      <c r="K43" s="5" t="s">
        <v>6751</v>
      </c>
    </row>
    <row r="44" customFormat="false" ht="35.05" hidden="false" customHeight="false" outlineLevel="0" collapsed="false">
      <c r="A44" s="6" t="s">
        <v>6735</v>
      </c>
      <c r="B44" s="6" t="s">
        <v>6707</v>
      </c>
      <c r="C44" s="6" t="s">
        <v>298</v>
      </c>
      <c r="D44" s="6" t="s">
        <v>448</v>
      </c>
      <c r="E44" s="6"/>
      <c r="F44" s="6"/>
      <c r="G44" s="6"/>
      <c r="H44" s="6" t="s">
        <v>6790</v>
      </c>
      <c r="I44" s="6" t="s">
        <v>6749</v>
      </c>
      <c r="J44" s="6" t="s">
        <v>6750</v>
      </c>
      <c r="K44" s="6" t="s">
        <v>6751</v>
      </c>
    </row>
    <row r="45" customFormat="false" ht="15" hidden="false" customHeight="false" outlineLevel="0" collapsed="false">
      <c r="A45" s="5"/>
      <c r="B45" s="5"/>
      <c r="C45" s="5"/>
      <c r="D45" s="5"/>
      <c r="E45" s="5"/>
      <c r="F45" s="5"/>
      <c r="G45" s="5"/>
      <c r="H45" s="5" t="s">
        <v>6791</v>
      </c>
      <c r="I45" s="5" t="s">
        <v>6749</v>
      </c>
      <c r="J45" s="5" t="s">
        <v>6750</v>
      </c>
      <c r="K45" s="5" t="s">
        <v>6751</v>
      </c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 t="s">
        <v>6792</v>
      </c>
      <c r="I46" s="6" t="s">
        <v>6749</v>
      </c>
      <c r="J46" s="6" t="s">
        <v>6750</v>
      </c>
      <c r="K46" s="6" t="s">
        <v>6751</v>
      </c>
    </row>
    <row r="47" customFormat="false" ht="35.05" hidden="false" customHeight="false" outlineLevel="0" collapsed="false">
      <c r="A47" s="5" t="s">
        <v>6737</v>
      </c>
      <c r="B47" s="5" t="s">
        <v>6707</v>
      </c>
      <c r="C47" s="5" t="s">
        <v>297</v>
      </c>
      <c r="D47" s="5" t="s">
        <v>448</v>
      </c>
      <c r="E47" s="5"/>
      <c r="F47" s="5"/>
      <c r="G47" s="5"/>
      <c r="H47" s="5" t="s">
        <v>6793</v>
      </c>
      <c r="I47" s="5" t="s">
        <v>6749</v>
      </c>
      <c r="J47" s="5" t="s">
        <v>6750</v>
      </c>
      <c r="K47" s="5" t="s">
        <v>6751</v>
      </c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 t="s">
        <v>6794</v>
      </c>
      <c r="I48" s="6" t="s">
        <v>6749</v>
      </c>
      <c r="J48" s="6" t="s">
        <v>6750</v>
      </c>
      <c r="K48" s="6" t="s">
        <v>6751</v>
      </c>
    </row>
    <row r="49" customFormat="false" ht="15" hidden="false" customHeight="false" outlineLevel="0" collapsed="false">
      <c r="A49" s="5"/>
      <c r="B49" s="5"/>
      <c r="C49" s="5"/>
      <c r="D49" s="5"/>
      <c r="E49" s="5"/>
      <c r="F49" s="5"/>
      <c r="G49" s="5"/>
      <c r="H49" s="5" t="s">
        <v>6795</v>
      </c>
      <c r="I49" s="5" t="s">
        <v>6749</v>
      </c>
      <c r="J49" s="5" t="s">
        <v>6750</v>
      </c>
      <c r="K49" s="5" t="s">
        <v>6751</v>
      </c>
    </row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2026-10-12T01:36:10Z</dcterms:created>
  <dc:creator>openpyxl</dc:creator>
  <dc:description/>
  <dc:language>en-US</dc:language>
  <cp:lastModifiedBy/>
  <dcterms:modified xsi:type="dcterms:W3CDTF">2026-10-12T01:36:14Z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