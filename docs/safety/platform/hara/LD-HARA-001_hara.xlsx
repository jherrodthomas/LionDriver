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3.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Title_Page" sheetId="1" state="visible" r:id="rId3"/>
    <sheet name="01_Document_Control" sheetId="2" state="visible" r:id="rId4"/>
    <sheet name="02_Assumptions" sheetId="3" state="visible" r:id="rId5"/>
    <sheet name="03_Architecture_Boundary" sheetId="4" state="visible" r:id="rId6"/>
    <sheet name="04_Functions" sheetId="5" state="visible" r:id="rId7"/>
    <sheet name="05_Malfunctions" sheetId="6" state="visible" r:id="rId8"/>
    <sheet name="06_Operating_Environment" sheetId="7" state="visible" r:id="rId9"/>
    <sheet name="07_Severity_Reference" sheetId="8" state="visible" r:id="rId10"/>
    <sheet name="08_Exposure_Reference" sheetId="9" state="visible" r:id="rId11"/>
    <sheet name="09_Controllability_Reference" sheetId="10" state="visible" r:id="rId12"/>
    <sheet name="10_ASIL_Matrix" sheetId="11" state="visible" r:id="rId13"/>
    <sheet name="11_Function_x_Malfunction" sheetId="12" state="visible" r:id="rId14"/>
    <sheet name="12_HARA_Worksheet" sheetId="13" state="visible" r:id="rId15"/>
    <sheet name="13_Safety_Goals" sheetId="14" state="visible" r:id="rId16"/>
    <sheet name="14_FSC_Handoff" sheetId="15" state="visible" r:id="rId17"/>
  </sheets>
  <definedNames>
    <definedName function="false" hidden="true" localSheetId="12" name="_xlnm._FilterDatabase" vbProcedure="false">12_HARA_Worksheet!$A$3:$Q$703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<sst xmlns="http://schemas.openxmlformats.org/spreadsheetml/2006/main" count="12356" uniqueCount="1863">
  <si>
    <t xml:space="preserve">Hazard Analysis and Risk Assessment (HARA)</t>
  </si>
  <si>
    <t xml:space="preserve">LionDriver Level 2 Driver Assistance Platform  (LD-L2)</t>
  </si>
  <si>
    <t xml:space="preserve">Project</t>
  </si>
  <si>
    <t xml:space="preserve">LionDriver</t>
  </si>
  <si>
    <t xml:space="preserve">Document ID</t>
  </si>
  <si>
    <t xml:space="preserve">LD-HARA-001</t>
  </si>
  <si>
    <t xml:space="preserve">Revision</t>
  </si>
  <si>
    <t xml:space="preserve">0.1 (draft)</t>
  </si>
  <si>
    <t xml:space="preserve">Date</t>
  </si>
  <si>
    <t xml:space="preserve">2026-10-09</t>
  </si>
  <si>
    <t xml:space="preserve">Author</t>
  </si>
  <si>
    <t xml:space="preserve">Jherrod Thomas (FSM); drafted with Claude Code</t>
  </si>
  <si>
    <t xml:space="preserve">Approver</t>
  </si>
  <si>
    <t xml:space="preserve">Pending independent confirmation review (safety plan anomaly A01)</t>
  </si>
  <si>
    <t xml:space="preserve">Company</t>
  </si>
  <si>
    <t xml:space="preserve">LionDriver open-source project</t>
  </si>
  <si>
    <t xml:space="preserve">Standard</t>
  </si>
  <si>
    <t xml:space="preserve">ISO 26262:2018, Part 3 (Concept Phase)</t>
  </si>
  <si>
    <t xml:space="preserve">Methodology</t>
  </si>
  <si>
    <t xml:space="preserve">14-Malfunction Guide-Word Cartesian HARA</t>
  </si>
  <si>
    <t xml:space="preserve">Document Control</t>
  </si>
  <si>
    <t xml:space="preserve">Description of change</t>
  </si>
  <si>
    <t xml:space="preserve">0.1</t>
  </si>
  <si>
    <t xml:space="preserve">Initial draft generated by hara-builder skill</t>
  </si>
  <si>
    <t xml:space="preserve">0.2</t>
  </si>
  <si>
    <t xml:space="preserve">Internal review comments incorporated</t>
  </si>
  <si>
    <t xml:space="preserve">1.0</t>
  </si>
  <si>
    <t xml:space="preserve">Released for FSC</t>
  </si>
  <si>
    <t xml:space="preserve">Distribution List</t>
  </si>
  <si>
    <t xml:space="preserve">Name</t>
  </si>
  <si>
    <t xml:space="preserve">Role</t>
  </si>
  <si>
    <t xml:space="preserve">Organization</t>
  </si>
  <si>
    <t xml:space="preserve">Email</t>
  </si>
  <si>
    <t xml:space="preserve">Notes</t>
  </si>
  <si>
    <t xml:space="preserve">Assumptions and Item Boundary Conditions</t>
  </si>
  <si>
    <t xml:space="preserve">ID</t>
  </si>
  <si>
    <t xml:space="preserve">Category</t>
  </si>
  <si>
    <t xml:space="preserve">Assumption</t>
  </si>
  <si>
    <t xml:space="preserve">Rationale / Source</t>
  </si>
  <si>
    <t xml:space="preserve">A01</t>
  </si>
  <si>
    <t xml:space="preserve">Vehicle</t>
  </si>
  <si>
    <t xml:space="preserve">Passenger cars and light SUVs listed as supported by openpilot, used within the declared operating envelope (0–130 km/h; highways and marked urban and rural roads; daylight or night with headlights; dry or wet; no snow-covered lanes).</t>
  </si>
  <si>
    <t xml:space="preserve">A02</t>
  </si>
  <si>
    <t xml:space="preserve">The vehicle meets platform assumptions ASM-V-01 to ASM-V-08 (EPS self-limiting, driver can overpower steering, pedal state on CAN, deliberate cruise engagement, speed signals with fault indication, all commands pass the harness, powertrain honors accel limits, stock emergency braking available).</t>
  </si>
  <si>
    <t xml:space="preserve">A03</t>
  </si>
  <si>
    <t xml:space="preserve">Driver</t>
  </si>
  <si>
    <t xml:space="preserve">A licensed driver who keeps attention on the road, keeps hands available to steer, and can take over at any time.</t>
  </si>
  <si>
    <t xml:space="preserve">A04</t>
  </si>
  <si>
    <t xml:space="preserve">Reasonably foreseeable misuse includes inattention, phone use, dozing and over-reliance on the system.</t>
  </si>
  <si>
    <t xml:space="preserve">A05</t>
  </si>
  <si>
    <t xml:space="preserve">Market</t>
  </si>
  <si>
    <t xml:space="preserve">U.S. market first; open-source distribution; installation by the vehicle owner.</t>
  </si>
  <si>
    <t xml:space="preserve">A06</t>
  </si>
  <si>
    <t xml:space="preserve">Lifecycle</t>
  </si>
  <si>
    <t xml:space="preserve">In scope: normal operation, installation and software updates. Out of scope for now: production, service and decommissioning (ISO 26262-7).</t>
  </si>
  <si>
    <t xml:space="preserve">A07</t>
  </si>
  <si>
    <t xml:space="preserve">Other items</t>
  </si>
  <si>
    <t xml:space="preserve">Vehicle ECUs execute in-range commands correctly and handle their own faults per their manufacturer's safety case.</t>
  </si>
  <si>
    <t xml:space="preserve">A08</t>
  </si>
  <si>
    <t xml:space="preserve">Cybersecurity</t>
  </si>
  <si>
    <t xml:space="preserve">Cybersecurity threats are analyzed separately in the TARA (ISO/SAE 21434). Safety goals feed the TARA as damage scenarios.</t>
  </si>
  <si>
    <t xml:space="preserve">A09</t>
  </si>
  <si>
    <t xml:space="preserve">Scope</t>
  </si>
  <si>
    <t xml:space="preserve">Off-road (L06) and snow or ice (W05) are outside the operating envelope (assumption A01 of LD-ITD-001). Fog is kept: it is outside the validated conditions but a driver can foreseeably keep the system engaged in it.</t>
  </si>
  <si>
    <t xml:space="preserve">A10</t>
  </si>
  <si>
    <t xml:space="preserve">Method</t>
  </si>
  <si>
    <t xml:space="preserve">Hazards are rated without crediting the item's own safety mechanisms (the panda supervision, F05), as ISO 26262-3 requires. External measures in the vehicle (EPS self-limiting, stock emergency braking) are platform assumptions and are not credited either.</t>
  </si>
  <si>
    <t xml:space="preserve">Architecture Boundary — Item Definition</t>
  </si>
  <si>
    <t xml:space="preserve">Item Scope</t>
  </si>
  <si>
    <t xml:space="preserve">LD-L2 is an aftermarket SAE Level 2 driver-assistance item. While an attentive driver supervises, it provides lane centering (lateral control) and adaptive cruise with stop and go (longitudinal control) by sending steering and acceleration commands onto the vehicle CAN bus. Commands are proposed by the openpilot software on the comma device and pass through the panda safety layer, which forwards only commands within actuator limits and only while the driver has engaged the system. The item includes the openpilot software, the panda firmware with the brand safety mode, and the vehicle harness with its relay. It does NOT include the vehicle's own ECUs (steering, powertrain, brakes, stock ADAS camera and radar), the vehicle CAN wiring beyond the harness, the driver, or comma.ai cloud services. The item is analyzed as a Safety Element out of Context (ISO 26262-10 §9): vehicle-dependent properties are recorded as assumptions and verified per vehicle configuration.</t>
  </si>
  <si>
    <t xml:space="preserve">Boundary Diagram</t>
  </si>
  <si>
    <t xml:space="preserve">The item boundary is the harness. Everything that can command an actuator on the vehicle passes through it, and the panda decides what crosses. The item reads vehicle signals from the CAN bus and sensors on the comma device; it writes only CAN frames whitelisted by the brand safety mode.</t>
  </si>
  <si>
    <t xml:space="preserve">External Interfaces</t>
  </si>
  <si>
    <t xml:space="preserve">Interface ID</t>
  </si>
  <si>
    <t xml:space="preserve">Counterpart</t>
  </si>
  <si>
    <t xml:space="preserve">Direction</t>
  </si>
  <si>
    <t xml:space="preserve">Signal / Data</t>
  </si>
  <si>
    <t xml:space="preserve">I01</t>
  </si>
  <si>
    <t xml:space="preserve">Vehicle CAN: vehicle state signals</t>
  </si>
  <si>
    <t xml:space="preserve">In</t>
  </si>
  <si>
    <t xml:space="preserve">Wheel speeds, steering torque and angle, brake and gas pedal state, stock cruise state</t>
  </si>
  <si>
    <t xml:space="preserve">I02</t>
  </si>
  <si>
    <t xml:space="preserve">Vehicle CAN: actuator commands</t>
  </si>
  <si>
    <t xml:space="preserve">Out</t>
  </si>
  <si>
    <t xml:space="preserve">Steering torque or angle commands, acceleration requests, cruise cancel</t>
  </si>
  <si>
    <t xml:space="preserve">I03</t>
  </si>
  <si>
    <t xml:space="preserve">Stock ADAS camera bus (via harness relay)</t>
  </si>
  <si>
    <t xml:space="preserve">Bidirectional</t>
  </si>
  <si>
    <t xml:space="preserve">Forwarded stock traffic, with the commands the item replaces blocked</t>
  </si>
  <si>
    <t xml:space="preserve">I04</t>
  </si>
  <si>
    <t xml:space="preserve">USB link: comma device to panda</t>
  </si>
  <si>
    <t xml:space="preserve">CAN frames to send, received CAN frames, heartbeat with openpilot engagement state, safety-mode selection</t>
  </si>
  <si>
    <t xml:space="preserve">I05</t>
  </si>
  <si>
    <t xml:space="preserve">Road-facing cameras</t>
  </si>
  <si>
    <t xml:space="preserve">Video for the driving model</t>
  </si>
  <si>
    <t xml:space="preserve">I06</t>
  </si>
  <si>
    <t xml:space="preserve">Driver-facing camera</t>
  </si>
  <si>
    <t xml:space="preserve">Video for driver monitoring</t>
  </si>
  <si>
    <t xml:space="preserve">I07</t>
  </si>
  <si>
    <t xml:space="preserve">Driver controls (via vehicle CAN)</t>
  </si>
  <si>
    <t xml:space="preserve">Steering input, brake, gas, cruise buttons</t>
  </si>
  <si>
    <t xml:space="preserve">I08</t>
  </si>
  <si>
    <t xml:space="preserve">Driver HMI</t>
  </si>
  <si>
    <t xml:space="preserve">Engagement state, alerts, take-over requests (visual and audible)</t>
  </si>
  <si>
    <t xml:space="preserve">I09</t>
  </si>
  <si>
    <t xml:space="preserve">Network: updates and cloud</t>
  </si>
  <si>
    <t xml:space="preserve">Software updates, log upload</t>
  </si>
  <si>
    <t xml:space="preserve">Item Functions</t>
  </si>
  <si>
    <t xml:space="preserve">Function ID</t>
  </si>
  <si>
    <t xml:space="preserve">Function Name</t>
  </si>
  <si>
    <t xml:space="preserve">Description</t>
  </si>
  <si>
    <t xml:space="preserve">Kinetic Authority</t>
  </si>
  <si>
    <t xml:space="preserve">F01</t>
  </si>
  <si>
    <t xml:space="preserve">Lateral control (lane centering)</t>
  </si>
  <si>
    <t xml:space="preserve">Computes and sends steering commands (torque or angle, per vehicle) that keep the vehicle centered in its lane. Commands are bounded by the brand safety mode's torque, rate and angle limits.</t>
  </si>
  <si>
    <t xml:space="preserve">high</t>
  </si>
  <si>
    <t xml:space="preserve">F02</t>
  </si>
  <si>
    <t xml:space="preserve">Longitudinal control (adaptive cruise, stop and go)</t>
  </si>
  <si>
    <t xml:space="preserve">Computes and sends acceleration requests to follow the set speed and lead vehicle, including stopping and resuming. On vehicles configured for stock longitudinal control, only cruise-cancel requests are sent.</t>
  </si>
  <si>
    <t xml:space="preserve">F03</t>
  </si>
  <si>
    <t xml:space="preserve">Engagement management</t>
  </si>
  <si>
    <t xml:space="preserve">Allows control only after a deliberate driver action (rising edge of stock cruise engagement) and ends it on brake press, gas press (longitudinal), cruise cancel, disengagement by openpilot, loss of heartbeat, or a detected fault.</t>
  </si>
  <si>
    <t xml:space="preserve">F04</t>
  </si>
  <si>
    <t xml:space="preserve">Driver monitoring</t>
  </si>
  <si>
    <t xml:space="preserve">Estimates driver attention from the driver-facing camera, escalates visual and audible alerts when the driver is inattentive, and disengages if attention is not restored.</t>
  </si>
  <si>
    <t xml:space="preserve">low</t>
  </si>
  <si>
    <t xml:space="preserve">F05</t>
  </si>
  <si>
    <t xml:space="preserve">Safety supervision</t>
  </si>
  <si>
    <t xml:space="preserve">On every CAN frame: rejects commands outside actuator limits or sent without controls allowed, validates checksums, quality flags and timeliness of vehicle signals, detects relay malfunction, and blocks forwarding of stock commands the item replaces.</t>
  </si>
  <si>
    <t xml:space="preserve">none</t>
  </si>
  <si>
    <t xml:space="preserve">F06</t>
  </si>
  <si>
    <t xml:space="preserve">Driver information</t>
  </si>
  <si>
    <t xml:space="preserve">Shows engagement state, planned path and alerts on the device display, with audible alerts for take-over requests.</t>
  </si>
  <si>
    <t xml:space="preserve">Malfunction Guide Words (M01–M14)</t>
  </si>
  <si>
    <t xml:space="preserve">Definition</t>
  </si>
  <si>
    <t xml:space="preserve">M01</t>
  </si>
  <si>
    <t xml:space="preserve">No Function</t>
  </si>
  <si>
    <t xml:space="preserve">Function never executes when commanded.</t>
  </si>
  <si>
    <t xml:space="preserve">M02</t>
  </si>
  <si>
    <t xml:space="preserve">Stops Functioning</t>
  </si>
  <si>
    <t xml:space="preserve">Function executes initially, then stops while still commanded.</t>
  </si>
  <si>
    <t xml:space="preserve">M03</t>
  </si>
  <si>
    <t xml:space="preserve">Unrequested Function</t>
  </si>
  <si>
    <t xml:space="preserve">Function executes without being commanded.</t>
  </si>
  <si>
    <t xml:space="preserve">M04</t>
  </si>
  <si>
    <t xml:space="preserve">Function Stuck</t>
  </si>
  <si>
    <t xml:space="preserve">Function holds last commanded value, ignores new commands.</t>
  </si>
  <si>
    <t xml:space="preserve">M05</t>
  </si>
  <si>
    <t xml:space="preserve">Excessive Function</t>
  </si>
  <si>
    <t xml:space="preserve">Function output magnitude exceeds command.</t>
  </si>
  <si>
    <t xml:space="preserve">M06</t>
  </si>
  <si>
    <t xml:space="preserve">Partial Function</t>
  </si>
  <si>
    <t xml:space="preserve">Function output magnitude is less than command, but non-zero.</t>
  </si>
  <si>
    <t xml:space="preserve">M07</t>
  </si>
  <si>
    <t xml:space="preserve">Functions Early</t>
  </si>
  <si>
    <t xml:space="preserve">Function executes before the trigger condition is met.</t>
  </si>
  <si>
    <t xml:space="preserve">M08</t>
  </si>
  <si>
    <t xml:space="preserve">Functions Late</t>
  </si>
  <si>
    <t xml:space="preserve">Function executes after the trigger condition has passed.</t>
  </si>
  <si>
    <t xml:space="preserve">M09</t>
  </si>
  <si>
    <t xml:space="preserve">Function Applies Too Short</t>
  </si>
  <si>
    <t xml:space="preserve">Output duration shorter than commanded.</t>
  </si>
  <si>
    <t xml:space="preserve">M10</t>
  </si>
  <si>
    <t xml:space="preserve">Function Applies Too Long</t>
  </si>
  <si>
    <t xml:space="preserve">Output duration longer than commanded.</t>
  </si>
  <si>
    <t xml:space="preserve">M11</t>
  </si>
  <si>
    <t xml:space="preserve">Function is Delayed</t>
  </si>
  <si>
    <t xml:space="preserve">Function eventually executes correctly but with latency beyond spec.</t>
  </si>
  <si>
    <t xml:space="preserve">M12</t>
  </si>
  <si>
    <t xml:space="preserve">Inverse Function</t>
  </si>
  <si>
    <t xml:space="preserve">Function executes in the opposite direction of the command.</t>
  </si>
  <si>
    <t xml:space="preserve">M13</t>
  </si>
  <si>
    <t xml:space="preserve">Erratic or Intermittent</t>
  </si>
  <si>
    <t xml:space="preserve">Function output oscillates or chatters around the command.</t>
  </si>
  <si>
    <t xml:space="preserve">M14</t>
  </si>
  <si>
    <t xml:space="preserve">Function is Uneven</t>
  </si>
  <si>
    <t xml:space="preserve">Function output has non-monotonic / asymmetric profile.</t>
  </si>
  <si>
    <t xml:space="preserve">Operating Environment — Locations and Weather</t>
  </si>
  <si>
    <t xml:space="preserve">Location Code</t>
  </si>
  <si>
    <t xml:space="preserve">Location</t>
  </si>
  <si>
    <t xml:space="preserve">Speed min (km/h)</t>
  </si>
  <si>
    <t xml:space="preserve">Speed max (km/h)</t>
  </si>
  <si>
    <t xml:space="preserve">Default E</t>
  </si>
  <si>
    <t xml:space="preserve">L01</t>
  </si>
  <si>
    <t xml:space="preserve">Parking lot</t>
  </si>
  <si>
    <t xml:space="preserve">E3</t>
  </si>
  <si>
    <t xml:space="preserve">L02</t>
  </si>
  <si>
    <t xml:space="preserve">Urban / city street</t>
  </si>
  <si>
    <t xml:space="preserve">E4</t>
  </si>
  <si>
    <t xml:space="preserve">L03</t>
  </si>
  <si>
    <t xml:space="preserve">Suburban arterial</t>
  </si>
  <si>
    <t xml:space="preserve">L04</t>
  </si>
  <si>
    <t xml:space="preserve">Rural highway</t>
  </si>
  <si>
    <t xml:space="preserve">L05</t>
  </si>
  <si>
    <t xml:space="preserve">Interstate / motorway</t>
  </si>
  <si>
    <t xml:space="preserve">Weather / Surface</t>
  </si>
  <si>
    <t xml:space="preserve">Weather Code</t>
  </si>
  <si>
    <t xml:space="preserve">Condition</t>
  </si>
  <si>
    <t xml:space="preserve">W01</t>
  </si>
  <si>
    <t xml:space="preserve">Dry, daylight</t>
  </si>
  <si>
    <t xml:space="preserve">W02</t>
  </si>
  <si>
    <t xml:space="preserve">Wet</t>
  </si>
  <si>
    <t xml:space="preserve">W03</t>
  </si>
  <si>
    <t xml:space="preserve">Night, dry</t>
  </si>
  <si>
    <t xml:space="preserve">W04</t>
  </si>
  <si>
    <t xml:space="preserve">Heavy rain</t>
  </si>
  <si>
    <t xml:space="preserve">E2</t>
  </si>
  <si>
    <t xml:space="preserve">W06</t>
  </si>
  <si>
    <t xml:space="preserve">Fog</t>
  </si>
  <si>
    <t xml:space="preserve">E1</t>
  </si>
  <si>
    <t xml:space="preserve">Severity (S) — Mapped to AIS</t>
  </si>
  <si>
    <t xml:space="preserve">S</t>
  </si>
  <si>
    <t xml:space="preserve">AIS Band</t>
  </si>
  <si>
    <t xml:space="preserve">Examples</t>
  </si>
  <si>
    <t xml:space="preserve">S0</t>
  </si>
  <si>
    <t xml:space="preserve">AIS 0</t>
  </si>
  <si>
    <t xml:space="preserve">No injuries; material damage only.</t>
  </si>
  <si>
    <t xml:space="preserve">Bumper scrape in a parking maneuver.</t>
  </si>
  <si>
    <t xml:space="preserve">S1</t>
  </si>
  <si>
    <t xml:space="preserve">AIS 1–2 (≥10% prob.)</t>
  </si>
  <si>
    <t xml:space="preserve">Light to moderate injuries.</t>
  </si>
  <si>
    <t xml:space="preserve">Bruises, sprains, minor lacerations.</t>
  </si>
  <si>
    <t xml:space="preserve">S2</t>
  </si>
  <si>
    <t xml:space="preserve">AIS 3–6 (&lt;10%) + AIS 1–2 (&gt;10%)</t>
  </si>
  <si>
    <t xml:space="preserve">Severe to life-threatening (survival probable).</t>
  </si>
  <si>
    <t xml:space="preserve">Concussion, multiple fractures.</t>
  </si>
  <si>
    <t xml:space="preserve">S3</t>
  </si>
  <si>
    <t xml:space="preserve">AIS 3–6 (≥10% prob.)</t>
  </si>
  <si>
    <t xml:space="preserve">Life-threatening (survival uncertain) to fatal.</t>
  </si>
  <si>
    <t xml:space="preserve">High-speed loss of control, full unintended brake on highway.</t>
  </si>
  <si>
    <t xml:space="preserve">Exposure (E) — Probability of Operational Situation</t>
  </si>
  <si>
    <t xml:space="preserve">Note: Exposure is rated against the OPERATIONAL SITUATION, not the hazard itself. Hazard frequency is captured downstream via PMHF (random hardware failure) analysis.</t>
  </si>
  <si>
    <t xml:space="preserve">E</t>
  </si>
  <si>
    <t xml:space="preserve">Probability</t>
  </si>
  <si>
    <t xml:space="preserve">Quantitative Anchor</t>
  </si>
  <si>
    <t xml:space="preserve">E0</t>
  </si>
  <si>
    <t xml:space="preserve">Incredibly unlikely</t>
  </si>
  <si>
    <t xml:space="preserve">&lt; 10⁻⁴ of operating time</t>
  </si>
  <si>
    <t xml:space="preserve">Closed test track scenario.</t>
  </si>
  <si>
    <t xml:space="preserve">Very low probability</t>
  </si>
  <si>
    <t xml:space="preserve">&lt; 1% of time, &lt; once per year</t>
  </si>
  <si>
    <t xml:space="preserve">Towing in alpine winter pass.</t>
  </si>
  <si>
    <t xml:space="preserve">Low probability</t>
  </si>
  <si>
    <t xml:space="preserve">1–10% of time, &lt; once per month</t>
  </si>
  <si>
    <t xml:space="preserve">Heavy snowfall, towing in rain.</t>
  </si>
  <si>
    <t xml:space="preserve">Medium probability</t>
  </si>
  <si>
    <t xml:space="preserve">10–50% of time, &lt; once per week</t>
  </si>
  <si>
    <t xml:space="preserve">City stop-and-go, wet road, night.</t>
  </si>
  <si>
    <t xml:space="preserve">High probability</t>
  </si>
  <si>
    <t xml:space="preserve">&gt; 50% of time, &gt; once per week</t>
  </si>
  <si>
    <t xml:space="preserve">Highway cruising, dry pavement, daytime.</t>
  </si>
  <si>
    <t xml:space="preserve">Controllability (C) — Driver's Ability to Avoid Harm</t>
  </si>
  <si>
    <t xml:space="preserve">C</t>
  </si>
  <si>
    <t xml:space="preserve">C0</t>
  </si>
  <si>
    <t xml:space="preserve">Controllable in general</t>
  </si>
  <si>
    <t xml:space="preserve">Any reasonable driver action avoids harm.</t>
  </si>
  <si>
    <t xml:space="preserve">Slow cruise speed creep on empty highway.</t>
  </si>
  <si>
    <t xml:space="preserve">C1</t>
  </si>
  <si>
    <t xml:space="preserve">Simply controllable</t>
  </si>
  <si>
    <t xml:space="preserve">≥99% of drivers can avoid the harm.</t>
  </si>
  <si>
    <t xml:space="preserve">Loss of brake assist (still have hydraulic pedal).</t>
  </si>
  <si>
    <t xml:space="preserve">C2</t>
  </si>
  <si>
    <t xml:space="preserve">Normally controllable</t>
  </si>
  <si>
    <t xml:space="preserve">≥90% of drivers can avoid the harm.</t>
  </si>
  <si>
    <t xml:space="preserve">Moderate unintended deceleration during cruise.</t>
  </si>
  <si>
    <t xml:space="preserve">C3</t>
  </si>
  <si>
    <t xml:space="preserve">Difficult / uncontrollable</t>
  </si>
  <si>
    <t xml:space="preserve">&lt;90% can avoid; or no useful action exists.</t>
  </si>
  <si>
    <t xml:space="preserve">Inverse steering torque at highway speed.</t>
  </si>
  <si>
    <t xml:space="preserve">ASIL Determination Matrix (ISO 26262-3:2018)</t>
  </si>
  <si>
    <t xml:space="preserve">Key</t>
  </si>
  <si>
    <t xml:space="preserve">QM</t>
  </si>
  <si>
    <t xml:space="preserve">A</t>
  </si>
  <si>
    <t xml:space="preserve">B</t>
  </si>
  <si>
    <t xml:space="preserve">D</t>
  </si>
  <si>
    <t xml:space="preserve">S0 → no safety requirement (—). E0 → QM regardless of S, C. Handled in HARA tab formula.</t>
  </si>
  <si>
    <t xml:space="preserve">Function × Malfunction Safety-Criticality Filter</t>
  </si>
  <si>
    <t xml:space="preserve">Each function is evaluated against all 14 malfunction guide words. Classification: SC = Safety Critical, NSC = Not Safety Critical, NA = Not Applicable. Use 'Subsumed by' when one malfunction's response is identical to another already rated SC.</t>
  </si>
  <si>
    <t xml:space="preserve">Function</t>
  </si>
  <si>
    <t xml:space="preserve">Malfunction ID</t>
  </si>
  <si>
    <t xml:space="preserve">Malfunction</t>
  </si>
  <si>
    <t xml:space="preserve">Classification</t>
  </si>
  <si>
    <t xml:space="preserve">Subsumed by</t>
  </si>
  <si>
    <t xml:space="preserve">Hazard Description / Rationale</t>
  </si>
  <si>
    <t xml:space="preserve">SC</t>
  </si>
  <si>
    <t xml:space="preserve">loss or weakness of lateral control while the driver relies on it</t>
  </si>
  <si>
    <t xml:space="preserve">unintended lateral motion (steering too much, too fast, in the wrong direction, or uncommanded)</t>
  </si>
  <si>
    <t xml:space="preserve">insufficient deceleration when braking is needed</t>
  </si>
  <si>
    <t xml:space="preserve">unintended or excessive acceleration</t>
  </si>
  <si>
    <t xml:space="preserve">unintended or excessive deceleration that exposes the vehicle to a rear-end collision</t>
  </si>
  <si>
    <t xml:space="preserve">NA</t>
  </si>
  <si>
    <t xml:space="preserve">Single-axis output: unevenness is not a distinct failure mode.</t>
  </si>
  <si>
    <t xml:space="preserve">failure to release control when the driver brakes, cancels or overrides</t>
  </si>
  <si>
    <t xml:space="preserve">engagement of control without a deliberate driver action</t>
  </si>
  <si>
    <t xml:space="preserve">No magnitude: engagement is a discrete state.</t>
  </si>
  <si>
    <t xml:space="preserve">NSC</t>
  </si>
  <si>
    <t xml:space="preserve">Engagement lasting too short is an unexpected disengagement, analyzed as F01/F02 M02 (stops functioning).</t>
  </si>
  <si>
    <t xml:space="preserve">Not applicable to a discrete state.</t>
  </si>
  <si>
    <t xml:space="preserve">undetected or unescalated driver inattention</t>
  </si>
  <si>
    <t xml:space="preserve">False inattention alerts are a nuisance; a resulting disengagement is analyzed as F01/F02 M02.</t>
  </si>
  <si>
    <t xml:space="preserve">Over-sensitive monitoring gives early warnings: nuisance, not a hazard.</t>
  </si>
  <si>
    <t xml:space="preserve">Early warnings: nuisance, not a hazard.</t>
  </si>
  <si>
    <t xml:space="preserve">Warnings too short are covered by escalation to disengagement.</t>
  </si>
  <si>
    <t xml:space="preserve">Warnings too long: nuisance.</t>
  </si>
  <si>
    <t xml:space="preserve">Intermittent alerts: nuisance; persistent failure is M01.</t>
  </si>
  <si>
    <t xml:space="preserve">Not applicable.</t>
  </si>
  <si>
    <t xml:space="preserve">Safety mechanism, not a vehicle-level function. HARA rates hazards without crediting the item's own safety mechanisms; failures of the supervision are analyzed as latent and dual-point faults in the FSC and TSC.</t>
  </si>
  <si>
    <t xml:space="preserve">driver unawareness of the system state (believing it controls when it does not, or missing a take-over request)</t>
  </si>
  <si>
    <t xml:space="preserve">Over-prominent alerts: nuisance.</t>
  </si>
  <si>
    <t xml:space="preserve">Early alerts: nuisance.</t>
  </si>
  <si>
    <t xml:space="preserve">Alert lasting too long: nuisance.</t>
  </si>
  <si>
    <t xml:space="preserve">Flickering display: nuisance; persistent failure is M01 or M03.</t>
  </si>
  <si>
    <t xml:space="preserve">HARA Worksheet — Cartesian (Function × Malfunction × Operating Environment)</t>
  </si>
  <si>
    <t xml:space="preserve">HARA ID</t>
  </si>
  <si>
    <t xml:space="preserve">Speed band (km/h)</t>
  </si>
  <si>
    <t xml:space="preserve">Weather</t>
  </si>
  <si>
    <t xml:space="preserve">Hazardous Event</t>
  </si>
  <si>
    <t xml:space="preserve">S Rationale</t>
  </si>
  <si>
    <t xml:space="preserve">E Rationale</t>
  </si>
  <si>
    <t xml:space="preserve">C Rationale</t>
  </si>
  <si>
    <t xml:space="preserve">ASIL</t>
  </si>
  <si>
    <t xml:space="preserve">Safe State</t>
  </si>
  <si>
    <t xml:space="preserve">H-0001</t>
  </si>
  <si>
    <t xml:space="preserve">0–15</t>
  </si>
  <si>
    <t xml:space="preserve">No Function of 'Lateral control (lane centering)' while in Parking lot (0–15 km/h), dry, daylight.</t>
  </si>
  <si>
    <t xml:space="preserve">S1. Low speed band (15 km/h max). Light to moderate injuries credible.</t>
  </si>
  <si>
    <t xml:space="preserve">E3. Location 'Parking lot' (default E3) combined with weather 'Dry, daylight' (default E4). Combined exposure governed by rarer condition.</t>
  </si>
  <si>
    <t xml:space="preserve">C2. Loss or weakness of assistance, not an adversarial input. Under assumption A03 the supervising driver's hands and feet are available and the vehicle continues on its current path, so 90% or more of drivers are expected to correct. Key review item: C1 is arguable for a supervised Level 2 system; C3 if foreseeable over-reliance (A04) is weighted.</t>
  </si>
  <si>
    <t xml:space="preserve">Lateral control off: the panda blocks all steering commands and the stock steering returns full authority to the driver; audible take-over alert.</t>
  </si>
  <si>
    <t xml:space="preserve">H-0002</t>
  </si>
  <si>
    <t xml:space="preserve">No Function of 'Lateral control (lane centering)' while in Parking lot (0–15 km/h), wet.</t>
  </si>
  <si>
    <t xml:space="preserve">E3. Location 'Parking lot' (default E3) combined with weather 'Wet' (default E3). Combined exposure governed by rarer condition.</t>
  </si>
  <si>
    <t xml:space="preserve">H-0003</t>
  </si>
  <si>
    <t xml:space="preserve">No Function of 'Lateral control (lane centering)' while in Parking lot (0–15 km/h), night, dry.</t>
  </si>
  <si>
    <t xml:space="preserve">E3. Location 'Parking lot' (default E3) combined with weather 'Night, dry' (default E3). Combined exposure governed by rarer condition.</t>
  </si>
  <si>
    <t xml:space="preserve">H-0004</t>
  </si>
  <si>
    <t xml:space="preserve">No Function of 'Lateral control (lane centering)' while in Parking lot (0–15 km/h), heavy rain.</t>
  </si>
  <si>
    <t xml:space="preserve">E2. Location 'Parking lot' (default E3) combined with weather 'Heavy rain' (default E2). Combined exposure governed by rarer condition.</t>
  </si>
  <si>
    <t xml:space="preserve">H-0005</t>
  </si>
  <si>
    <t xml:space="preserve">No Function of 'Lateral control (lane centering)' while in Parking lot (0–15 km/h), fog.</t>
  </si>
  <si>
    <t xml:space="preserve">E1. Location 'Parking lot' (default E3) combined with weather 'Fog' (default E1). Combined exposure governed by rarer condition.</t>
  </si>
  <si>
    <t xml:space="preserve">H-0006</t>
  </si>
  <si>
    <t xml:space="preserve">15–60</t>
  </si>
  <si>
    <t xml:space="preserve">No Function of 'Lateral control (lane centering)' while in Urban / city street (15–60 km/h), dry, daylight.</t>
  </si>
  <si>
    <t xml:space="preserve">S2. Speed band up to 60 km/h. Severe injury credible (AIS 3–6 &lt;10%, AIS 1–2 &gt;10%).</t>
  </si>
  <si>
    <t xml:space="preserve">E4. Location 'Urban / city street' (default E4) combined with weather 'Dry, daylight' (default E4). Combined exposure governed by rarer condition.</t>
  </si>
  <si>
    <t xml:space="preserve">H-0007</t>
  </si>
  <si>
    <t xml:space="preserve">No Function of 'Lateral control (lane centering)' while in Urban / city street (15–60 km/h), wet.</t>
  </si>
  <si>
    <t xml:space="preserve">E3. Location 'Urban / city street' (default E4) combined with weather 'Wet' (default E3). Combined exposure governed by rarer condition.</t>
  </si>
  <si>
    <t xml:space="preserve">H-0008</t>
  </si>
  <si>
    <t xml:space="preserve">No Function of 'Lateral control (lane centering)' while in Urban / city street (15–60 km/h), night, dry.</t>
  </si>
  <si>
    <t xml:space="preserve">E3. Location 'Urban / city street' (default E4) combined with weather 'Night, dry' (default E3). Combined exposure governed by rarer condition.</t>
  </si>
  <si>
    <t xml:space="preserve">H-0009</t>
  </si>
  <si>
    <t xml:space="preserve">No Function of 'Lateral control (lane centering)' while in Urban / city street (15–60 km/h), heavy rain.</t>
  </si>
  <si>
    <t xml:space="preserve">S2. Speed band up to 60 km/h. Severe injury credible (AIS 3–6 &lt;10%, AIS 1–2 &gt;10%). Weather amplifies.</t>
  </si>
  <si>
    <t xml:space="preserve">E2. Location 'Urban / city street' (default E4) combined with weather 'Heavy rain' (default E2). Combined exposure governed by rarer condition.</t>
  </si>
  <si>
    <t xml:space="preserve">H-0010</t>
  </si>
  <si>
    <t xml:space="preserve">No Function of 'Lateral control (lane centering)' while in Urban / city street (15–60 km/h), fog.</t>
  </si>
  <si>
    <t xml:space="preserve">E1. Location 'Urban / city street' (default E4) combined with weather 'Fog' (default E1). Combined exposure governed by rarer condition.</t>
  </si>
  <si>
    <t xml:space="preserve">H-0011</t>
  </si>
  <si>
    <t xml:space="preserve">40–80</t>
  </si>
  <si>
    <t xml:space="preserve">No Function of 'Lateral control (lane centering)' while in Suburban arterial (40–80 km/h), dry, daylight.</t>
  </si>
  <si>
    <t xml:space="preserve">S2. Speed band up to 80 km/h. Severe injury credible (AIS 3–6 &lt;10%, AIS 1–2 &gt;10%).</t>
  </si>
  <si>
    <t xml:space="preserve">E4. Location 'Suburban arterial' (default E4) combined with weather 'Dry, daylight' (default E4). Combined exposure governed by rarer condition.</t>
  </si>
  <si>
    <t xml:space="preserve">H-0012</t>
  </si>
  <si>
    <t xml:space="preserve">No Function of 'Lateral control (lane centering)' while in Suburban arterial (40–80 km/h), wet.</t>
  </si>
  <si>
    <t xml:space="preserve">E3. Location 'Suburban arterial' (default E4) combined with weather 'Wet' (default E3). Combined exposure governed by rarer condition.</t>
  </si>
  <si>
    <t xml:space="preserve">H-0013</t>
  </si>
  <si>
    <t xml:space="preserve">No Function of 'Lateral control (lane centering)' while in Suburban arterial (40–80 km/h), night, dry.</t>
  </si>
  <si>
    <t xml:space="preserve">E3. Location 'Suburban arterial' (default E4) combined with weather 'Night, dry' (default E3). Combined exposure governed by rarer condition.</t>
  </si>
  <si>
    <t xml:space="preserve">H-0014</t>
  </si>
  <si>
    <t xml:space="preserve">No Function of 'Lateral control (lane centering)' while in Suburban arterial (40–80 km/h), heavy rain.</t>
  </si>
  <si>
    <t xml:space="preserve">S2. Speed band up to 80 km/h. Severe injury credible (AIS 3–6 &lt;10%, AIS 1–2 &gt;10%). Weather amplifies.</t>
  </si>
  <si>
    <t xml:space="preserve">E2. Location 'Suburban arterial' (default E4) combined with weather 'Heavy rain' (default E2). Combined exposure governed by rarer condition.</t>
  </si>
  <si>
    <t xml:space="preserve">H-0015</t>
  </si>
  <si>
    <t xml:space="preserve">No Function of 'Lateral control (lane centering)' while in Suburban arterial (40–80 km/h), fog.</t>
  </si>
  <si>
    <t xml:space="preserve">E1. Location 'Suburban arterial' (default E4) combined with weather 'Fog' (default E1). Combined exposure governed by rarer condition.</t>
  </si>
  <si>
    <t xml:space="preserve">H-0016</t>
  </si>
  <si>
    <t xml:space="preserve">60–100</t>
  </si>
  <si>
    <t xml:space="preserve">No Function of 'Lateral control (lane centering)' while in Rural highway (60–100 km/h), dry, daylight.</t>
  </si>
  <si>
    <t xml:space="preserve">S3. Speed band up to 100 km/h. Loss of control or unintended kinetic input at this speed yields AIS 3–6 ≥10% probability.</t>
  </si>
  <si>
    <t xml:space="preserve">E3. Location 'Rural highway' (default E3) combined with weather 'Dry, daylight' (default E4). Combined exposure governed by rarer condition.</t>
  </si>
  <si>
    <t xml:space="preserve">H-0017</t>
  </si>
  <si>
    <t xml:space="preserve">No Function of 'Lateral control (lane centering)' while in Rural highway (60–100 km/h), wet.</t>
  </si>
  <si>
    <t xml:space="preserve">E3. Location 'Rural highway' (default E3) combined with weather 'Wet' (default E3). Combined exposure governed by rarer condition.</t>
  </si>
  <si>
    <t xml:space="preserve">H-0018</t>
  </si>
  <si>
    <t xml:space="preserve">No Function of 'Lateral control (lane centering)' while in Rural highway (60–100 km/h), night, dry.</t>
  </si>
  <si>
    <t xml:space="preserve">E3. Location 'Rural highway' (default E3) combined with weather 'Night, dry' (default E3). Combined exposure governed by rarer condition.</t>
  </si>
  <si>
    <t xml:space="preserve">H-0019</t>
  </si>
  <si>
    <t xml:space="preserve">No Function of 'Lateral control (lane centering)' while in Rural highway (60–100 km/h), heavy rain.</t>
  </si>
  <si>
    <t xml:space="preserve">S3. Speed band up to 100 km/h. Loss of control or unintended kinetic input at this speed yields AIS 3–6 ≥10% probability. Weather amplifies.</t>
  </si>
  <si>
    <t xml:space="preserve">E2. Location 'Rural highway' (default E3) combined with weather 'Heavy rain' (default E2). Combined exposure governed by rarer condition.</t>
  </si>
  <si>
    <t xml:space="preserve">H-0020</t>
  </si>
  <si>
    <t xml:space="preserve">No Function of 'Lateral control (lane centering)' while in Rural highway (60–100 km/h), fog.</t>
  </si>
  <si>
    <t xml:space="preserve">E1. Location 'Rural highway' (default E3) combined with weather 'Fog' (default E1). Combined exposure governed by rarer condition.</t>
  </si>
  <si>
    <t xml:space="preserve">H-0021</t>
  </si>
  <si>
    <t xml:space="preserve">90–130</t>
  </si>
  <si>
    <t xml:space="preserve">No Function of 'Lateral control (lane centering)' while in Interstate / motorway (90–130 km/h), dry, daylight.</t>
  </si>
  <si>
    <t xml:space="preserve">S3. Speed band up to 130 km/h. Loss of control or unintended kinetic input at this speed yields AIS 3–6 ≥10% probability.</t>
  </si>
  <si>
    <t xml:space="preserve">E4. Location 'Interstate / motorway' (default E4) combined with weather 'Dry, daylight' (default E4). Combined exposure governed by rarer condition.</t>
  </si>
  <si>
    <t xml:space="preserve">H-0022</t>
  </si>
  <si>
    <t xml:space="preserve">No Function of 'Lateral control (lane centering)' while in Interstate / motorway (90–130 km/h), wet.</t>
  </si>
  <si>
    <t xml:space="preserve">E3. Location 'Interstate / motorway' (default E4) combined with weather 'Wet' (default E3). Combined exposure governed by rarer condition.</t>
  </si>
  <si>
    <t xml:space="preserve">H-0023</t>
  </si>
  <si>
    <t xml:space="preserve">No Function of 'Lateral control (lane centering)' while in Interstate / motorway (90–130 km/h), night, dry.</t>
  </si>
  <si>
    <t xml:space="preserve">E3. Location 'Interstate / motorway' (default E4) combined with weather 'Night, dry' (default E3). Combined exposure governed by rarer condition.</t>
  </si>
  <si>
    <t xml:space="preserve">H-0024</t>
  </si>
  <si>
    <t xml:space="preserve">No Function of 'Lateral control (lane centering)' while in Interstate / motorway (90–130 km/h), heavy rain.</t>
  </si>
  <si>
    <t xml:space="preserve">S3. Speed band up to 130 km/h. Loss of control or unintended kinetic input at this speed yields AIS 3–6 ≥10% probability. Weather amplifies.</t>
  </si>
  <si>
    <t xml:space="preserve">E2. Location 'Interstate / motorway' (default E4) combined with weather 'Heavy rain' (default E2). Combined exposure governed by rarer condition.</t>
  </si>
  <si>
    <t xml:space="preserve">H-0025</t>
  </si>
  <si>
    <t xml:space="preserve">No Function of 'Lateral control (lane centering)' while in Interstate / motorway (90–130 km/h), fog.</t>
  </si>
  <si>
    <t xml:space="preserve">E1. Location 'Interstate / motorway' (default E4) combined with weather 'Fog' (default E1). Combined exposure governed by rarer condition.</t>
  </si>
  <si>
    <t xml:space="preserve">H-0026</t>
  </si>
  <si>
    <t xml:space="preserve">Stops Functioning of 'Lateral control (lane centering)' while in Parking lot (0–15 km/h), dry, daylight.</t>
  </si>
  <si>
    <t xml:space="preserve">H-0027</t>
  </si>
  <si>
    <t xml:space="preserve">Stops Functioning of 'Lateral control (lane centering)' while in Parking lot (0–15 km/h), wet.</t>
  </si>
  <si>
    <t xml:space="preserve">H-0028</t>
  </si>
  <si>
    <t xml:space="preserve">Stops Functioning of 'Lateral control (lane centering)' while in Parking lot (0–15 km/h), night, dry.</t>
  </si>
  <si>
    <t xml:space="preserve">H-0029</t>
  </si>
  <si>
    <t xml:space="preserve">Stops Functioning of 'Lateral control (lane centering)' while in Parking lot (0–15 km/h), heavy rain.</t>
  </si>
  <si>
    <t xml:space="preserve">H-0030</t>
  </si>
  <si>
    <t xml:space="preserve">Stops Functioning of 'Lateral control (lane centering)' while in Parking lot (0–15 km/h), fog.</t>
  </si>
  <si>
    <t xml:space="preserve">H-0031</t>
  </si>
  <si>
    <t xml:space="preserve">Stops Functioning of 'Lateral control (lane centering)' while in Urban / city street (15–60 km/h), dry, daylight.</t>
  </si>
  <si>
    <t xml:space="preserve">H-0032</t>
  </si>
  <si>
    <t xml:space="preserve">Stops Functioning of 'Lateral control (lane centering)' while in Urban / city street (15–60 km/h), wet.</t>
  </si>
  <si>
    <t xml:space="preserve">H-0033</t>
  </si>
  <si>
    <t xml:space="preserve">Stops Functioning of 'Lateral control (lane centering)' while in Urban / city street (15–60 km/h), night, dry.</t>
  </si>
  <si>
    <t xml:space="preserve">H-0034</t>
  </si>
  <si>
    <t xml:space="preserve">Stops Functioning of 'Lateral control (lane centering)' while in Urban / city street (15–60 km/h), heavy rain.</t>
  </si>
  <si>
    <t xml:space="preserve">H-0035</t>
  </si>
  <si>
    <t xml:space="preserve">Stops Functioning of 'Lateral control (lane centering)' while in Urban / city street (15–60 km/h), fog.</t>
  </si>
  <si>
    <t xml:space="preserve">H-0036</t>
  </si>
  <si>
    <t xml:space="preserve">Stops Functioning of 'Lateral control (lane centering)' while in Suburban arterial (40–80 km/h), dry, daylight.</t>
  </si>
  <si>
    <t xml:space="preserve">H-0037</t>
  </si>
  <si>
    <t xml:space="preserve">Stops Functioning of 'Lateral control (lane centering)' while in Suburban arterial (40–80 km/h), wet.</t>
  </si>
  <si>
    <t xml:space="preserve">H-0038</t>
  </si>
  <si>
    <t xml:space="preserve">Stops Functioning of 'Lateral control (lane centering)' while in Suburban arterial (40–80 km/h), night, dry.</t>
  </si>
  <si>
    <t xml:space="preserve">H-0039</t>
  </si>
  <si>
    <t xml:space="preserve">Stops Functioning of 'Lateral control (lane centering)' while in Suburban arterial (40–80 km/h), heavy rain.</t>
  </si>
  <si>
    <t xml:space="preserve">H-0040</t>
  </si>
  <si>
    <t xml:space="preserve">Stops Functioning of 'Lateral control (lane centering)' while in Suburban arterial (40–80 km/h), fog.</t>
  </si>
  <si>
    <t xml:space="preserve">H-0041</t>
  </si>
  <si>
    <t xml:space="preserve">Stops Functioning of 'Lateral control (lane centering)' while in Rural highway (60–100 km/h), dry, daylight.</t>
  </si>
  <si>
    <t xml:space="preserve">H-0042</t>
  </si>
  <si>
    <t xml:space="preserve">Stops Functioning of 'Lateral control (lane centering)' while in Rural highway (60–100 km/h), wet.</t>
  </si>
  <si>
    <t xml:space="preserve">H-0043</t>
  </si>
  <si>
    <t xml:space="preserve">Stops Functioning of 'Lateral control (lane centering)' while in Rural highway (60–100 km/h), night, dry.</t>
  </si>
  <si>
    <t xml:space="preserve">H-0044</t>
  </si>
  <si>
    <t xml:space="preserve">Stops Functioning of 'Lateral control (lane centering)' while in Rural highway (60–100 km/h), heavy rain.</t>
  </si>
  <si>
    <t xml:space="preserve">H-0045</t>
  </si>
  <si>
    <t xml:space="preserve">Stops Functioning of 'Lateral control (lane centering)' while in Rural highway (60–100 km/h), fog.</t>
  </si>
  <si>
    <t xml:space="preserve">H-0046</t>
  </si>
  <si>
    <t xml:space="preserve">Stops Functioning of 'Lateral control (lane centering)' while in Interstate / motorway (90–130 km/h), dry, daylight.</t>
  </si>
  <si>
    <t xml:space="preserve">H-0047</t>
  </si>
  <si>
    <t xml:space="preserve">Stops Functioning of 'Lateral control (lane centering)' while in Interstate / motorway (90–130 km/h), wet.</t>
  </si>
  <si>
    <t xml:space="preserve">H-0048</t>
  </si>
  <si>
    <t xml:space="preserve">Stops Functioning of 'Lateral control (lane centering)' while in Interstate / motorway (90–130 km/h), night, dry.</t>
  </si>
  <si>
    <t xml:space="preserve">H-0049</t>
  </si>
  <si>
    <t xml:space="preserve">Stops Functioning of 'Lateral control (lane centering)' while in Interstate / motorway (90–130 km/h), heavy rain.</t>
  </si>
  <si>
    <t xml:space="preserve">H-0050</t>
  </si>
  <si>
    <t xml:space="preserve">Stops Functioning of 'Lateral control (lane centering)' while in Interstate / motorway (90–130 km/h), fog.</t>
  </si>
  <si>
    <t xml:space="preserve">H-0051</t>
  </si>
  <si>
    <t xml:space="preserve">Unrequested Function of 'Lateral control (lane centering)' while in Parking lot (0–15 km/h), dry, daylight.</t>
  </si>
  <si>
    <t xml:space="preserve">C2. Low to mid speed (15 km/h max). Driver retains authority but malfunction is unexpected; assume normally controllable.</t>
  </si>
  <si>
    <t xml:space="preserve">H-0052</t>
  </si>
  <si>
    <t xml:space="preserve">Unrequested Function of 'Lateral control (lane centering)' while in Parking lot (0–15 km/h), wet.</t>
  </si>
  <si>
    <t xml:space="preserve">H-0053</t>
  </si>
  <si>
    <t xml:space="preserve">Unrequested Function of 'Lateral control (lane centering)' while in Parking lot (0–15 km/h), night, dry.</t>
  </si>
  <si>
    <t xml:space="preserve">H-0054</t>
  </si>
  <si>
    <t xml:space="preserve">Unrequested Function of 'Lateral control (lane centering)' while in Parking lot (0–15 km/h), heavy rain.</t>
  </si>
  <si>
    <t xml:space="preserve">H-0055</t>
  </si>
  <si>
    <t xml:space="preserve">Unrequested Function of 'Lateral control (lane centering)' while in Parking lot (0–15 km/h), fog.</t>
  </si>
  <si>
    <t xml:space="preserve">H-0056</t>
  </si>
  <si>
    <t xml:space="preserve">Unrequested Function of 'Lateral control (lane centering)' while in Urban / city street (15–60 km/h), dry, daylight.</t>
  </si>
  <si>
    <t xml:space="preserve">C2. Mid-speed band (60 km/h max). ≥90% of average drivers can avoid harm with normal reaction.</t>
  </si>
  <si>
    <t xml:space="preserve">H-0057</t>
  </si>
  <si>
    <t xml:space="preserve">Unrequested Function of 'Lateral control (lane centering)' while in Urban / city street (15–60 km/h), wet.</t>
  </si>
  <si>
    <t xml:space="preserve">H-0058</t>
  </si>
  <si>
    <t xml:space="preserve">Unrequested Function of 'Lateral control (lane centering)' while in Urban / city street (15–60 km/h), night, dry.</t>
  </si>
  <si>
    <t xml:space="preserve">H-0059</t>
  </si>
  <si>
    <t xml:space="preserve">Unrequested Function of 'Lateral control (lane centering)' while in Urban / city street (15–60 km/h), heavy rain.</t>
  </si>
  <si>
    <t xml:space="preserve">H-0060</t>
  </si>
  <si>
    <t xml:space="preserve">Unrequested Function of 'Lateral control (lane centering)' while in Urban / city street (15–60 km/h), fog.</t>
  </si>
  <si>
    <t xml:space="preserve">H-0061</t>
  </si>
  <si>
    <t xml:space="preserve">Unrequested Function of 'Lateral control (lane centering)' while in Suburban arterial (40–80 km/h), dry, daylight.</t>
  </si>
  <si>
    <t xml:space="preserve">C3. Adversarial malfunction M03 at 80 km/h gives &lt;0.5 s reaction window; &lt;90% of drivers can avoid harm.</t>
  </si>
  <si>
    <t xml:space="preserve">H-0062</t>
  </si>
  <si>
    <t xml:space="preserve">Unrequested Function of 'Lateral control (lane centering)' while in Suburban arterial (40–80 km/h), wet.</t>
  </si>
  <si>
    <t xml:space="preserve">H-0063</t>
  </si>
  <si>
    <t xml:space="preserve">Unrequested Function of 'Lateral control (lane centering)' while in Suburban arterial (40–80 km/h), night, dry.</t>
  </si>
  <si>
    <t xml:space="preserve">H-0064</t>
  </si>
  <si>
    <t xml:space="preserve">Unrequested Function of 'Lateral control (lane centering)' while in Suburban arterial (40–80 km/h), heavy rain.</t>
  </si>
  <si>
    <t xml:space="preserve">H-0065</t>
  </si>
  <si>
    <t xml:space="preserve">Unrequested Function of 'Lateral control (lane centering)' while in Suburban arterial (40–80 km/h), fog.</t>
  </si>
  <si>
    <t xml:space="preserve">H-0066</t>
  </si>
  <si>
    <t xml:space="preserve">Unrequested Function of 'Lateral control (lane centering)' while in Rural highway (60–100 km/h), dry, daylight.</t>
  </si>
  <si>
    <t xml:space="preserve">C3. Adversarial malfunction M03 at 100 km/h gives &lt;0.5 s reaction window; &lt;90% of drivers can avoid harm.</t>
  </si>
  <si>
    <t xml:space="preserve">H-0067</t>
  </si>
  <si>
    <t xml:space="preserve">Unrequested Function of 'Lateral control (lane centering)' while in Rural highway (60–100 km/h), wet.</t>
  </si>
  <si>
    <t xml:space="preserve">H-0068</t>
  </si>
  <si>
    <t xml:space="preserve">Unrequested Function of 'Lateral control (lane centering)' while in Rural highway (60–100 km/h), night, dry.</t>
  </si>
  <si>
    <t xml:space="preserve">H-0069</t>
  </si>
  <si>
    <t xml:space="preserve">Unrequested Function of 'Lateral control (lane centering)' while in Rural highway (60–100 km/h), heavy rain.</t>
  </si>
  <si>
    <t xml:space="preserve">H-0070</t>
  </si>
  <si>
    <t xml:space="preserve">Unrequested Function of 'Lateral control (lane centering)' while in Rural highway (60–100 km/h), fog.</t>
  </si>
  <si>
    <t xml:space="preserve">H-0071</t>
  </si>
  <si>
    <t xml:space="preserve">Unrequested Function of 'Lateral control (lane centering)' while in Interstate / motorway (90–130 km/h), dry, daylight.</t>
  </si>
  <si>
    <t xml:space="preserve">C3. Adversarial malfunction M03 at 130 km/h gives &lt;0.5 s reaction window; &lt;90% of drivers can avoid harm.</t>
  </si>
  <si>
    <t xml:space="preserve">H-0072</t>
  </si>
  <si>
    <t xml:space="preserve">Unrequested Function of 'Lateral control (lane centering)' while in Interstate / motorway (90–130 km/h), wet.</t>
  </si>
  <si>
    <t xml:space="preserve">H-0073</t>
  </si>
  <si>
    <t xml:space="preserve">Unrequested Function of 'Lateral control (lane centering)' while in Interstate / motorway (90–130 km/h), night, dry.</t>
  </si>
  <si>
    <t xml:space="preserve">H-0074</t>
  </si>
  <si>
    <t xml:space="preserve">Unrequested Function of 'Lateral control (lane centering)' while in Interstate / motorway (90–130 km/h), heavy rain.</t>
  </si>
  <si>
    <t xml:space="preserve">H-0075</t>
  </si>
  <si>
    <t xml:space="preserve">Unrequested Function of 'Lateral control (lane centering)' while in Interstate / motorway (90–130 km/h), fog.</t>
  </si>
  <si>
    <t xml:space="preserve">H-0076</t>
  </si>
  <si>
    <t xml:space="preserve">Function Stuck of 'Lateral control (lane centering)' while in Parking lot (0–15 km/h), dry, daylight.</t>
  </si>
  <si>
    <t xml:space="preserve">H-0077</t>
  </si>
  <si>
    <t xml:space="preserve">Function Stuck of 'Lateral control (lane centering)' while in Parking lot (0–15 km/h), wet.</t>
  </si>
  <si>
    <t xml:space="preserve">H-0078</t>
  </si>
  <si>
    <t xml:space="preserve">Function Stuck of 'Lateral control (lane centering)' while in Parking lot (0–15 km/h), night, dry.</t>
  </si>
  <si>
    <t xml:space="preserve">H-0079</t>
  </si>
  <si>
    <t xml:space="preserve">Function Stuck of 'Lateral control (lane centering)' while in Parking lot (0–15 km/h), heavy rain.</t>
  </si>
  <si>
    <t xml:space="preserve">H-0080</t>
  </si>
  <si>
    <t xml:space="preserve">Function Stuck of 'Lateral control (lane centering)' while in Parking lot (0–15 km/h), fog.</t>
  </si>
  <si>
    <t xml:space="preserve">H-0081</t>
  </si>
  <si>
    <t xml:space="preserve">Function Stuck of 'Lateral control (lane centering)' while in Urban / city street (15–60 km/h), dry, daylight.</t>
  </si>
  <si>
    <t xml:space="preserve">H-0082</t>
  </si>
  <si>
    <t xml:space="preserve">Function Stuck of 'Lateral control (lane centering)' while in Urban / city street (15–60 km/h), wet.</t>
  </si>
  <si>
    <t xml:space="preserve">H-0083</t>
  </si>
  <si>
    <t xml:space="preserve">Function Stuck of 'Lateral control (lane centering)' while in Urban / city street (15–60 km/h), night, dry.</t>
  </si>
  <si>
    <t xml:space="preserve">H-0084</t>
  </si>
  <si>
    <t xml:space="preserve">Function Stuck of 'Lateral control (lane centering)' while in Urban / city street (15–60 km/h), heavy rain.</t>
  </si>
  <si>
    <t xml:space="preserve">H-0085</t>
  </si>
  <si>
    <t xml:space="preserve">Function Stuck of 'Lateral control (lane centering)' while in Urban / city street (15–60 km/h), fog.</t>
  </si>
  <si>
    <t xml:space="preserve">H-0086</t>
  </si>
  <si>
    <t xml:space="preserve">Function Stuck of 'Lateral control (lane centering)' while in Suburban arterial (40–80 km/h), dry, daylight.</t>
  </si>
  <si>
    <t xml:space="preserve">C2. Mid-speed band (80 km/h max). ≥90% of average drivers can avoid harm with normal reaction.</t>
  </si>
  <si>
    <t xml:space="preserve">H-0087</t>
  </si>
  <si>
    <t xml:space="preserve">Function Stuck of 'Lateral control (lane centering)' while in Suburban arterial (40–80 km/h), wet.</t>
  </si>
  <si>
    <t xml:space="preserve">H-0088</t>
  </si>
  <si>
    <t xml:space="preserve">Function Stuck of 'Lateral control (lane centering)' while in Suburban arterial (40–80 km/h), night, dry.</t>
  </si>
  <si>
    <t xml:space="preserve">H-0089</t>
  </si>
  <si>
    <t xml:space="preserve">Function Stuck of 'Lateral control (lane centering)' while in Suburban arterial (40–80 km/h), heavy rain.</t>
  </si>
  <si>
    <t xml:space="preserve">H-0090</t>
  </si>
  <si>
    <t xml:space="preserve">Function Stuck of 'Lateral control (lane centering)' while in Suburban arterial (40–80 km/h), fog.</t>
  </si>
  <si>
    <t xml:space="preserve">H-0091</t>
  </si>
  <si>
    <t xml:space="preserve">Function Stuck of 'Lateral control (lane centering)' while in Rural highway (60–100 km/h), dry, daylight.</t>
  </si>
  <si>
    <t xml:space="preserve">C3. Highway speed band up to 100 km/h limits driver reaction time below safe threshold.</t>
  </si>
  <si>
    <t xml:space="preserve">H-0092</t>
  </si>
  <si>
    <t xml:space="preserve">Function Stuck of 'Lateral control (lane centering)' while in Rural highway (60–100 km/h), wet.</t>
  </si>
  <si>
    <t xml:space="preserve">H-0093</t>
  </si>
  <si>
    <t xml:space="preserve">Function Stuck of 'Lateral control (lane centering)' while in Rural highway (60–100 km/h), night, dry.</t>
  </si>
  <si>
    <t xml:space="preserve">H-0094</t>
  </si>
  <si>
    <t xml:space="preserve">Function Stuck of 'Lateral control (lane centering)' while in Rural highway (60–100 km/h), heavy rain.</t>
  </si>
  <si>
    <t xml:space="preserve">H-0095</t>
  </si>
  <si>
    <t xml:space="preserve">Function Stuck of 'Lateral control (lane centering)' while in Rural highway (60–100 km/h), fog.</t>
  </si>
  <si>
    <t xml:space="preserve">H-0096</t>
  </si>
  <si>
    <t xml:space="preserve">Function Stuck of 'Lateral control (lane centering)' while in Interstate / motorway (90–130 km/h), dry, daylight.</t>
  </si>
  <si>
    <t xml:space="preserve">C3. Highway speed band up to 130 km/h limits driver reaction time below safe threshold.</t>
  </si>
  <si>
    <t xml:space="preserve">H-0097</t>
  </si>
  <si>
    <t xml:space="preserve">Function Stuck of 'Lateral control (lane centering)' while in Interstate / motorway (90–130 km/h), wet.</t>
  </si>
  <si>
    <t xml:space="preserve">H-0098</t>
  </si>
  <si>
    <t xml:space="preserve">Function Stuck of 'Lateral control (lane centering)' while in Interstate / motorway (90–130 km/h), night, dry.</t>
  </si>
  <si>
    <t xml:space="preserve">H-0099</t>
  </si>
  <si>
    <t xml:space="preserve">Function Stuck of 'Lateral control (lane centering)' while in Interstate / motorway (90–130 km/h), heavy rain.</t>
  </si>
  <si>
    <t xml:space="preserve">H-0100</t>
  </si>
  <si>
    <t xml:space="preserve">Function Stuck of 'Lateral control (lane centering)' while in Interstate / motorway (90–130 km/h), fog.</t>
  </si>
  <si>
    <t xml:space="preserve">H-0101</t>
  </si>
  <si>
    <t xml:space="preserve">Excessive Function of 'Lateral control (lane centering)' while in Parking lot (0–15 km/h), dry, daylight.</t>
  </si>
  <si>
    <t xml:space="preserve">H-0102</t>
  </si>
  <si>
    <t xml:space="preserve">Excessive Function of 'Lateral control (lane centering)' while in Parking lot (0–15 km/h), wet.</t>
  </si>
  <si>
    <t xml:space="preserve">H-0103</t>
  </si>
  <si>
    <t xml:space="preserve">Excessive Function of 'Lateral control (lane centering)' while in Parking lot (0–15 km/h), night, dry.</t>
  </si>
  <si>
    <t xml:space="preserve">H-0104</t>
  </si>
  <si>
    <t xml:space="preserve">Excessive Function of 'Lateral control (lane centering)' while in Parking lot (0–15 km/h), heavy rain.</t>
  </si>
  <si>
    <t xml:space="preserve">H-0105</t>
  </si>
  <si>
    <t xml:space="preserve">Excessive Function of 'Lateral control (lane centering)' while in Parking lot (0–15 km/h), fog.</t>
  </si>
  <si>
    <t xml:space="preserve">H-0106</t>
  </si>
  <si>
    <t xml:space="preserve">Excessive Function of 'Lateral control (lane centering)' while in Urban / city street (15–60 km/h), dry, daylight.</t>
  </si>
  <si>
    <t xml:space="preserve">H-0107</t>
  </si>
  <si>
    <t xml:space="preserve">Excessive Function of 'Lateral control (lane centering)' while in Urban / city street (15–60 km/h), wet.</t>
  </si>
  <si>
    <t xml:space="preserve">H-0108</t>
  </si>
  <si>
    <t xml:space="preserve">Excessive Function of 'Lateral control (lane centering)' while in Urban / city street (15–60 km/h), night, dry.</t>
  </si>
  <si>
    <t xml:space="preserve">H-0109</t>
  </si>
  <si>
    <t xml:space="preserve">Excessive Function of 'Lateral control (lane centering)' while in Urban / city street (15–60 km/h), heavy rain.</t>
  </si>
  <si>
    <t xml:space="preserve">H-0110</t>
  </si>
  <si>
    <t xml:space="preserve">Excessive Function of 'Lateral control (lane centering)' while in Urban / city street (15–60 km/h), fog.</t>
  </si>
  <si>
    <t xml:space="preserve">H-0111</t>
  </si>
  <si>
    <t xml:space="preserve">Excessive Function of 'Lateral control (lane centering)' while in Suburban arterial (40–80 km/h), dry, daylight.</t>
  </si>
  <si>
    <t xml:space="preserve">C3. Adversarial malfunction M05 at 80 km/h gives &lt;0.5 s reaction window; &lt;90% of drivers can avoid harm.</t>
  </si>
  <si>
    <t xml:space="preserve">H-0112</t>
  </si>
  <si>
    <t xml:space="preserve">Excessive Function of 'Lateral control (lane centering)' while in Suburban arterial (40–80 km/h), wet.</t>
  </si>
  <si>
    <t xml:space="preserve">H-0113</t>
  </si>
  <si>
    <t xml:space="preserve">Excessive Function of 'Lateral control (lane centering)' while in Suburban arterial (40–80 km/h), night, dry.</t>
  </si>
  <si>
    <t xml:space="preserve">H-0114</t>
  </si>
  <si>
    <t xml:space="preserve">Excessive Function of 'Lateral control (lane centering)' while in Suburban arterial (40–80 km/h), heavy rain.</t>
  </si>
  <si>
    <t xml:space="preserve">H-0115</t>
  </si>
  <si>
    <t xml:space="preserve">Excessive Function of 'Lateral control (lane centering)' while in Suburban arterial (40–80 km/h), fog.</t>
  </si>
  <si>
    <t xml:space="preserve">H-0116</t>
  </si>
  <si>
    <t xml:space="preserve">Excessive Function of 'Lateral control (lane centering)' while in Rural highway (60–100 km/h), dry, daylight.</t>
  </si>
  <si>
    <t xml:space="preserve">C3. Adversarial malfunction M05 at 100 km/h gives &lt;0.5 s reaction window; &lt;90% of drivers can avoid harm.</t>
  </si>
  <si>
    <t xml:space="preserve">H-0117</t>
  </si>
  <si>
    <t xml:space="preserve">Excessive Function of 'Lateral control (lane centering)' while in Rural highway (60–100 km/h), wet.</t>
  </si>
  <si>
    <t xml:space="preserve">H-0118</t>
  </si>
  <si>
    <t xml:space="preserve">Excessive Function of 'Lateral control (lane centering)' while in Rural highway (60–100 km/h), night, dry.</t>
  </si>
  <si>
    <t xml:space="preserve">H-0119</t>
  </si>
  <si>
    <t xml:space="preserve">Excessive Function of 'Lateral control (lane centering)' while in Rural highway (60–100 km/h), heavy rain.</t>
  </si>
  <si>
    <t xml:space="preserve">H-0120</t>
  </si>
  <si>
    <t xml:space="preserve">Excessive Function of 'Lateral control (lane centering)' while in Rural highway (60–100 km/h), fog.</t>
  </si>
  <si>
    <t xml:space="preserve">H-0121</t>
  </si>
  <si>
    <t xml:space="preserve">Excessive Function of 'Lateral control (lane centering)' while in Interstate / motorway (90–130 km/h), dry, daylight.</t>
  </si>
  <si>
    <t xml:space="preserve">C3. Adversarial malfunction M05 at 130 km/h gives &lt;0.5 s reaction window; &lt;90% of drivers can avoid harm.</t>
  </si>
  <si>
    <t xml:space="preserve">H-0122</t>
  </si>
  <si>
    <t xml:space="preserve">Excessive Function of 'Lateral control (lane centering)' while in Interstate / motorway (90–130 km/h), wet.</t>
  </si>
  <si>
    <t xml:space="preserve">H-0123</t>
  </si>
  <si>
    <t xml:space="preserve">Excessive Function of 'Lateral control (lane centering)' while in Interstate / motorway (90–130 km/h), night, dry.</t>
  </si>
  <si>
    <t xml:space="preserve">H-0124</t>
  </si>
  <si>
    <t xml:space="preserve">Excessive Function of 'Lateral control (lane centering)' while in Interstate / motorway (90–130 km/h), heavy rain.</t>
  </si>
  <si>
    <t xml:space="preserve">H-0125</t>
  </si>
  <si>
    <t xml:space="preserve">Excessive Function of 'Lateral control (lane centering)' while in Interstate / motorway (90–130 km/h), fog.</t>
  </si>
  <si>
    <t xml:space="preserve">H-0126</t>
  </si>
  <si>
    <t xml:space="preserve">Partial Function of 'Lateral control (lane centering)' while in Parking lot (0–15 km/h), dry, daylight.</t>
  </si>
  <si>
    <t xml:space="preserve">H-0127</t>
  </si>
  <si>
    <t xml:space="preserve">Partial Function of 'Lateral control (lane centering)' while in Parking lot (0–15 km/h), wet.</t>
  </si>
  <si>
    <t xml:space="preserve">H-0128</t>
  </si>
  <si>
    <t xml:space="preserve">Partial Function of 'Lateral control (lane centering)' while in Parking lot (0–15 km/h), night, dry.</t>
  </si>
  <si>
    <t xml:space="preserve">H-0129</t>
  </si>
  <si>
    <t xml:space="preserve">Partial Function of 'Lateral control (lane centering)' while in Parking lot (0–15 km/h), heavy rain.</t>
  </si>
  <si>
    <t xml:space="preserve">H-0130</t>
  </si>
  <si>
    <t xml:space="preserve">Partial Function of 'Lateral control (lane centering)' while in Parking lot (0–15 km/h), fog.</t>
  </si>
  <si>
    <t xml:space="preserve">H-0131</t>
  </si>
  <si>
    <t xml:space="preserve">Partial Function of 'Lateral control (lane centering)' while in Urban / city street (15–60 km/h), dry, daylight.</t>
  </si>
  <si>
    <t xml:space="preserve">H-0132</t>
  </si>
  <si>
    <t xml:space="preserve">Partial Function of 'Lateral control (lane centering)' while in Urban / city street (15–60 km/h), wet.</t>
  </si>
  <si>
    <t xml:space="preserve">H-0133</t>
  </si>
  <si>
    <t xml:space="preserve">Partial Function of 'Lateral control (lane centering)' while in Urban / city street (15–60 km/h), night, dry.</t>
  </si>
  <si>
    <t xml:space="preserve">H-0134</t>
  </si>
  <si>
    <t xml:space="preserve">Partial Function of 'Lateral control (lane centering)' while in Urban / city street (15–60 km/h), heavy rain.</t>
  </si>
  <si>
    <t xml:space="preserve">H-0135</t>
  </si>
  <si>
    <t xml:space="preserve">Partial Function of 'Lateral control (lane centering)' while in Urban / city street (15–60 km/h), fog.</t>
  </si>
  <si>
    <t xml:space="preserve">H-0136</t>
  </si>
  <si>
    <t xml:space="preserve">Partial Function of 'Lateral control (lane centering)' while in Suburban arterial (40–80 km/h), dry, daylight.</t>
  </si>
  <si>
    <t xml:space="preserve">H-0137</t>
  </si>
  <si>
    <t xml:space="preserve">Partial Function of 'Lateral control (lane centering)' while in Suburban arterial (40–80 km/h), wet.</t>
  </si>
  <si>
    <t xml:space="preserve">H-0138</t>
  </si>
  <si>
    <t xml:space="preserve">Partial Function of 'Lateral control (lane centering)' while in Suburban arterial (40–80 km/h), night, dry.</t>
  </si>
  <si>
    <t xml:space="preserve">H-0139</t>
  </si>
  <si>
    <t xml:space="preserve">Partial Function of 'Lateral control (lane centering)' while in Suburban arterial (40–80 km/h), heavy rain.</t>
  </si>
  <si>
    <t xml:space="preserve">H-0140</t>
  </si>
  <si>
    <t xml:space="preserve">Partial Function of 'Lateral control (lane centering)' while in Suburban arterial (40–80 km/h), fog.</t>
  </si>
  <si>
    <t xml:space="preserve">H-0141</t>
  </si>
  <si>
    <t xml:space="preserve">Partial Function of 'Lateral control (lane centering)' while in Rural highway (60–100 km/h), dry, daylight.</t>
  </si>
  <si>
    <t xml:space="preserve">H-0142</t>
  </si>
  <si>
    <t xml:space="preserve">Partial Function of 'Lateral control (lane centering)' while in Rural highway (60–100 km/h), wet.</t>
  </si>
  <si>
    <t xml:space="preserve">H-0143</t>
  </si>
  <si>
    <t xml:space="preserve">Partial Function of 'Lateral control (lane centering)' while in Rural highway (60–100 km/h), night, dry.</t>
  </si>
  <si>
    <t xml:space="preserve">H-0144</t>
  </si>
  <si>
    <t xml:space="preserve">Partial Function of 'Lateral control (lane centering)' while in Rural highway (60–100 km/h), heavy rain.</t>
  </si>
  <si>
    <t xml:space="preserve">H-0145</t>
  </si>
  <si>
    <t xml:space="preserve">Partial Function of 'Lateral control (lane centering)' while in Rural highway (60–100 km/h), fog.</t>
  </si>
  <si>
    <t xml:space="preserve">H-0146</t>
  </si>
  <si>
    <t xml:space="preserve">Partial Function of 'Lateral control (lane centering)' while in Interstate / motorway (90–130 km/h), dry, daylight.</t>
  </si>
  <si>
    <t xml:space="preserve">H-0147</t>
  </si>
  <si>
    <t xml:space="preserve">Partial Function of 'Lateral control (lane centering)' while in Interstate / motorway (90–130 km/h), wet.</t>
  </si>
  <si>
    <t xml:space="preserve">H-0148</t>
  </si>
  <si>
    <t xml:space="preserve">Partial Function of 'Lateral control (lane centering)' while in Interstate / motorway (90–130 km/h), night, dry.</t>
  </si>
  <si>
    <t xml:space="preserve">H-0149</t>
  </si>
  <si>
    <t xml:space="preserve">Partial Function of 'Lateral control (lane centering)' while in Interstate / motorway (90–130 km/h), heavy rain.</t>
  </si>
  <si>
    <t xml:space="preserve">H-0150</t>
  </si>
  <si>
    <t xml:space="preserve">Partial Function of 'Lateral control (lane centering)' while in Interstate / motorway (90–130 km/h), fog.</t>
  </si>
  <si>
    <t xml:space="preserve">H-0151</t>
  </si>
  <si>
    <t xml:space="preserve">Inverse Function of 'Lateral control (lane centering)' while in Parking lot (0–15 km/h), dry, daylight.</t>
  </si>
  <si>
    <t xml:space="preserve">H-0152</t>
  </si>
  <si>
    <t xml:space="preserve">Inverse Function of 'Lateral control (lane centering)' while in Parking lot (0–15 km/h), wet.</t>
  </si>
  <si>
    <t xml:space="preserve">H-0153</t>
  </si>
  <si>
    <t xml:space="preserve">Inverse Function of 'Lateral control (lane centering)' while in Parking lot (0–15 km/h), night, dry.</t>
  </si>
  <si>
    <t xml:space="preserve">H-0154</t>
  </si>
  <si>
    <t xml:space="preserve">Inverse Function of 'Lateral control (lane centering)' while in Parking lot (0–15 km/h), heavy rain.</t>
  </si>
  <si>
    <t xml:space="preserve">H-0155</t>
  </si>
  <si>
    <t xml:space="preserve">Inverse Function of 'Lateral control (lane centering)' while in Parking lot (0–15 km/h), fog.</t>
  </si>
  <si>
    <t xml:space="preserve">H-0156</t>
  </si>
  <si>
    <t xml:space="preserve">Inverse Function of 'Lateral control (lane centering)' while in Urban / city street (15–60 km/h), dry, daylight.</t>
  </si>
  <si>
    <t xml:space="preserve">H-0157</t>
  </si>
  <si>
    <t xml:space="preserve">Inverse Function of 'Lateral control (lane centering)' while in Urban / city street (15–60 km/h), wet.</t>
  </si>
  <si>
    <t xml:space="preserve">H-0158</t>
  </si>
  <si>
    <t xml:space="preserve">Inverse Function of 'Lateral control (lane centering)' while in Urban / city street (15–60 km/h), night, dry.</t>
  </si>
  <si>
    <t xml:space="preserve">H-0159</t>
  </si>
  <si>
    <t xml:space="preserve">Inverse Function of 'Lateral control (lane centering)' while in Urban / city street (15–60 km/h), heavy rain.</t>
  </si>
  <si>
    <t xml:space="preserve">H-0160</t>
  </si>
  <si>
    <t xml:space="preserve">Inverse Function of 'Lateral control (lane centering)' while in Urban / city street (15–60 km/h), fog.</t>
  </si>
  <si>
    <t xml:space="preserve">H-0161</t>
  </si>
  <si>
    <t xml:space="preserve">Inverse Function of 'Lateral control (lane centering)' while in Suburban arterial (40–80 km/h), dry, daylight.</t>
  </si>
  <si>
    <t xml:space="preserve">C3. Adversarial malfunction M12 at 80 km/h gives &lt;0.5 s reaction window; &lt;90% of drivers can avoid harm.</t>
  </si>
  <si>
    <t xml:space="preserve">H-0162</t>
  </si>
  <si>
    <t xml:space="preserve">Inverse Function of 'Lateral control (lane centering)' while in Suburban arterial (40–80 km/h), wet.</t>
  </si>
  <si>
    <t xml:space="preserve">H-0163</t>
  </si>
  <si>
    <t xml:space="preserve">Inverse Function of 'Lateral control (lane centering)' while in Suburban arterial (40–80 km/h), night, dry.</t>
  </si>
  <si>
    <t xml:space="preserve">H-0164</t>
  </si>
  <si>
    <t xml:space="preserve">Inverse Function of 'Lateral control (lane centering)' while in Suburban arterial (40–80 km/h), heavy rain.</t>
  </si>
  <si>
    <t xml:space="preserve">H-0165</t>
  </si>
  <si>
    <t xml:space="preserve">Inverse Function of 'Lateral control (lane centering)' while in Suburban arterial (40–80 km/h), fog.</t>
  </si>
  <si>
    <t xml:space="preserve">H-0166</t>
  </si>
  <si>
    <t xml:space="preserve">Inverse Function of 'Lateral control (lane centering)' while in Rural highway (60–100 km/h), dry, daylight.</t>
  </si>
  <si>
    <t xml:space="preserve">C3. Adversarial malfunction M12 at 100 km/h gives &lt;0.5 s reaction window; &lt;90% of drivers can avoid harm.</t>
  </si>
  <si>
    <t xml:space="preserve">H-0167</t>
  </si>
  <si>
    <t xml:space="preserve">Inverse Function of 'Lateral control (lane centering)' while in Rural highway (60–100 km/h), wet.</t>
  </si>
  <si>
    <t xml:space="preserve">H-0168</t>
  </si>
  <si>
    <t xml:space="preserve">Inverse Function of 'Lateral control (lane centering)' while in Rural highway (60–100 km/h), night, dry.</t>
  </si>
  <si>
    <t xml:space="preserve">H-0169</t>
  </si>
  <si>
    <t xml:space="preserve">Inverse Function of 'Lateral control (lane centering)' while in Rural highway (60–100 km/h), heavy rain.</t>
  </si>
  <si>
    <t xml:space="preserve">H-0170</t>
  </si>
  <si>
    <t xml:space="preserve">Inverse Function of 'Lateral control (lane centering)' while in Rural highway (60–100 km/h), fog.</t>
  </si>
  <si>
    <t xml:space="preserve">H-0171</t>
  </si>
  <si>
    <t xml:space="preserve">Inverse Function of 'Lateral control (lane centering)' while in Interstate / motorway (90–130 km/h), dry, daylight.</t>
  </si>
  <si>
    <t xml:space="preserve">C3. Adversarial malfunction M12 at 130 km/h gives &lt;0.5 s reaction window; &lt;90% of drivers can avoid harm.</t>
  </si>
  <si>
    <t xml:space="preserve">H-0172</t>
  </si>
  <si>
    <t xml:space="preserve">Inverse Function of 'Lateral control (lane centering)' while in Interstate / motorway (90–130 km/h), wet.</t>
  </si>
  <si>
    <t xml:space="preserve">H-0173</t>
  </si>
  <si>
    <t xml:space="preserve">Inverse Function of 'Lateral control (lane centering)' while in Interstate / motorway (90–130 km/h), night, dry.</t>
  </si>
  <si>
    <t xml:space="preserve">H-0174</t>
  </si>
  <si>
    <t xml:space="preserve">Inverse Function of 'Lateral control (lane centering)' while in Interstate / motorway (90–130 km/h), heavy rain.</t>
  </si>
  <si>
    <t xml:space="preserve">H-0175</t>
  </si>
  <si>
    <t xml:space="preserve">Inverse Function of 'Lateral control (lane centering)' while in Interstate / motorway (90–130 km/h), fog.</t>
  </si>
  <si>
    <t xml:space="preserve">H-0176</t>
  </si>
  <si>
    <t xml:space="preserve">Erratic or Intermittent of 'Lateral control (lane centering)' while in Parking lot (0–15 km/h), dry, daylight.</t>
  </si>
  <si>
    <t xml:space="preserve">H-0177</t>
  </si>
  <si>
    <t xml:space="preserve">Erratic or Intermittent of 'Lateral control (lane centering)' while in Parking lot (0–15 km/h), wet.</t>
  </si>
  <si>
    <t xml:space="preserve">H-0178</t>
  </si>
  <si>
    <t xml:space="preserve">Erratic or Intermittent of 'Lateral control (lane centering)' while in Parking lot (0–15 km/h), night, dry.</t>
  </si>
  <si>
    <t xml:space="preserve">H-0179</t>
  </si>
  <si>
    <t xml:space="preserve">Erratic or Intermittent of 'Lateral control (lane centering)' while in Parking lot (0–15 km/h), heavy rain.</t>
  </si>
  <si>
    <t xml:space="preserve">H-0180</t>
  </si>
  <si>
    <t xml:space="preserve">Erratic or Intermittent of 'Lateral control (lane centering)' while in Parking lot (0–15 km/h), fog.</t>
  </si>
  <si>
    <t xml:space="preserve">H-0181</t>
  </si>
  <si>
    <t xml:space="preserve">Erratic or Intermittent of 'Lateral control (lane centering)' while in Urban / city street (15–60 km/h), dry, daylight.</t>
  </si>
  <si>
    <t xml:space="preserve">H-0182</t>
  </si>
  <si>
    <t xml:space="preserve">Erratic or Intermittent of 'Lateral control (lane centering)' while in Urban / city street (15–60 km/h), wet.</t>
  </si>
  <si>
    <t xml:space="preserve">H-0183</t>
  </si>
  <si>
    <t xml:space="preserve">Erratic or Intermittent of 'Lateral control (lane centering)' while in Urban / city street (15–60 km/h), night, dry.</t>
  </si>
  <si>
    <t xml:space="preserve">H-0184</t>
  </si>
  <si>
    <t xml:space="preserve">Erratic or Intermittent of 'Lateral control (lane centering)' while in Urban / city street (15–60 km/h), heavy rain.</t>
  </si>
  <si>
    <t xml:space="preserve">H-0185</t>
  </si>
  <si>
    <t xml:space="preserve">Erratic or Intermittent of 'Lateral control (lane centering)' while in Urban / city street (15–60 km/h), fog.</t>
  </si>
  <si>
    <t xml:space="preserve">H-0186</t>
  </si>
  <si>
    <t xml:space="preserve">Erratic or Intermittent of 'Lateral control (lane centering)' while in Suburban arterial (40–80 km/h), dry, daylight.</t>
  </si>
  <si>
    <t xml:space="preserve">H-0187</t>
  </si>
  <si>
    <t xml:space="preserve">Erratic or Intermittent of 'Lateral control (lane centering)' while in Suburban arterial (40–80 km/h), wet.</t>
  </si>
  <si>
    <t xml:space="preserve">H-0188</t>
  </si>
  <si>
    <t xml:space="preserve">Erratic or Intermittent of 'Lateral control (lane centering)' while in Suburban arterial (40–80 km/h), night, dry.</t>
  </si>
  <si>
    <t xml:space="preserve">H-0189</t>
  </si>
  <si>
    <t xml:space="preserve">Erratic or Intermittent of 'Lateral control (lane centering)' while in Suburban arterial (40–80 km/h), heavy rain.</t>
  </si>
  <si>
    <t xml:space="preserve">H-0190</t>
  </si>
  <si>
    <t xml:space="preserve">Erratic or Intermittent of 'Lateral control (lane centering)' while in Suburban arterial (40–80 km/h), fog.</t>
  </si>
  <si>
    <t xml:space="preserve">H-0191</t>
  </si>
  <si>
    <t xml:space="preserve">Erratic or Intermittent of 'Lateral control (lane centering)' while in Rural highway (60–100 km/h), dry, daylight.</t>
  </si>
  <si>
    <t xml:space="preserve">H-0192</t>
  </si>
  <si>
    <t xml:space="preserve">Erratic or Intermittent of 'Lateral control (lane centering)' while in Rural highway (60–100 km/h), wet.</t>
  </si>
  <si>
    <t xml:space="preserve">H-0193</t>
  </si>
  <si>
    <t xml:space="preserve">Erratic or Intermittent of 'Lateral control (lane centering)' while in Rural highway (60–100 km/h), night, dry.</t>
  </si>
  <si>
    <t xml:space="preserve">H-0194</t>
  </si>
  <si>
    <t xml:space="preserve">Erratic or Intermittent of 'Lateral control (lane centering)' while in Rural highway (60–100 km/h), heavy rain.</t>
  </si>
  <si>
    <t xml:space="preserve">H-0195</t>
  </si>
  <si>
    <t xml:space="preserve">Erratic or Intermittent of 'Lateral control (lane centering)' while in Rural highway (60–100 km/h), fog.</t>
  </si>
  <si>
    <t xml:space="preserve">H-0196</t>
  </si>
  <si>
    <t xml:space="preserve">Erratic or Intermittent of 'Lateral control (lane centering)' while in Interstate / motorway (90–130 km/h), dry, daylight.</t>
  </si>
  <si>
    <t xml:space="preserve">H-0197</t>
  </si>
  <si>
    <t xml:space="preserve">Erratic or Intermittent of 'Lateral control (lane centering)' while in Interstate / motorway (90–130 km/h), wet.</t>
  </si>
  <si>
    <t xml:space="preserve">H-0198</t>
  </si>
  <si>
    <t xml:space="preserve">Erratic or Intermittent of 'Lateral control (lane centering)' while in Interstate / motorway (90–130 km/h), night, dry.</t>
  </si>
  <si>
    <t xml:space="preserve">H-0199</t>
  </si>
  <si>
    <t xml:space="preserve">Erratic or Intermittent of 'Lateral control (lane centering)' while in Interstate / motorway (90–130 km/h), heavy rain.</t>
  </si>
  <si>
    <t xml:space="preserve">H-0200</t>
  </si>
  <si>
    <t xml:space="preserve">Erratic or Intermittent of 'Lateral control (lane centering)' while in Interstate / motorway (90–130 km/h), fog.</t>
  </si>
  <si>
    <t xml:space="preserve">H-0201</t>
  </si>
  <si>
    <t xml:space="preserve">No Function of 'Longitudinal control (adaptive cruise, stop and go)' while in Parking lot (0–15 km/h), dry, daylight.</t>
  </si>
  <si>
    <t xml:space="preserve">Longitudinal control off: no acceleration or braking request; the vehicle returns to driver control of speed; audible take-over alert.</t>
  </si>
  <si>
    <t xml:space="preserve">H-0202</t>
  </si>
  <si>
    <t xml:space="preserve">No Function of 'Longitudinal control (adaptive cruise, stop and go)' while in Parking lot (0–15 km/h), wet.</t>
  </si>
  <si>
    <t xml:space="preserve">H-0203</t>
  </si>
  <si>
    <t xml:space="preserve">No Function of 'Longitudinal control (adaptive cruise, stop and go)' while in Parking lot (0–15 km/h), night, dry.</t>
  </si>
  <si>
    <t xml:space="preserve">H-0204</t>
  </si>
  <si>
    <t xml:space="preserve">No Function of 'Longitudinal control (adaptive cruise, stop and go)' while in Parking lot (0–15 km/h), heavy rain.</t>
  </si>
  <si>
    <t xml:space="preserve">H-0205</t>
  </si>
  <si>
    <t xml:space="preserve">No Function of 'Longitudinal control (adaptive cruise, stop and go)' while in Parking lot (0–15 km/h), fog.</t>
  </si>
  <si>
    <t xml:space="preserve">H-0206</t>
  </si>
  <si>
    <t xml:space="preserve">No Function of 'Longitudinal control (adaptive cruise, stop and go)' while in Urban / city street (15–60 km/h), dry, daylight.</t>
  </si>
  <si>
    <t xml:space="preserve">H-0207</t>
  </si>
  <si>
    <t xml:space="preserve">No Function of 'Longitudinal control (adaptive cruise, stop and go)' while in Urban / city street (15–60 km/h), wet.</t>
  </si>
  <si>
    <t xml:space="preserve">H-0208</t>
  </si>
  <si>
    <t xml:space="preserve">No Function of 'Longitudinal control (adaptive cruise, stop and go)' while in Urban / city street (15–60 km/h), night, dry.</t>
  </si>
  <si>
    <t xml:space="preserve">H-0209</t>
  </si>
  <si>
    <t xml:space="preserve">No Function of 'Longitudinal control (adaptive cruise, stop and go)' while in Urban / city street (15–60 km/h), heavy rain.</t>
  </si>
  <si>
    <t xml:space="preserve">H-0210</t>
  </si>
  <si>
    <t xml:space="preserve">No Function of 'Longitudinal control (adaptive cruise, stop and go)' while in Urban / city street (15–60 km/h), fog.</t>
  </si>
  <si>
    <t xml:space="preserve">H-0211</t>
  </si>
  <si>
    <t xml:space="preserve">No Function of 'Longitudinal control (adaptive cruise, stop and go)' while in Suburban arterial (40–80 km/h), dry, daylight.</t>
  </si>
  <si>
    <t xml:space="preserve">H-0212</t>
  </si>
  <si>
    <t xml:space="preserve">No Function of 'Longitudinal control (adaptive cruise, stop and go)' while in Suburban arterial (40–80 km/h), wet.</t>
  </si>
  <si>
    <t xml:space="preserve">H-0213</t>
  </si>
  <si>
    <t xml:space="preserve">No Function of 'Longitudinal control (adaptive cruise, stop and go)' while in Suburban arterial (40–80 km/h), night, dry.</t>
  </si>
  <si>
    <t xml:space="preserve">H-0214</t>
  </si>
  <si>
    <t xml:space="preserve">No Function of 'Longitudinal control (adaptive cruise, stop and go)' while in Suburban arterial (40–80 km/h), heavy rain.</t>
  </si>
  <si>
    <t xml:space="preserve">H-0215</t>
  </si>
  <si>
    <t xml:space="preserve">No Function of 'Longitudinal control (adaptive cruise, stop and go)' while in Suburban arterial (40–80 km/h), fog.</t>
  </si>
  <si>
    <t xml:space="preserve">H-0216</t>
  </si>
  <si>
    <t xml:space="preserve">No Function of 'Longitudinal control (adaptive cruise, stop and go)' while in Rural highway (60–100 km/h), dry, daylight.</t>
  </si>
  <si>
    <t xml:space="preserve">H-0217</t>
  </si>
  <si>
    <t xml:space="preserve">No Function of 'Longitudinal control (adaptive cruise, stop and go)' while in Rural highway (60–100 km/h), wet.</t>
  </si>
  <si>
    <t xml:space="preserve">H-0218</t>
  </si>
  <si>
    <t xml:space="preserve">No Function of 'Longitudinal control (adaptive cruise, stop and go)' while in Rural highway (60–100 km/h), night, dry.</t>
  </si>
  <si>
    <t xml:space="preserve">H-0219</t>
  </si>
  <si>
    <t xml:space="preserve">No Function of 'Longitudinal control (adaptive cruise, stop and go)' while in Rural highway (60–100 km/h), heavy rain.</t>
  </si>
  <si>
    <t xml:space="preserve">H-0220</t>
  </si>
  <si>
    <t xml:space="preserve">No Function of 'Longitudinal control (adaptive cruise, stop and go)' while in Rural highway (60–100 km/h), fog.</t>
  </si>
  <si>
    <t xml:space="preserve">H-0221</t>
  </si>
  <si>
    <t xml:space="preserve">No Function of 'Longitudinal control (adaptive cruise, stop and go)' while in Interstate / motorway (90–130 km/h), dry, daylight.</t>
  </si>
  <si>
    <t xml:space="preserve">H-0222</t>
  </si>
  <si>
    <t xml:space="preserve">No Function of 'Longitudinal control (adaptive cruise, stop and go)' while in Interstate / motorway (90–130 km/h), wet.</t>
  </si>
  <si>
    <t xml:space="preserve">H-0223</t>
  </si>
  <si>
    <t xml:space="preserve">No Function of 'Longitudinal control (adaptive cruise, stop and go)' while in Interstate / motorway (90–130 km/h), night, dry.</t>
  </si>
  <si>
    <t xml:space="preserve">H-0224</t>
  </si>
  <si>
    <t xml:space="preserve">No Function of 'Longitudinal control (adaptive cruise, stop and go)' while in Interstate / motorway (90–130 km/h), heavy rain.</t>
  </si>
  <si>
    <t xml:space="preserve">H-0225</t>
  </si>
  <si>
    <t xml:space="preserve">No Function of 'Longitudinal control (adaptive cruise, stop and go)' while in Interstate / motorway (90–130 km/h), fog.</t>
  </si>
  <si>
    <t xml:space="preserve">H-0226</t>
  </si>
  <si>
    <t xml:space="preserve">Stops Functioning of 'Longitudinal control (adaptive cruise, stop and go)' while in Parking lot (0–15 km/h), dry, daylight.</t>
  </si>
  <si>
    <t xml:space="preserve">H-0227</t>
  </si>
  <si>
    <t xml:space="preserve">Stops Functioning of 'Longitudinal control (adaptive cruise, stop and go)' while in Parking lot (0–15 km/h), wet.</t>
  </si>
  <si>
    <t xml:space="preserve">H-0228</t>
  </si>
  <si>
    <t xml:space="preserve">Stops Functioning of 'Longitudinal control (adaptive cruise, stop and go)' while in Parking lot (0–15 km/h), night, dry.</t>
  </si>
  <si>
    <t xml:space="preserve">H-0229</t>
  </si>
  <si>
    <t xml:space="preserve">Stops Functioning of 'Longitudinal control (adaptive cruise, stop and go)' while in Parking lot (0–15 km/h), heavy rain.</t>
  </si>
  <si>
    <t xml:space="preserve">H-0230</t>
  </si>
  <si>
    <t xml:space="preserve">Stops Functioning of 'Longitudinal control (adaptive cruise, stop and go)' while in Parking lot (0–15 km/h), fog.</t>
  </si>
  <si>
    <t xml:space="preserve">H-0231</t>
  </si>
  <si>
    <t xml:space="preserve">Stops Functioning of 'Longitudinal control (adaptive cruise, stop and go)' while in Urban / city street (15–60 km/h), dry, daylight.</t>
  </si>
  <si>
    <t xml:space="preserve">H-0232</t>
  </si>
  <si>
    <t xml:space="preserve">Stops Functioning of 'Longitudinal control (adaptive cruise, stop and go)' while in Urban / city street (15–60 km/h), wet.</t>
  </si>
  <si>
    <t xml:space="preserve">H-0233</t>
  </si>
  <si>
    <t xml:space="preserve">Stops Functioning of 'Longitudinal control (adaptive cruise, stop and go)' while in Urban / city street (15–60 km/h), night, dry.</t>
  </si>
  <si>
    <t xml:space="preserve">H-0234</t>
  </si>
  <si>
    <t xml:space="preserve">Stops Functioning of 'Longitudinal control (adaptive cruise, stop and go)' while in Urban / city street (15–60 km/h), heavy rain.</t>
  </si>
  <si>
    <t xml:space="preserve">H-0235</t>
  </si>
  <si>
    <t xml:space="preserve">Stops Functioning of 'Longitudinal control (adaptive cruise, stop and go)' while in Urban / city street (15–60 km/h), fog.</t>
  </si>
  <si>
    <t xml:space="preserve">H-0236</t>
  </si>
  <si>
    <t xml:space="preserve">Stops Functioning of 'Longitudinal control (adaptive cruise, stop and go)' while in Suburban arterial (40–80 km/h), dry, daylight.</t>
  </si>
  <si>
    <t xml:space="preserve">H-0237</t>
  </si>
  <si>
    <t xml:space="preserve">Stops Functioning of 'Longitudinal control (adaptive cruise, stop and go)' while in Suburban arterial (40–80 km/h), wet.</t>
  </si>
  <si>
    <t xml:space="preserve">H-0238</t>
  </si>
  <si>
    <t xml:space="preserve">Stops Functioning of 'Longitudinal control (adaptive cruise, stop and go)' while in Suburban arterial (40–80 km/h), night, dry.</t>
  </si>
  <si>
    <t xml:space="preserve">H-0239</t>
  </si>
  <si>
    <t xml:space="preserve">Stops Functioning of 'Longitudinal control (adaptive cruise, stop and go)' while in Suburban arterial (40–80 km/h), heavy rain.</t>
  </si>
  <si>
    <t xml:space="preserve">H-0240</t>
  </si>
  <si>
    <t xml:space="preserve">Stops Functioning of 'Longitudinal control (adaptive cruise, stop and go)' while in Suburban arterial (40–80 km/h), fog.</t>
  </si>
  <si>
    <t xml:space="preserve">H-0241</t>
  </si>
  <si>
    <t xml:space="preserve">Stops Functioning of 'Longitudinal control (adaptive cruise, stop and go)' while in Rural highway (60–100 km/h), dry, daylight.</t>
  </si>
  <si>
    <t xml:space="preserve">H-0242</t>
  </si>
  <si>
    <t xml:space="preserve">Stops Functioning of 'Longitudinal control (adaptive cruise, stop and go)' while in Rural highway (60–100 km/h), wet.</t>
  </si>
  <si>
    <t xml:space="preserve">H-0243</t>
  </si>
  <si>
    <t xml:space="preserve">Stops Functioning of 'Longitudinal control (adaptive cruise, stop and go)' while in Rural highway (60–100 km/h), night, dry.</t>
  </si>
  <si>
    <t xml:space="preserve">H-0244</t>
  </si>
  <si>
    <t xml:space="preserve">Stops Functioning of 'Longitudinal control (adaptive cruise, stop and go)' while in Rural highway (60–100 km/h), heavy rain.</t>
  </si>
  <si>
    <t xml:space="preserve">H-0245</t>
  </si>
  <si>
    <t xml:space="preserve">Stops Functioning of 'Longitudinal control (adaptive cruise, stop and go)' while in Rural highway (60–100 km/h), fog.</t>
  </si>
  <si>
    <t xml:space="preserve">H-0246</t>
  </si>
  <si>
    <t xml:space="preserve">Stops Functioning of 'Longitudinal control (adaptive cruise, stop and go)' while in Interstate / motorway (90–130 km/h), dry, daylight.</t>
  </si>
  <si>
    <t xml:space="preserve">H-0247</t>
  </si>
  <si>
    <t xml:space="preserve">Stops Functioning of 'Longitudinal control (adaptive cruise, stop and go)' while in Interstate / motorway (90–130 km/h), wet.</t>
  </si>
  <si>
    <t xml:space="preserve">H-0248</t>
  </si>
  <si>
    <t xml:space="preserve">Stops Functioning of 'Longitudinal control (adaptive cruise, stop and go)' while in Interstate / motorway (90–130 km/h), night, dry.</t>
  </si>
  <si>
    <t xml:space="preserve">H-0249</t>
  </si>
  <si>
    <t xml:space="preserve">Stops Functioning of 'Longitudinal control (adaptive cruise, stop and go)' while in Interstate / motorway (90–130 km/h), heavy rain.</t>
  </si>
  <si>
    <t xml:space="preserve">H-0250</t>
  </si>
  <si>
    <t xml:space="preserve">Stops Functioning of 'Longitudinal control (adaptive cruise, stop and go)' while in Interstate / motorway (90–130 km/h), fog.</t>
  </si>
  <si>
    <t xml:space="preserve">H-0251</t>
  </si>
  <si>
    <t xml:space="preserve">Unrequested Function of 'Longitudinal control (adaptive cruise, stop and go)' while in Parking lot (0–15 km/h), dry, daylight.</t>
  </si>
  <si>
    <t xml:space="preserve">H-0252</t>
  </si>
  <si>
    <t xml:space="preserve">Unrequested Function of 'Longitudinal control (adaptive cruise, stop and go)' while in Parking lot (0–15 km/h), wet.</t>
  </si>
  <si>
    <t xml:space="preserve">H-0253</t>
  </si>
  <si>
    <t xml:space="preserve">Unrequested Function of 'Longitudinal control (adaptive cruise, stop and go)' while in Parking lot (0–15 km/h), night, dry.</t>
  </si>
  <si>
    <t xml:space="preserve">H-0254</t>
  </si>
  <si>
    <t xml:space="preserve">Unrequested Function of 'Longitudinal control (adaptive cruise, stop and go)' while in Parking lot (0–15 km/h), heavy rain.</t>
  </si>
  <si>
    <t xml:space="preserve">H-0255</t>
  </si>
  <si>
    <t xml:space="preserve">Unrequested Function of 'Longitudinal control (adaptive cruise, stop and go)' while in Parking lot (0–15 km/h), fog.</t>
  </si>
  <si>
    <t xml:space="preserve">H-0256</t>
  </si>
  <si>
    <t xml:space="preserve">Unrequested Function of 'Longitudinal control (adaptive cruise, stop and go)' while in Urban / city street (15–60 km/h), dry, daylight.</t>
  </si>
  <si>
    <t xml:space="preserve">H-0257</t>
  </si>
  <si>
    <t xml:space="preserve">Unrequested Function of 'Longitudinal control (adaptive cruise, stop and go)' while in Urban / city street (15–60 km/h), wet.</t>
  </si>
  <si>
    <t xml:space="preserve">H-0258</t>
  </si>
  <si>
    <t xml:space="preserve">Unrequested Function of 'Longitudinal control (adaptive cruise, stop and go)' while in Urban / city street (15–60 km/h), night, dry.</t>
  </si>
  <si>
    <t xml:space="preserve">H-0259</t>
  </si>
  <si>
    <t xml:space="preserve">Unrequested Function of 'Longitudinal control (adaptive cruise, stop and go)' while in Urban / city street (15–60 km/h), heavy rain.</t>
  </si>
  <si>
    <t xml:space="preserve">H-0260</t>
  </si>
  <si>
    <t xml:space="preserve">Unrequested Function of 'Longitudinal control (adaptive cruise, stop and go)' while in Urban / city street (15–60 km/h), fog.</t>
  </si>
  <si>
    <t xml:space="preserve">H-0261</t>
  </si>
  <si>
    <t xml:space="preserve">Unrequested Function of 'Longitudinal control (adaptive cruise, stop and go)' while in Suburban arterial (40–80 km/h), dry, daylight.</t>
  </si>
  <si>
    <t xml:space="preserve">H-0262</t>
  </si>
  <si>
    <t xml:space="preserve">Unrequested Function of 'Longitudinal control (adaptive cruise, stop and go)' while in Suburban arterial (40–80 km/h), wet.</t>
  </si>
  <si>
    <t xml:space="preserve">H-0263</t>
  </si>
  <si>
    <t xml:space="preserve">Unrequested Function of 'Longitudinal control (adaptive cruise, stop and go)' while in Suburban arterial (40–80 km/h), night, dry.</t>
  </si>
  <si>
    <t xml:space="preserve">H-0264</t>
  </si>
  <si>
    <t xml:space="preserve">Unrequested Function of 'Longitudinal control (adaptive cruise, stop and go)' while in Suburban arterial (40–80 km/h), heavy rain.</t>
  </si>
  <si>
    <t xml:space="preserve">H-0265</t>
  </si>
  <si>
    <t xml:space="preserve">Unrequested Function of 'Longitudinal control (adaptive cruise, stop and go)' while in Suburban arterial (40–80 km/h), fog.</t>
  </si>
  <si>
    <t xml:space="preserve">H-0266</t>
  </si>
  <si>
    <t xml:space="preserve">Unrequested Function of 'Longitudinal control (adaptive cruise, stop and go)' while in Rural highway (60–100 km/h), dry, daylight.</t>
  </si>
  <si>
    <t xml:space="preserve">H-0267</t>
  </si>
  <si>
    <t xml:space="preserve">Unrequested Function of 'Longitudinal control (adaptive cruise, stop and go)' while in Rural highway (60–100 km/h), wet.</t>
  </si>
  <si>
    <t xml:space="preserve">H-0268</t>
  </si>
  <si>
    <t xml:space="preserve">Unrequested Function of 'Longitudinal control (adaptive cruise, stop and go)' while in Rural highway (60–100 km/h), night, dry.</t>
  </si>
  <si>
    <t xml:space="preserve">H-0269</t>
  </si>
  <si>
    <t xml:space="preserve">Unrequested Function of 'Longitudinal control (adaptive cruise, stop and go)' while in Rural highway (60–100 km/h), heavy rain.</t>
  </si>
  <si>
    <t xml:space="preserve">H-0270</t>
  </si>
  <si>
    <t xml:space="preserve">Unrequested Function of 'Longitudinal control (adaptive cruise, stop and go)' while in Rural highway (60–100 km/h), fog.</t>
  </si>
  <si>
    <t xml:space="preserve">H-0271</t>
  </si>
  <si>
    <t xml:space="preserve">Unrequested Function of 'Longitudinal control (adaptive cruise, stop and go)' while in Interstate / motorway (90–130 km/h), dry, daylight.</t>
  </si>
  <si>
    <t xml:space="preserve">H-0272</t>
  </si>
  <si>
    <t xml:space="preserve">Unrequested Function of 'Longitudinal control (adaptive cruise, stop and go)' while in Interstate / motorway (90–130 km/h), wet.</t>
  </si>
  <si>
    <t xml:space="preserve">H-0273</t>
  </si>
  <si>
    <t xml:space="preserve">Unrequested Function of 'Longitudinal control (adaptive cruise, stop and go)' while in Interstate / motorway (90–130 km/h), night, dry.</t>
  </si>
  <si>
    <t xml:space="preserve">H-0274</t>
  </si>
  <si>
    <t xml:space="preserve">Unrequested Function of 'Longitudinal control (adaptive cruise, stop and go)' while in Interstate / motorway (90–130 km/h), heavy rain.</t>
  </si>
  <si>
    <t xml:space="preserve">H-0275</t>
  </si>
  <si>
    <t xml:space="preserve">Unrequested Function of 'Longitudinal control (adaptive cruise, stop and go)' while in Interstate / motorway (90–130 km/h), fog.</t>
  </si>
  <si>
    <t xml:space="preserve">H-0276</t>
  </si>
  <si>
    <t xml:space="preserve">Function Stuck of 'Longitudinal control (adaptive cruise, stop and go)' while in Parking lot (0–15 km/h), dry, daylight.</t>
  </si>
  <si>
    <t xml:space="preserve">H-0277</t>
  </si>
  <si>
    <t xml:space="preserve">Function Stuck of 'Longitudinal control (adaptive cruise, stop and go)' while in Parking lot (0–15 km/h), wet.</t>
  </si>
  <si>
    <t xml:space="preserve">H-0278</t>
  </si>
  <si>
    <t xml:space="preserve">Function Stuck of 'Longitudinal control (adaptive cruise, stop and go)' while in Parking lot (0–15 km/h), night, dry.</t>
  </si>
  <si>
    <t xml:space="preserve">H-0279</t>
  </si>
  <si>
    <t xml:space="preserve">Function Stuck of 'Longitudinal control (adaptive cruise, stop and go)' while in Parking lot (0–15 km/h), heavy rain.</t>
  </si>
  <si>
    <t xml:space="preserve">H-0280</t>
  </si>
  <si>
    <t xml:space="preserve">Function Stuck of 'Longitudinal control (adaptive cruise, stop and go)' while in Parking lot (0–15 km/h), fog.</t>
  </si>
  <si>
    <t xml:space="preserve">H-0281</t>
  </si>
  <si>
    <t xml:space="preserve">Function Stuck of 'Longitudinal control (adaptive cruise, stop and go)' while in Urban / city street (15–60 km/h), dry, daylight.</t>
  </si>
  <si>
    <t xml:space="preserve">H-0282</t>
  </si>
  <si>
    <t xml:space="preserve">Function Stuck of 'Longitudinal control (adaptive cruise, stop and go)' while in Urban / city street (15–60 km/h), wet.</t>
  </si>
  <si>
    <t xml:space="preserve">H-0283</t>
  </si>
  <si>
    <t xml:space="preserve">Function Stuck of 'Longitudinal control (adaptive cruise, stop and go)' while in Urban / city street (15–60 km/h), night, dry.</t>
  </si>
  <si>
    <t xml:space="preserve">H-0284</t>
  </si>
  <si>
    <t xml:space="preserve">Function Stuck of 'Longitudinal control (adaptive cruise, stop and go)' while in Urban / city street (15–60 km/h), heavy rain.</t>
  </si>
  <si>
    <t xml:space="preserve">H-0285</t>
  </si>
  <si>
    <t xml:space="preserve">Function Stuck of 'Longitudinal control (adaptive cruise, stop and go)' while in Urban / city street (15–60 km/h), fog.</t>
  </si>
  <si>
    <t xml:space="preserve">H-0286</t>
  </si>
  <si>
    <t xml:space="preserve">Function Stuck of 'Longitudinal control (adaptive cruise, stop and go)' while in Suburban arterial (40–80 km/h), dry, daylight.</t>
  </si>
  <si>
    <t xml:space="preserve">H-0287</t>
  </si>
  <si>
    <t xml:space="preserve">Function Stuck of 'Longitudinal control (adaptive cruise, stop and go)' while in Suburban arterial (40–80 km/h), wet.</t>
  </si>
  <si>
    <t xml:space="preserve">H-0288</t>
  </si>
  <si>
    <t xml:space="preserve">Function Stuck of 'Longitudinal control (adaptive cruise, stop and go)' while in Suburban arterial (40–80 km/h), night, dry.</t>
  </si>
  <si>
    <t xml:space="preserve">H-0289</t>
  </si>
  <si>
    <t xml:space="preserve">Function Stuck of 'Longitudinal control (adaptive cruise, stop and go)' while in Suburban arterial (40–80 km/h), heavy rain.</t>
  </si>
  <si>
    <t xml:space="preserve">H-0290</t>
  </si>
  <si>
    <t xml:space="preserve">Function Stuck of 'Longitudinal control (adaptive cruise, stop and go)' while in Suburban arterial (40–80 km/h), fog.</t>
  </si>
  <si>
    <t xml:space="preserve">H-0291</t>
  </si>
  <si>
    <t xml:space="preserve">Function Stuck of 'Longitudinal control (adaptive cruise, stop and go)' while in Rural highway (60–100 km/h), dry, daylight.</t>
  </si>
  <si>
    <t xml:space="preserve">H-0292</t>
  </si>
  <si>
    <t xml:space="preserve">Function Stuck of 'Longitudinal control (adaptive cruise, stop and go)' while in Rural highway (60–100 km/h), wet.</t>
  </si>
  <si>
    <t xml:space="preserve">H-0293</t>
  </si>
  <si>
    <t xml:space="preserve">Function Stuck of 'Longitudinal control (adaptive cruise, stop and go)' while in Rural highway (60–100 km/h), night, dry.</t>
  </si>
  <si>
    <t xml:space="preserve">H-0294</t>
  </si>
  <si>
    <t xml:space="preserve">Function Stuck of 'Longitudinal control (adaptive cruise, stop and go)' while in Rural highway (60–100 km/h), heavy rain.</t>
  </si>
  <si>
    <t xml:space="preserve">H-0295</t>
  </si>
  <si>
    <t xml:space="preserve">Function Stuck of 'Longitudinal control (adaptive cruise, stop and go)' while in Rural highway (60–100 km/h), fog.</t>
  </si>
  <si>
    <t xml:space="preserve">H-0296</t>
  </si>
  <si>
    <t xml:space="preserve">Function Stuck of 'Longitudinal control (adaptive cruise, stop and go)' while in Interstate / motorway (90–130 km/h), dry, daylight.</t>
  </si>
  <si>
    <t xml:space="preserve">H-0297</t>
  </si>
  <si>
    <t xml:space="preserve">Function Stuck of 'Longitudinal control (adaptive cruise, stop and go)' while in Interstate / motorway (90–130 km/h), wet.</t>
  </si>
  <si>
    <t xml:space="preserve">H-0298</t>
  </si>
  <si>
    <t xml:space="preserve">Function Stuck of 'Longitudinal control (adaptive cruise, stop and go)' while in Interstate / motorway (90–130 km/h), night, dry.</t>
  </si>
  <si>
    <t xml:space="preserve">H-0299</t>
  </si>
  <si>
    <t xml:space="preserve">Function Stuck of 'Longitudinal control (adaptive cruise, stop and go)' while in Interstate / motorway (90–130 km/h), heavy rain.</t>
  </si>
  <si>
    <t xml:space="preserve">H-0300</t>
  </si>
  <si>
    <t xml:space="preserve">Function Stuck of 'Longitudinal control (adaptive cruise, stop and go)' while in Interstate / motorway (90–130 km/h), fog.</t>
  </si>
  <si>
    <t xml:space="preserve">H-0301</t>
  </si>
  <si>
    <t xml:space="preserve">Excessive Function of 'Longitudinal control (adaptive cruise, stop and go)' while in Parking lot (0–15 km/h), dry, daylight.</t>
  </si>
  <si>
    <t xml:space="preserve">H-0302</t>
  </si>
  <si>
    <t xml:space="preserve">Excessive Function of 'Longitudinal control (adaptive cruise, stop and go)' while in Parking lot (0–15 km/h), wet.</t>
  </si>
  <si>
    <t xml:space="preserve">H-0303</t>
  </si>
  <si>
    <t xml:space="preserve">Excessive Function of 'Longitudinal control (adaptive cruise, stop and go)' while in Parking lot (0–15 km/h), night, dry.</t>
  </si>
  <si>
    <t xml:space="preserve">H-0304</t>
  </si>
  <si>
    <t xml:space="preserve">Excessive Function of 'Longitudinal control (adaptive cruise, stop and go)' while in Parking lot (0–15 km/h), heavy rain.</t>
  </si>
  <si>
    <t xml:space="preserve">H-0305</t>
  </si>
  <si>
    <t xml:space="preserve">Excessive Function of 'Longitudinal control (adaptive cruise, stop and go)' while in Parking lot (0–15 km/h), fog.</t>
  </si>
  <si>
    <t xml:space="preserve">H-0306</t>
  </si>
  <si>
    <t xml:space="preserve">Excessive Function of 'Longitudinal control (adaptive cruise, stop and go)' while in Urban / city street (15–60 km/h), dry, daylight.</t>
  </si>
  <si>
    <t xml:space="preserve">H-0307</t>
  </si>
  <si>
    <t xml:space="preserve">Excessive Function of 'Longitudinal control (adaptive cruise, stop and go)' while in Urban / city street (15–60 km/h), wet.</t>
  </si>
  <si>
    <t xml:space="preserve">H-0308</t>
  </si>
  <si>
    <t xml:space="preserve">Excessive Function of 'Longitudinal control (adaptive cruise, stop and go)' while in Urban / city street (15–60 km/h), night, dry.</t>
  </si>
  <si>
    <t xml:space="preserve">H-0309</t>
  </si>
  <si>
    <t xml:space="preserve">Excessive Function of 'Longitudinal control (adaptive cruise, stop and go)' while in Urban / city street (15–60 km/h), heavy rain.</t>
  </si>
  <si>
    <t xml:space="preserve">H-0310</t>
  </si>
  <si>
    <t xml:space="preserve">Excessive Function of 'Longitudinal control (adaptive cruise, stop and go)' while in Urban / city street (15–60 km/h), fog.</t>
  </si>
  <si>
    <t xml:space="preserve">H-0311</t>
  </si>
  <si>
    <t xml:space="preserve">Excessive Function of 'Longitudinal control (adaptive cruise, stop and go)' while in Suburban arterial (40–80 km/h), dry, daylight.</t>
  </si>
  <si>
    <t xml:space="preserve">H-0312</t>
  </si>
  <si>
    <t xml:space="preserve">Excessive Function of 'Longitudinal control (adaptive cruise, stop and go)' while in Suburban arterial (40–80 km/h), wet.</t>
  </si>
  <si>
    <t xml:space="preserve">H-0313</t>
  </si>
  <si>
    <t xml:space="preserve">Excessive Function of 'Longitudinal control (adaptive cruise, stop and go)' while in Suburban arterial (40–80 km/h), night, dry.</t>
  </si>
  <si>
    <t xml:space="preserve">H-0314</t>
  </si>
  <si>
    <t xml:space="preserve">Excessive Function of 'Longitudinal control (adaptive cruise, stop and go)' while in Suburban arterial (40–80 km/h), heavy rain.</t>
  </si>
  <si>
    <t xml:space="preserve">H-0315</t>
  </si>
  <si>
    <t xml:space="preserve">Excessive Function of 'Longitudinal control (adaptive cruise, stop and go)' while in Suburban arterial (40–80 km/h), fog.</t>
  </si>
  <si>
    <t xml:space="preserve">H-0316</t>
  </si>
  <si>
    <t xml:space="preserve">Excessive Function of 'Longitudinal control (adaptive cruise, stop and go)' while in Rural highway (60–100 km/h), dry, daylight.</t>
  </si>
  <si>
    <t xml:space="preserve">H-0317</t>
  </si>
  <si>
    <t xml:space="preserve">Excessive Function of 'Longitudinal control (adaptive cruise, stop and go)' while in Rural highway (60–100 km/h), wet.</t>
  </si>
  <si>
    <t xml:space="preserve">H-0318</t>
  </si>
  <si>
    <t xml:space="preserve">Excessive Function of 'Longitudinal control (adaptive cruise, stop and go)' while in Rural highway (60–100 km/h), night, dry.</t>
  </si>
  <si>
    <t xml:space="preserve">H-0319</t>
  </si>
  <si>
    <t xml:space="preserve">Excessive Function of 'Longitudinal control (adaptive cruise, stop and go)' while in Rural highway (60–100 km/h), heavy rain.</t>
  </si>
  <si>
    <t xml:space="preserve">H-0320</t>
  </si>
  <si>
    <t xml:space="preserve">Excessive Function of 'Longitudinal control (adaptive cruise, stop and go)' while in Rural highway (60–100 km/h), fog.</t>
  </si>
  <si>
    <t xml:space="preserve">H-0321</t>
  </si>
  <si>
    <t xml:space="preserve">Excessive Function of 'Longitudinal control (adaptive cruise, stop and go)' while in Interstate / motorway (90–130 km/h), dry, daylight.</t>
  </si>
  <si>
    <t xml:space="preserve">H-0322</t>
  </si>
  <si>
    <t xml:space="preserve">Excessive Function of 'Longitudinal control (adaptive cruise, stop and go)' while in Interstate / motorway (90–130 km/h), wet.</t>
  </si>
  <si>
    <t xml:space="preserve">H-0323</t>
  </si>
  <si>
    <t xml:space="preserve">Excessive Function of 'Longitudinal control (adaptive cruise, stop and go)' while in Interstate / motorway (90–130 km/h), night, dry.</t>
  </si>
  <si>
    <t xml:space="preserve">H-0324</t>
  </si>
  <si>
    <t xml:space="preserve">Excessive Function of 'Longitudinal control (adaptive cruise, stop and go)' while in Interstate / motorway (90–130 km/h), heavy rain.</t>
  </si>
  <si>
    <t xml:space="preserve">H-0325</t>
  </si>
  <si>
    <t xml:space="preserve">Excessive Function of 'Longitudinal control (adaptive cruise, stop and go)' while in Interstate / motorway (90–130 km/h), fog.</t>
  </si>
  <si>
    <t xml:space="preserve">H-0326</t>
  </si>
  <si>
    <t xml:space="preserve">Partial Function of 'Longitudinal control (adaptive cruise, stop and go)' while in Parking lot (0–15 km/h), dry, daylight.</t>
  </si>
  <si>
    <t xml:space="preserve">H-0327</t>
  </si>
  <si>
    <t xml:space="preserve">Partial Function of 'Longitudinal control (adaptive cruise, stop and go)' while in Parking lot (0–15 km/h), wet.</t>
  </si>
  <si>
    <t xml:space="preserve">H-0328</t>
  </si>
  <si>
    <t xml:space="preserve">Partial Function of 'Longitudinal control (adaptive cruise, stop and go)' while in Parking lot (0–15 km/h), night, dry.</t>
  </si>
  <si>
    <t xml:space="preserve">H-0329</t>
  </si>
  <si>
    <t xml:space="preserve">Partial Function of 'Longitudinal control (adaptive cruise, stop and go)' while in Parking lot (0–15 km/h), heavy rain.</t>
  </si>
  <si>
    <t xml:space="preserve">H-0330</t>
  </si>
  <si>
    <t xml:space="preserve">Partial Function of 'Longitudinal control (adaptive cruise, stop and go)' while in Parking lot (0–15 km/h), fog.</t>
  </si>
  <si>
    <t xml:space="preserve">H-0331</t>
  </si>
  <si>
    <t xml:space="preserve">Partial Function of 'Longitudinal control (adaptive cruise, stop and go)' while in Urban / city street (15–60 km/h), dry, daylight.</t>
  </si>
  <si>
    <t xml:space="preserve">H-0332</t>
  </si>
  <si>
    <t xml:space="preserve">Partial Function of 'Longitudinal control (adaptive cruise, stop and go)' while in Urban / city street (15–60 km/h), wet.</t>
  </si>
  <si>
    <t xml:space="preserve">H-0333</t>
  </si>
  <si>
    <t xml:space="preserve">Partial Function of 'Longitudinal control (adaptive cruise, stop and go)' while in Urban / city street (15–60 km/h), night, dry.</t>
  </si>
  <si>
    <t xml:space="preserve">H-0334</t>
  </si>
  <si>
    <t xml:space="preserve">Partial Function of 'Longitudinal control (adaptive cruise, stop and go)' while in Urban / city street (15–60 km/h), heavy rain.</t>
  </si>
  <si>
    <t xml:space="preserve">H-0335</t>
  </si>
  <si>
    <t xml:space="preserve">Partial Function of 'Longitudinal control (adaptive cruise, stop and go)' while in Urban / city street (15–60 km/h), fog.</t>
  </si>
  <si>
    <t xml:space="preserve">H-0336</t>
  </si>
  <si>
    <t xml:space="preserve">Partial Function of 'Longitudinal control (adaptive cruise, stop and go)' while in Suburban arterial (40–80 km/h), dry, daylight.</t>
  </si>
  <si>
    <t xml:space="preserve">H-0337</t>
  </si>
  <si>
    <t xml:space="preserve">Partial Function of 'Longitudinal control (adaptive cruise, stop and go)' while in Suburban arterial (40–80 km/h), wet.</t>
  </si>
  <si>
    <t xml:space="preserve">H-0338</t>
  </si>
  <si>
    <t xml:space="preserve">Partial Function of 'Longitudinal control (adaptive cruise, stop and go)' while in Suburban arterial (40–80 km/h), night, dry.</t>
  </si>
  <si>
    <t xml:space="preserve">H-0339</t>
  </si>
  <si>
    <t xml:space="preserve">Partial Function of 'Longitudinal control (adaptive cruise, stop and go)' while in Suburban arterial (40–80 km/h), heavy rain.</t>
  </si>
  <si>
    <t xml:space="preserve">H-0340</t>
  </si>
  <si>
    <t xml:space="preserve">Partial Function of 'Longitudinal control (adaptive cruise, stop and go)' while in Suburban arterial (40–80 km/h), fog.</t>
  </si>
  <si>
    <t xml:space="preserve">H-0341</t>
  </si>
  <si>
    <t xml:space="preserve">Partial Function of 'Longitudinal control (adaptive cruise, stop and go)' while in Rural highway (60–100 km/h), dry, daylight.</t>
  </si>
  <si>
    <t xml:space="preserve">H-0342</t>
  </si>
  <si>
    <t xml:space="preserve">Partial Function of 'Longitudinal control (adaptive cruise, stop and go)' while in Rural highway (60–100 km/h), wet.</t>
  </si>
  <si>
    <t xml:space="preserve">H-0343</t>
  </si>
  <si>
    <t xml:space="preserve">Partial Function of 'Longitudinal control (adaptive cruise, stop and go)' while in Rural highway (60–100 km/h), night, dry.</t>
  </si>
  <si>
    <t xml:space="preserve">H-0344</t>
  </si>
  <si>
    <t xml:space="preserve">Partial Function of 'Longitudinal control (adaptive cruise, stop and go)' while in Rural highway (60–100 km/h), heavy rain.</t>
  </si>
  <si>
    <t xml:space="preserve">H-0345</t>
  </si>
  <si>
    <t xml:space="preserve">Partial Function of 'Longitudinal control (adaptive cruise, stop and go)' while in Rural highway (60–100 km/h), fog.</t>
  </si>
  <si>
    <t xml:space="preserve">H-0346</t>
  </si>
  <si>
    <t xml:space="preserve">Partial Function of 'Longitudinal control (adaptive cruise, stop and go)' while in Interstate / motorway (90–130 km/h), dry, daylight.</t>
  </si>
  <si>
    <t xml:space="preserve">H-0347</t>
  </si>
  <si>
    <t xml:space="preserve">Partial Function of 'Longitudinal control (adaptive cruise, stop and go)' while in Interstate / motorway (90–130 km/h), wet.</t>
  </si>
  <si>
    <t xml:space="preserve">H-0348</t>
  </si>
  <si>
    <t xml:space="preserve">Partial Function of 'Longitudinal control (adaptive cruise, stop and go)' while in Interstate / motorway (90–130 km/h), night, dry.</t>
  </si>
  <si>
    <t xml:space="preserve">H-0349</t>
  </si>
  <si>
    <t xml:space="preserve">Partial Function of 'Longitudinal control (adaptive cruise, stop and go)' while in Interstate / motorway (90–130 km/h), heavy rain.</t>
  </si>
  <si>
    <t xml:space="preserve">H-0350</t>
  </si>
  <si>
    <t xml:space="preserve">Partial Function of 'Longitudinal control (adaptive cruise, stop and go)' while in Interstate / motorway (90–130 km/h), fog.</t>
  </si>
  <si>
    <t xml:space="preserve">H-0351</t>
  </si>
  <si>
    <t xml:space="preserve">Functions Early of 'Longitudinal control (adaptive cruise, stop and go)' while in Parking lot (0–15 km/h), dry, daylight.</t>
  </si>
  <si>
    <t xml:space="preserve">H-0352</t>
  </si>
  <si>
    <t xml:space="preserve">Functions Early of 'Longitudinal control (adaptive cruise, stop and go)' while in Parking lot (0–15 km/h), wet.</t>
  </si>
  <si>
    <t xml:space="preserve">H-0353</t>
  </si>
  <si>
    <t xml:space="preserve">Functions Early of 'Longitudinal control (adaptive cruise, stop and go)' while in Parking lot (0–15 km/h), night, dry.</t>
  </si>
  <si>
    <t xml:space="preserve">H-0354</t>
  </si>
  <si>
    <t xml:space="preserve">Functions Early of 'Longitudinal control (adaptive cruise, stop and go)' while in Parking lot (0–15 km/h), heavy rain.</t>
  </si>
  <si>
    <t xml:space="preserve">H-0355</t>
  </si>
  <si>
    <t xml:space="preserve">Functions Early of 'Longitudinal control (adaptive cruise, stop and go)' while in Parking lot (0–15 km/h), fog.</t>
  </si>
  <si>
    <t xml:space="preserve">H-0356</t>
  </si>
  <si>
    <t xml:space="preserve">Functions Early of 'Longitudinal control (adaptive cruise, stop and go)' while in Urban / city street (15–60 km/h), dry, daylight.</t>
  </si>
  <si>
    <t xml:space="preserve">H-0357</t>
  </si>
  <si>
    <t xml:space="preserve">Functions Early of 'Longitudinal control (adaptive cruise, stop and go)' while in Urban / city street (15–60 km/h), wet.</t>
  </si>
  <si>
    <t xml:space="preserve">H-0358</t>
  </si>
  <si>
    <t xml:space="preserve">Functions Early of 'Longitudinal control (adaptive cruise, stop and go)' while in Urban / city street (15–60 km/h), night, dry.</t>
  </si>
  <si>
    <t xml:space="preserve">H-0359</t>
  </si>
  <si>
    <t xml:space="preserve">Functions Early of 'Longitudinal control (adaptive cruise, stop and go)' while in Urban / city street (15–60 km/h), heavy rain.</t>
  </si>
  <si>
    <t xml:space="preserve">H-0360</t>
  </si>
  <si>
    <t xml:space="preserve">Functions Early of 'Longitudinal control (adaptive cruise, stop and go)' while in Urban / city street (15–60 km/h), fog.</t>
  </si>
  <si>
    <t xml:space="preserve">H-0361</t>
  </si>
  <si>
    <t xml:space="preserve">Functions Early of 'Longitudinal control (adaptive cruise, stop and go)' while in Suburban arterial (40–80 km/h), dry, daylight.</t>
  </si>
  <si>
    <t xml:space="preserve">C3. Adversarial malfunction M07 at 80 km/h gives &lt;0.5 s reaction window; &lt;90% of drivers can avoid harm.</t>
  </si>
  <si>
    <t xml:space="preserve">H-0362</t>
  </si>
  <si>
    <t xml:space="preserve">Functions Early of 'Longitudinal control (adaptive cruise, stop and go)' while in Suburban arterial (40–80 km/h), wet.</t>
  </si>
  <si>
    <t xml:space="preserve">H-0363</t>
  </si>
  <si>
    <t xml:space="preserve">Functions Early of 'Longitudinal control (adaptive cruise, stop and go)' while in Suburban arterial (40–80 km/h), night, dry.</t>
  </si>
  <si>
    <t xml:space="preserve">H-0364</t>
  </si>
  <si>
    <t xml:space="preserve">Functions Early of 'Longitudinal control (adaptive cruise, stop and go)' while in Suburban arterial (40–80 km/h), heavy rain.</t>
  </si>
  <si>
    <t xml:space="preserve">H-0365</t>
  </si>
  <si>
    <t xml:space="preserve">Functions Early of 'Longitudinal control (adaptive cruise, stop and go)' while in Suburban arterial (40–80 km/h), fog.</t>
  </si>
  <si>
    <t xml:space="preserve">H-0366</t>
  </si>
  <si>
    <t xml:space="preserve">Functions Early of 'Longitudinal control (adaptive cruise, stop and go)' while in Rural highway (60–100 km/h), dry, daylight.</t>
  </si>
  <si>
    <t xml:space="preserve">C3. Adversarial malfunction M07 at 100 km/h gives &lt;0.5 s reaction window; &lt;90% of drivers can avoid harm.</t>
  </si>
  <si>
    <t xml:space="preserve">H-0367</t>
  </si>
  <si>
    <t xml:space="preserve">Functions Early of 'Longitudinal control (adaptive cruise, stop and go)' while in Rural highway (60–100 km/h), wet.</t>
  </si>
  <si>
    <t xml:space="preserve">H-0368</t>
  </si>
  <si>
    <t xml:space="preserve">Functions Early of 'Longitudinal control (adaptive cruise, stop and go)' while in Rural highway (60–100 km/h), night, dry.</t>
  </si>
  <si>
    <t xml:space="preserve">H-0369</t>
  </si>
  <si>
    <t xml:space="preserve">Functions Early of 'Longitudinal control (adaptive cruise, stop and go)' while in Rural highway (60–100 km/h), heavy rain.</t>
  </si>
  <si>
    <t xml:space="preserve">H-0370</t>
  </si>
  <si>
    <t xml:space="preserve">Functions Early of 'Longitudinal control (adaptive cruise, stop and go)' while in Rural highway (60–100 km/h), fog.</t>
  </si>
  <si>
    <t xml:space="preserve">H-0371</t>
  </si>
  <si>
    <t xml:space="preserve">Functions Early of 'Longitudinal control (adaptive cruise, stop and go)' while in Interstate / motorway (90–130 km/h), dry, daylight.</t>
  </si>
  <si>
    <t xml:space="preserve">C3. Adversarial malfunction M07 at 130 km/h gives &lt;0.5 s reaction window; &lt;90% of drivers can avoid harm.</t>
  </si>
  <si>
    <t xml:space="preserve">H-0372</t>
  </si>
  <si>
    <t xml:space="preserve">Functions Early of 'Longitudinal control (adaptive cruise, stop and go)' while in Interstate / motorway (90–130 km/h), wet.</t>
  </si>
  <si>
    <t xml:space="preserve">H-0373</t>
  </si>
  <si>
    <t xml:space="preserve">Functions Early of 'Longitudinal control (adaptive cruise, stop and go)' while in Interstate / motorway (90–130 km/h), night, dry.</t>
  </si>
  <si>
    <t xml:space="preserve">H-0374</t>
  </si>
  <si>
    <t xml:space="preserve">Functions Early of 'Longitudinal control (adaptive cruise, stop and go)' while in Interstate / motorway (90–130 km/h), heavy rain.</t>
  </si>
  <si>
    <t xml:space="preserve">H-0375</t>
  </si>
  <si>
    <t xml:space="preserve">Functions Early of 'Longitudinal control (adaptive cruise, stop and go)' while in Interstate / motorway (90–130 km/h), fog.</t>
  </si>
  <si>
    <t xml:space="preserve">H-0376</t>
  </si>
  <si>
    <t xml:space="preserve">Function Applies Too Long of 'Longitudinal control (adaptive cruise, stop and go)' while in Parking lot (0–15 km/h), dry, daylight.</t>
  </si>
  <si>
    <t xml:space="preserve">H-0377</t>
  </si>
  <si>
    <t xml:space="preserve">Function Applies Too Long of 'Longitudinal control (adaptive cruise, stop and go)' while in Parking lot (0–15 km/h), wet.</t>
  </si>
  <si>
    <t xml:space="preserve">H-0378</t>
  </si>
  <si>
    <t xml:space="preserve">Function Applies Too Long of 'Longitudinal control (adaptive cruise, stop and go)' while in Parking lot (0–15 km/h), night, dry.</t>
  </si>
  <si>
    <t xml:space="preserve">H-0379</t>
  </si>
  <si>
    <t xml:space="preserve">Function Applies Too Long of 'Longitudinal control (adaptive cruise, stop and go)' while in Parking lot (0–15 km/h), heavy rain.</t>
  </si>
  <si>
    <t xml:space="preserve">H-0380</t>
  </si>
  <si>
    <t xml:space="preserve">Function Applies Too Long of 'Longitudinal control (adaptive cruise, stop and go)' while in Parking lot (0–15 km/h), fog.</t>
  </si>
  <si>
    <t xml:space="preserve">H-0381</t>
  </si>
  <si>
    <t xml:space="preserve">Function Applies Too Long of 'Longitudinal control (adaptive cruise, stop and go)' while in Urban / city street (15–60 km/h), dry, daylight.</t>
  </si>
  <si>
    <t xml:space="preserve">H-0382</t>
  </si>
  <si>
    <t xml:space="preserve">Function Applies Too Long of 'Longitudinal control (adaptive cruise, stop and go)' while in Urban / city street (15–60 km/h), wet.</t>
  </si>
  <si>
    <t xml:space="preserve">H-0383</t>
  </si>
  <si>
    <t xml:space="preserve">Function Applies Too Long of 'Longitudinal control (adaptive cruise, stop and go)' while in Urban / city street (15–60 km/h), night, dry.</t>
  </si>
  <si>
    <t xml:space="preserve">H-0384</t>
  </si>
  <si>
    <t xml:space="preserve">Function Applies Too Long of 'Longitudinal control (adaptive cruise, stop and go)' while in Urban / city street (15–60 km/h), heavy rain.</t>
  </si>
  <si>
    <t xml:space="preserve">H-0385</t>
  </si>
  <si>
    <t xml:space="preserve">Function Applies Too Long of 'Longitudinal control (adaptive cruise, stop and go)' while in Urban / city street (15–60 km/h), fog.</t>
  </si>
  <si>
    <t xml:space="preserve">H-0386</t>
  </si>
  <si>
    <t xml:space="preserve">Function Applies Too Long of 'Longitudinal control (adaptive cruise, stop and go)' while in Suburban arterial (40–80 km/h), dry, daylight.</t>
  </si>
  <si>
    <t xml:space="preserve">H-0387</t>
  </si>
  <si>
    <t xml:space="preserve">Function Applies Too Long of 'Longitudinal control (adaptive cruise, stop and go)' while in Suburban arterial (40–80 km/h), wet.</t>
  </si>
  <si>
    <t xml:space="preserve">H-0388</t>
  </si>
  <si>
    <t xml:space="preserve">Function Applies Too Long of 'Longitudinal control (adaptive cruise, stop and go)' while in Suburban arterial (40–80 km/h), night, dry.</t>
  </si>
  <si>
    <t xml:space="preserve">H-0389</t>
  </si>
  <si>
    <t xml:space="preserve">Function Applies Too Long of 'Longitudinal control (adaptive cruise, stop and go)' while in Suburban arterial (40–80 km/h), heavy rain.</t>
  </si>
  <si>
    <t xml:space="preserve">H-0390</t>
  </si>
  <si>
    <t xml:space="preserve">Function Applies Too Long of 'Longitudinal control (adaptive cruise, stop and go)' while in Suburban arterial (40–80 km/h), fog.</t>
  </si>
  <si>
    <t xml:space="preserve">H-0391</t>
  </si>
  <si>
    <t xml:space="preserve">Function Applies Too Long of 'Longitudinal control (adaptive cruise, stop and go)' while in Rural highway (60–100 km/h), dry, daylight.</t>
  </si>
  <si>
    <t xml:space="preserve">H-0392</t>
  </si>
  <si>
    <t xml:space="preserve">Function Applies Too Long of 'Longitudinal control (adaptive cruise, stop and go)' while in Rural highway (60–100 km/h), wet.</t>
  </si>
  <si>
    <t xml:space="preserve">H-0393</t>
  </si>
  <si>
    <t xml:space="preserve">Function Applies Too Long of 'Longitudinal control (adaptive cruise, stop and go)' while in Rural highway (60–100 km/h), night, dry.</t>
  </si>
  <si>
    <t xml:space="preserve">H-0394</t>
  </si>
  <si>
    <t xml:space="preserve">Function Applies Too Long of 'Longitudinal control (adaptive cruise, stop and go)' while in Rural highway (60–100 km/h), heavy rain.</t>
  </si>
  <si>
    <t xml:space="preserve">H-0395</t>
  </si>
  <si>
    <t xml:space="preserve">Function Applies Too Long of 'Longitudinal control (adaptive cruise, stop and go)' while in Rural highway (60–100 km/h), fog.</t>
  </si>
  <si>
    <t xml:space="preserve">H-0396</t>
  </si>
  <si>
    <t xml:space="preserve">Function Applies Too Long of 'Longitudinal control (adaptive cruise, stop and go)' while in Interstate / motorway (90–130 km/h), dry, daylight.</t>
  </si>
  <si>
    <t xml:space="preserve">H-0397</t>
  </si>
  <si>
    <t xml:space="preserve">Function Applies Too Long of 'Longitudinal control (adaptive cruise, stop and go)' while in Interstate / motorway (90–130 km/h), wet.</t>
  </si>
  <si>
    <t xml:space="preserve">H-0398</t>
  </si>
  <si>
    <t xml:space="preserve">Function Applies Too Long of 'Longitudinal control (adaptive cruise, stop and go)' while in Interstate / motorway (90–130 km/h), night, dry.</t>
  </si>
  <si>
    <t xml:space="preserve">H-0399</t>
  </si>
  <si>
    <t xml:space="preserve">Function Applies Too Long of 'Longitudinal control (adaptive cruise, stop and go)' while in Interstate / motorway (90–130 km/h), heavy rain.</t>
  </si>
  <si>
    <t xml:space="preserve">H-0400</t>
  </si>
  <si>
    <t xml:space="preserve">Function Applies Too Long of 'Longitudinal control (adaptive cruise, stop and go)' while in Interstate / motorway (90–130 km/h), fog.</t>
  </si>
  <si>
    <t xml:space="preserve">H-0401</t>
  </si>
  <si>
    <t xml:space="preserve">Inverse Function of 'Longitudinal control (adaptive cruise, stop and go)' while in Parking lot (0–15 km/h), dry, daylight.</t>
  </si>
  <si>
    <t xml:space="preserve">H-0402</t>
  </si>
  <si>
    <t xml:space="preserve">Inverse Function of 'Longitudinal control (adaptive cruise, stop and go)' while in Parking lot (0–15 km/h), wet.</t>
  </si>
  <si>
    <t xml:space="preserve">H-0403</t>
  </si>
  <si>
    <t xml:space="preserve">Inverse Function of 'Longitudinal control (adaptive cruise, stop and go)' while in Parking lot (0–15 km/h), night, dry.</t>
  </si>
  <si>
    <t xml:space="preserve">H-0404</t>
  </si>
  <si>
    <t xml:space="preserve">Inverse Function of 'Longitudinal control (adaptive cruise, stop and go)' while in Parking lot (0–15 km/h), heavy rain.</t>
  </si>
  <si>
    <t xml:space="preserve">H-0405</t>
  </si>
  <si>
    <t xml:space="preserve">Inverse Function of 'Longitudinal control (adaptive cruise, stop and go)' while in Parking lot (0–15 km/h), fog.</t>
  </si>
  <si>
    <t xml:space="preserve">H-0406</t>
  </si>
  <si>
    <t xml:space="preserve">Inverse Function of 'Longitudinal control (adaptive cruise, stop and go)' while in Urban / city street (15–60 km/h), dry, daylight.</t>
  </si>
  <si>
    <t xml:space="preserve">H-0407</t>
  </si>
  <si>
    <t xml:space="preserve">Inverse Function of 'Longitudinal control (adaptive cruise, stop and go)' while in Urban / city street (15–60 km/h), wet.</t>
  </si>
  <si>
    <t xml:space="preserve">H-0408</t>
  </si>
  <si>
    <t xml:space="preserve">Inverse Function of 'Longitudinal control (adaptive cruise, stop and go)' while in Urban / city street (15–60 km/h), night, dry.</t>
  </si>
  <si>
    <t xml:space="preserve">H-0409</t>
  </si>
  <si>
    <t xml:space="preserve">Inverse Function of 'Longitudinal control (adaptive cruise, stop and go)' while in Urban / city street (15–60 km/h), heavy rain.</t>
  </si>
  <si>
    <t xml:space="preserve">H-0410</t>
  </si>
  <si>
    <t xml:space="preserve">Inverse Function of 'Longitudinal control (adaptive cruise, stop and go)' while in Urban / city street (15–60 km/h), fog.</t>
  </si>
  <si>
    <t xml:space="preserve">H-0411</t>
  </si>
  <si>
    <t xml:space="preserve">Inverse Function of 'Longitudinal control (adaptive cruise, stop and go)' while in Suburban arterial (40–80 km/h), dry, daylight.</t>
  </si>
  <si>
    <t xml:space="preserve">H-0412</t>
  </si>
  <si>
    <t xml:space="preserve">Inverse Function of 'Longitudinal control (adaptive cruise, stop and go)' while in Suburban arterial (40–80 km/h), wet.</t>
  </si>
  <si>
    <t xml:space="preserve">H-0413</t>
  </si>
  <si>
    <t xml:space="preserve">Inverse Function of 'Longitudinal control (adaptive cruise, stop and go)' while in Suburban arterial (40–80 km/h), night, dry.</t>
  </si>
  <si>
    <t xml:space="preserve">H-0414</t>
  </si>
  <si>
    <t xml:space="preserve">Inverse Function of 'Longitudinal control (adaptive cruise, stop and go)' while in Suburban arterial (40–80 km/h), heavy rain.</t>
  </si>
  <si>
    <t xml:space="preserve">H-0415</t>
  </si>
  <si>
    <t xml:space="preserve">Inverse Function of 'Longitudinal control (adaptive cruise, stop and go)' while in Suburban arterial (40–80 km/h), fog.</t>
  </si>
  <si>
    <t xml:space="preserve">H-0416</t>
  </si>
  <si>
    <t xml:space="preserve">Inverse Function of 'Longitudinal control (adaptive cruise, stop and go)' while in Rural highway (60–100 km/h), dry, daylight.</t>
  </si>
  <si>
    <t xml:space="preserve">H-0417</t>
  </si>
  <si>
    <t xml:space="preserve">Inverse Function of 'Longitudinal control (adaptive cruise, stop and go)' while in Rural highway (60–100 km/h), wet.</t>
  </si>
  <si>
    <t xml:space="preserve">H-0418</t>
  </si>
  <si>
    <t xml:space="preserve">Inverse Function of 'Longitudinal control (adaptive cruise, stop and go)' while in Rural highway (60–100 km/h), night, dry.</t>
  </si>
  <si>
    <t xml:space="preserve">H-0419</t>
  </si>
  <si>
    <t xml:space="preserve">Inverse Function of 'Longitudinal control (adaptive cruise, stop and go)' while in Rural highway (60–100 km/h), heavy rain.</t>
  </si>
  <si>
    <t xml:space="preserve">H-0420</t>
  </si>
  <si>
    <t xml:space="preserve">Inverse Function of 'Longitudinal control (adaptive cruise, stop and go)' while in Rural highway (60–100 km/h), fog.</t>
  </si>
  <si>
    <t xml:space="preserve">H-0421</t>
  </si>
  <si>
    <t xml:space="preserve">Inverse Function of 'Longitudinal control (adaptive cruise, stop and go)' while in Interstate / motorway (90–130 km/h), dry, daylight.</t>
  </si>
  <si>
    <t xml:space="preserve">H-0422</t>
  </si>
  <si>
    <t xml:space="preserve">Inverse Function of 'Longitudinal control (adaptive cruise, stop and go)' while in Interstate / motorway (90–130 km/h), wet.</t>
  </si>
  <si>
    <t xml:space="preserve">H-0423</t>
  </si>
  <si>
    <t xml:space="preserve">Inverse Function of 'Longitudinal control (adaptive cruise, stop and go)' while in Interstate / motorway (90–130 km/h), night, dry.</t>
  </si>
  <si>
    <t xml:space="preserve">H-0424</t>
  </si>
  <si>
    <t xml:space="preserve">Inverse Function of 'Longitudinal control (adaptive cruise, stop and go)' while in Interstate / motorway (90–130 km/h), heavy rain.</t>
  </si>
  <si>
    <t xml:space="preserve">H-0425</t>
  </si>
  <si>
    <t xml:space="preserve">Inverse Function of 'Longitudinal control (adaptive cruise, stop and go)' while in Interstate / motorway (90–130 km/h), fog.</t>
  </si>
  <si>
    <t xml:space="preserve">H-0426</t>
  </si>
  <si>
    <t xml:space="preserve">Erratic or Intermittent of 'Longitudinal control (adaptive cruise, stop and go)' while in Parking lot (0–15 km/h), dry, daylight.</t>
  </si>
  <si>
    <t xml:space="preserve">H-0427</t>
  </si>
  <si>
    <t xml:space="preserve">Erratic or Intermittent of 'Longitudinal control (adaptive cruise, stop and go)' while in Parking lot (0–15 km/h), wet.</t>
  </si>
  <si>
    <t xml:space="preserve">H-0428</t>
  </si>
  <si>
    <t xml:space="preserve">Erratic or Intermittent of 'Longitudinal control (adaptive cruise, stop and go)' while in Parking lot (0–15 km/h), night, dry.</t>
  </si>
  <si>
    <t xml:space="preserve">H-0429</t>
  </si>
  <si>
    <t xml:space="preserve">Erratic or Intermittent of 'Longitudinal control (adaptive cruise, stop and go)' while in Parking lot (0–15 km/h), heavy rain.</t>
  </si>
  <si>
    <t xml:space="preserve">H-0430</t>
  </si>
  <si>
    <t xml:space="preserve">Erratic or Intermittent of 'Longitudinal control (adaptive cruise, stop and go)' while in Parking lot (0–15 km/h), fog.</t>
  </si>
  <si>
    <t xml:space="preserve">H-0431</t>
  </si>
  <si>
    <t xml:space="preserve">Erratic or Intermittent of 'Longitudinal control (adaptive cruise, stop and go)' while in Urban / city street (15–60 km/h), dry, daylight.</t>
  </si>
  <si>
    <t xml:space="preserve">H-0432</t>
  </si>
  <si>
    <t xml:space="preserve">Erratic or Intermittent of 'Longitudinal control (adaptive cruise, stop and go)' while in Urban / city street (15–60 km/h), wet.</t>
  </si>
  <si>
    <t xml:space="preserve">H-0433</t>
  </si>
  <si>
    <t xml:space="preserve">Erratic or Intermittent of 'Longitudinal control (adaptive cruise, stop and go)' while in Urban / city street (15–60 km/h), night, dry.</t>
  </si>
  <si>
    <t xml:space="preserve">H-0434</t>
  </si>
  <si>
    <t xml:space="preserve">Erratic or Intermittent of 'Longitudinal control (adaptive cruise, stop and go)' while in Urban / city street (15–60 km/h), heavy rain.</t>
  </si>
  <si>
    <t xml:space="preserve">H-0435</t>
  </si>
  <si>
    <t xml:space="preserve">Erratic or Intermittent of 'Longitudinal control (adaptive cruise, stop and go)' while in Urban / city street (15–60 km/h), fog.</t>
  </si>
  <si>
    <t xml:space="preserve">H-0436</t>
  </si>
  <si>
    <t xml:space="preserve">Erratic or Intermittent of 'Longitudinal control (adaptive cruise, stop and go)' while in Suburban arterial (40–80 km/h), dry, daylight.</t>
  </si>
  <si>
    <t xml:space="preserve">H-0437</t>
  </si>
  <si>
    <t xml:space="preserve">Erratic or Intermittent of 'Longitudinal control (adaptive cruise, stop and go)' while in Suburban arterial (40–80 km/h), wet.</t>
  </si>
  <si>
    <t xml:space="preserve">H-0438</t>
  </si>
  <si>
    <t xml:space="preserve">Erratic or Intermittent of 'Longitudinal control (adaptive cruise, stop and go)' while in Suburban arterial (40–80 km/h), night, dry.</t>
  </si>
  <si>
    <t xml:space="preserve">H-0439</t>
  </si>
  <si>
    <t xml:space="preserve">Erratic or Intermittent of 'Longitudinal control (adaptive cruise, stop and go)' while in Suburban arterial (40–80 km/h), heavy rain.</t>
  </si>
  <si>
    <t xml:space="preserve">H-0440</t>
  </si>
  <si>
    <t xml:space="preserve">Erratic or Intermittent of 'Longitudinal control (adaptive cruise, stop and go)' while in Suburban arterial (40–80 km/h), fog.</t>
  </si>
  <si>
    <t xml:space="preserve">H-0441</t>
  </si>
  <si>
    <t xml:space="preserve">Erratic or Intermittent of 'Longitudinal control (adaptive cruise, stop and go)' while in Rural highway (60–100 km/h), dry, daylight.</t>
  </si>
  <si>
    <t xml:space="preserve">H-0442</t>
  </si>
  <si>
    <t xml:space="preserve">Erratic or Intermittent of 'Longitudinal control (adaptive cruise, stop and go)' while in Rural highway (60–100 km/h), wet.</t>
  </si>
  <si>
    <t xml:space="preserve">H-0443</t>
  </si>
  <si>
    <t xml:space="preserve">Erratic or Intermittent of 'Longitudinal control (adaptive cruise, stop and go)' while in Rural highway (60–100 km/h), night, dry.</t>
  </si>
  <si>
    <t xml:space="preserve">H-0444</t>
  </si>
  <si>
    <t xml:space="preserve">Erratic or Intermittent of 'Longitudinal control (adaptive cruise, stop and go)' while in Rural highway (60–100 km/h), heavy rain.</t>
  </si>
  <si>
    <t xml:space="preserve">H-0445</t>
  </si>
  <si>
    <t xml:space="preserve">Erratic or Intermittent of 'Longitudinal control (adaptive cruise, stop and go)' while in Rural highway (60–100 km/h), fog.</t>
  </si>
  <si>
    <t xml:space="preserve">H-0446</t>
  </si>
  <si>
    <t xml:space="preserve">Erratic or Intermittent of 'Longitudinal control (adaptive cruise, stop and go)' while in Interstate / motorway (90–130 km/h), dry, daylight.</t>
  </si>
  <si>
    <t xml:space="preserve">H-0447</t>
  </si>
  <si>
    <t xml:space="preserve">Erratic or Intermittent of 'Longitudinal control (adaptive cruise, stop and go)' while in Interstate / motorway (90–130 km/h), wet.</t>
  </si>
  <si>
    <t xml:space="preserve">H-0448</t>
  </si>
  <si>
    <t xml:space="preserve">Erratic or Intermittent of 'Longitudinal control (adaptive cruise, stop and go)' while in Interstate / motorway (90–130 km/h), night, dry.</t>
  </si>
  <si>
    <t xml:space="preserve">H-0449</t>
  </si>
  <si>
    <t xml:space="preserve">Erratic or Intermittent of 'Longitudinal control (adaptive cruise, stop and go)' while in Interstate / motorway (90–130 km/h), heavy rain.</t>
  </si>
  <si>
    <t xml:space="preserve">H-0450</t>
  </si>
  <si>
    <t xml:space="preserve">Erratic or Intermittent of 'Longitudinal control (adaptive cruise, stop and go)' while in Interstate / motorway (90–130 km/h), fog.</t>
  </si>
  <si>
    <t xml:space="preserve">H-0451</t>
  </si>
  <si>
    <t xml:space="preserve">No Function of 'Engagement management' while in Parking lot (0–15 km/h), dry, daylight.</t>
  </si>
  <si>
    <t xml:space="preserve">Controls not allowed: the panda blocks every actuator command until the driver engages again.</t>
  </si>
  <si>
    <t xml:space="preserve">H-0452</t>
  </si>
  <si>
    <t xml:space="preserve">No Function of 'Engagement management' while in Parking lot (0–15 km/h), wet.</t>
  </si>
  <si>
    <t xml:space="preserve">H-0453</t>
  </si>
  <si>
    <t xml:space="preserve">No Function of 'Engagement management' while in Parking lot (0–15 km/h), night, dry.</t>
  </si>
  <si>
    <t xml:space="preserve">H-0454</t>
  </si>
  <si>
    <t xml:space="preserve">No Function of 'Engagement management' while in Parking lot (0–15 km/h), heavy rain.</t>
  </si>
  <si>
    <t xml:space="preserve">H-0455</t>
  </si>
  <si>
    <t xml:space="preserve">No Function of 'Engagement management' while in Parking lot (0–15 km/h), fog.</t>
  </si>
  <si>
    <t xml:space="preserve">H-0456</t>
  </si>
  <si>
    <t xml:space="preserve">No Function of 'Engagement management' while in Urban / city street (15–60 km/h), dry, daylight.</t>
  </si>
  <si>
    <t xml:space="preserve">H-0457</t>
  </si>
  <si>
    <t xml:space="preserve">No Function of 'Engagement management' while in Urban / city street (15–60 km/h), wet.</t>
  </si>
  <si>
    <t xml:space="preserve">H-0458</t>
  </si>
  <si>
    <t xml:space="preserve">No Function of 'Engagement management' while in Urban / city street (15–60 km/h), night, dry.</t>
  </si>
  <si>
    <t xml:space="preserve">H-0459</t>
  </si>
  <si>
    <t xml:space="preserve">No Function of 'Engagement management' while in Urban / city street (15–60 km/h), heavy rain.</t>
  </si>
  <si>
    <t xml:space="preserve">H-0460</t>
  </si>
  <si>
    <t xml:space="preserve">No Function of 'Engagement management' while in Urban / city street (15–60 km/h), fog.</t>
  </si>
  <si>
    <t xml:space="preserve">H-0461</t>
  </si>
  <si>
    <t xml:space="preserve">No Function of 'Engagement management' while in Suburban arterial (40–80 km/h), dry, daylight.</t>
  </si>
  <si>
    <t xml:space="preserve">H-0462</t>
  </si>
  <si>
    <t xml:space="preserve">No Function of 'Engagement management' while in Suburban arterial (40–80 km/h), wet.</t>
  </si>
  <si>
    <t xml:space="preserve">H-0463</t>
  </si>
  <si>
    <t xml:space="preserve">No Function of 'Engagement management' while in Suburban arterial (40–80 km/h), night, dry.</t>
  </si>
  <si>
    <t xml:space="preserve">H-0464</t>
  </si>
  <si>
    <t xml:space="preserve">No Function of 'Engagement management' while in Suburban arterial (40–80 km/h), heavy rain.</t>
  </si>
  <si>
    <t xml:space="preserve">H-0465</t>
  </si>
  <si>
    <t xml:space="preserve">No Function of 'Engagement management' while in Suburban arterial (40–80 km/h), fog.</t>
  </si>
  <si>
    <t xml:space="preserve">H-0466</t>
  </si>
  <si>
    <t xml:space="preserve">No Function of 'Engagement management' while in Rural highway (60–100 km/h), dry, daylight.</t>
  </si>
  <si>
    <t xml:space="preserve">H-0467</t>
  </si>
  <si>
    <t xml:space="preserve">No Function of 'Engagement management' while in Rural highway (60–100 km/h), wet.</t>
  </si>
  <si>
    <t xml:space="preserve">H-0468</t>
  </si>
  <si>
    <t xml:space="preserve">No Function of 'Engagement management' while in Rural highway (60–100 km/h), night, dry.</t>
  </si>
  <si>
    <t xml:space="preserve">H-0469</t>
  </si>
  <si>
    <t xml:space="preserve">No Function of 'Engagement management' while in Rural highway (60–100 km/h), heavy rain.</t>
  </si>
  <si>
    <t xml:space="preserve">H-0470</t>
  </si>
  <si>
    <t xml:space="preserve">No Function of 'Engagement management' while in Rural highway (60–100 km/h), fog.</t>
  </si>
  <si>
    <t xml:space="preserve">H-0471</t>
  </si>
  <si>
    <t xml:space="preserve">No Function of 'Engagement management' while in Interstate / motorway (90–130 km/h), dry, daylight.</t>
  </si>
  <si>
    <t xml:space="preserve">H-0472</t>
  </si>
  <si>
    <t xml:space="preserve">No Function of 'Engagement management' while in Interstate / motorway (90–130 km/h), wet.</t>
  </si>
  <si>
    <t xml:space="preserve">H-0473</t>
  </si>
  <si>
    <t xml:space="preserve">No Function of 'Engagement management' while in Interstate / motorway (90–130 km/h), night, dry.</t>
  </si>
  <si>
    <t xml:space="preserve">H-0474</t>
  </si>
  <si>
    <t xml:space="preserve">No Function of 'Engagement management' while in Interstate / motorway (90–130 km/h), heavy rain.</t>
  </si>
  <si>
    <t xml:space="preserve">H-0475</t>
  </si>
  <si>
    <t xml:space="preserve">No Function of 'Engagement management' while in Interstate / motorway (90–130 km/h), fog.</t>
  </si>
  <si>
    <t xml:space="preserve">H-0476</t>
  </si>
  <si>
    <t xml:space="preserve">Unrequested Function of 'Engagement management' while in Parking lot (0–15 km/h), dry, daylight.</t>
  </si>
  <si>
    <t xml:space="preserve">H-0477</t>
  </si>
  <si>
    <t xml:space="preserve">Unrequested Function of 'Engagement management' while in Parking lot (0–15 km/h), wet.</t>
  </si>
  <si>
    <t xml:space="preserve">H-0478</t>
  </si>
  <si>
    <t xml:space="preserve">Unrequested Function of 'Engagement management' while in Parking lot (0–15 km/h), night, dry.</t>
  </si>
  <si>
    <t xml:space="preserve">H-0479</t>
  </si>
  <si>
    <t xml:space="preserve">Unrequested Function of 'Engagement management' while in Parking lot (0–15 km/h), heavy rain.</t>
  </si>
  <si>
    <t xml:space="preserve">H-0480</t>
  </si>
  <si>
    <t xml:space="preserve">Unrequested Function of 'Engagement management' while in Parking lot (0–15 km/h), fog.</t>
  </si>
  <si>
    <t xml:space="preserve">H-0481</t>
  </si>
  <si>
    <t xml:space="preserve">Unrequested Function of 'Engagement management' while in Urban / city street (15–60 km/h), dry, daylight.</t>
  </si>
  <si>
    <t xml:space="preserve">H-0482</t>
  </si>
  <si>
    <t xml:space="preserve">Unrequested Function of 'Engagement management' while in Urban / city street (15–60 km/h), wet.</t>
  </si>
  <si>
    <t xml:space="preserve">H-0483</t>
  </si>
  <si>
    <t xml:space="preserve">Unrequested Function of 'Engagement management' while in Urban / city street (15–60 km/h), night, dry.</t>
  </si>
  <si>
    <t xml:space="preserve">H-0484</t>
  </si>
  <si>
    <t xml:space="preserve">Unrequested Function of 'Engagement management' while in Urban / city street (15–60 km/h), heavy rain.</t>
  </si>
  <si>
    <t xml:space="preserve">H-0485</t>
  </si>
  <si>
    <t xml:space="preserve">Unrequested Function of 'Engagement management' while in Urban / city street (15–60 km/h), fog.</t>
  </si>
  <si>
    <t xml:space="preserve">H-0486</t>
  </si>
  <si>
    <t xml:space="preserve">Unrequested Function of 'Engagement management' while in Suburban arterial (40–80 km/h), dry, daylight.</t>
  </si>
  <si>
    <t xml:space="preserve">H-0487</t>
  </si>
  <si>
    <t xml:space="preserve">Unrequested Function of 'Engagement management' while in Suburban arterial (40–80 km/h), wet.</t>
  </si>
  <si>
    <t xml:space="preserve">H-0488</t>
  </si>
  <si>
    <t xml:space="preserve">Unrequested Function of 'Engagement management' while in Suburban arterial (40–80 km/h), night, dry.</t>
  </si>
  <si>
    <t xml:space="preserve">H-0489</t>
  </si>
  <si>
    <t xml:space="preserve">Unrequested Function of 'Engagement management' while in Suburban arterial (40–80 km/h), heavy rain.</t>
  </si>
  <si>
    <t xml:space="preserve">H-0490</t>
  </si>
  <si>
    <t xml:space="preserve">Unrequested Function of 'Engagement management' while in Suburban arterial (40–80 km/h), fog.</t>
  </si>
  <si>
    <t xml:space="preserve">H-0491</t>
  </si>
  <si>
    <t xml:space="preserve">Unrequested Function of 'Engagement management' while in Rural highway (60–100 km/h), dry, daylight.</t>
  </si>
  <si>
    <t xml:space="preserve">H-0492</t>
  </si>
  <si>
    <t xml:space="preserve">Unrequested Function of 'Engagement management' while in Rural highway (60–100 km/h), wet.</t>
  </si>
  <si>
    <t xml:space="preserve">H-0493</t>
  </si>
  <si>
    <t xml:space="preserve">Unrequested Function of 'Engagement management' while in Rural highway (60–100 km/h), night, dry.</t>
  </si>
  <si>
    <t xml:space="preserve">H-0494</t>
  </si>
  <si>
    <t xml:space="preserve">Unrequested Function of 'Engagement management' while in Rural highway (60–100 km/h), heavy rain.</t>
  </si>
  <si>
    <t xml:space="preserve">H-0495</t>
  </si>
  <si>
    <t xml:space="preserve">Unrequested Function of 'Engagement management' while in Rural highway (60–100 km/h), fog.</t>
  </si>
  <si>
    <t xml:space="preserve">H-0496</t>
  </si>
  <si>
    <t xml:space="preserve">Unrequested Function of 'Engagement management' while in Interstate / motorway (90–130 km/h), dry, daylight.</t>
  </si>
  <si>
    <t xml:space="preserve">H-0497</t>
  </si>
  <si>
    <t xml:space="preserve">Unrequested Function of 'Engagement management' while in Interstate / motorway (90–130 km/h), wet.</t>
  </si>
  <si>
    <t xml:space="preserve">H-0498</t>
  </si>
  <si>
    <t xml:space="preserve">Unrequested Function of 'Engagement management' while in Interstate / motorway (90–130 km/h), night, dry.</t>
  </si>
  <si>
    <t xml:space="preserve">H-0499</t>
  </si>
  <si>
    <t xml:space="preserve">Unrequested Function of 'Engagement management' while in Interstate / motorway (90–130 km/h), heavy rain.</t>
  </si>
  <si>
    <t xml:space="preserve">H-0500</t>
  </si>
  <si>
    <t xml:space="preserve">Unrequested Function of 'Engagement management' while in Interstate / motorway (90–130 km/h), fog.</t>
  </si>
  <si>
    <t xml:space="preserve">H-0501</t>
  </si>
  <si>
    <t xml:space="preserve">Functions Late of 'Engagement management' while in Parking lot (0–15 km/h), dry, daylight.</t>
  </si>
  <si>
    <t xml:space="preserve">H-0502</t>
  </si>
  <si>
    <t xml:space="preserve">Functions Late of 'Engagement management' while in Parking lot (0–15 km/h), wet.</t>
  </si>
  <si>
    <t xml:space="preserve">H-0503</t>
  </si>
  <si>
    <t xml:space="preserve">Functions Late of 'Engagement management' while in Parking lot (0–15 km/h), night, dry.</t>
  </si>
  <si>
    <t xml:space="preserve">H-0504</t>
  </si>
  <si>
    <t xml:space="preserve">Functions Late of 'Engagement management' while in Parking lot (0–15 km/h), heavy rain.</t>
  </si>
  <si>
    <t xml:space="preserve">H-0505</t>
  </si>
  <si>
    <t xml:space="preserve">Functions Late of 'Engagement management' while in Parking lot (0–15 km/h), fog.</t>
  </si>
  <si>
    <t xml:space="preserve">H-0506</t>
  </si>
  <si>
    <t xml:space="preserve">Functions Late of 'Engagement management' while in Urban / city street (15–60 km/h), dry, daylight.</t>
  </si>
  <si>
    <t xml:space="preserve">H-0507</t>
  </si>
  <si>
    <t xml:space="preserve">Functions Late of 'Engagement management' while in Urban / city street (15–60 km/h), wet.</t>
  </si>
  <si>
    <t xml:space="preserve">H-0508</t>
  </si>
  <si>
    <t xml:space="preserve">Functions Late of 'Engagement management' while in Urban / city street (15–60 km/h), night, dry.</t>
  </si>
  <si>
    <t xml:space="preserve">H-0509</t>
  </si>
  <si>
    <t xml:space="preserve">Functions Late of 'Engagement management' while in Urban / city street (15–60 km/h), heavy rain.</t>
  </si>
  <si>
    <t xml:space="preserve">H-0510</t>
  </si>
  <si>
    <t xml:space="preserve">Functions Late of 'Engagement management' while in Urban / city street (15–60 km/h), fog.</t>
  </si>
  <si>
    <t xml:space="preserve">H-0511</t>
  </si>
  <si>
    <t xml:space="preserve">Functions Late of 'Engagement management' while in Suburban arterial (40–80 km/h), dry, daylight.</t>
  </si>
  <si>
    <t xml:space="preserve">H-0512</t>
  </si>
  <si>
    <t xml:space="preserve">Functions Late of 'Engagement management' while in Suburban arterial (40–80 km/h), wet.</t>
  </si>
  <si>
    <t xml:space="preserve">H-0513</t>
  </si>
  <si>
    <t xml:space="preserve">Functions Late of 'Engagement management' while in Suburban arterial (40–80 km/h), night, dry.</t>
  </si>
  <si>
    <t xml:space="preserve">H-0514</t>
  </si>
  <si>
    <t xml:space="preserve">Functions Late of 'Engagement management' while in Suburban arterial (40–80 km/h), heavy rain.</t>
  </si>
  <si>
    <t xml:space="preserve">H-0515</t>
  </si>
  <si>
    <t xml:space="preserve">Functions Late of 'Engagement management' while in Suburban arterial (40–80 km/h), fog.</t>
  </si>
  <si>
    <t xml:space="preserve">H-0516</t>
  </si>
  <si>
    <t xml:space="preserve">Functions Late of 'Engagement management' while in Rural highway (60–100 km/h), dry, daylight.</t>
  </si>
  <si>
    <t xml:space="preserve">H-0517</t>
  </si>
  <si>
    <t xml:space="preserve">Functions Late of 'Engagement management' while in Rural highway (60–100 km/h), wet.</t>
  </si>
  <si>
    <t xml:space="preserve">H-0518</t>
  </si>
  <si>
    <t xml:space="preserve">Functions Late of 'Engagement management' while in Rural highway (60–100 km/h), night, dry.</t>
  </si>
  <si>
    <t xml:space="preserve">H-0519</t>
  </si>
  <si>
    <t xml:space="preserve">Functions Late of 'Engagement management' while in Rural highway (60–100 km/h), heavy rain.</t>
  </si>
  <si>
    <t xml:space="preserve">H-0520</t>
  </si>
  <si>
    <t xml:space="preserve">Functions Late of 'Engagement management' while in Rural highway (60–100 km/h), fog.</t>
  </si>
  <si>
    <t xml:space="preserve">H-0521</t>
  </si>
  <si>
    <t xml:space="preserve">Functions Late of 'Engagement management' while in Interstate / motorway (90–130 km/h), dry, daylight.</t>
  </si>
  <si>
    <t xml:space="preserve">H-0522</t>
  </si>
  <si>
    <t xml:space="preserve">Functions Late of 'Engagement management' while in Interstate / motorway (90–130 km/h), wet.</t>
  </si>
  <si>
    <t xml:space="preserve">H-0523</t>
  </si>
  <si>
    <t xml:space="preserve">Functions Late of 'Engagement management' while in Interstate / motorway (90–130 km/h), night, dry.</t>
  </si>
  <si>
    <t xml:space="preserve">H-0524</t>
  </si>
  <si>
    <t xml:space="preserve">Functions Late of 'Engagement management' while in Interstate / motorway (90–130 km/h), heavy rain.</t>
  </si>
  <si>
    <t xml:space="preserve">H-0525</t>
  </si>
  <si>
    <t xml:space="preserve">Functions Late of 'Engagement management' while in Interstate / motorway (90–130 km/h), fog.</t>
  </si>
  <si>
    <t xml:space="preserve">H-0526</t>
  </si>
  <si>
    <t xml:space="preserve">Inverse Function of 'Engagement management' while in Parking lot (0–15 km/h), dry, daylight.</t>
  </si>
  <si>
    <t xml:space="preserve">H-0527</t>
  </si>
  <si>
    <t xml:space="preserve">Inverse Function of 'Engagement management' while in Parking lot (0–15 km/h), wet.</t>
  </si>
  <si>
    <t xml:space="preserve">H-0528</t>
  </si>
  <si>
    <t xml:space="preserve">Inverse Function of 'Engagement management' while in Parking lot (0–15 km/h), night, dry.</t>
  </si>
  <si>
    <t xml:space="preserve">H-0529</t>
  </si>
  <si>
    <t xml:space="preserve">Inverse Function of 'Engagement management' while in Parking lot (0–15 km/h), heavy rain.</t>
  </si>
  <si>
    <t xml:space="preserve">H-0530</t>
  </si>
  <si>
    <t xml:space="preserve">Inverse Function of 'Engagement management' while in Parking lot (0–15 km/h), fog.</t>
  </si>
  <si>
    <t xml:space="preserve">H-0531</t>
  </si>
  <si>
    <t xml:space="preserve">Inverse Function of 'Engagement management' while in Urban / city street (15–60 km/h), dry, daylight.</t>
  </si>
  <si>
    <t xml:space="preserve">H-0532</t>
  </si>
  <si>
    <t xml:space="preserve">Inverse Function of 'Engagement management' while in Urban / city street (15–60 km/h), wet.</t>
  </si>
  <si>
    <t xml:space="preserve">H-0533</t>
  </si>
  <si>
    <t xml:space="preserve">Inverse Function of 'Engagement management' while in Urban / city street (15–60 km/h), night, dry.</t>
  </si>
  <si>
    <t xml:space="preserve">H-0534</t>
  </si>
  <si>
    <t xml:space="preserve">Inverse Function of 'Engagement management' while in Urban / city street (15–60 km/h), heavy rain.</t>
  </si>
  <si>
    <t xml:space="preserve">H-0535</t>
  </si>
  <si>
    <t xml:space="preserve">Inverse Function of 'Engagement management' while in Urban / city street (15–60 km/h), fog.</t>
  </si>
  <si>
    <t xml:space="preserve">H-0536</t>
  </si>
  <si>
    <t xml:space="preserve">Inverse Function of 'Engagement management' while in Suburban arterial (40–80 km/h), dry, daylight.</t>
  </si>
  <si>
    <t xml:space="preserve">H-0537</t>
  </si>
  <si>
    <t xml:space="preserve">Inverse Function of 'Engagement management' while in Suburban arterial (40–80 km/h), wet.</t>
  </si>
  <si>
    <t xml:space="preserve">H-0538</t>
  </si>
  <si>
    <t xml:space="preserve">Inverse Function of 'Engagement management' while in Suburban arterial (40–80 km/h), night, dry.</t>
  </si>
  <si>
    <t xml:space="preserve">H-0539</t>
  </si>
  <si>
    <t xml:space="preserve">Inverse Function of 'Engagement management' while in Suburban arterial (40–80 km/h), heavy rain.</t>
  </si>
  <si>
    <t xml:space="preserve">H-0540</t>
  </si>
  <si>
    <t xml:space="preserve">Inverse Function of 'Engagement management' while in Suburban arterial (40–80 km/h), fog.</t>
  </si>
  <si>
    <t xml:space="preserve">H-0541</t>
  </si>
  <si>
    <t xml:space="preserve">Inverse Function of 'Engagement management' while in Rural highway (60–100 km/h), dry, daylight.</t>
  </si>
  <si>
    <t xml:space="preserve">H-0542</t>
  </si>
  <si>
    <t xml:space="preserve">Inverse Function of 'Engagement management' while in Rural highway (60–100 km/h), wet.</t>
  </si>
  <si>
    <t xml:space="preserve">H-0543</t>
  </si>
  <si>
    <t xml:space="preserve">Inverse Function of 'Engagement management' while in Rural highway (60–100 km/h), night, dry.</t>
  </si>
  <si>
    <t xml:space="preserve">H-0544</t>
  </si>
  <si>
    <t xml:space="preserve">Inverse Function of 'Engagement management' while in Rural highway (60–100 km/h), heavy rain.</t>
  </si>
  <si>
    <t xml:space="preserve">H-0545</t>
  </si>
  <si>
    <t xml:space="preserve">Inverse Function of 'Engagement management' while in Rural highway (60–100 km/h), fog.</t>
  </si>
  <si>
    <t xml:space="preserve">H-0546</t>
  </si>
  <si>
    <t xml:space="preserve">Inverse Function of 'Engagement management' while in Interstate / motorway (90–130 km/h), dry, daylight.</t>
  </si>
  <si>
    <t xml:space="preserve">H-0547</t>
  </si>
  <si>
    <t xml:space="preserve">Inverse Function of 'Engagement management' while in Interstate / motorway (90–130 km/h), wet.</t>
  </si>
  <si>
    <t xml:space="preserve">H-0548</t>
  </si>
  <si>
    <t xml:space="preserve">Inverse Function of 'Engagement management' while in Interstate / motorway (90–130 km/h), night, dry.</t>
  </si>
  <si>
    <t xml:space="preserve">H-0549</t>
  </si>
  <si>
    <t xml:space="preserve">Inverse Function of 'Engagement management' while in Interstate / motorway (90–130 km/h), heavy rain.</t>
  </si>
  <si>
    <t xml:space="preserve">H-0550</t>
  </si>
  <si>
    <t xml:space="preserve">Inverse Function of 'Engagement management' while in Interstate / motorway (90–130 km/h), fog.</t>
  </si>
  <si>
    <t xml:space="preserve">H-0551</t>
  </si>
  <si>
    <t xml:space="preserve">Erratic or Intermittent of 'Engagement management' while in Parking lot (0–15 km/h), dry, daylight.</t>
  </si>
  <si>
    <t xml:space="preserve">H-0552</t>
  </si>
  <si>
    <t xml:space="preserve">Erratic or Intermittent of 'Engagement management' while in Parking lot (0–15 km/h), wet.</t>
  </si>
  <si>
    <t xml:space="preserve">H-0553</t>
  </si>
  <si>
    <t xml:space="preserve">Erratic or Intermittent of 'Engagement management' while in Parking lot (0–15 km/h), night, dry.</t>
  </si>
  <si>
    <t xml:space="preserve">H-0554</t>
  </si>
  <si>
    <t xml:space="preserve">Erratic or Intermittent of 'Engagement management' while in Parking lot (0–15 km/h), heavy rain.</t>
  </si>
  <si>
    <t xml:space="preserve">H-0555</t>
  </si>
  <si>
    <t xml:space="preserve">Erratic or Intermittent of 'Engagement management' while in Parking lot (0–15 km/h), fog.</t>
  </si>
  <si>
    <t xml:space="preserve">H-0556</t>
  </si>
  <si>
    <t xml:space="preserve">Erratic or Intermittent of 'Engagement management' while in Urban / city street (15–60 km/h), dry, daylight.</t>
  </si>
  <si>
    <t xml:space="preserve">H-0557</t>
  </si>
  <si>
    <t xml:space="preserve">Erratic or Intermittent of 'Engagement management' while in Urban / city street (15–60 km/h), wet.</t>
  </si>
  <si>
    <t xml:space="preserve">H-0558</t>
  </si>
  <si>
    <t xml:space="preserve">Erratic or Intermittent of 'Engagement management' while in Urban / city street (15–60 km/h), night, dry.</t>
  </si>
  <si>
    <t xml:space="preserve">H-0559</t>
  </si>
  <si>
    <t xml:space="preserve">Erratic or Intermittent of 'Engagement management' while in Urban / city street (15–60 km/h), heavy rain.</t>
  </si>
  <si>
    <t xml:space="preserve">H-0560</t>
  </si>
  <si>
    <t xml:space="preserve">Erratic or Intermittent of 'Engagement management' while in Urban / city street (15–60 km/h), fog.</t>
  </si>
  <si>
    <t xml:space="preserve">H-0561</t>
  </si>
  <si>
    <t xml:space="preserve">Erratic or Intermittent of 'Engagement management' while in Suburban arterial (40–80 km/h), dry, daylight.</t>
  </si>
  <si>
    <t xml:space="preserve">H-0562</t>
  </si>
  <si>
    <t xml:space="preserve">Erratic or Intermittent of 'Engagement management' while in Suburban arterial (40–80 km/h), wet.</t>
  </si>
  <si>
    <t xml:space="preserve">H-0563</t>
  </si>
  <si>
    <t xml:space="preserve">Erratic or Intermittent of 'Engagement management' while in Suburban arterial (40–80 km/h), night, dry.</t>
  </si>
  <si>
    <t xml:space="preserve">H-0564</t>
  </si>
  <si>
    <t xml:space="preserve">Erratic or Intermittent of 'Engagement management' while in Suburban arterial (40–80 km/h), heavy rain.</t>
  </si>
  <si>
    <t xml:space="preserve">H-0565</t>
  </si>
  <si>
    <t xml:space="preserve">Erratic or Intermittent of 'Engagement management' while in Suburban arterial (40–80 km/h), fog.</t>
  </si>
  <si>
    <t xml:space="preserve">H-0566</t>
  </si>
  <si>
    <t xml:space="preserve">Erratic or Intermittent of 'Engagement management' while in Rural highway (60–100 km/h), dry, daylight.</t>
  </si>
  <si>
    <t xml:space="preserve">H-0567</t>
  </si>
  <si>
    <t xml:space="preserve">Erratic or Intermittent of 'Engagement management' while in Rural highway (60–100 km/h), wet.</t>
  </si>
  <si>
    <t xml:space="preserve">H-0568</t>
  </si>
  <si>
    <t xml:space="preserve">Erratic or Intermittent of 'Engagement management' while in Rural highway (60–100 km/h), night, dry.</t>
  </si>
  <si>
    <t xml:space="preserve">H-0569</t>
  </si>
  <si>
    <t xml:space="preserve">Erratic or Intermittent of 'Engagement management' while in Rural highway (60–100 km/h), heavy rain.</t>
  </si>
  <si>
    <t xml:space="preserve">H-0570</t>
  </si>
  <si>
    <t xml:space="preserve">Erratic or Intermittent of 'Engagement management' while in Rural highway (60–100 km/h), fog.</t>
  </si>
  <si>
    <t xml:space="preserve">H-0571</t>
  </si>
  <si>
    <t xml:space="preserve">Erratic or Intermittent of 'Engagement management' while in Interstate / motorway (90–130 km/h), dry, daylight.</t>
  </si>
  <si>
    <t xml:space="preserve">H-0572</t>
  </si>
  <si>
    <t xml:space="preserve">Erratic or Intermittent of 'Engagement management' while in Interstate / motorway (90–130 km/h), wet.</t>
  </si>
  <si>
    <t xml:space="preserve">H-0573</t>
  </si>
  <si>
    <t xml:space="preserve">Erratic or Intermittent of 'Engagement management' while in Interstate / motorway (90–130 km/h), night, dry.</t>
  </si>
  <si>
    <t xml:space="preserve">H-0574</t>
  </si>
  <si>
    <t xml:space="preserve">Erratic or Intermittent of 'Engagement management' while in Interstate / motorway (90–130 km/h), heavy rain.</t>
  </si>
  <si>
    <t xml:space="preserve">H-0575</t>
  </si>
  <si>
    <t xml:space="preserve">Erratic or Intermittent of 'Engagement management' while in Interstate / motorway (90–130 km/h), fog.</t>
  </si>
  <si>
    <t xml:space="preserve">H-0576</t>
  </si>
  <si>
    <t xml:space="preserve">No Function of 'Driver monitoring' while in Parking lot (0–15 km/h), dry, daylight.</t>
  </si>
  <si>
    <t xml:space="preserve">Severity of the eventual unhandled event, for example an unnoticed lane departure, at the location's speed band.</t>
  </si>
  <si>
    <t xml:space="preserve">E2. The operational situation is the combination of an inattentive driver and a situation the system does not handle, while monitoring has failed. Rated on the situation's duration share, not on the monitoring failure rate.</t>
  </si>
  <si>
    <t xml:space="preserve">C3. By definition the driver is inattentive and unwarned.</t>
  </si>
  <si>
    <t xml:space="preserve">Escalate to disengagement with an audible alert; engagement unavailable until monitoring is healthy.</t>
  </si>
  <si>
    <t xml:space="preserve">H-0577</t>
  </si>
  <si>
    <t xml:space="preserve">No Function of 'Driver monitoring' while in Parking lot (0–15 km/h), wet.</t>
  </si>
  <si>
    <t xml:space="preserve">H-0578</t>
  </si>
  <si>
    <t xml:space="preserve">No Function of 'Driver monitoring' while in Parking lot (0–15 km/h), night, dry.</t>
  </si>
  <si>
    <t xml:space="preserve">H-0579</t>
  </si>
  <si>
    <t xml:space="preserve">No Function of 'Driver monitoring' while in Parking lot (0–15 km/h), heavy rain.</t>
  </si>
  <si>
    <t xml:space="preserve">H-0580</t>
  </si>
  <si>
    <t xml:space="preserve">No Function of 'Driver monitoring' while in Parking lot (0–15 km/h), fog.</t>
  </si>
  <si>
    <t xml:space="preserve">H-0581</t>
  </si>
  <si>
    <t xml:space="preserve">No Function of 'Driver monitoring' while in Urban / city street (15–60 km/h), dry, daylight.</t>
  </si>
  <si>
    <t xml:space="preserve">H-0582</t>
  </si>
  <si>
    <t xml:space="preserve">No Function of 'Driver monitoring' while in Urban / city street (15–60 km/h), wet.</t>
  </si>
  <si>
    <t xml:space="preserve">H-0583</t>
  </si>
  <si>
    <t xml:space="preserve">No Function of 'Driver monitoring' while in Urban / city street (15–60 km/h), night, dry.</t>
  </si>
  <si>
    <t xml:space="preserve">H-0584</t>
  </si>
  <si>
    <t xml:space="preserve">No Function of 'Driver monitoring' while in Urban / city street (15–60 km/h), heavy rain.</t>
  </si>
  <si>
    <t xml:space="preserve">H-0585</t>
  </si>
  <si>
    <t xml:space="preserve">No Function of 'Driver monitoring' while in Urban / city street (15–60 km/h), fog.</t>
  </si>
  <si>
    <t xml:space="preserve">H-0586</t>
  </si>
  <si>
    <t xml:space="preserve">No Function of 'Driver monitoring' while in Suburban arterial (40–80 km/h), dry, daylight.</t>
  </si>
  <si>
    <t xml:space="preserve">H-0587</t>
  </si>
  <si>
    <t xml:space="preserve">No Function of 'Driver monitoring' while in Suburban arterial (40–80 km/h), wet.</t>
  </si>
  <si>
    <t xml:space="preserve">H-0588</t>
  </si>
  <si>
    <t xml:space="preserve">No Function of 'Driver monitoring' while in Suburban arterial (40–80 km/h), night, dry.</t>
  </si>
  <si>
    <t xml:space="preserve">H-0589</t>
  </si>
  <si>
    <t xml:space="preserve">No Function of 'Driver monitoring' while in Suburban arterial (40–80 km/h), heavy rain.</t>
  </si>
  <si>
    <t xml:space="preserve">H-0590</t>
  </si>
  <si>
    <t xml:space="preserve">No Function of 'Driver monitoring' while in Suburban arterial (40–80 km/h), fog.</t>
  </si>
  <si>
    <t xml:space="preserve">H-0591</t>
  </si>
  <si>
    <t xml:space="preserve">No Function of 'Driver monitoring' while in Rural highway (60–100 km/h), dry, daylight.</t>
  </si>
  <si>
    <t xml:space="preserve">H-0592</t>
  </si>
  <si>
    <t xml:space="preserve">No Function of 'Driver monitoring' while in Rural highway (60–100 km/h), wet.</t>
  </si>
  <si>
    <t xml:space="preserve">H-0593</t>
  </si>
  <si>
    <t xml:space="preserve">No Function of 'Driver monitoring' while in Rural highway (60–100 km/h), night, dry.</t>
  </si>
  <si>
    <t xml:space="preserve">H-0594</t>
  </si>
  <si>
    <t xml:space="preserve">No Function of 'Driver monitoring' while in Rural highway (60–100 km/h), heavy rain.</t>
  </si>
  <si>
    <t xml:space="preserve">H-0595</t>
  </si>
  <si>
    <t xml:space="preserve">No Function of 'Driver monitoring' while in Rural highway (60–100 km/h), fog.</t>
  </si>
  <si>
    <t xml:space="preserve">H-0596</t>
  </si>
  <si>
    <t xml:space="preserve">No Function of 'Driver monitoring' while in Interstate / motorway (90–130 km/h), dry, daylight.</t>
  </si>
  <si>
    <t xml:space="preserve">H-0597</t>
  </si>
  <si>
    <t xml:space="preserve">No Function of 'Driver monitoring' while in Interstate / motorway (90–130 km/h), wet.</t>
  </si>
  <si>
    <t xml:space="preserve">H-0598</t>
  </si>
  <si>
    <t xml:space="preserve">No Function of 'Driver monitoring' while in Interstate / motorway (90–130 km/h), night, dry.</t>
  </si>
  <si>
    <t xml:space="preserve">H-0599</t>
  </si>
  <si>
    <t xml:space="preserve">No Function of 'Driver monitoring' while in Interstate / motorway (90–130 km/h), heavy rain.</t>
  </si>
  <si>
    <t xml:space="preserve">H-0600</t>
  </si>
  <si>
    <t xml:space="preserve">No Function of 'Driver monitoring' while in Interstate / motorway (90–130 km/h), fog.</t>
  </si>
  <si>
    <t xml:space="preserve">H-0601</t>
  </si>
  <si>
    <t xml:space="preserve">Functions Late of 'Driver monitoring' while in Parking lot (0–15 km/h), dry, daylight.</t>
  </si>
  <si>
    <t xml:space="preserve">H-0602</t>
  </si>
  <si>
    <t xml:space="preserve">Functions Late of 'Driver monitoring' while in Parking lot (0–15 km/h), wet.</t>
  </si>
  <si>
    <t xml:space="preserve">H-0603</t>
  </si>
  <si>
    <t xml:space="preserve">Functions Late of 'Driver monitoring' while in Parking lot (0–15 km/h), night, dry.</t>
  </si>
  <si>
    <t xml:space="preserve">H-0604</t>
  </si>
  <si>
    <t xml:space="preserve">Functions Late of 'Driver monitoring' while in Parking lot (0–15 km/h), heavy rain.</t>
  </si>
  <si>
    <t xml:space="preserve">H-0605</t>
  </si>
  <si>
    <t xml:space="preserve">Functions Late of 'Driver monitoring' while in Parking lot (0–15 km/h), fog.</t>
  </si>
  <si>
    <t xml:space="preserve">H-0606</t>
  </si>
  <si>
    <t xml:space="preserve">Functions Late of 'Driver monitoring' while in Urban / city street (15–60 km/h), dry, daylight.</t>
  </si>
  <si>
    <t xml:space="preserve">H-0607</t>
  </si>
  <si>
    <t xml:space="preserve">Functions Late of 'Driver monitoring' while in Urban / city street (15–60 km/h), wet.</t>
  </si>
  <si>
    <t xml:space="preserve">H-0608</t>
  </si>
  <si>
    <t xml:space="preserve">Functions Late of 'Driver monitoring' while in Urban / city street (15–60 km/h), night, dry.</t>
  </si>
  <si>
    <t xml:space="preserve">H-0609</t>
  </si>
  <si>
    <t xml:space="preserve">Functions Late of 'Driver monitoring' while in Urban / city street (15–60 km/h), heavy rain.</t>
  </si>
  <si>
    <t xml:space="preserve">H-0610</t>
  </si>
  <si>
    <t xml:space="preserve">Functions Late of 'Driver monitoring' while in Urban / city street (15–60 km/h), fog.</t>
  </si>
  <si>
    <t xml:space="preserve">H-0611</t>
  </si>
  <si>
    <t xml:space="preserve">Functions Late of 'Driver monitoring' while in Suburban arterial (40–80 km/h), dry, daylight.</t>
  </si>
  <si>
    <t xml:space="preserve">H-0612</t>
  </si>
  <si>
    <t xml:space="preserve">Functions Late of 'Driver monitoring' while in Suburban arterial (40–80 km/h), wet.</t>
  </si>
  <si>
    <t xml:space="preserve">H-0613</t>
  </si>
  <si>
    <t xml:space="preserve">Functions Late of 'Driver monitoring' while in Suburban arterial (40–80 km/h), night, dry.</t>
  </si>
  <si>
    <t xml:space="preserve">H-0614</t>
  </si>
  <si>
    <t xml:space="preserve">Functions Late of 'Driver monitoring' while in Suburban arterial (40–80 km/h), heavy rain.</t>
  </si>
  <si>
    <t xml:space="preserve">H-0615</t>
  </si>
  <si>
    <t xml:space="preserve">Functions Late of 'Driver monitoring' while in Suburban arterial (40–80 km/h), fog.</t>
  </si>
  <si>
    <t xml:space="preserve">H-0616</t>
  </si>
  <si>
    <t xml:space="preserve">Functions Late of 'Driver monitoring' while in Rural highway (60–100 km/h), dry, daylight.</t>
  </si>
  <si>
    <t xml:space="preserve">H-0617</t>
  </si>
  <si>
    <t xml:space="preserve">Functions Late of 'Driver monitoring' while in Rural highway (60–100 km/h), wet.</t>
  </si>
  <si>
    <t xml:space="preserve">H-0618</t>
  </si>
  <si>
    <t xml:space="preserve">Functions Late of 'Driver monitoring' while in Rural highway (60–100 km/h), night, dry.</t>
  </si>
  <si>
    <t xml:space="preserve">H-0619</t>
  </si>
  <si>
    <t xml:space="preserve">Functions Late of 'Driver monitoring' while in Rural highway (60–100 km/h), heavy rain.</t>
  </si>
  <si>
    <t xml:space="preserve">H-0620</t>
  </si>
  <si>
    <t xml:space="preserve">Functions Late of 'Driver monitoring' while in Rural highway (60–100 km/h), fog.</t>
  </si>
  <si>
    <t xml:space="preserve">H-0621</t>
  </si>
  <si>
    <t xml:space="preserve">Functions Late of 'Driver monitoring' while in Interstate / motorway (90–130 km/h), dry, daylight.</t>
  </si>
  <si>
    <t xml:space="preserve">H-0622</t>
  </si>
  <si>
    <t xml:space="preserve">Functions Late of 'Driver monitoring' while in Interstate / motorway (90–130 km/h), wet.</t>
  </si>
  <si>
    <t xml:space="preserve">H-0623</t>
  </si>
  <si>
    <t xml:space="preserve">Functions Late of 'Driver monitoring' while in Interstate / motorway (90–130 km/h), night, dry.</t>
  </si>
  <si>
    <t xml:space="preserve">H-0624</t>
  </si>
  <si>
    <t xml:space="preserve">Functions Late of 'Driver monitoring' while in Interstate / motorway (90–130 km/h), heavy rain.</t>
  </si>
  <si>
    <t xml:space="preserve">H-0625</t>
  </si>
  <si>
    <t xml:space="preserve">Functions Late of 'Driver monitoring' while in Interstate / motorway (90–130 km/h), fog.</t>
  </si>
  <si>
    <t xml:space="preserve">H-0626</t>
  </si>
  <si>
    <t xml:space="preserve">No Function of 'Driver information' while in Parking lot (0–15 km/h), dry, daylight.</t>
  </si>
  <si>
    <t xml:space="preserve">Severity of a lane departure or late take-over at the location's speed band.</t>
  </si>
  <si>
    <t xml:space="preserve">E3. Situations where the driver depends on the displayed state (curves, take-over requests) occur regularly while driving with the system.</t>
  </si>
  <si>
    <t xml:space="preserve">C2. The vehicle's own behavior (drift, no steering feel) gives the driver a cue within seconds.</t>
  </si>
  <si>
    <t xml:space="preserve">Disengage with an audible alert when the displayed state cannot be guaranteed.</t>
  </si>
  <si>
    <t xml:space="preserve">H-0627</t>
  </si>
  <si>
    <t xml:space="preserve">No Function of 'Driver information' while in Parking lot (0–15 km/h), wet.</t>
  </si>
  <si>
    <t xml:space="preserve">H-0628</t>
  </si>
  <si>
    <t xml:space="preserve">No Function of 'Driver information' while in Parking lot (0–15 km/h), night, dry.</t>
  </si>
  <si>
    <t xml:space="preserve">H-0629</t>
  </si>
  <si>
    <t xml:space="preserve">No Function of 'Driver information' while in Parking lot (0–15 km/h), heavy rain.</t>
  </si>
  <si>
    <t xml:space="preserve">H-0630</t>
  </si>
  <si>
    <t xml:space="preserve">No Function of 'Driver information' while in Parking lot (0–15 km/h), fog.</t>
  </si>
  <si>
    <t xml:space="preserve">H-0631</t>
  </si>
  <si>
    <t xml:space="preserve">No Function of 'Driver information' while in Urban / city street (15–60 km/h), dry, daylight.</t>
  </si>
  <si>
    <t xml:space="preserve">H-0632</t>
  </si>
  <si>
    <t xml:space="preserve">No Function of 'Driver information' while in Urban / city street (15–60 km/h), wet.</t>
  </si>
  <si>
    <t xml:space="preserve">H-0633</t>
  </si>
  <si>
    <t xml:space="preserve">No Function of 'Driver information' while in Urban / city street (15–60 km/h), night, dry.</t>
  </si>
  <si>
    <t xml:space="preserve">H-0634</t>
  </si>
  <si>
    <t xml:space="preserve">No Function of 'Driver information' while in Urban / city street (15–60 km/h), heavy rain.</t>
  </si>
  <si>
    <t xml:space="preserve">H-0635</t>
  </si>
  <si>
    <t xml:space="preserve">No Function of 'Driver information' while in Urban / city street (15–60 km/h), fog.</t>
  </si>
  <si>
    <t xml:space="preserve">H-0636</t>
  </si>
  <si>
    <t xml:space="preserve">No Function of 'Driver information' while in Suburban arterial (40–80 km/h), dry, daylight.</t>
  </si>
  <si>
    <t xml:space="preserve">H-0637</t>
  </si>
  <si>
    <t xml:space="preserve">No Function of 'Driver information' while in Suburban arterial (40–80 km/h), wet.</t>
  </si>
  <si>
    <t xml:space="preserve">H-0638</t>
  </si>
  <si>
    <t xml:space="preserve">No Function of 'Driver information' while in Suburban arterial (40–80 km/h), night, dry.</t>
  </si>
  <si>
    <t xml:space="preserve">H-0639</t>
  </si>
  <si>
    <t xml:space="preserve">No Function of 'Driver information' while in Suburban arterial (40–80 km/h), heavy rain.</t>
  </si>
  <si>
    <t xml:space="preserve">H-0640</t>
  </si>
  <si>
    <t xml:space="preserve">No Function of 'Driver information' while in Suburban arterial (40–80 km/h), fog.</t>
  </si>
  <si>
    <t xml:space="preserve">H-0641</t>
  </si>
  <si>
    <t xml:space="preserve">No Function of 'Driver information' while in Rural highway (60–100 km/h), dry, daylight.</t>
  </si>
  <si>
    <t xml:space="preserve">H-0642</t>
  </si>
  <si>
    <t xml:space="preserve">No Function of 'Driver information' while in Rural highway (60–100 km/h), wet.</t>
  </si>
  <si>
    <t xml:space="preserve">H-0643</t>
  </si>
  <si>
    <t xml:space="preserve">No Function of 'Driver information' while in Rural highway (60–100 km/h), night, dry.</t>
  </si>
  <si>
    <t xml:space="preserve">H-0644</t>
  </si>
  <si>
    <t xml:space="preserve">No Function of 'Driver information' while in Rural highway (60–100 km/h), heavy rain.</t>
  </si>
  <si>
    <t xml:space="preserve">H-0645</t>
  </si>
  <si>
    <t xml:space="preserve">No Function of 'Driver information' while in Rural highway (60–100 km/h), fog.</t>
  </si>
  <si>
    <t xml:space="preserve">H-0646</t>
  </si>
  <si>
    <t xml:space="preserve">No Function of 'Driver information' while in Interstate / motorway (90–130 km/h), dry, daylight.</t>
  </si>
  <si>
    <t xml:space="preserve">H-0647</t>
  </si>
  <si>
    <t xml:space="preserve">No Function of 'Driver information' while in Interstate / motorway (90–130 km/h), wet.</t>
  </si>
  <si>
    <t xml:space="preserve">H-0648</t>
  </si>
  <si>
    <t xml:space="preserve">No Function of 'Driver information' while in Interstate / motorway (90–130 km/h), night, dry.</t>
  </si>
  <si>
    <t xml:space="preserve">H-0649</t>
  </si>
  <si>
    <t xml:space="preserve">No Function of 'Driver information' while in Interstate / motorway (90–130 km/h), heavy rain.</t>
  </si>
  <si>
    <t xml:space="preserve">H-0650</t>
  </si>
  <si>
    <t xml:space="preserve">No Function of 'Driver information' while in Interstate / motorway (90–130 km/h), fog.</t>
  </si>
  <si>
    <t xml:space="preserve">H-0651</t>
  </si>
  <si>
    <t xml:space="preserve">Unrequested Function of 'Driver information' while in Parking lot (0–15 km/h), dry, daylight.</t>
  </si>
  <si>
    <t xml:space="preserve">H-0652</t>
  </si>
  <si>
    <t xml:space="preserve">Unrequested Function of 'Driver information' while in Parking lot (0–15 km/h), wet.</t>
  </si>
  <si>
    <t xml:space="preserve">H-0653</t>
  </si>
  <si>
    <t xml:space="preserve">Unrequested Function of 'Driver information' while in Parking lot (0–15 km/h), night, dry.</t>
  </si>
  <si>
    <t xml:space="preserve">H-0654</t>
  </si>
  <si>
    <t xml:space="preserve">Unrequested Function of 'Driver information' while in Parking lot (0–15 km/h), heavy rain.</t>
  </si>
  <si>
    <t xml:space="preserve">H-0655</t>
  </si>
  <si>
    <t xml:space="preserve">Unrequested Function of 'Driver information' while in Parking lot (0–15 km/h), fog.</t>
  </si>
  <si>
    <t xml:space="preserve">H-0656</t>
  </si>
  <si>
    <t xml:space="preserve">Unrequested Function of 'Driver information' while in Urban / city street (15–60 km/h), dry, daylight.</t>
  </si>
  <si>
    <t xml:space="preserve">H-0657</t>
  </si>
  <si>
    <t xml:space="preserve">Unrequested Function of 'Driver information' while in Urban / city street (15–60 km/h), wet.</t>
  </si>
  <si>
    <t xml:space="preserve">H-0658</t>
  </si>
  <si>
    <t xml:space="preserve">Unrequested Function of 'Driver information' while in Urban / city street (15–60 km/h), night, dry.</t>
  </si>
  <si>
    <t xml:space="preserve">H-0659</t>
  </si>
  <si>
    <t xml:space="preserve">Unrequested Function of 'Driver information' while in Urban / city street (15–60 km/h), heavy rain.</t>
  </si>
  <si>
    <t xml:space="preserve">H-0660</t>
  </si>
  <si>
    <t xml:space="preserve">Unrequested Function of 'Driver information' while in Urban / city street (15–60 km/h), fog.</t>
  </si>
  <si>
    <t xml:space="preserve">H-0661</t>
  </si>
  <si>
    <t xml:space="preserve">Unrequested Function of 'Driver information' while in Suburban arterial (40–80 km/h), dry, daylight.</t>
  </si>
  <si>
    <t xml:space="preserve">H-0662</t>
  </si>
  <si>
    <t xml:space="preserve">Unrequested Function of 'Driver information' while in Suburban arterial (40–80 km/h), wet.</t>
  </si>
  <si>
    <t xml:space="preserve">H-0663</t>
  </si>
  <si>
    <t xml:space="preserve">Unrequested Function of 'Driver information' while in Suburban arterial (40–80 km/h), night, dry.</t>
  </si>
  <si>
    <t xml:space="preserve">H-0664</t>
  </si>
  <si>
    <t xml:space="preserve">Unrequested Function of 'Driver information' while in Suburban arterial (40–80 km/h), heavy rain.</t>
  </si>
  <si>
    <t xml:space="preserve">H-0665</t>
  </si>
  <si>
    <t xml:space="preserve">Unrequested Function of 'Driver information' while in Suburban arterial (40–80 km/h), fog.</t>
  </si>
  <si>
    <t xml:space="preserve">H-0666</t>
  </si>
  <si>
    <t xml:space="preserve">Unrequested Function of 'Driver information' while in Rural highway (60–100 km/h), dry, daylight.</t>
  </si>
  <si>
    <t xml:space="preserve">H-0667</t>
  </si>
  <si>
    <t xml:space="preserve">Unrequested Function of 'Driver information' while in Rural highway (60–100 km/h), wet.</t>
  </si>
  <si>
    <t xml:space="preserve">H-0668</t>
  </si>
  <si>
    <t xml:space="preserve">Unrequested Function of 'Driver information' while in Rural highway (60–100 km/h), night, dry.</t>
  </si>
  <si>
    <t xml:space="preserve">H-0669</t>
  </si>
  <si>
    <t xml:space="preserve">Unrequested Function of 'Driver information' while in Rural highway (60–100 km/h), heavy rain.</t>
  </si>
  <si>
    <t xml:space="preserve">H-0670</t>
  </si>
  <si>
    <t xml:space="preserve">Unrequested Function of 'Driver information' while in Rural highway (60–100 km/h), fog.</t>
  </si>
  <si>
    <t xml:space="preserve">H-0671</t>
  </si>
  <si>
    <t xml:space="preserve">Unrequested Function of 'Driver information' while in Interstate / motorway (90–130 km/h), dry, daylight.</t>
  </si>
  <si>
    <t xml:space="preserve">H-0672</t>
  </si>
  <si>
    <t xml:space="preserve">Unrequested Function of 'Driver information' while in Interstate / motorway (90–130 km/h), wet.</t>
  </si>
  <si>
    <t xml:space="preserve">H-0673</t>
  </si>
  <si>
    <t xml:space="preserve">Unrequested Function of 'Driver information' while in Interstate / motorway (90–130 km/h), night, dry.</t>
  </si>
  <si>
    <t xml:space="preserve">H-0674</t>
  </si>
  <si>
    <t xml:space="preserve">Unrequested Function of 'Driver information' while in Interstate / motorway (90–130 km/h), heavy rain.</t>
  </si>
  <si>
    <t xml:space="preserve">H-0675</t>
  </si>
  <si>
    <t xml:space="preserve">Unrequested Function of 'Driver information' while in Interstate / motorway (90–130 km/h), fog.</t>
  </si>
  <si>
    <t xml:space="preserve">H-0676</t>
  </si>
  <si>
    <t xml:space="preserve">Functions Late of 'Driver information' while in Parking lot (0–15 km/h), dry, daylight.</t>
  </si>
  <si>
    <t xml:space="preserve">H-0677</t>
  </si>
  <si>
    <t xml:space="preserve">Functions Late of 'Driver information' while in Parking lot (0–15 km/h), wet.</t>
  </si>
  <si>
    <t xml:space="preserve">H-0678</t>
  </si>
  <si>
    <t xml:space="preserve">Functions Late of 'Driver information' while in Parking lot (0–15 km/h), night, dry.</t>
  </si>
  <si>
    <t xml:space="preserve">H-0679</t>
  </si>
  <si>
    <t xml:space="preserve">Functions Late of 'Driver information' while in Parking lot (0–15 km/h), heavy rain.</t>
  </si>
  <si>
    <t xml:space="preserve">H-0680</t>
  </si>
  <si>
    <t xml:space="preserve">Functions Late of 'Driver information' while in Parking lot (0–15 km/h), fog.</t>
  </si>
  <si>
    <t xml:space="preserve">H-0681</t>
  </si>
  <si>
    <t xml:space="preserve">Functions Late of 'Driver information' while in Urban / city street (15–60 km/h), dry, daylight.</t>
  </si>
  <si>
    <t xml:space="preserve">H-0682</t>
  </si>
  <si>
    <t xml:space="preserve">Functions Late of 'Driver information' while in Urban / city street (15–60 km/h), wet.</t>
  </si>
  <si>
    <t xml:space="preserve">H-0683</t>
  </si>
  <si>
    <t xml:space="preserve">Functions Late of 'Driver information' while in Urban / city street (15–60 km/h), night, dry.</t>
  </si>
  <si>
    <t xml:space="preserve">H-0684</t>
  </si>
  <si>
    <t xml:space="preserve">Functions Late of 'Driver information' while in Urban / city street (15–60 km/h), heavy rain.</t>
  </si>
  <si>
    <t xml:space="preserve">H-0685</t>
  </si>
  <si>
    <t xml:space="preserve">Functions Late of 'Driver information' while in Urban / city street (15–60 km/h), fog.</t>
  </si>
  <si>
    <t xml:space="preserve">H-0686</t>
  </si>
  <si>
    <t xml:space="preserve">Functions Late of 'Driver information' while in Suburban arterial (40–80 km/h), dry, daylight.</t>
  </si>
  <si>
    <t xml:space="preserve">H-0687</t>
  </si>
  <si>
    <t xml:space="preserve">Functions Late of 'Driver information' while in Suburban arterial (40–80 km/h), wet.</t>
  </si>
  <si>
    <t xml:space="preserve">H-0688</t>
  </si>
  <si>
    <t xml:space="preserve">Functions Late of 'Driver information' while in Suburban arterial (40–80 km/h), night, dry.</t>
  </si>
  <si>
    <t xml:space="preserve">H-0689</t>
  </si>
  <si>
    <t xml:space="preserve">Functions Late of 'Driver information' while in Suburban arterial (40–80 km/h), heavy rain.</t>
  </si>
  <si>
    <t xml:space="preserve">H-0690</t>
  </si>
  <si>
    <t xml:space="preserve">Functions Late of 'Driver information' while in Suburban arterial (40–80 km/h), fog.</t>
  </si>
  <si>
    <t xml:space="preserve">H-0691</t>
  </si>
  <si>
    <t xml:space="preserve">Functions Late of 'Driver information' while in Rural highway (60–100 km/h), dry, daylight.</t>
  </si>
  <si>
    <t xml:space="preserve">H-0692</t>
  </si>
  <si>
    <t xml:space="preserve">Functions Late of 'Driver information' while in Rural highway (60–100 km/h), wet.</t>
  </si>
  <si>
    <t xml:space="preserve">H-0693</t>
  </si>
  <si>
    <t xml:space="preserve">Functions Late of 'Driver information' while in Rural highway (60–100 km/h), night, dry.</t>
  </si>
  <si>
    <t xml:space="preserve">H-0694</t>
  </si>
  <si>
    <t xml:space="preserve">Functions Late of 'Driver information' while in Rural highway (60–100 km/h), heavy rain.</t>
  </si>
  <si>
    <t xml:space="preserve">H-0695</t>
  </si>
  <si>
    <t xml:space="preserve">Functions Late of 'Driver information' while in Rural highway (60–100 km/h), fog.</t>
  </si>
  <si>
    <t xml:space="preserve">H-0696</t>
  </si>
  <si>
    <t xml:space="preserve">Functions Late of 'Driver information' while in Interstate / motorway (90–130 km/h), dry, daylight.</t>
  </si>
  <si>
    <t xml:space="preserve">H-0697</t>
  </si>
  <si>
    <t xml:space="preserve">Functions Late of 'Driver information' while in Interstate / motorway (90–130 km/h), wet.</t>
  </si>
  <si>
    <t xml:space="preserve">H-0698</t>
  </si>
  <si>
    <t xml:space="preserve">Functions Late of 'Driver information' while in Interstate / motorway (90–130 km/h), night, dry.</t>
  </si>
  <si>
    <t xml:space="preserve">H-0699</t>
  </si>
  <si>
    <t xml:space="preserve">Functions Late of 'Driver information' while in Interstate / motorway (90–130 km/h), heavy rain.</t>
  </si>
  <si>
    <t xml:space="preserve">H-0700</t>
  </si>
  <si>
    <t xml:space="preserve">Functions Late of 'Driver information' while in Interstate / motorway (90–130 km/h), fog.</t>
  </si>
  <si>
    <t xml:space="preserve">Safety Goals and Safe States</t>
  </si>
  <si>
    <t xml:space="preserve">Safety goal text format: 'Prevent &lt;hazard description&gt;'. One safety goal per unique (function, hazard) pair; the highest ASIL across all environments governs.</t>
  </si>
  <si>
    <t xml:space="preserve">SG_ID</t>
  </si>
  <si>
    <t xml:space="preserve">Hazard</t>
  </si>
  <si>
    <t xml:space="preserve">Worst-case ASIL</t>
  </si>
  <si>
    <t xml:space="preserve">Driving HARA IDs</t>
  </si>
  <si>
    <t xml:space="preserve">Safety Goal</t>
  </si>
  <si>
    <t xml:space="preserve">SG-001</t>
  </si>
  <si>
    <t xml:space="preserve">H-0056, H-0057, H-0058, H-0061, H-0062, H-0063…</t>
  </si>
  <si>
    <t xml:space="preserve">Prevent unintended lateral motion (steering too much, too fast, in the wrong direction, or uncommanded)</t>
  </si>
  <si>
    <t xml:space="preserve">SG-002</t>
  </si>
  <si>
    <t xml:space="preserve">H-0256, H-0257, H-0258, H-0261, H-0262, H-0263…</t>
  </si>
  <si>
    <t xml:space="preserve">Prevent unintended or excessive acceleration</t>
  </si>
  <si>
    <t xml:space="preserve">SG-003</t>
  </si>
  <si>
    <t xml:space="preserve">H-0356, H-0357, H-0358, H-0361, H-0362, H-0363…</t>
  </si>
  <si>
    <t xml:space="preserve">Prevent unintended or excessive deceleration that exposes the vehicle to a rear-end collision</t>
  </si>
  <si>
    <t xml:space="preserve">SG-004</t>
  </si>
  <si>
    <t xml:space="preserve">H-0456, H-0457, H-0458, H-0461, H-0462, H-0463…</t>
  </si>
  <si>
    <t xml:space="preserve">Prevent failure to release control when the driver brakes, cancels or overrides</t>
  </si>
  <si>
    <t xml:space="preserve">SG-005</t>
  </si>
  <si>
    <t xml:space="preserve">H-0481, H-0482, H-0483, H-0486, H-0487, H-0488…</t>
  </si>
  <si>
    <t xml:space="preserve">Prevent engagement of control without a deliberate driver action</t>
  </si>
  <si>
    <t xml:space="preserve">SG-006</t>
  </si>
  <si>
    <t xml:space="preserve">H-0006, H-0007, H-0008, H-0011, H-0012, H-0013…</t>
  </si>
  <si>
    <t xml:space="preserve">Prevent loss or weakness of lateral control while the driver relies on it</t>
  </si>
  <si>
    <t xml:space="preserve">SG-007</t>
  </si>
  <si>
    <t xml:space="preserve">H-0206, H-0207, H-0208, H-0211, H-0212, H-0213…</t>
  </si>
  <si>
    <t xml:space="preserve">Prevent insufficient deceleration when braking is needed</t>
  </si>
  <si>
    <t xml:space="preserve">SG-008</t>
  </si>
  <si>
    <t xml:space="preserve">H-0586, H-0587, H-0588, H-0589, H-0590, H-0591…</t>
  </si>
  <si>
    <t xml:space="preserve">Prevent undetected or unescalated driver inattention</t>
  </si>
  <si>
    <t xml:space="preserve">SG-009</t>
  </si>
  <si>
    <t xml:space="preserve">H-0636, H-0637, H-0638, H-0639, H-0640, H-0641…</t>
  </si>
  <si>
    <t xml:space="preserve">Prevent driver unawareness of the system state (believing it controls when it does not, or missing a take-over request)</t>
  </si>
  <si>
    <t xml:space="preserve">Functional Safety Concept (FSC) — Hand-off</t>
  </si>
  <si>
    <t xml:space="preserve">Pre-populated from Safety Goals. Analyst fills FTTI, allocation, warning strategy, FSRs, verification methods, and any ASIL decomposition decisions during the FSC phase.</t>
  </si>
  <si>
    <t xml:space="preserve">FTTI (ms)</t>
  </si>
  <si>
    <t xml:space="preserve">Allocation Target</t>
  </si>
  <si>
    <t xml:space="preserve">Warning &amp; Degradation</t>
  </si>
  <si>
    <t xml:space="preserve">FSR ID</t>
  </si>
  <si>
    <t xml:space="preserve">Functional Safety Requirement</t>
  </si>
  <si>
    <t xml:space="preserve">Verification Method</t>
  </si>
  <si>
    <t xml:space="preserve">Decomposition</t>
  </si>
  <si>
    <t xml:space="preserve">FSR-001-01</t>
  </si>
  <si>
    <t xml:space="preserve">(Derived requirement — to be authored in FSC phase.)</t>
  </si>
  <si>
    <t xml:space="preserve">Test</t>
  </si>
  <si>
    <t xml:space="preserve">None</t>
  </si>
  <si>
    <t xml:space="preserve">FSR-001-02</t>
  </si>
  <si>
    <t xml:space="preserve">FSR-001-03</t>
  </si>
  <si>
    <t xml:space="preserve">FSR-002-01</t>
  </si>
  <si>
    <t xml:space="preserve">FSR-002-02</t>
  </si>
  <si>
    <t xml:space="preserve">FSR-002-03</t>
  </si>
  <si>
    <t xml:space="preserve">FSR-003-01</t>
  </si>
  <si>
    <t xml:space="preserve">FSR-003-02</t>
  </si>
  <si>
    <t xml:space="preserve">FSR-003-03</t>
  </si>
  <si>
    <t xml:space="preserve">FSR-004-01</t>
  </si>
  <si>
    <t xml:space="preserve">FSR-004-02</t>
  </si>
  <si>
    <t xml:space="preserve">FSR-004-03</t>
  </si>
  <si>
    <t xml:space="preserve">FSR-005-01</t>
  </si>
  <si>
    <t xml:space="preserve">FSR-005-02</t>
  </si>
  <si>
    <t xml:space="preserve">FSR-005-03</t>
  </si>
  <si>
    <t xml:space="preserve">FSR-006-01</t>
  </si>
  <si>
    <t xml:space="preserve">FSR-006-02</t>
  </si>
  <si>
    <t xml:space="preserve">FSR-006-03</t>
  </si>
  <si>
    <t xml:space="preserve">FSR-007-01</t>
  </si>
  <si>
    <t xml:space="preserve">FSR-007-02</t>
  </si>
  <si>
    <t xml:space="preserve">FSR-007-03</t>
  </si>
  <si>
    <t xml:space="preserve">FSR-008-01</t>
  </si>
  <si>
    <t xml:space="preserve">FSR-008-02</t>
  </si>
  <si>
    <t xml:space="preserve">FSR-008-03</t>
  </si>
  <si>
    <t xml:space="preserve">FSR-009-01</t>
  </si>
  <si>
    <t xml:space="preserve">FSR-009-02</t>
  </si>
  <si>
    <t xml:space="preserve">FSR-009-03</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</si>
</sst>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4"/>
      <color rgb="FFFFFFFF"/>
      <name val="Calibri"/>
      <family val="0"/>
      <charset val="1"/>
    </font>
    <font>
      <b val="true"/>
      <sz val="11"/>
      <color rgb="FF1F3864"/>
      <name val="Calibri"/>
      <family val="0"/>
      <charset val="1"/>
    </font>
    <font>
      <sz val="10"/>
      <name val="Calibri"/>
      <family val="0"/>
      <charset val="1"/>
    </font>
    <font>
      <b val="true"/>
      <sz val="11"/>
      <color rgb="FFFFFFFF"/>
      <name val="Calibri"/>
      <family val="0"/>
      <charset val="1"/>
    </font>
    <font>
      <i val="true"/>
      <sz val="10"/>
      <color rgb="FF9C5700"/>
      <name val="Calibri"/>
      <family val="0"/>
      <charset val="1"/>
    </font>
    <font>
      <i val="true"/>
      <sz val="10"/>
      <name val="Calibri"/>
      <family val="0"/>
      <charset val="1"/>
    </font>
    <font>
      <b val="true"/>
      <sz val="10"/>
      <name val="Calibri"/>
      <family val="0"/>
      <charset val="1"/>
    </font>
    <font>
      <b val="true"/>
      <sz val="11"/>
      <color rgb="FF000000"/>
      <name val="Calibri"/>
      <family val="0"/>
      <charset val="1"/>
    </font>
  </fonts>
  <fills count="11">
    <fill>
      <patternFill patternType="none"/>
    </fill>
    <fill>
      <patternFill patternType="gray125"/>
    </fill>
    <fill>
      <patternFill patternType="solid">
        <fgColor rgb="FF1F3864"/>
        <bgColor rgb="FF333333"/>
      </patternFill>
    </fill>
    <fill>
      <patternFill patternType="solid">
        <fgColor rgb="FFF2F2F2"/>
        <bgColor rgb="FFFFFFFF"/>
      </patternFill>
    </fill>
    <fill>
      <patternFill patternType="solid">
        <fgColor rgb="FFFFF2CC"/>
        <bgColor rgb="FFF2F2F2"/>
      </patternFill>
    </fill>
    <fill>
      <patternFill patternType="solid">
        <fgColor rgb="FFF8CBAD"/>
        <bgColor rgb="FFFFE699"/>
      </patternFill>
    </fill>
    <fill>
      <patternFill patternType="solid">
        <fgColor rgb="FFC6EFCE"/>
        <bgColor rgb="FFCCFFFF"/>
      </patternFill>
    </fill>
    <fill>
      <patternFill patternType="solid">
        <fgColor rgb="FFF4B084"/>
        <bgColor rgb="FFF8CBAD"/>
      </patternFill>
    </fill>
    <fill>
      <patternFill patternType="solid">
        <fgColor rgb="FFFFE699"/>
        <bgColor rgb="FFFFF2CC"/>
      </patternFill>
    </fill>
    <fill>
      <patternFill patternType="solid">
        <fgColor rgb="FFF8696B"/>
        <bgColor rgb="FFFF6600"/>
      </patternFill>
    </fill>
    <fill>
      <patternFill patternType="solid">
        <fgColor rgb="FFC00000"/>
        <bgColor rgb="FF8000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8" fillId="4" borderId="0"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bottom" textRotation="0" wrapText="false" indent="0" shrinkToFit="false"/>
      <protection locked="true" hidden="false"/>
    </xf>
    <xf numFmtId="164" fontId="9" fillId="4" borderId="0" xfId="0" applyFont="true" applyBorder="true" applyAlignment="false" applyProtection="false">
      <alignment horizontal="general" vertical="bottom" textRotation="0" wrapText="false" indent="0" shrinkToFit="false"/>
      <protection locked="true" hidden="false"/>
    </xf>
    <xf numFmtId="164" fontId="8" fillId="4" borderId="0" xfId="0" applyFont="true" applyBorder="true" applyAlignment="true" applyProtection="false">
      <alignment horizontal="general" vertical="bottom" textRotation="0" wrapText="true" indent="0" shrinkToFit="false"/>
      <protection locked="true" hidden="false"/>
    </xf>
    <xf numFmtId="164" fontId="10" fillId="5" borderId="1" xfId="0" applyFont="true" applyBorder="true" applyAlignment="true" applyProtection="false">
      <alignment horizontal="center" vertical="center" textRotation="0" wrapText="false" indent="0" shrinkToFit="false"/>
      <protection locked="true" hidden="false"/>
    </xf>
    <xf numFmtId="164" fontId="0" fillId="3" borderId="1" xfId="0" applyFont="true" applyBorder="true" applyAlignment="true" applyProtection="false">
      <alignment horizontal="center" vertical="center" textRotation="0" wrapText="false" indent="0" shrinkToFit="false"/>
      <protection locked="true" hidden="false"/>
    </xf>
    <xf numFmtId="164" fontId="0" fillId="6" borderId="1" xfId="0" applyFont="true" applyBorder="true" applyAlignment="true" applyProtection="false">
      <alignment horizontal="center" vertical="center" textRotation="0" wrapText="false" indent="0" shrinkToFit="false"/>
      <protection locked="true" hidden="false"/>
    </xf>
    <xf numFmtId="164" fontId="11" fillId="7" borderId="1" xfId="0" applyFont="true" applyBorder="true" applyAlignment="true" applyProtection="false">
      <alignment horizontal="center" vertical="center" textRotation="0" wrapText="false" indent="0" shrinkToFit="false"/>
      <protection locked="true" hidden="false"/>
    </xf>
    <xf numFmtId="164" fontId="11" fillId="8" borderId="1" xfId="0" applyFont="true" applyBorder="true" applyAlignment="true" applyProtection="false">
      <alignment horizontal="center" vertical="center" textRotation="0" wrapText="false" indent="0" shrinkToFit="false"/>
      <protection locked="true" hidden="false"/>
    </xf>
    <xf numFmtId="164" fontId="11" fillId="9" borderId="1" xfId="0" applyFont="true" applyBorder="true" applyAlignment="true" applyProtection="false">
      <alignment horizontal="center" vertical="center" textRotation="0" wrapText="false" indent="0" shrinkToFit="false"/>
      <protection locked="true" hidden="false"/>
    </xf>
    <xf numFmtId="164" fontId="7" fillId="10" borderId="1" xfId="0" applyFont="true" applyBorder="true" applyAlignment="true" applyProtection="false">
      <alignment horizontal="center" vertical="center" textRotation="0" wrapText="false" indent="0" shrinkToFit="false"/>
      <protection locked="true" hidden="false"/>
    </xf>
    <xf numFmtId="164" fontId="8" fillId="4"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3864"/>
          <bgColor rgb="FF000000"/>
        </patternFill>
      </fill>
    </dxf>
    <dxf>
      <fill>
        <patternFill patternType="solid">
          <fgColor rgb="FFF2F2F2"/>
          <bgColor rgb="FF000000"/>
        </patternFill>
      </fill>
    </dxf>
    <dxf>
      <fill>
        <patternFill patternType="solid">
          <bgColor rgb="FF000000"/>
        </patternFill>
      </fill>
    </dxf>
    <dxf>
      <fill>
        <patternFill patternType="solid">
          <fgColor rgb="FFFFFFFF"/>
          <bgColor rgb="FF000000"/>
        </patternFill>
      </fill>
    </dxf>
    <dxf>
      <fill>
        <patternFill patternType="solid">
          <fgColor rgb="FFC00000"/>
          <bgColor rgb="FF000000"/>
        </patternFill>
      </fill>
    </dxf>
    <dxf>
      <fill>
        <patternFill patternType="solid">
          <fgColor rgb="FFF4B084"/>
          <bgColor rgb="FF000000"/>
        </patternFill>
      </fill>
    </dxf>
    <dxf>
      <fill>
        <patternFill patternType="solid">
          <fgColor rgb="FFF8696B"/>
          <bgColor rgb="FF000000"/>
        </patternFill>
      </fill>
    </dxf>
    <dxf>
      <fill>
        <patternFill patternType="solid">
          <fgColor rgb="FFFFE699"/>
          <bgColor rgb="FF000000"/>
        </patternFill>
      </fill>
    </dxf>
    <dxf>
      <fill>
        <patternFill patternType="solid">
          <fgColor rgb="FF000000"/>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8696B"/>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699"/>
      <rgbColor rgb="FF99CCFF"/>
      <rgbColor rgb="FFF4B084"/>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D1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2"/>
    <col collapsed="false" customWidth="true" hidden="false" outlineLevel="0" max="3" min="3" style="0" width="60"/>
    <col collapsed="false" customWidth="true" hidden="false" outlineLevel="0" max="4" min="4" style="0" width="4"/>
  </cols>
  <sheetData>
    <row r="2" customFormat="false" ht="27.75" hidden="false" customHeight="true" outlineLevel="0" collapsed="false">
      <c r="A2" s="1" t="s">
        <v>0</v>
      </c>
      <c r="B2" s="1"/>
      <c r="C2" s="1"/>
      <c r="D2" s="1"/>
    </row>
    <row r="3" customFormat="false" ht="27.75" hidden="false" customHeight="true" outlineLevel="0" collapsed="false">
      <c r="A3" s="1" t="s">
        <v>1</v>
      </c>
      <c r="B3" s="1"/>
      <c r="C3" s="1"/>
      <c r="D3" s="1"/>
    </row>
    <row r="6" customFormat="false" ht="15" hidden="false" customHeight="false" outlineLevel="0" collapsed="false">
      <c r="B6" s="2" t="s">
        <v>2</v>
      </c>
      <c r="C6" s="3" t="s">
        <v>3</v>
      </c>
    </row>
    <row r="7" customFormat="false" ht="15" hidden="false" customHeight="false" outlineLevel="0" collapsed="false">
      <c r="B7" s="2" t="s">
        <v>4</v>
      </c>
      <c r="C7" s="3" t="s">
        <v>5</v>
      </c>
    </row>
    <row r="8" customFormat="false" ht="15" hidden="false" customHeight="false" outlineLevel="0" collapsed="false">
      <c r="B8" s="2" t="s">
        <v>6</v>
      </c>
      <c r="C8" s="3" t="s">
        <v>7</v>
      </c>
    </row>
    <row r="9" customFormat="false" ht="15" hidden="false" customHeight="false" outlineLevel="0" collapsed="false">
      <c r="B9" s="2" t="s">
        <v>8</v>
      </c>
      <c r="C9" s="3" t="s">
        <v>9</v>
      </c>
    </row>
    <row r="10" customFormat="false" ht="15" hidden="false" customHeight="false" outlineLevel="0" collapsed="false">
      <c r="B10" s="2" t="s">
        <v>10</v>
      </c>
      <c r="C10" s="3" t="s">
        <v>11</v>
      </c>
    </row>
    <row r="11" customFormat="false" ht="15" hidden="false" customHeight="false" outlineLevel="0" collapsed="false">
      <c r="B11" s="2" t="s">
        <v>12</v>
      </c>
      <c r="C11" s="3" t="s">
        <v>13</v>
      </c>
    </row>
    <row r="12" customFormat="false" ht="15" hidden="false" customHeight="false" outlineLevel="0" collapsed="false">
      <c r="B12" s="2" t="s">
        <v>14</v>
      </c>
      <c r="C12" s="3" t="s">
        <v>15</v>
      </c>
    </row>
    <row r="13" customFormat="false" ht="15" hidden="false" customHeight="false" outlineLevel="0" collapsed="false">
      <c r="B13" s="2" t="s">
        <v>16</v>
      </c>
      <c r="C13" s="3" t="s">
        <v>17</v>
      </c>
    </row>
    <row r="14" customFormat="false" ht="15" hidden="false" customHeight="false" outlineLevel="0" collapsed="false">
      <c r="B14" s="2" t="s">
        <v>18</v>
      </c>
      <c r="C14" s="3" t="s">
        <v>19</v>
      </c>
    </row>
  </sheetData>
  <mergeCells count="2">
    <mergeCell ref="A2:D2"/>
    <mergeCell ref="A3:D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22"/>
    <col collapsed="false" customWidth="true" hidden="false" outlineLevel="0" max="4" min="4" style="0" width="50"/>
    <col collapsed="false" customWidth="true" hidden="false" outlineLevel="0" max="5" min="5" style="0" width="22"/>
  </cols>
  <sheetData>
    <row r="1" customFormat="false" ht="27.75" hidden="false" customHeight="true" outlineLevel="0" collapsed="false">
      <c r="A1" s="1" t="s">
        <v>20</v>
      </c>
      <c r="B1" s="1"/>
      <c r="C1" s="1"/>
      <c r="D1" s="1"/>
      <c r="E1" s="1"/>
    </row>
    <row r="3" customFormat="false" ht="31.5" hidden="false" customHeight="true" outlineLevel="0" collapsed="false">
      <c r="A3" s="4" t="s">
        <v>6</v>
      </c>
      <c r="B3" s="4" t="s">
        <v>8</v>
      </c>
      <c r="C3" s="4" t="s">
        <v>10</v>
      </c>
      <c r="D3" s="4" t="s">
        <v>21</v>
      </c>
      <c r="E3" s="4" t="s">
        <v>12</v>
      </c>
    </row>
    <row r="4" customFormat="false" ht="15" hidden="false" customHeight="false" outlineLevel="0" collapsed="false">
      <c r="A4" s="5" t="s">
        <v>22</v>
      </c>
      <c r="B4" s="5"/>
      <c r="C4" s="5"/>
      <c r="D4" s="5" t="s">
        <v>23</v>
      </c>
      <c r="E4" s="5"/>
    </row>
    <row r="5" customFormat="false" ht="15" hidden="false" customHeight="false" outlineLevel="0" collapsed="false">
      <c r="A5" s="6" t="s">
        <v>24</v>
      </c>
      <c r="B5" s="6"/>
      <c r="C5" s="6"/>
      <c r="D5" s="6" t="s">
        <v>25</v>
      </c>
      <c r="E5" s="6"/>
    </row>
    <row r="6" customFormat="false" ht="15" hidden="false" customHeight="false" outlineLevel="0" collapsed="false">
      <c r="A6" s="5" t="s">
        <v>26</v>
      </c>
      <c r="B6" s="5"/>
      <c r="C6" s="5"/>
      <c r="D6" s="5" t="s">
        <v>27</v>
      </c>
      <c r="E6" s="5"/>
    </row>
    <row r="10" customFormat="false" ht="27.75" hidden="false" customHeight="true" outlineLevel="0" collapsed="false">
      <c r="A10" s="1" t="s">
        <v>28</v>
      </c>
      <c r="B10" s="1"/>
      <c r="C10" s="1"/>
      <c r="D10" s="1"/>
      <c r="E10" s="1"/>
    </row>
    <row r="11" customFormat="false" ht="31.5" hidden="false" customHeight="true" outlineLevel="0" collapsed="false">
      <c r="A11" s="4" t="s">
        <v>29</v>
      </c>
      <c r="B11" s="4" t="s">
        <v>30</v>
      </c>
      <c r="C11" s="4" t="s">
        <v>31</v>
      </c>
      <c r="D11" s="4" t="s">
        <v>32</v>
      </c>
      <c r="E11" s="4" t="s">
        <v>33</v>
      </c>
    </row>
    <row r="12" customFormat="false" ht="15" hidden="false" customHeight="false" outlineLevel="0" collapsed="false">
      <c r="A12" s="5"/>
      <c r="B12" s="5"/>
      <c r="C12" s="5"/>
      <c r="D12" s="5"/>
      <c r="E12" s="5"/>
    </row>
    <row r="13" customFormat="false" ht="15" hidden="false" customHeight="false" outlineLevel="0" collapsed="false">
      <c r="A13" s="6"/>
      <c r="B13" s="6"/>
      <c r="C13" s="6"/>
      <c r="D13" s="6"/>
      <c r="E13" s="6"/>
    </row>
    <row r="14" customFormat="false" ht="15" hidden="false" customHeight="false" outlineLevel="0" collapsed="false">
      <c r="A14" s="5"/>
      <c r="B14" s="5"/>
      <c r="C14" s="5"/>
      <c r="D14" s="5"/>
      <c r="E14" s="5"/>
    </row>
    <row r="15" customFormat="false" ht="15" hidden="false" customHeight="false" outlineLevel="0" collapsed="false">
      <c r="A15" s="6"/>
      <c r="B15" s="6"/>
      <c r="C15" s="6"/>
      <c r="D15" s="6"/>
      <c r="E15" s="6"/>
    </row>
  </sheetData>
  <mergeCells count="2">
    <mergeCell ref="A1:E1"/>
    <mergeCell ref="A10:E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6"/>
    <col collapsed="false" customWidth="true" hidden="false" outlineLevel="0" max="3" min="3" style="0" width="60"/>
    <col collapsed="false" customWidth="true" hidden="false" outlineLevel="0" max="4" min="4" style="0" width="40"/>
  </cols>
  <sheetData>
    <row r="1" customFormat="false" ht="27.75" hidden="false" customHeight="true" outlineLevel="0" collapsed="false">
      <c r="A1" s="1" t="s">
        <v>34</v>
      </c>
      <c r="B1" s="1"/>
      <c r="C1" s="1"/>
      <c r="D1" s="1"/>
    </row>
    <row r="3" customFormat="false" ht="31.5" hidden="false" customHeight="true" outlineLevel="0" collapsed="false">
      <c r="A3" s="4" t="s">
        <v>35</v>
      </c>
      <c r="B3" s="4" t="s">
        <v>36</v>
      </c>
      <c r="C3" s="4" t="s">
        <v>37</v>
      </c>
      <c r="D3" s="4" t="s">
        <v>38</v>
      </c>
    </row>
    <row r="4" customFormat="false" ht="46.25" hidden="false" customHeight="false" outlineLevel="0" collapsed="false">
      <c r="A4" s="5" t="s">
        <v>39</v>
      </c>
      <c r="B4" s="5" t="s">
        <v>40</v>
      </c>
      <c r="C4" s="5" t="s">
        <v>41</v>
      </c>
      <c r="D4" s="5"/>
    </row>
    <row r="5" customFormat="false" ht="46.25" hidden="false" customHeight="false" outlineLevel="0" collapsed="false">
      <c r="A5" s="6" t="s">
        <v>42</v>
      </c>
      <c r="B5" s="6" t="s">
        <v>40</v>
      </c>
      <c r="C5" s="6" t="s">
        <v>43</v>
      </c>
      <c r="D5" s="6"/>
    </row>
    <row r="6" customFormat="false" ht="23.85" hidden="false" customHeight="false" outlineLevel="0" collapsed="false">
      <c r="A6" s="5" t="s">
        <v>44</v>
      </c>
      <c r="B6" s="5" t="s">
        <v>45</v>
      </c>
      <c r="C6" s="5" t="s">
        <v>46</v>
      </c>
      <c r="D6" s="5"/>
    </row>
    <row r="7" customFormat="false" ht="23.85" hidden="false" customHeight="false" outlineLevel="0" collapsed="false">
      <c r="A7" s="6" t="s">
        <v>47</v>
      </c>
      <c r="B7" s="6" t="s">
        <v>45</v>
      </c>
      <c r="C7" s="6" t="s">
        <v>48</v>
      </c>
      <c r="D7" s="6"/>
    </row>
    <row r="8" customFormat="false" ht="15" hidden="false" customHeight="false" outlineLevel="0" collapsed="false">
      <c r="A8" s="5" t="s">
        <v>49</v>
      </c>
      <c r="B8" s="5" t="s">
        <v>50</v>
      </c>
      <c r="C8" s="5" t="s">
        <v>51</v>
      </c>
      <c r="D8" s="5"/>
    </row>
    <row r="9" customFormat="false" ht="23.85" hidden="false" customHeight="false" outlineLevel="0" collapsed="false">
      <c r="A9" s="6" t="s">
        <v>52</v>
      </c>
      <c r="B9" s="6" t="s">
        <v>53</v>
      </c>
      <c r="C9" s="6" t="s">
        <v>54</v>
      </c>
      <c r="D9" s="6"/>
    </row>
    <row r="10" customFormat="false" ht="23.85" hidden="false" customHeight="false" outlineLevel="0" collapsed="false">
      <c r="A10" s="5" t="s">
        <v>55</v>
      </c>
      <c r="B10" s="5" t="s">
        <v>56</v>
      </c>
      <c r="C10" s="5" t="s">
        <v>57</v>
      </c>
      <c r="D10" s="5"/>
    </row>
    <row r="11" customFormat="false" ht="23.85" hidden="false" customHeight="false" outlineLevel="0" collapsed="false">
      <c r="A11" s="6" t="s">
        <v>58</v>
      </c>
      <c r="B11" s="6" t="s">
        <v>59</v>
      </c>
      <c r="C11" s="6" t="s">
        <v>60</v>
      </c>
      <c r="D11" s="6"/>
    </row>
    <row r="12" customFormat="false" ht="35.05" hidden="false" customHeight="false" outlineLevel="0" collapsed="false">
      <c r="A12" s="5" t="s">
        <v>61</v>
      </c>
      <c r="B12" s="5" t="s">
        <v>62</v>
      </c>
      <c r="C12" s="5" t="s">
        <v>63</v>
      </c>
      <c r="D12" s="5"/>
    </row>
    <row r="13" customFormat="false" ht="46.25" hidden="false" customHeight="false" outlineLevel="0" collapsed="false">
      <c r="A13" s="6" t="s">
        <v>64</v>
      </c>
      <c r="B13" s="6" t="s">
        <v>65</v>
      </c>
      <c r="C13" s="6" t="s">
        <v>66</v>
      </c>
      <c r="D13" s="6"/>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12"/>
    <col collapsed="false" customWidth="true" hidden="false" outlineLevel="0" max="4" min="4" style="0" width="40"/>
    <col collapsed="false" customWidth="true" hidden="false" outlineLevel="0" max="5" min="5" style="0" width="30"/>
  </cols>
  <sheetData>
    <row r="1" customFormat="false" ht="27.75" hidden="false" customHeight="true" outlineLevel="0" collapsed="false">
      <c r="A1" s="1" t="s">
        <v>67</v>
      </c>
      <c r="B1" s="1"/>
      <c r="C1" s="1"/>
      <c r="D1" s="1"/>
      <c r="E1" s="1"/>
    </row>
    <row r="3" customFormat="false" ht="108.95" hidden="false" customHeight="true" outlineLevel="0" collapsed="false">
      <c r="A3" s="2" t="s">
        <v>68</v>
      </c>
      <c r="B3" s="7" t="s">
        <v>69</v>
      </c>
      <c r="C3" s="7"/>
      <c r="D3" s="7"/>
      <c r="E3" s="7"/>
    </row>
    <row r="5" customFormat="false" ht="120" hidden="false" customHeight="true" outlineLevel="0" collapsed="false">
      <c r="A5" s="2" t="s">
        <v>70</v>
      </c>
      <c r="B5" s="7" t="s">
        <v>71</v>
      </c>
      <c r="C5" s="7"/>
      <c r="D5" s="7"/>
      <c r="E5" s="7"/>
    </row>
    <row r="8" customFormat="false" ht="27.75" hidden="false" customHeight="true" outlineLevel="0" collapsed="false">
      <c r="A8" s="1" t="s">
        <v>72</v>
      </c>
      <c r="B8" s="1"/>
      <c r="C8" s="1"/>
      <c r="D8" s="1"/>
      <c r="E8" s="1"/>
    </row>
    <row r="9" customFormat="false" ht="31.5" hidden="false" customHeight="true" outlineLevel="0" collapsed="false">
      <c r="A9" s="4" t="s">
        <v>73</v>
      </c>
      <c r="B9" s="4" t="s">
        <v>74</v>
      </c>
      <c r="C9" s="4" t="s">
        <v>75</v>
      </c>
      <c r="D9" s="4" t="s">
        <v>76</v>
      </c>
      <c r="E9" s="4" t="s">
        <v>33</v>
      </c>
    </row>
    <row r="10" customFormat="false" ht="23.85" hidden="false" customHeight="false" outlineLevel="0" collapsed="false">
      <c r="A10" s="5" t="s">
        <v>77</v>
      </c>
      <c r="B10" s="5" t="s">
        <v>78</v>
      </c>
      <c r="C10" s="5" t="s">
        <v>79</v>
      </c>
      <c r="D10" s="5" t="s">
        <v>80</v>
      </c>
      <c r="E10" s="5"/>
    </row>
    <row r="11" customFormat="false" ht="23.85" hidden="false" customHeight="false" outlineLevel="0" collapsed="false">
      <c r="A11" s="6" t="s">
        <v>81</v>
      </c>
      <c r="B11" s="6" t="s">
        <v>82</v>
      </c>
      <c r="C11" s="6" t="s">
        <v>83</v>
      </c>
      <c r="D11" s="6" t="s">
        <v>84</v>
      </c>
      <c r="E11" s="6"/>
    </row>
    <row r="12" customFormat="false" ht="23.85" hidden="false" customHeight="false" outlineLevel="0" collapsed="false">
      <c r="A12" s="5" t="s">
        <v>85</v>
      </c>
      <c r="B12" s="5" t="s">
        <v>86</v>
      </c>
      <c r="C12" s="5" t="s">
        <v>87</v>
      </c>
      <c r="D12" s="5" t="s">
        <v>88</v>
      </c>
      <c r="E12" s="5"/>
    </row>
    <row r="13" customFormat="false" ht="35.05" hidden="false" customHeight="false" outlineLevel="0" collapsed="false">
      <c r="A13" s="6" t="s">
        <v>89</v>
      </c>
      <c r="B13" s="6" t="s">
        <v>90</v>
      </c>
      <c r="C13" s="6" t="s">
        <v>87</v>
      </c>
      <c r="D13" s="6" t="s">
        <v>91</v>
      </c>
      <c r="E13" s="6"/>
    </row>
    <row r="14" customFormat="false" ht="15" hidden="false" customHeight="false" outlineLevel="0" collapsed="false">
      <c r="A14" s="5" t="s">
        <v>92</v>
      </c>
      <c r="B14" s="5" t="s">
        <v>93</v>
      </c>
      <c r="C14" s="5" t="s">
        <v>79</v>
      </c>
      <c r="D14" s="5" t="s">
        <v>94</v>
      </c>
      <c r="E14" s="5"/>
    </row>
    <row r="15" customFormat="false" ht="15" hidden="false" customHeight="false" outlineLevel="0" collapsed="false">
      <c r="A15" s="6" t="s">
        <v>95</v>
      </c>
      <c r="B15" s="6" t="s">
        <v>96</v>
      </c>
      <c r="C15" s="6" t="s">
        <v>79</v>
      </c>
      <c r="D15" s="6" t="s">
        <v>97</v>
      </c>
      <c r="E15" s="6"/>
    </row>
    <row r="16" customFormat="false" ht="15" hidden="false" customHeight="false" outlineLevel="0" collapsed="false">
      <c r="A16" s="5" t="s">
        <v>98</v>
      </c>
      <c r="B16" s="5" t="s">
        <v>99</v>
      </c>
      <c r="C16" s="5" t="s">
        <v>79</v>
      </c>
      <c r="D16" s="5" t="s">
        <v>100</v>
      </c>
      <c r="E16" s="5"/>
    </row>
    <row r="17" customFormat="false" ht="23.85" hidden="false" customHeight="false" outlineLevel="0" collapsed="false">
      <c r="A17" s="6" t="s">
        <v>101</v>
      </c>
      <c r="B17" s="6" t="s">
        <v>102</v>
      </c>
      <c r="C17" s="6" t="s">
        <v>83</v>
      </c>
      <c r="D17" s="6" t="s">
        <v>103</v>
      </c>
      <c r="E17" s="6"/>
    </row>
    <row r="18" customFormat="false" ht="15" hidden="false" customHeight="false" outlineLevel="0" collapsed="false">
      <c r="A18" s="5" t="s">
        <v>104</v>
      </c>
      <c r="B18" s="5" t="s">
        <v>105</v>
      </c>
      <c r="C18" s="5" t="s">
        <v>87</v>
      </c>
      <c r="D18" s="5" t="s">
        <v>106</v>
      </c>
      <c r="E18" s="5"/>
    </row>
  </sheetData>
  <mergeCells count="4">
    <mergeCell ref="A1:E1"/>
    <mergeCell ref="B3:E3"/>
    <mergeCell ref="B5:E5"/>
    <mergeCell ref="A8:E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8"/>
    <col collapsed="false" customWidth="true" hidden="false" outlineLevel="0" max="3" min="3" style="0" width="60"/>
    <col collapsed="false" customWidth="true" hidden="false" outlineLevel="0" max="4" min="4" style="0" width="18"/>
  </cols>
  <sheetData>
    <row r="1" customFormat="false" ht="27.75" hidden="false" customHeight="true" outlineLevel="0" collapsed="false">
      <c r="A1" s="1" t="s">
        <v>107</v>
      </c>
      <c r="B1" s="1"/>
      <c r="C1" s="1"/>
      <c r="D1" s="1"/>
    </row>
    <row r="3" customFormat="false" ht="31.5" hidden="false" customHeight="true" outlineLevel="0" collapsed="false">
      <c r="A3" s="4" t="s">
        <v>108</v>
      </c>
      <c r="B3" s="4" t="s">
        <v>109</v>
      </c>
      <c r="C3" s="4" t="s">
        <v>110</v>
      </c>
      <c r="D3" s="4" t="s">
        <v>111</v>
      </c>
    </row>
    <row r="4" customFormat="false" ht="35.05" hidden="false" customHeight="false" outlineLevel="0" collapsed="false">
      <c r="A4" s="5" t="s">
        <v>112</v>
      </c>
      <c r="B4" s="5" t="s">
        <v>113</v>
      </c>
      <c r="C4" s="5" t="s">
        <v>114</v>
      </c>
      <c r="D4" s="5" t="s">
        <v>115</v>
      </c>
    </row>
    <row r="5" customFormat="false" ht="35.05" hidden="false" customHeight="false" outlineLevel="0" collapsed="false">
      <c r="A5" s="6" t="s">
        <v>116</v>
      </c>
      <c r="B5" s="6" t="s">
        <v>117</v>
      </c>
      <c r="C5" s="6" t="s">
        <v>118</v>
      </c>
      <c r="D5" s="6" t="s">
        <v>115</v>
      </c>
    </row>
    <row r="6" customFormat="false" ht="35.05" hidden="false" customHeight="false" outlineLevel="0" collapsed="false">
      <c r="A6" s="5" t="s">
        <v>119</v>
      </c>
      <c r="B6" s="5" t="s">
        <v>120</v>
      </c>
      <c r="C6" s="5" t="s">
        <v>121</v>
      </c>
      <c r="D6" s="5" t="s">
        <v>115</v>
      </c>
    </row>
    <row r="7" customFormat="false" ht="35.05" hidden="false" customHeight="false" outlineLevel="0" collapsed="false">
      <c r="A7" s="6" t="s">
        <v>122</v>
      </c>
      <c r="B7" s="6" t="s">
        <v>123</v>
      </c>
      <c r="C7" s="6" t="s">
        <v>124</v>
      </c>
      <c r="D7" s="6" t="s">
        <v>125</v>
      </c>
    </row>
    <row r="8" customFormat="false" ht="46.25" hidden="false" customHeight="false" outlineLevel="0" collapsed="false">
      <c r="A8" s="5" t="s">
        <v>126</v>
      </c>
      <c r="B8" s="5" t="s">
        <v>127</v>
      </c>
      <c r="C8" s="5" t="s">
        <v>128</v>
      </c>
      <c r="D8" s="5" t="s">
        <v>129</v>
      </c>
    </row>
    <row r="9" customFormat="false" ht="23.85" hidden="false" customHeight="false" outlineLevel="0" collapsed="false">
      <c r="A9" s="6" t="s">
        <v>130</v>
      </c>
      <c r="B9" s="6" t="s">
        <v>131</v>
      </c>
      <c r="C9" s="6" t="s">
        <v>132</v>
      </c>
      <c r="D9" s="6" t="s">
        <v>125</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8"/>
    <col collapsed="false" customWidth="true" hidden="false" outlineLevel="0" max="3" min="3" style="0" width="70"/>
  </cols>
  <sheetData>
    <row r="1" customFormat="false" ht="27.75" hidden="false" customHeight="true" outlineLevel="0" collapsed="false">
      <c r="A1" s="1" t="s">
        <v>133</v>
      </c>
      <c r="B1" s="1"/>
      <c r="C1" s="1"/>
    </row>
    <row r="3" customFormat="false" ht="31.5" hidden="false" customHeight="true" outlineLevel="0" collapsed="false">
      <c r="A3" s="4" t="s">
        <v>35</v>
      </c>
      <c r="B3" s="4" t="s">
        <v>29</v>
      </c>
      <c r="C3" s="4" t="s">
        <v>134</v>
      </c>
    </row>
    <row r="4" customFormat="false" ht="15" hidden="false" customHeight="false" outlineLevel="0" collapsed="false">
      <c r="A4" s="5" t="s">
        <v>135</v>
      </c>
      <c r="B4" s="5" t="s">
        <v>136</v>
      </c>
      <c r="C4" s="5" t="s">
        <v>137</v>
      </c>
    </row>
    <row r="5" customFormat="false" ht="15" hidden="false" customHeight="false" outlineLevel="0" collapsed="false">
      <c r="A5" s="6" t="s">
        <v>138</v>
      </c>
      <c r="B5" s="6" t="s">
        <v>139</v>
      </c>
      <c r="C5" s="6" t="s">
        <v>140</v>
      </c>
    </row>
    <row r="6" customFormat="false" ht="15" hidden="false" customHeight="false" outlineLevel="0" collapsed="false">
      <c r="A6" s="5" t="s">
        <v>141</v>
      </c>
      <c r="B6" s="5" t="s">
        <v>142</v>
      </c>
      <c r="C6" s="5" t="s">
        <v>143</v>
      </c>
    </row>
    <row r="7" customFormat="false" ht="15" hidden="false" customHeight="false" outlineLevel="0" collapsed="false">
      <c r="A7" s="6" t="s">
        <v>144</v>
      </c>
      <c r="B7" s="6" t="s">
        <v>145</v>
      </c>
      <c r="C7" s="6" t="s">
        <v>146</v>
      </c>
    </row>
    <row r="8" customFormat="false" ht="15" hidden="false" customHeight="false" outlineLevel="0" collapsed="false">
      <c r="A8" s="5" t="s">
        <v>147</v>
      </c>
      <c r="B8" s="5" t="s">
        <v>148</v>
      </c>
      <c r="C8" s="5" t="s">
        <v>149</v>
      </c>
    </row>
    <row r="9" customFormat="false" ht="15" hidden="false" customHeight="false" outlineLevel="0" collapsed="false">
      <c r="A9" s="6" t="s">
        <v>150</v>
      </c>
      <c r="B9" s="6" t="s">
        <v>151</v>
      </c>
      <c r="C9" s="6" t="s">
        <v>152</v>
      </c>
    </row>
    <row r="10" customFormat="false" ht="15" hidden="false" customHeight="false" outlineLevel="0" collapsed="false">
      <c r="A10" s="5" t="s">
        <v>153</v>
      </c>
      <c r="B10" s="5" t="s">
        <v>154</v>
      </c>
      <c r="C10" s="5" t="s">
        <v>155</v>
      </c>
    </row>
    <row r="11" customFormat="false" ht="15" hidden="false" customHeight="false" outlineLevel="0" collapsed="false">
      <c r="A11" s="6" t="s">
        <v>156</v>
      </c>
      <c r="B11" s="6" t="s">
        <v>157</v>
      </c>
      <c r="C11" s="6" t="s">
        <v>158</v>
      </c>
    </row>
    <row r="12" customFormat="false" ht="15" hidden="false" customHeight="false" outlineLevel="0" collapsed="false">
      <c r="A12" s="5" t="s">
        <v>159</v>
      </c>
      <c r="B12" s="5" t="s">
        <v>160</v>
      </c>
      <c r="C12" s="5" t="s">
        <v>161</v>
      </c>
    </row>
    <row r="13" customFormat="false" ht="15" hidden="false" customHeight="false" outlineLevel="0" collapsed="false">
      <c r="A13" s="6" t="s">
        <v>162</v>
      </c>
      <c r="B13" s="6" t="s">
        <v>163</v>
      </c>
      <c r="C13" s="6" t="s">
        <v>164</v>
      </c>
    </row>
    <row r="14" customFormat="false" ht="15" hidden="false" customHeight="false" outlineLevel="0" collapsed="false">
      <c r="A14" s="5" t="s">
        <v>165</v>
      </c>
      <c r="B14" s="5" t="s">
        <v>166</v>
      </c>
      <c r="C14" s="5" t="s">
        <v>167</v>
      </c>
    </row>
    <row r="15" customFormat="false" ht="15" hidden="false" customHeight="false" outlineLevel="0" collapsed="false">
      <c r="A15" s="6" t="s">
        <v>168</v>
      </c>
      <c r="B15" s="6" t="s">
        <v>169</v>
      </c>
      <c r="C15" s="6" t="s">
        <v>170</v>
      </c>
    </row>
    <row r="16" customFormat="false" ht="15" hidden="false" customHeight="false" outlineLevel="0" collapsed="false">
      <c r="A16" s="5" t="s">
        <v>171</v>
      </c>
      <c r="B16" s="5" t="s">
        <v>172</v>
      </c>
      <c r="C16" s="5" t="s">
        <v>173</v>
      </c>
    </row>
    <row r="17" customFormat="false" ht="15" hidden="false" customHeight="false" outlineLevel="0" collapsed="false">
      <c r="A17" s="6" t="s">
        <v>174</v>
      </c>
      <c r="B17" s="6" t="s">
        <v>175</v>
      </c>
      <c r="C17" s="6" t="s">
        <v>176</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8"/>
    <col collapsed="false" customWidth="true" hidden="false" outlineLevel="0" max="4" min="3" style="0" width="16"/>
    <col collapsed="false" customWidth="true" hidden="false" outlineLevel="0" max="5" min="5" style="0" width="12"/>
  </cols>
  <sheetData>
    <row r="1" customFormat="false" ht="27.75" hidden="false" customHeight="true" outlineLevel="0" collapsed="false">
      <c r="A1" s="1" t="s">
        <v>177</v>
      </c>
      <c r="B1" s="1"/>
      <c r="C1" s="1"/>
      <c r="D1" s="1"/>
      <c r="E1" s="1"/>
    </row>
    <row r="3" customFormat="false" ht="31.5" hidden="false" customHeight="true" outlineLevel="0" collapsed="false">
      <c r="A3" s="4" t="s">
        <v>178</v>
      </c>
      <c r="B3" s="4" t="s">
        <v>179</v>
      </c>
      <c r="C3" s="4" t="s">
        <v>180</v>
      </c>
      <c r="D3" s="4" t="s">
        <v>181</v>
      </c>
      <c r="E3" s="4" t="s">
        <v>182</v>
      </c>
    </row>
    <row r="4" customFormat="false" ht="15" hidden="false" customHeight="false" outlineLevel="0" collapsed="false">
      <c r="A4" s="5" t="s">
        <v>183</v>
      </c>
      <c r="B4" s="5" t="s">
        <v>184</v>
      </c>
      <c r="C4" s="5" t="n">
        <v>0</v>
      </c>
      <c r="D4" s="5" t="n">
        <v>15</v>
      </c>
      <c r="E4" s="5" t="s">
        <v>185</v>
      </c>
    </row>
    <row r="5" customFormat="false" ht="15" hidden="false" customHeight="false" outlineLevel="0" collapsed="false">
      <c r="A5" s="6" t="s">
        <v>186</v>
      </c>
      <c r="B5" s="6" t="s">
        <v>187</v>
      </c>
      <c r="C5" s="6" t="n">
        <v>15</v>
      </c>
      <c r="D5" s="6" t="n">
        <v>60</v>
      </c>
      <c r="E5" s="6" t="s">
        <v>188</v>
      </c>
    </row>
    <row r="6" customFormat="false" ht="15" hidden="false" customHeight="false" outlineLevel="0" collapsed="false">
      <c r="A6" s="5" t="s">
        <v>189</v>
      </c>
      <c r="B6" s="5" t="s">
        <v>190</v>
      </c>
      <c r="C6" s="5" t="n">
        <v>40</v>
      </c>
      <c r="D6" s="5" t="n">
        <v>80</v>
      </c>
      <c r="E6" s="5" t="s">
        <v>188</v>
      </c>
    </row>
    <row r="7" customFormat="false" ht="15" hidden="false" customHeight="false" outlineLevel="0" collapsed="false">
      <c r="A7" s="6" t="s">
        <v>191</v>
      </c>
      <c r="B7" s="6" t="s">
        <v>192</v>
      </c>
      <c r="C7" s="6" t="n">
        <v>60</v>
      </c>
      <c r="D7" s="6" t="n">
        <v>100</v>
      </c>
      <c r="E7" s="6" t="s">
        <v>185</v>
      </c>
    </row>
    <row r="8" customFormat="false" ht="15" hidden="false" customHeight="false" outlineLevel="0" collapsed="false">
      <c r="A8" s="5" t="s">
        <v>193</v>
      </c>
      <c r="B8" s="5" t="s">
        <v>194</v>
      </c>
      <c r="C8" s="5" t="n">
        <v>90</v>
      </c>
      <c r="D8" s="5" t="n">
        <v>130</v>
      </c>
      <c r="E8" s="5" t="s">
        <v>188</v>
      </c>
    </row>
    <row r="11" customFormat="false" ht="27.75" hidden="false" customHeight="true" outlineLevel="0" collapsed="false">
      <c r="A11" s="1" t="s">
        <v>195</v>
      </c>
      <c r="B11" s="1"/>
      <c r="C11" s="1"/>
      <c r="D11" s="1"/>
      <c r="E11" s="1"/>
    </row>
    <row r="12" customFormat="false" ht="31.5" hidden="false" customHeight="true" outlineLevel="0" collapsed="false">
      <c r="A12" s="4" t="s">
        <v>196</v>
      </c>
      <c r="B12" s="4" t="s">
        <v>197</v>
      </c>
      <c r="C12" s="4"/>
      <c r="D12" s="4"/>
      <c r="E12" s="4" t="s">
        <v>182</v>
      </c>
    </row>
    <row r="13" customFormat="false" ht="15" hidden="false" customHeight="false" outlineLevel="0" collapsed="false">
      <c r="A13" s="5" t="s">
        <v>198</v>
      </c>
      <c r="B13" s="5" t="s">
        <v>199</v>
      </c>
      <c r="C13" s="5"/>
      <c r="D13" s="5"/>
      <c r="E13" s="5" t="s">
        <v>188</v>
      </c>
    </row>
    <row r="14" customFormat="false" ht="15" hidden="false" customHeight="false" outlineLevel="0" collapsed="false">
      <c r="A14" s="6" t="s">
        <v>200</v>
      </c>
      <c r="B14" s="6" t="s">
        <v>201</v>
      </c>
      <c r="C14" s="6"/>
      <c r="D14" s="6"/>
      <c r="E14" s="6" t="s">
        <v>185</v>
      </c>
    </row>
    <row r="15" customFormat="false" ht="15" hidden="false" customHeight="false" outlineLevel="0" collapsed="false">
      <c r="A15" s="5" t="s">
        <v>202</v>
      </c>
      <c r="B15" s="5" t="s">
        <v>203</v>
      </c>
      <c r="C15" s="5"/>
      <c r="D15" s="5"/>
      <c r="E15" s="5" t="s">
        <v>185</v>
      </c>
    </row>
    <row r="16" customFormat="false" ht="15" hidden="false" customHeight="false" outlineLevel="0" collapsed="false">
      <c r="A16" s="6" t="s">
        <v>204</v>
      </c>
      <c r="B16" s="6" t="s">
        <v>205</v>
      </c>
      <c r="C16" s="6"/>
      <c r="D16" s="6"/>
      <c r="E16" s="6" t="s">
        <v>206</v>
      </c>
    </row>
    <row r="17" customFormat="false" ht="15" hidden="false" customHeight="false" outlineLevel="0" collapsed="false">
      <c r="A17" s="5" t="s">
        <v>207</v>
      </c>
      <c r="B17" s="5" t="s">
        <v>208</v>
      </c>
      <c r="C17" s="5"/>
      <c r="D17" s="5"/>
      <c r="E17" s="5" t="s">
        <v>209</v>
      </c>
    </row>
  </sheetData>
  <mergeCells count="2">
    <mergeCell ref="A1:E1"/>
    <mergeCell ref="A11:E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2"/>
    <col collapsed="false" customWidth="true" hidden="false" outlineLevel="0" max="4" min="3" style="0" width="50"/>
  </cols>
  <sheetData>
    <row r="1" customFormat="false" ht="27.75" hidden="false" customHeight="true" outlineLevel="0" collapsed="false">
      <c r="A1" s="1" t="s">
        <v>210</v>
      </c>
      <c r="B1" s="1"/>
      <c r="C1" s="1"/>
      <c r="D1" s="1"/>
    </row>
    <row r="3" customFormat="false" ht="31.5" hidden="false" customHeight="true" outlineLevel="0" collapsed="false">
      <c r="A3" s="4" t="s">
        <v>211</v>
      </c>
      <c r="B3" s="4" t="s">
        <v>212</v>
      </c>
      <c r="C3" s="4" t="s">
        <v>110</v>
      </c>
      <c r="D3" s="4" t="s">
        <v>213</v>
      </c>
    </row>
    <row r="4" customFormat="false" ht="15" hidden="false" customHeight="false" outlineLevel="0" collapsed="false">
      <c r="A4" s="5" t="s">
        <v>214</v>
      </c>
      <c r="B4" s="5" t="s">
        <v>215</v>
      </c>
      <c r="C4" s="5" t="s">
        <v>216</v>
      </c>
      <c r="D4" s="5" t="s">
        <v>217</v>
      </c>
    </row>
    <row r="5" customFormat="false" ht="15" hidden="false" customHeight="false" outlineLevel="0" collapsed="false">
      <c r="A5" s="6" t="s">
        <v>218</v>
      </c>
      <c r="B5" s="6" t="s">
        <v>219</v>
      </c>
      <c r="C5" s="6" t="s">
        <v>220</v>
      </c>
      <c r="D5" s="6" t="s">
        <v>221</v>
      </c>
    </row>
    <row r="6" customFormat="false" ht="15" hidden="false" customHeight="false" outlineLevel="0" collapsed="false">
      <c r="A6" s="5" t="s">
        <v>222</v>
      </c>
      <c r="B6" s="5" t="s">
        <v>223</v>
      </c>
      <c r="C6" s="5" t="s">
        <v>224</v>
      </c>
      <c r="D6" s="5" t="s">
        <v>225</v>
      </c>
    </row>
    <row r="7" customFormat="false" ht="15" hidden="false" customHeight="false" outlineLevel="0" collapsed="false">
      <c r="A7" s="6" t="s">
        <v>226</v>
      </c>
      <c r="B7" s="6" t="s">
        <v>227</v>
      </c>
      <c r="C7" s="6" t="s">
        <v>228</v>
      </c>
      <c r="D7" s="6" t="s">
        <v>229</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8"/>
    <col collapsed="false" customWidth="true" hidden="false" outlineLevel="0" max="3" min="3" style="0" width="38"/>
    <col collapsed="false" customWidth="true" hidden="false" outlineLevel="0" max="4" min="4" style="0" width="50"/>
  </cols>
  <sheetData>
    <row r="1" customFormat="false" ht="27.75" hidden="false" customHeight="true" outlineLevel="0" collapsed="false">
      <c r="A1" s="1" t="s">
        <v>230</v>
      </c>
      <c r="B1" s="1"/>
      <c r="C1" s="1"/>
      <c r="D1" s="1"/>
    </row>
    <row r="3" customFormat="false" ht="36" hidden="false" customHeight="true" outlineLevel="0" collapsed="false">
      <c r="A3" s="8" t="s">
        <v>231</v>
      </c>
      <c r="B3" s="8"/>
      <c r="C3" s="8"/>
      <c r="D3" s="8"/>
    </row>
    <row r="5" customFormat="false" ht="31.5" hidden="false" customHeight="true" outlineLevel="0" collapsed="false">
      <c r="A5" s="4" t="s">
        <v>232</v>
      </c>
      <c r="B5" s="4" t="s">
        <v>233</v>
      </c>
      <c r="C5" s="4" t="s">
        <v>234</v>
      </c>
      <c r="D5" s="4" t="s">
        <v>213</v>
      </c>
    </row>
    <row r="6" customFormat="false" ht="15" hidden="false" customHeight="false" outlineLevel="0" collapsed="false">
      <c r="A6" s="5" t="s">
        <v>235</v>
      </c>
      <c r="B6" s="5" t="s">
        <v>236</v>
      </c>
      <c r="C6" s="5" t="s">
        <v>237</v>
      </c>
      <c r="D6" s="5" t="s">
        <v>238</v>
      </c>
    </row>
    <row r="7" customFormat="false" ht="15" hidden="false" customHeight="false" outlineLevel="0" collapsed="false">
      <c r="A7" s="6" t="s">
        <v>209</v>
      </c>
      <c r="B7" s="6" t="s">
        <v>239</v>
      </c>
      <c r="C7" s="6" t="s">
        <v>240</v>
      </c>
      <c r="D7" s="6" t="s">
        <v>241</v>
      </c>
    </row>
    <row r="8" customFormat="false" ht="15" hidden="false" customHeight="false" outlineLevel="0" collapsed="false">
      <c r="A8" s="5" t="s">
        <v>206</v>
      </c>
      <c r="B8" s="5" t="s">
        <v>242</v>
      </c>
      <c r="C8" s="5" t="s">
        <v>243</v>
      </c>
      <c r="D8" s="5" t="s">
        <v>244</v>
      </c>
    </row>
    <row r="9" customFormat="false" ht="15" hidden="false" customHeight="false" outlineLevel="0" collapsed="false">
      <c r="A9" s="6" t="s">
        <v>185</v>
      </c>
      <c r="B9" s="6" t="s">
        <v>245</v>
      </c>
      <c r="C9" s="6" t="s">
        <v>246</v>
      </c>
      <c r="D9" s="6" t="s">
        <v>247</v>
      </c>
    </row>
    <row r="10" customFormat="false" ht="15" hidden="false" customHeight="false" outlineLevel="0" collapsed="false">
      <c r="A10" s="5" t="s">
        <v>188</v>
      </c>
      <c r="B10" s="5" t="s">
        <v>248</v>
      </c>
      <c r="C10" s="5" t="s">
        <v>249</v>
      </c>
      <c r="D10" s="5" t="s">
        <v>250</v>
      </c>
    </row>
  </sheetData>
  <mergeCells count="2">
    <mergeCell ref="A1:D1"/>
    <mergeCell ref="A3:D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8"/>
    <col collapsed="false" customWidth="true" hidden="false" outlineLevel="0" max="3" min="3" style="0" width="38"/>
    <col collapsed="false" customWidth="true" hidden="false" outlineLevel="0" max="4" min="4" style="0" width="50"/>
  </cols>
  <sheetData>
    <row r="1" customFormat="false" ht="27.75" hidden="false" customHeight="true" outlineLevel="0" collapsed="false">
      <c r="A1" s="1" t="s">
        <v>251</v>
      </c>
      <c r="B1" s="1"/>
      <c r="C1" s="1"/>
      <c r="D1" s="1"/>
    </row>
    <row r="3" customFormat="false" ht="31.5" hidden="false" customHeight="true" outlineLevel="0" collapsed="false">
      <c r="A3" s="4" t="s">
        <v>252</v>
      </c>
      <c r="B3" s="4" t="s">
        <v>110</v>
      </c>
      <c r="C3" s="4" t="s">
        <v>234</v>
      </c>
      <c r="D3" s="4" t="s">
        <v>213</v>
      </c>
    </row>
    <row r="4" customFormat="false" ht="15" hidden="false" customHeight="false" outlineLevel="0" collapsed="false">
      <c r="A4" s="5" t="s">
        <v>253</v>
      </c>
      <c r="B4" s="5" t="s">
        <v>254</v>
      </c>
      <c r="C4" s="5" t="s">
        <v>255</v>
      </c>
      <c r="D4" s="5" t="s">
        <v>256</v>
      </c>
    </row>
    <row r="5" customFormat="false" ht="15" hidden="false" customHeight="false" outlineLevel="0" collapsed="false">
      <c r="A5" s="6" t="s">
        <v>257</v>
      </c>
      <c r="B5" s="6" t="s">
        <v>258</v>
      </c>
      <c r="C5" s="6" t="s">
        <v>259</v>
      </c>
      <c r="D5" s="6" t="s">
        <v>260</v>
      </c>
    </row>
    <row r="6" customFormat="false" ht="15" hidden="false" customHeight="false" outlineLevel="0" collapsed="false">
      <c r="A6" s="5" t="s">
        <v>261</v>
      </c>
      <c r="B6" s="5" t="s">
        <v>262</v>
      </c>
      <c r="C6" s="5" t="s">
        <v>263</v>
      </c>
      <c r="D6" s="5" t="s">
        <v>264</v>
      </c>
    </row>
    <row r="7" customFormat="false" ht="15" hidden="false" customHeight="false" outlineLevel="0" collapsed="false">
      <c r="A7" s="6" t="s">
        <v>265</v>
      </c>
      <c r="B7" s="6" t="s">
        <v>266</v>
      </c>
      <c r="C7" s="6" t="s">
        <v>267</v>
      </c>
      <c r="D7" s="6" t="s">
        <v>268</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6"/>
    <col collapsed="false" customWidth="true" hidden="false" outlineLevel="0" max="3" min="3" style="0" width="10"/>
    <col collapsed="false" customWidth="true" hidden="false" outlineLevel="0" max="6" min="4" style="0" width="8"/>
  </cols>
  <sheetData>
    <row r="1" customFormat="false" ht="27.75" hidden="false" customHeight="true" outlineLevel="0" collapsed="false">
      <c r="A1" s="1" t="s">
        <v>269</v>
      </c>
      <c r="B1" s="1"/>
      <c r="C1" s="1"/>
      <c r="D1" s="1"/>
      <c r="E1" s="1"/>
      <c r="F1" s="1"/>
    </row>
    <row r="3" customFormat="false" ht="24" hidden="false" customHeight="true" outlineLevel="0" collapsed="false">
      <c r="A3" s="9" t="s">
        <v>211</v>
      </c>
      <c r="B3" s="9" t="s">
        <v>232</v>
      </c>
      <c r="C3" s="9" t="s">
        <v>270</v>
      </c>
      <c r="D3" s="9" t="s">
        <v>257</v>
      </c>
      <c r="E3" s="9" t="s">
        <v>261</v>
      </c>
      <c r="F3" s="9" t="s">
        <v>265</v>
      </c>
    </row>
    <row r="4" customFormat="false" ht="15" hidden="false" customHeight="false" outlineLevel="0" collapsed="false">
      <c r="A4" s="5" t="s">
        <v>218</v>
      </c>
      <c r="B4" s="5" t="s">
        <v>209</v>
      </c>
      <c r="C4" s="5" t="str">
        <f aca="false">A4&amp;"-"&amp;B4</f>
        <v>S1-E1</v>
      </c>
      <c r="D4" s="5" t="s">
        <v>271</v>
      </c>
      <c r="E4" s="5" t="s">
        <v>271</v>
      </c>
      <c r="F4" s="5" t="s">
        <v>271</v>
      </c>
    </row>
    <row r="5" customFormat="false" ht="15" hidden="false" customHeight="false" outlineLevel="0" collapsed="false">
      <c r="A5" s="6" t="s">
        <v>218</v>
      </c>
      <c r="B5" s="6" t="s">
        <v>206</v>
      </c>
      <c r="C5" s="6" t="str">
        <f aca="false">A5&amp;"-"&amp;B5</f>
        <v>S1-E2</v>
      </c>
      <c r="D5" s="6" t="s">
        <v>271</v>
      </c>
      <c r="E5" s="6" t="s">
        <v>271</v>
      </c>
      <c r="F5" s="6" t="s">
        <v>271</v>
      </c>
    </row>
    <row r="6" customFormat="false" ht="15" hidden="false" customHeight="false" outlineLevel="0" collapsed="false">
      <c r="A6" s="5" t="s">
        <v>218</v>
      </c>
      <c r="B6" s="5" t="s">
        <v>185</v>
      </c>
      <c r="C6" s="5" t="str">
        <f aca="false">A6&amp;"-"&amp;B6</f>
        <v>S1-E3</v>
      </c>
      <c r="D6" s="5" t="s">
        <v>271</v>
      </c>
      <c r="E6" s="5" t="s">
        <v>271</v>
      </c>
      <c r="F6" s="5" t="s">
        <v>272</v>
      </c>
    </row>
    <row r="7" customFormat="false" ht="15" hidden="false" customHeight="false" outlineLevel="0" collapsed="false">
      <c r="A7" s="6" t="s">
        <v>218</v>
      </c>
      <c r="B7" s="6" t="s">
        <v>188</v>
      </c>
      <c r="C7" s="6" t="str">
        <f aca="false">A7&amp;"-"&amp;B7</f>
        <v>S1-E4</v>
      </c>
      <c r="D7" s="6" t="s">
        <v>271</v>
      </c>
      <c r="E7" s="6" t="s">
        <v>272</v>
      </c>
      <c r="F7" s="6" t="s">
        <v>273</v>
      </c>
    </row>
    <row r="8" customFormat="false" ht="15" hidden="false" customHeight="false" outlineLevel="0" collapsed="false">
      <c r="A8" s="5" t="s">
        <v>222</v>
      </c>
      <c r="B8" s="5" t="s">
        <v>209</v>
      </c>
      <c r="C8" s="5" t="str">
        <f aca="false">A8&amp;"-"&amp;B8</f>
        <v>S2-E1</v>
      </c>
      <c r="D8" s="5" t="s">
        <v>271</v>
      </c>
      <c r="E8" s="5" t="s">
        <v>271</v>
      </c>
      <c r="F8" s="5" t="s">
        <v>271</v>
      </c>
    </row>
    <row r="9" customFormat="false" ht="15" hidden="false" customHeight="false" outlineLevel="0" collapsed="false">
      <c r="A9" s="6" t="s">
        <v>222</v>
      </c>
      <c r="B9" s="6" t="s">
        <v>206</v>
      </c>
      <c r="C9" s="6" t="str">
        <f aca="false">A9&amp;"-"&amp;B9</f>
        <v>S2-E2</v>
      </c>
      <c r="D9" s="6" t="s">
        <v>271</v>
      </c>
      <c r="E9" s="6" t="s">
        <v>271</v>
      </c>
      <c r="F9" s="6" t="s">
        <v>272</v>
      </c>
    </row>
    <row r="10" customFormat="false" ht="15" hidden="false" customHeight="false" outlineLevel="0" collapsed="false">
      <c r="A10" s="5" t="s">
        <v>222</v>
      </c>
      <c r="B10" s="5" t="s">
        <v>185</v>
      </c>
      <c r="C10" s="5" t="str">
        <f aca="false">A10&amp;"-"&amp;B10</f>
        <v>S2-E3</v>
      </c>
      <c r="D10" s="5" t="s">
        <v>271</v>
      </c>
      <c r="E10" s="5" t="s">
        <v>272</v>
      </c>
      <c r="F10" s="5" t="s">
        <v>273</v>
      </c>
    </row>
    <row r="11" customFormat="false" ht="15" hidden="false" customHeight="false" outlineLevel="0" collapsed="false">
      <c r="A11" s="6" t="s">
        <v>222</v>
      </c>
      <c r="B11" s="6" t="s">
        <v>188</v>
      </c>
      <c r="C11" s="6" t="str">
        <f aca="false">A11&amp;"-"&amp;B11</f>
        <v>S2-E4</v>
      </c>
      <c r="D11" s="6" t="s">
        <v>272</v>
      </c>
      <c r="E11" s="6" t="s">
        <v>273</v>
      </c>
      <c r="F11" s="6" t="s">
        <v>252</v>
      </c>
    </row>
    <row r="12" customFormat="false" ht="15" hidden="false" customHeight="false" outlineLevel="0" collapsed="false">
      <c r="A12" s="5" t="s">
        <v>226</v>
      </c>
      <c r="B12" s="5" t="s">
        <v>209</v>
      </c>
      <c r="C12" s="5" t="str">
        <f aca="false">A12&amp;"-"&amp;B12</f>
        <v>S3-E1</v>
      </c>
      <c r="D12" s="5" t="s">
        <v>271</v>
      </c>
      <c r="E12" s="5" t="s">
        <v>271</v>
      </c>
      <c r="F12" s="5" t="s">
        <v>272</v>
      </c>
    </row>
    <row r="13" customFormat="false" ht="15" hidden="false" customHeight="false" outlineLevel="0" collapsed="false">
      <c r="A13" s="6" t="s">
        <v>226</v>
      </c>
      <c r="B13" s="6" t="s">
        <v>206</v>
      </c>
      <c r="C13" s="6" t="str">
        <f aca="false">A13&amp;"-"&amp;B13</f>
        <v>S3-E2</v>
      </c>
      <c r="D13" s="6" t="s">
        <v>271</v>
      </c>
      <c r="E13" s="6" t="s">
        <v>272</v>
      </c>
      <c r="F13" s="6" t="s">
        <v>273</v>
      </c>
    </row>
    <row r="14" customFormat="false" ht="15" hidden="false" customHeight="false" outlineLevel="0" collapsed="false">
      <c r="A14" s="5" t="s">
        <v>226</v>
      </c>
      <c r="B14" s="5" t="s">
        <v>185</v>
      </c>
      <c r="C14" s="5" t="str">
        <f aca="false">A14&amp;"-"&amp;B14</f>
        <v>S3-E3</v>
      </c>
      <c r="D14" s="5" t="s">
        <v>272</v>
      </c>
      <c r="E14" s="5" t="s">
        <v>273</v>
      </c>
      <c r="F14" s="5" t="s">
        <v>252</v>
      </c>
    </row>
    <row r="15" customFormat="false" ht="15" hidden="false" customHeight="false" outlineLevel="0" collapsed="false">
      <c r="A15" s="6" t="s">
        <v>226</v>
      </c>
      <c r="B15" s="6" t="s">
        <v>188</v>
      </c>
      <c r="C15" s="6" t="str">
        <f aca="false">A15&amp;"-"&amp;B15</f>
        <v>S3-E4</v>
      </c>
      <c r="D15" s="6" t="s">
        <v>273</v>
      </c>
      <c r="E15" s="6" t="s">
        <v>252</v>
      </c>
      <c r="F15" s="6" t="s">
        <v>274</v>
      </c>
    </row>
    <row r="17" customFormat="false" ht="15" hidden="false" customHeight="false" outlineLevel="0" collapsed="false">
      <c r="A17" s="10" t="s">
        <v>275</v>
      </c>
      <c r="B17" s="10"/>
      <c r="C17" s="10"/>
      <c r="D17" s="10"/>
      <c r="E17" s="10"/>
      <c r="F17" s="10"/>
    </row>
  </sheetData>
  <mergeCells count="2">
    <mergeCell ref="A1:F1"/>
    <mergeCell ref="A17:F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12"/>
    <col collapsed="false" customWidth="true" hidden="false" outlineLevel="0" max="4" min="4" style="0" width="22"/>
    <col collapsed="false" customWidth="true" hidden="false" outlineLevel="0" max="6" min="5" style="0" width="14"/>
    <col collapsed="false" customWidth="true" hidden="false" outlineLevel="0" max="7" min="7" style="0" width="50"/>
  </cols>
  <sheetData>
    <row r="1" customFormat="false" ht="27.75" hidden="false" customHeight="true" outlineLevel="0" collapsed="false">
      <c r="A1" s="1" t="s">
        <v>276</v>
      </c>
      <c r="B1" s="1"/>
      <c r="C1" s="1"/>
      <c r="D1" s="1"/>
      <c r="E1" s="1"/>
      <c r="F1" s="1"/>
      <c r="G1" s="1"/>
    </row>
    <row r="2" customFormat="false" ht="36" hidden="false" customHeight="true" outlineLevel="0" collapsed="false">
      <c r="A2" s="11" t="s">
        <v>277</v>
      </c>
      <c r="B2" s="11"/>
      <c r="C2" s="11"/>
      <c r="D2" s="11"/>
      <c r="E2" s="11"/>
      <c r="F2" s="11"/>
      <c r="G2" s="11"/>
    </row>
    <row r="4" customFormat="false" ht="31.5" hidden="false" customHeight="true" outlineLevel="0" collapsed="false">
      <c r="A4" s="4" t="s">
        <v>108</v>
      </c>
      <c r="B4" s="4" t="s">
        <v>278</v>
      </c>
      <c r="C4" s="4" t="s">
        <v>279</v>
      </c>
      <c r="D4" s="4" t="s">
        <v>280</v>
      </c>
      <c r="E4" s="4" t="s">
        <v>281</v>
      </c>
      <c r="F4" s="4" t="s">
        <v>282</v>
      </c>
      <c r="G4" s="4" t="s">
        <v>283</v>
      </c>
    </row>
    <row r="5" customFormat="false" ht="23.85" hidden="false" customHeight="false" outlineLevel="0" collapsed="false">
      <c r="A5" s="5" t="s">
        <v>112</v>
      </c>
      <c r="B5" s="5" t="s">
        <v>113</v>
      </c>
      <c r="C5" s="5" t="s">
        <v>135</v>
      </c>
      <c r="D5" s="5" t="s">
        <v>136</v>
      </c>
      <c r="E5" s="12" t="s">
        <v>284</v>
      </c>
      <c r="F5" s="5"/>
      <c r="G5" s="5" t="s">
        <v>285</v>
      </c>
    </row>
    <row r="6" customFormat="false" ht="23.85" hidden="false" customHeight="false" outlineLevel="0" collapsed="false">
      <c r="A6" s="5" t="s">
        <v>112</v>
      </c>
      <c r="B6" s="5" t="s">
        <v>113</v>
      </c>
      <c r="C6" s="5" t="s">
        <v>138</v>
      </c>
      <c r="D6" s="5" t="s">
        <v>139</v>
      </c>
      <c r="E6" s="12" t="s">
        <v>284</v>
      </c>
      <c r="F6" s="5"/>
      <c r="G6" s="5" t="s">
        <v>285</v>
      </c>
    </row>
    <row r="7" customFormat="false" ht="23.85" hidden="false" customHeight="false" outlineLevel="0" collapsed="false">
      <c r="A7" s="5" t="s">
        <v>112</v>
      </c>
      <c r="B7" s="5" t="s">
        <v>113</v>
      </c>
      <c r="C7" s="5" t="s">
        <v>141</v>
      </c>
      <c r="D7" s="5" t="s">
        <v>142</v>
      </c>
      <c r="E7" s="12" t="s">
        <v>284</v>
      </c>
      <c r="F7" s="5"/>
      <c r="G7" s="5" t="s">
        <v>286</v>
      </c>
    </row>
    <row r="8" customFormat="false" ht="23.85" hidden="false" customHeight="false" outlineLevel="0" collapsed="false">
      <c r="A8" s="5" t="s">
        <v>112</v>
      </c>
      <c r="B8" s="5" t="s">
        <v>113</v>
      </c>
      <c r="C8" s="5" t="s">
        <v>144</v>
      </c>
      <c r="D8" s="5" t="s">
        <v>145</v>
      </c>
      <c r="E8" s="12" t="s">
        <v>284</v>
      </c>
      <c r="F8" s="5"/>
      <c r="G8" s="5" t="s">
        <v>286</v>
      </c>
    </row>
    <row r="9" customFormat="false" ht="23.85" hidden="false" customHeight="false" outlineLevel="0" collapsed="false">
      <c r="A9" s="5" t="s">
        <v>112</v>
      </c>
      <c r="B9" s="5" t="s">
        <v>113</v>
      </c>
      <c r="C9" s="5" t="s">
        <v>147</v>
      </c>
      <c r="D9" s="5" t="s">
        <v>148</v>
      </c>
      <c r="E9" s="12" t="s">
        <v>284</v>
      </c>
      <c r="F9" s="5"/>
      <c r="G9" s="5" t="s">
        <v>286</v>
      </c>
    </row>
    <row r="10" customFormat="false" ht="23.85" hidden="false" customHeight="false" outlineLevel="0" collapsed="false">
      <c r="A10" s="5" t="s">
        <v>112</v>
      </c>
      <c r="B10" s="5" t="s">
        <v>113</v>
      </c>
      <c r="C10" s="5" t="s">
        <v>150</v>
      </c>
      <c r="D10" s="5" t="s">
        <v>151</v>
      </c>
      <c r="E10" s="12" t="s">
        <v>284</v>
      </c>
      <c r="F10" s="5"/>
      <c r="G10" s="5" t="s">
        <v>285</v>
      </c>
    </row>
    <row r="11" customFormat="false" ht="23.85" hidden="false" customHeight="false" outlineLevel="0" collapsed="false">
      <c r="A11" s="5" t="s">
        <v>112</v>
      </c>
      <c r="B11" s="5" t="s">
        <v>113</v>
      </c>
      <c r="C11" s="5" t="s">
        <v>153</v>
      </c>
      <c r="D11" s="5" t="s">
        <v>154</v>
      </c>
      <c r="E11" s="12" t="s">
        <v>284</v>
      </c>
      <c r="F11" s="5" t="s">
        <v>141</v>
      </c>
      <c r="G11" s="5" t="s">
        <v>286</v>
      </c>
    </row>
    <row r="12" customFormat="false" ht="23.85" hidden="false" customHeight="false" outlineLevel="0" collapsed="false">
      <c r="A12" s="5" t="s">
        <v>112</v>
      </c>
      <c r="B12" s="5" t="s">
        <v>113</v>
      </c>
      <c r="C12" s="5" t="s">
        <v>156</v>
      </c>
      <c r="D12" s="5" t="s">
        <v>157</v>
      </c>
      <c r="E12" s="12" t="s">
        <v>284</v>
      </c>
      <c r="F12" s="5" t="s">
        <v>150</v>
      </c>
      <c r="G12" s="5" t="s">
        <v>285</v>
      </c>
    </row>
    <row r="13" customFormat="false" ht="23.85" hidden="false" customHeight="false" outlineLevel="0" collapsed="false">
      <c r="A13" s="5" t="s">
        <v>112</v>
      </c>
      <c r="B13" s="5" t="s">
        <v>113</v>
      </c>
      <c r="C13" s="5" t="s">
        <v>159</v>
      </c>
      <c r="D13" s="5" t="s">
        <v>160</v>
      </c>
      <c r="E13" s="12" t="s">
        <v>284</v>
      </c>
      <c r="F13" s="5" t="s">
        <v>138</v>
      </c>
      <c r="G13" s="5" t="s">
        <v>285</v>
      </c>
    </row>
    <row r="14" customFormat="false" ht="23.85" hidden="false" customHeight="false" outlineLevel="0" collapsed="false">
      <c r="A14" s="5" t="s">
        <v>112</v>
      </c>
      <c r="B14" s="5" t="s">
        <v>113</v>
      </c>
      <c r="C14" s="5" t="s">
        <v>162</v>
      </c>
      <c r="D14" s="5" t="s">
        <v>163</v>
      </c>
      <c r="E14" s="12" t="s">
        <v>284</v>
      </c>
      <c r="F14" s="5" t="s">
        <v>144</v>
      </c>
      <c r="G14" s="5" t="s">
        <v>286</v>
      </c>
    </row>
    <row r="15" customFormat="false" ht="23.85" hidden="false" customHeight="false" outlineLevel="0" collapsed="false">
      <c r="A15" s="5" t="s">
        <v>112</v>
      </c>
      <c r="B15" s="5" t="s">
        <v>113</v>
      </c>
      <c r="C15" s="5" t="s">
        <v>165</v>
      </c>
      <c r="D15" s="5" t="s">
        <v>166</v>
      </c>
      <c r="E15" s="12" t="s">
        <v>284</v>
      </c>
      <c r="F15" s="5" t="s">
        <v>150</v>
      </c>
      <c r="G15" s="5" t="s">
        <v>285</v>
      </c>
    </row>
    <row r="16" customFormat="false" ht="23.85" hidden="false" customHeight="false" outlineLevel="0" collapsed="false">
      <c r="A16" s="5" t="s">
        <v>112</v>
      </c>
      <c r="B16" s="5" t="s">
        <v>113</v>
      </c>
      <c r="C16" s="5" t="s">
        <v>168</v>
      </c>
      <c r="D16" s="5" t="s">
        <v>169</v>
      </c>
      <c r="E16" s="12" t="s">
        <v>284</v>
      </c>
      <c r="F16" s="5"/>
      <c r="G16" s="5" t="s">
        <v>286</v>
      </c>
    </row>
    <row r="17" customFormat="false" ht="23.85" hidden="false" customHeight="false" outlineLevel="0" collapsed="false">
      <c r="A17" s="5" t="s">
        <v>112</v>
      </c>
      <c r="B17" s="5" t="s">
        <v>113</v>
      </c>
      <c r="C17" s="5" t="s">
        <v>171</v>
      </c>
      <c r="D17" s="5" t="s">
        <v>172</v>
      </c>
      <c r="E17" s="12" t="s">
        <v>284</v>
      </c>
      <c r="F17" s="5"/>
      <c r="G17" s="5" t="s">
        <v>286</v>
      </c>
    </row>
    <row r="18" customFormat="false" ht="23.85" hidden="false" customHeight="false" outlineLevel="0" collapsed="false">
      <c r="A18" s="5" t="s">
        <v>112</v>
      </c>
      <c r="B18" s="5" t="s">
        <v>113</v>
      </c>
      <c r="C18" s="5" t="s">
        <v>174</v>
      </c>
      <c r="D18" s="5" t="s">
        <v>175</v>
      </c>
      <c r="E18" s="12" t="s">
        <v>284</v>
      </c>
      <c r="F18" s="5" t="s">
        <v>147</v>
      </c>
      <c r="G18" s="5" t="s">
        <v>286</v>
      </c>
    </row>
    <row r="19" customFormat="false" ht="35.05" hidden="false" customHeight="false" outlineLevel="0" collapsed="false">
      <c r="A19" s="5" t="s">
        <v>116</v>
      </c>
      <c r="B19" s="5" t="s">
        <v>117</v>
      </c>
      <c r="C19" s="5" t="s">
        <v>135</v>
      </c>
      <c r="D19" s="5" t="s">
        <v>136</v>
      </c>
      <c r="E19" s="12" t="s">
        <v>284</v>
      </c>
      <c r="F19" s="5"/>
      <c r="G19" s="5" t="s">
        <v>287</v>
      </c>
    </row>
    <row r="20" customFormat="false" ht="35.05" hidden="false" customHeight="false" outlineLevel="0" collapsed="false">
      <c r="A20" s="5" t="s">
        <v>116</v>
      </c>
      <c r="B20" s="5" t="s">
        <v>117</v>
      </c>
      <c r="C20" s="5" t="s">
        <v>138</v>
      </c>
      <c r="D20" s="5" t="s">
        <v>139</v>
      </c>
      <c r="E20" s="12" t="s">
        <v>284</v>
      </c>
      <c r="F20" s="5"/>
      <c r="G20" s="5" t="s">
        <v>287</v>
      </c>
    </row>
    <row r="21" customFormat="false" ht="35.05" hidden="false" customHeight="false" outlineLevel="0" collapsed="false">
      <c r="A21" s="5" t="s">
        <v>116</v>
      </c>
      <c r="B21" s="5" t="s">
        <v>117</v>
      </c>
      <c r="C21" s="5" t="s">
        <v>141</v>
      </c>
      <c r="D21" s="5" t="s">
        <v>142</v>
      </c>
      <c r="E21" s="12" t="s">
        <v>284</v>
      </c>
      <c r="F21" s="5"/>
      <c r="G21" s="5" t="s">
        <v>288</v>
      </c>
    </row>
    <row r="22" customFormat="false" ht="35.05" hidden="false" customHeight="false" outlineLevel="0" collapsed="false">
      <c r="A22" s="5" t="s">
        <v>116</v>
      </c>
      <c r="B22" s="5" t="s">
        <v>117</v>
      </c>
      <c r="C22" s="5" t="s">
        <v>144</v>
      </c>
      <c r="D22" s="5" t="s">
        <v>145</v>
      </c>
      <c r="E22" s="12" t="s">
        <v>284</v>
      </c>
      <c r="F22" s="5"/>
      <c r="G22" s="5" t="s">
        <v>288</v>
      </c>
    </row>
    <row r="23" customFormat="false" ht="35.05" hidden="false" customHeight="false" outlineLevel="0" collapsed="false">
      <c r="A23" s="5" t="s">
        <v>116</v>
      </c>
      <c r="B23" s="5" t="s">
        <v>117</v>
      </c>
      <c r="C23" s="5" t="s">
        <v>147</v>
      </c>
      <c r="D23" s="5" t="s">
        <v>148</v>
      </c>
      <c r="E23" s="12" t="s">
        <v>284</v>
      </c>
      <c r="F23" s="5"/>
      <c r="G23" s="5" t="s">
        <v>288</v>
      </c>
    </row>
    <row r="24" customFormat="false" ht="35.05" hidden="false" customHeight="false" outlineLevel="0" collapsed="false">
      <c r="A24" s="5" t="s">
        <v>116</v>
      </c>
      <c r="B24" s="5" t="s">
        <v>117</v>
      </c>
      <c r="C24" s="5" t="s">
        <v>150</v>
      </c>
      <c r="D24" s="5" t="s">
        <v>151</v>
      </c>
      <c r="E24" s="12" t="s">
        <v>284</v>
      </c>
      <c r="F24" s="5"/>
      <c r="G24" s="5" t="s">
        <v>287</v>
      </c>
    </row>
    <row r="25" customFormat="false" ht="35.05" hidden="false" customHeight="false" outlineLevel="0" collapsed="false">
      <c r="A25" s="5" t="s">
        <v>116</v>
      </c>
      <c r="B25" s="5" t="s">
        <v>117</v>
      </c>
      <c r="C25" s="5" t="s">
        <v>153</v>
      </c>
      <c r="D25" s="5" t="s">
        <v>154</v>
      </c>
      <c r="E25" s="12" t="s">
        <v>284</v>
      </c>
      <c r="F25" s="5"/>
      <c r="G25" s="5" t="s">
        <v>289</v>
      </c>
    </row>
    <row r="26" customFormat="false" ht="35.05" hidden="false" customHeight="false" outlineLevel="0" collapsed="false">
      <c r="A26" s="5" t="s">
        <v>116</v>
      </c>
      <c r="B26" s="5" t="s">
        <v>117</v>
      </c>
      <c r="C26" s="5" t="s">
        <v>156</v>
      </c>
      <c r="D26" s="5" t="s">
        <v>157</v>
      </c>
      <c r="E26" s="12" t="s">
        <v>284</v>
      </c>
      <c r="F26" s="5" t="s">
        <v>150</v>
      </c>
      <c r="G26" s="5" t="s">
        <v>287</v>
      </c>
    </row>
    <row r="27" customFormat="false" ht="35.05" hidden="false" customHeight="false" outlineLevel="0" collapsed="false">
      <c r="A27" s="5" t="s">
        <v>116</v>
      </c>
      <c r="B27" s="5" t="s">
        <v>117</v>
      </c>
      <c r="C27" s="5" t="s">
        <v>159</v>
      </c>
      <c r="D27" s="5" t="s">
        <v>160</v>
      </c>
      <c r="E27" s="12" t="s">
        <v>284</v>
      </c>
      <c r="F27" s="5" t="s">
        <v>138</v>
      </c>
      <c r="G27" s="5" t="s">
        <v>287</v>
      </c>
    </row>
    <row r="28" customFormat="false" ht="35.05" hidden="false" customHeight="false" outlineLevel="0" collapsed="false">
      <c r="A28" s="5" t="s">
        <v>116</v>
      </c>
      <c r="B28" s="5" t="s">
        <v>117</v>
      </c>
      <c r="C28" s="5" t="s">
        <v>162</v>
      </c>
      <c r="D28" s="5" t="s">
        <v>163</v>
      </c>
      <c r="E28" s="12" t="s">
        <v>284</v>
      </c>
      <c r="F28" s="5"/>
      <c r="G28" s="5" t="s">
        <v>289</v>
      </c>
    </row>
    <row r="29" customFormat="false" ht="35.05" hidden="false" customHeight="false" outlineLevel="0" collapsed="false">
      <c r="A29" s="5" t="s">
        <v>116</v>
      </c>
      <c r="B29" s="5" t="s">
        <v>117</v>
      </c>
      <c r="C29" s="5" t="s">
        <v>165</v>
      </c>
      <c r="D29" s="5" t="s">
        <v>166</v>
      </c>
      <c r="E29" s="12" t="s">
        <v>284</v>
      </c>
      <c r="F29" s="5" t="s">
        <v>156</v>
      </c>
      <c r="G29" s="5" t="s">
        <v>287</v>
      </c>
    </row>
    <row r="30" customFormat="false" ht="35.05" hidden="false" customHeight="false" outlineLevel="0" collapsed="false">
      <c r="A30" s="5" t="s">
        <v>116</v>
      </c>
      <c r="B30" s="5" t="s">
        <v>117</v>
      </c>
      <c r="C30" s="5" t="s">
        <v>168</v>
      </c>
      <c r="D30" s="5" t="s">
        <v>169</v>
      </c>
      <c r="E30" s="12" t="s">
        <v>284</v>
      </c>
      <c r="F30" s="5"/>
      <c r="G30" s="5" t="s">
        <v>288</v>
      </c>
    </row>
    <row r="31" customFormat="false" ht="35.05" hidden="false" customHeight="false" outlineLevel="0" collapsed="false">
      <c r="A31" s="5" t="s">
        <v>116</v>
      </c>
      <c r="B31" s="5" t="s">
        <v>117</v>
      </c>
      <c r="C31" s="5" t="s">
        <v>171</v>
      </c>
      <c r="D31" s="5" t="s">
        <v>172</v>
      </c>
      <c r="E31" s="12" t="s">
        <v>284</v>
      </c>
      <c r="F31" s="5"/>
      <c r="G31" s="5" t="s">
        <v>289</v>
      </c>
    </row>
    <row r="32" customFormat="false" ht="35.05" hidden="false" customHeight="false" outlineLevel="0" collapsed="false">
      <c r="A32" s="5" t="s">
        <v>116</v>
      </c>
      <c r="B32" s="5" t="s">
        <v>117</v>
      </c>
      <c r="C32" s="5" t="s">
        <v>174</v>
      </c>
      <c r="D32" s="5" t="s">
        <v>175</v>
      </c>
      <c r="E32" s="13" t="s">
        <v>290</v>
      </c>
      <c r="F32" s="5"/>
      <c r="G32" s="5" t="s">
        <v>291</v>
      </c>
    </row>
    <row r="33" customFormat="false" ht="23.85" hidden="false" customHeight="false" outlineLevel="0" collapsed="false">
      <c r="A33" s="5" t="s">
        <v>119</v>
      </c>
      <c r="B33" s="5" t="s">
        <v>120</v>
      </c>
      <c r="C33" s="5" t="s">
        <v>135</v>
      </c>
      <c r="D33" s="5" t="s">
        <v>136</v>
      </c>
      <c r="E33" s="12" t="s">
        <v>284</v>
      </c>
      <c r="F33" s="5"/>
      <c r="G33" s="5" t="s">
        <v>292</v>
      </c>
    </row>
    <row r="34" customFormat="false" ht="23.85" hidden="false" customHeight="false" outlineLevel="0" collapsed="false">
      <c r="A34" s="5" t="s">
        <v>119</v>
      </c>
      <c r="B34" s="5" t="s">
        <v>120</v>
      </c>
      <c r="C34" s="5" t="s">
        <v>138</v>
      </c>
      <c r="D34" s="5" t="s">
        <v>139</v>
      </c>
      <c r="E34" s="12" t="s">
        <v>284</v>
      </c>
      <c r="F34" s="5" t="s">
        <v>135</v>
      </c>
      <c r="G34" s="5" t="s">
        <v>292</v>
      </c>
    </row>
    <row r="35" customFormat="false" ht="15" hidden="false" customHeight="false" outlineLevel="0" collapsed="false">
      <c r="A35" s="5" t="s">
        <v>119</v>
      </c>
      <c r="B35" s="5" t="s">
        <v>120</v>
      </c>
      <c r="C35" s="5" t="s">
        <v>141</v>
      </c>
      <c r="D35" s="5" t="s">
        <v>142</v>
      </c>
      <c r="E35" s="12" t="s">
        <v>284</v>
      </c>
      <c r="F35" s="5"/>
      <c r="G35" s="5" t="s">
        <v>293</v>
      </c>
    </row>
    <row r="36" customFormat="false" ht="23.85" hidden="false" customHeight="false" outlineLevel="0" collapsed="false">
      <c r="A36" s="5" t="s">
        <v>119</v>
      </c>
      <c r="B36" s="5" t="s">
        <v>120</v>
      </c>
      <c r="C36" s="5" t="s">
        <v>144</v>
      </c>
      <c r="D36" s="5" t="s">
        <v>145</v>
      </c>
      <c r="E36" s="12" t="s">
        <v>284</v>
      </c>
      <c r="F36" s="5" t="s">
        <v>135</v>
      </c>
      <c r="G36" s="5" t="s">
        <v>292</v>
      </c>
    </row>
    <row r="37" customFormat="false" ht="15" hidden="false" customHeight="false" outlineLevel="0" collapsed="false">
      <c r="A37" s="5" t="s">
        <v>119</v>
      </c>
      <c r="B37" s="5" t="s">
        <v>120</v>
      </c>
      <c r="C37" s="5" t="s">
        <v>147</v>
      </c>
      <c r="D37" s="5" t="s">
        <v>148</v>
      </c>
      <c r="E37" s="13" t="s">
        <v>290</v>
      </c>
      <c r="F37" s="5"/>
      <c r="G37" s="5" t="s">
        <v>294</v>
      </c>
    </row>
    <row r="38" customFormat="false" ht="15" hidden="false" customHeight="false" outlineLevel="0" collapsed="false">
      <c r="A38" s="5" t="s">
        <v>119</v>
      </c>
      <c r="B38" s="5" t="s">
        <v>120</v>
      </c>
      <c r="C38" s="5" t="s">
        <v>150</v>
      </c>
      <c r="D38" s="5" t="s">
        <v>151</v>
      </c>
      <c r="E38" s="13" t="s">
        <v>290</v>
      </c>
      <c r="F38" s="5"/>
      <c r="G38" s="5" t="s">
        <v>294</v>
      </c>
    </row>
    <row r="39" customFormat="false" ht="15" hidden="false" customHeight="false" outlineLevel="0" collapsed="false">
      <c r="A39" s="5" t="s">
        <v>119</v>
      </c>
      <c r="B39" s="5" t="s">
        <v>120</v>
      </c>
      <c r="C39" s="5" t="s">
        <v>153</v>
      </c>
      <c r="D39" s="5" t="s">
        <v>154</v>
      </c>
      <c r="E39" s="12" t="s">
        <v>284</v>
      </c>
      <c r="F39" s="5" t="s">
        <v>141</v>
      </c>
      <c r="G39" s="5" t="s">
        <v>293</v>
      </c>
    </row>
    <row r="40" customFormat="false" ht="23.85" hidden="false" customHeight="false" outlineLevel="0" collapsed="false">
      <c r="A40" s="5" t="s">
        <v>119</v>
      </c>
      <c r="B40" s="5" t="s">
        <v>120</v>
      </c>
      <c r="C40" s="5" t="s">
        <v>156</v>
      </c>
      <c r="D40" s="5" t="s">
        <v>157</v>
      </c>
      <c r="E40" s="12" t="s">
        <v>284</v>
      </c>
      <c r="F40" s="5"/>
      <c r="G40" s="5" t="s">
        <v>292</v>
      </c>
    </row>
    <row r="41" customFormat="false" ht="23.85" hidden="false" customHeight="false" outlineLevel="0" collapsed="false">
      <c r="A41" s="5" t="s">
        <v>119</v>
      </c>
      <c r="B41" s="5" t="s">
        <v>120</v>
      </c>
      <c r="C41" s="5" t="s">
        <v>159</v>
      </c>
      <c r="D41" s="5" t="s">
        <v>160</v>
      </c>
      <c r="E41" s="14" t="s">
        <v>295</v>
      </c>
      <c r="F41" s="5"/>
      <c r="G41" s="5" t="s">
        <v>296</v>
      </c>
    </row>
    <row r="42" customFormat="false" ht="23.85" hidden="false" customHeight="false" outlineLevel="0" collapsed="false">
      <c r="A42" s="5" t="s">
        <v>119</v>
      </c>
      <c r="B42" s="5" t="s">
        <v>120</v>
      </c>
      <c r="C42" s="5" t="s">
        <v>162</v>
      </c>
      <c r="D42" s="5" t="s">
        <v>163</v>
      </c>
      <c r="E42" s="12" t="s">
        <v>284</v>
      </c>
      <c r="F42" s="5" t="s">
        <v>135</v>
      </c>
      <c r="G42" s="5" t="s">
        <v>292</v>
      </c>
    </row>
    <row r="43" customFormat="false" ht="23.85" hidden="false" customHeight="false" outlineLevel="0" collapsed="false">
      <c r="A43" s="5" t="s">
        <v>119</v>
      </c>
      <c r="B43" s="5" t="s">
        <v>120</v>
      </c>
      <c r="C43" s="5" t="s">
        <v>165</v>
      </c>
      <c r="D43" s="5" t="s">
        <v>166</v>
      </c>
      <c r="E43" s="12" t="s">
        <v>284</v>
      </c>
      <c r="F43" s="5" t="s">
        <v>156</v>
      </c>
      <c r="G43" s="5" t="s">
        <v>292</v>
      </c>
    </row>
    <row r="44" customFormat="false" ht="15" hidden="false" customHeight="false" outlineLevel="0" collapsed="false">
      <c r="A44" s="5" t="s">
        <v>119</v>
      </c>
      <c r="B44" s="5" t="s">
        <v>120</v>
      </c>
      <c r="C44" s="5" t="s">
        <v>168</v>
      </c>
      <c r="D44" s="5" t="s">
        <v>169</v>
      </c>
      <c r="E44" s="12" t="s">
        <v>284</v>
      </c>
      <c r="F44" s="5"/>
      <c r="G44" s="5" t="s">
        <v>293</v>
      </c>
    </row>
    <row r="45" customFormat="false" ht="15" hidden="false" customHeight="false" outlineLevel="0" collapsed="false">
      <c r="A45" s="5" t="s">
        <v>119</v>
      </c>
      <c r="B45" s="5" t="s">
        <v>120</v>
      </c>
      <c r="C45" s="5" t="s">
        <v>171</v>
      </c>
      <c r="D45" s="5" t="s">
        <v>172</v>
      </c>
      <c r="E45" s="12" t="s">
        <v>284</v>
      </c>
      <c r="F45" s="5"/>
      <c r="G45" s="5" t="s">
        <v>293</v>
      </c>
    </row>
    <row r="46" customFormat="false" ht="15" hidden="false" customHeight="false" outlineLevel="0" collapsed="false">
      <c r="A46" s="5" t="s">
        <v>119</v>
      </c>
      <c r="B46" s="5" t="s">
        <v>120</v>
      </c>
      <c r="C46" s="5" t="s">
        <v>174</v>
      </c>
      <c r="D46" s="5" t="s">
        <v>175</v>
      </c>
      <c r="E46" s="13" t="s">
        <v>290</v>
      </c>
      <c r="F46" s="5"/>
      <c r="G46" s="5" t="s">
        <v>297</v>
      </c>
    </row>
    <row r="47" customFormat="false" ht="15" hidden="false" customHeight="false" outlineLevel="0" collapsed="false">
      <c r="A47" s="5" t="s">
        <v>122</v>
      </c>
      <c r="B47" s="5" t="s">
        <v>123</v>
      </c>
      <c r="C47" s="5" t="s">
        <v>135</v>
      </c>
      <c r="D47" s="5" t="s">
        <v>136</v>
      </c>
      <c r="E47" s="12" t="s">
        <v>284</v>
      </c>
      <c r="F47" s="5"/>
      <c r="G47" s="5" t="s">
        <v>298</v>
      </c>
    </row>
    <row r="48" customFormat="false" ht="15" hidden="false" customHeight="false" outlineLevel="0" collapsed="false">
      <c r="A48" s="5" t="s">
        <v>122</v>
      </c>
      <c r="B48" s="5" t="s">
        <v>123</v>
      </c>
      <c r="C48" s="5" t="s">
        <v>138</v>
      </c>
      <c r="D48" s="5" t="s">
        <v>139</v>
      </c>
      <c r="E48" s="12" t="s">
        <v>284</v>
      </c>
      <c r="F48" s="5" t="s">
        <v>135</v>
      </c>
      <c r="G48" s="5" t="s">
        <v>298</v>
      </c>
    </row>
    <row r="49" customFormat="false" ht="23.85" hidden="false" customHeight="false" outlineLevel="0" collapsed="false">
      <c r="A49" s="5" t="s">
        <v>122</v>
      </c>
      <c r="B49" s="5" t="s">
        <v>123</v>
      </c>
      <c r="C49" s="5" t="s">
        <v>141</v>
      </c>
      <c r="D49" s="5" t="s">
        <v>142</v>
      </c>
      <c r="E49" s="14" t="s">
        <v>295</v>
      </c>
      <c r="F49" s="5"/>
      <c r="G49" s="5" t="s">
        <v>299</v>
      </c>
    </row>
    <row r="50" customFormat="false" ht="15" hidden="false" customHeight="false" outlineLevel="0" collapsed="false">
      <c r="A50" s="5" t="s">
        <v>122</v>
      </c>
      <c r="B50" s="5" t="s">
        <v>123</v>
      </c>
      <c r="C50" s="5" t="s">
        <v>144</v>
      </c>
      <c r="D50" s="5" t="s">
        <v>145</v>
      </c>
      <c r="E50" s="12" t="s">
        <v>284</v>
      </c>
      <c r="F50" s="5" t="s">
        <v>135</v>
      </c>
      <c r="G50" s="5" t="s">
        <v>298</v>
      </c>
    </row>
    <row r="51" customFormat="false" ht="23.85" hidden="false" customHeight="false" outlineLevel="0" collapsed="false">
      <c r="A51" s="5" t="s">
        <v>122</v>
      </c>
      <c r="B51" s="5" t="s">
        <v>123</v>
      </c>
      <c r="C51" s="5" t="s">
        <v>147</v>
      </c>
      <c r="D51" s="5" t="s">
        <v>148</v>
      </c>
      <c r="E51" s="14" t="s">
        <v>295</v>
      </c>
      <c r="F51" s="5"/>
      <c r="G51" s="5" t="s">
        <v>300</v>
      </c>
    </row>
    <row r="52" customFormat="false" ht="15" hidden="false" customHeight="false" outlineLevel="0" collapsed="false">
      <c r="A52" s="5" t="s">
        <v>122</v>
      </c>
      <c r="B52" s="5" t="s">
        <v>123</v>
      </c>
      <c r="C52" s="5" t="s">
        <v>150</v>
      </c>
      <c r="D52" s="5" t="s">
        <v>151</v>
      </c>
      <c r="E52" s="12" t="s">
        <v>284</v>
      </c>
      <c r="F52" s="5" t="s">
        <v>135</v>
      </c>
      <c r="G52" s="5" t="s">
        <v>298</v>
      </c>
    </row>
    <row r="53" customFormat="false" ht="15" hidden="false" customHeight="false" outlineLevel="0" collapsed="false">
      <c r="A53" s="5" t="s">
        <v>122</v>
      </c>
      <c r="B53" s="5" t="s">
        <v>123</v>
      </c>
      <c r="C53" s="5" t="s">
        <v>153</v>
      </c>
      <c r="D53" s="5" t="s">
        <v>154</v>
      </c>
      <c r="E53" s="14" t="s">
        <v>295</v>
      </c>
      <c r="F53" s="5"/>
      <c r="G53" s="5" t="s">
        <v>301</v>
      </c>
    </row>
    <row r="54" customFormat="false" ht="15" hidden="false" customHeight="false" outlineLevel="0" collapsed="false">
      <c r="A54" s="5" t="s">
        <v>122</v>
      </c>
      <c r="B54" s="5" t="s">
        <v>123</v>
      </c>
      <c r="C54" s="5" t="s">
        <v>156</v>
      </c>
      <c r="D54" s="5" t="s">
        <v>157</v>
      </c>
      <c r="E54" s="12" t="s">
        <v>284</v>
      </c>
      <c r="F54" s="5"/>
      <c r="G54" s="5" t="s">
        <v>298</v>
      </c>
    </row>
    <row r="55" customFormat="false" ht="15" hidden="false" customHeight="false" outlineLevel="0" collapsed="false">
      <c r="A55" s="5" t="s">
        <v>122</v>
      </c>
      <c r="B55" s="5" t="s">
        <v>123</v>
      </c>
      <c r="C55" s="5" t="s">
        <v>159</v>
      </c>
      <c r="D55" s="5" t="s">
        <v>160</v>
      </c>
      <c r="E55" s="14" t="s">
        <v>295</v>
      </c>
      <c r="F55" s="5"/>
      <c r="G55" s="5" t="s">
        <v>302</v>
      </c>
    </row>
    <row r="56" customFormat="false" ht="15" hidden="false" customHeight="false" outlineLevel="0" collapsed="false">
      <c r="A56" s="5" t="s">
        <v>122</v>
      </c>
      <c r="B56" s="5" t="s">
        <v>123</v>
      </c>
      <c r="C56" s="5" t="s">
        <v>162</v>
      </c>
      <c r="D56" s="5" t="s">
        <v>163</v>
      </c>
      <c r="E56" s="14" t="s">
        <v>295</v>
      </c>
      <c r="F56" s="5"/>
      <c r="G56" s="5" t="s">
        <v>303</v>
      </c>
    </row>
    <row r="57" customFormat="false" ht="15" hidden="false" customHeight="false" outlineLevel="0" collapsed="false">
      <c r="A57" s="5" t="s">
        <v>122</v>
      </c>
      <c r="B57" s="5" t="s">
        <v>123</v>
      </c>
      <c r="C57" s="5" t="s">
        <v>165</v>
      </c>
      <c r="D57" s="5" t="s">
        <v>166</v>
      </c>
      <c r="E57" s="12" t="s">
        <v>284</v>
      </c>
      <c r="F57" s="5" t="s">
        <v>156</v>
      </c>
      <c r="G57" s="5" t="s">
        <v>298</v>
      </c>
    </row>
    <row r="58" customFormat="false" ht="15" hidden="false" customHeight="false" outlineLevel="0" collapsed="false">
      <c r="A58" s="5" t="s">
        <v>122</v>
      </c>
      <c r="B58" s="5" t="s">
        <v>123</v>
      </c>
      <c r="C58" s="5" t="s">
        <v>168</v>
      </c>
      <c r="D58" s="5" t="s">
        <v>169</v>
      </c>
      <c r="E58" s="12" t="s">
        <v>284</v>
      </c>
      <c r="F58" s="5" t="s">
        <v>135</v>
      </c>
      <c r="G58" s="5" t="s">
        <v>298</v>
      </c>
    </row>
    <row r="59" customFormat="false" ht="15" hidden="false" customHeight="false" outlineLevel="0" collapsed="false">
      <c r="A59" s="5" t="s">
        <v>122</v>
      </c>
      <c r="B59" s="5" t="s">
        <v>123</v>
      </c>
      <c r="C59" s="5" t="s">
        <v>171</v>
      </c>
      <c r="D59" s="5" t="s">
        <v>172</v>
      </c>
      <c r="E59" s="14" t="s">
        <v>295</v>
      </c>
      <c r="F59" s="5"/>
      <c r="G59" s="5" t="s">
        <v>304</v>
      </c>
    </row>
    <row r="60" customFormat="false" ht="15" hidden="false" customHeight="false" outlineLevel="0" collapsed="false">
      <c r="A60" s="5" t="s">
        <v>122</v>
      </c>
      <c r="B60" s="5" t="s">
        <v>123</v>
      </c>
      <c r="C60" s="5" t="s">
        <v>174</v>
      </c>
      <c r="D60" s="5" t="s">
        <v>175</v>
      </c>
      <c r="E60" s="13" t="s">
        <v>290</v>
      </c>
      <c r="F60" s="5"/>
      <c r="G60" s="5" t="s">
        <v>305</v>
      </c>
    </row>
    <row r="61" customFormat="false" ht="46.25" hidden="false" customHeight="false" outlineLevel="0" collapsed="false">
      <c r="A61" s="5" t="s">
        <v>126</v>
      </c>
      <c r="B61" s="5" t="s">
        <v>127</v>
      </c>
      <c r="C61" s="5" t="s">
        <v>135</v>
      </c>
      <c r="D61" s="5" t="s">
        <v>136</v>
      </c>
      <c r="E61" s="13" t="s">
        <v>290</v>
      </c>
      <c r="F61" s="5"/>
      <c r="G61" s="5" t="s">
        <v>306</v>
      </c>
    </row>
    <row r="62" customFormat="false" ht="46.25" hidden="false" customHeight="false" outlineLevel="0" collapsed="false">
      <c r="A62" s="5" t="s">
        <v>126</v>
      </c>
      <c r="B62" s="5" t="s">
        <v>127</v>
      </c>
      <c r="C62" s="5" t="s">
        <v>138</v>
      </c>
      <c r="D62" s="5" t="s">
        <v>139</v>
      </c>
      <c r="E62" s="13" t="s">
        <v>290</v>
      </c>
      <c r="F62" s="5"/>
      <c r="G62" s="5" t="s">
        <v>306</v>
      </c>
    </row>
    <row r="63" customFormat="false" ht="46.25" hidden="false" customHeight="false" outlineLevel="0" collapsed="false">
      <c r="A63" s="5" t="s">
        <v>126</v>
      </c>
      <c r="B63" s="5" t="s">
        <v>127</v>
      </c>
      <c r="C63" s="5" t="s">
        <v>141</v>
      </c>
      <c r="D63" s="5" t="s">
        <v>142</v>
      </c>
      <c r="E63" s="13" t="s">
        <v>290</v>
      </c>
      <c r="F63" s="5"/>
      <c r="G63" s="5" t="s">
        <v>306</v>
      </c>
    </row>
    <row r="64" customFormat="false" ht="46.25" hidden="false" customHeight="false" outlineLevel="0" collapsed="false">
      <c r="A64" s="5" t="s">
        <v>126</v>
      </c>
      <c r="B64" s="5" t="s">
        <v>127</v>
      </c>
      <c r="C64" s="5" t="s">
        <v>144</v>
      </c>
      <c r="D64" s="5" t="s">
        <v>145</v>
      </c>
      <c r="E64" s="13" t="s">
        <v>290</v>
      </c>
      <c r="F64" s="5"/>
      <c r="G64" s="5" t="s">
        <v>306</v>
      </c>
    </row>
    <row r="65" customFormat="false" ht="46.25" hidden="false" customHeight="false" outlineLevel="0" collapsed="false">
      <c r="A65" s="5" t="s">
        <v>126</v>
      </c>
      <c r="B65" s="5" t="s">
        <v>127</v>
      </c>
      <c r="C65" s="5" t="s">
        <v>147</v>
      </c>
      <c r="D65" s="5" t="s">
        <v>148</v>
      </c>
      <c r="E65" s="13" t="s">
        <v>290</v>
      </c>
      <c r="F65" s="5"/>
      <c r="G65" s="5" t="s">
        <v>306</v>
      </c>
    </row>
    <row r="66" customFormat="false" ht="46.25" hidden="false" customHeight="false" outlineLevel="0" collapsed="false">
      <c r="A66" s="5" t="s">
        <v>126</v>
      </c>
      <c r="B66" s="5" t="s">
        <v>127</v>
      </c>
      <c r="C66" s="5" t="s">
        <v>150</v>
      </c>
      <c r="D66" s="5" t="s">
        <v>151</v>
      </c>
      <c r="E66" s="13" t="s">
        <v>290</v>
      </c>
      <c r="F66" s="5"/>
      <c r="G66" s="5" t="s">
        <v>306</v>
      </c>
    </row>
    <row r="67" customFormat="false" ht="46.25" hidden="false" customHeight="false" outlineLevel="0" collapsed="false">
      <c r="A67" s="5" t="s">
        <v>126</v>
      </c>
      <c r="B67" s="5" t="s">
        <v>127</v>
      </c>
      <c r="C67" s="5" t="s">
        <v>153</v>
      </c>
      <c r="D67" s="5" t="s">
        <v>154</v>
      </c>
      <c r="E67" s="13" t="s">
        <v>290</v>
      </c>
      <c r="F67" s="5"/>
      <c r="G67" s="5" t="s">
        <v>306</v>
      </c>
    </row>
    <row r="68" customFormat="false" ht="46.25" hidden="false" customHeight="false" outlineLevel="0" collapsed="false">
      <c r="A68" s="5" t="s">
        <v>126</v>
      </c>
      <c r="B68" s="5" t="s">
        <v>127</v>
      </c>
      <c r="C68" s="5" t="s">
        <v>156</v>
      </c>
      <c r="D68" s="5" t="s">
        <v>157</v>
      </c>
      <c r="E68" s="13" t="s">
        <v>290</v>
      </c>
      <c r="F68" s="5"/>
      <c r="G68" s="5" t="s">
        <v>306</v>
      </c>
    </row>
    <row r="69" customFormat="false" ht="46.25" hidden="false" customHeight="false" outlineLevel="0" collapsed="false">
      <c r="A69" s="5" t="s">
        <v>126</v>
      </c>
      <c r="B69" s="5" t="s">
        <v>127</v>
      </c>
      <c r="C69" s="5" t="s">
        <v>159</v>
      </c>
      <c r="D69" s="5" t="s">
        <v>160</v>
      </c>
      <c r="E69" s="13" t="s">
        <v>290</v>
      </c>
      <c r="F69" s="5"/>
      <c r="G69" s="5" t="s">
        <v>306</v>
      </c>
    </row>
    <row r="70" customFormat="false" ht="46.25" hidden="false" customHeight="false" outlineLevel="0" collapsed="false">
      <c r="A70" s="5" t="s">
        <v>126</v>
      </c>
      <c r="B70" s="5" t="s">
        <v>127</v>
      </c>
      <c r="C70" s="5" t="s">
        <v>162</v>
      </c>
      <c r="D70" s="5" t="s">
        <v>163</v>
      </c>
      <c r="E70" s="13" t="s">
        <v>290</v>
      </c>
      <c r="F70" s="5"/>
      <c r="G70" s="5" t="s">
        <v>306</v>
      </c>
    </row>
    <row r="71" customFormat="false" ht="46.25" hidden="false" customHeight="false" outlineLevel="0" collapsed="false">
      <c r="A71" s="5" t="s">
        <v>126</v>
      </c>
      <c r="B71" s="5" t="s">
        <v>127</v>
      </c>
      <c r="C71" s="5" t="s">
        <v>165</v>
      </c>
      <c r="D71" s="5" t="s">
        <v>166</v>
      </c>
      <c r="E71" s="13" t="s">
        <v>290</v>
      </c>
      <c r="F71" s="5"/>
      <c r="G71" s="5" t="s">
        <v>306</v>
      </c>
    </row>
    <row r="72" customFormat="false" ht="46.25" hidden="false" customHeight="false" outlineLevel="0" collapsed="false">
      <c r="A72" s="5" t="s">
        <v>126</v>
      </c>
      <c r="B72" s="5" t="s">
        <v>127</v>
      </c>
      <c r="C72" s="5" t="s">
        <v>168</v>
      </c>
      <c r="D72" s="5" t="s">
        <v>169</v>
      </c>
      <c r="E72" s="13" t="s">
        <v>290</v>
      </c>
      <c r="F72" s="5"/>
      <c r="G72" s="5" t="s">
        <v>306</v>
      </c>
    </row>
    <row r="73" customFormat="false" ht="46.25" hidden="false" customHeight="false" outlineLevel="0" collapsed="false">
      <c r="A73" s="5" t="s">
        <v>126</v>
      </c>
      <c r="B73" s="5" t="s">
        <v>127</v>
      </c>
      <c r="C73" s="5" t="s">
        <v>171</v>
      </c>
      <c r="D73" s="5" t="s">
        <v>172</v>
      </c>
      <c r="E73" s="13" t="s">
        <v>290</v>
      </c>
      <c r="F73" s="5"/>
      <c r="G73" s="5" t="s">
        <v>306</v>
      </c>
    </row>
    <row r="74" customFormat="false" ht="46.25" hidden="false" customHeight="false" outlineLevel="0" collapsed="false">
      <c r="A74" s="5" t="s">
        <v>126</v>
      </c>
      <c r="B74" s="5" t="s">
        <v>127</v>
      </c>
      <c r="C74" s="5" t="s">
        <v>174</v>
      </c>
      <c r="D74" s="5" t="s">
        <v>175</v>
      </c>
      <c r="E74" s="13" t="s">
        <v>290</v>
      </c>
      <c r="F74" s="5"/>
      <c r="G74" s="5" t="s">
        <v>306</v>
      </c>
    </row>
    <row r="75" customFormat="false" ht="23.85" hidden="false" customHeight="false" outlineLevel="0" collapsed="false">
      <c r="A75" s="5" t="s">
        <v>130</v>
      </c>
      <c r="B75" s="5" t="s">
        <v>131</v>
      </c>
      <c r="C75" s="5" t="s">
        <v>135</v>
      </c>
      <c r="D75" s="5" t="s">
        <v>136</v>
      </c>
      <c r="E75" s="12" t="s">
        <v>284</v>
      </c>
      <c r="F75" s="5"/>
      <c r="G75" s="5" t="s">
        <v>307</v>
      </c>
    </row>
    <row r="76" customFormat="false" ht="23.85" hidden="false" customHeight="false" outlineLevel="0" collapsed="false">
      <c r="A76" s="5" t="s">
        <v>130</v>
      </c>
      <c r="B76" s="5" t="s">
        <v>131</v>
      </c>
      <c r="C76" s="5" t="s">
        <v>138</v>
      </c>
      <c r="D76" s="5" t="s">
        <v>139</v>
      </c>
      <c r="E76" s="12" t="s">
        <v>284</v>
      </c>
      <c r="F76" s="5" t="s">
        <v>135</v>
      </c>
      <c r="G76" s="5" t="s">
        <v>307</v>
      </c>
    </row>
    <row r="77" customFormat="false" ht="23.85" hidden="false" customHeight="false" outlineLevel="0" collapsed="false">
      <c r="A77" s="5" t="s">
        <v>130</v>
      </c>
      <c r="B77" s="5" t="s">
        <v>131</v>
      </c>
      <c r="C77" s="5" t="s">
        <v>141</v>
      </c>
      <c r="D77" s="5" t="s">
        <v>142</v>
      </c>
      <c r="E77" s="12" t="s">
        <v>284</v>
      </c>
      <c r="F77" s="5"/>
      <c r="G77" s="5" t="s">
        <v>307</v>
      </c>
    </row>
    <row r="78" customFormat="false" ht="23.85" hidden="false" customHeight="false" outlineLevel="0" collapsed="false">
      <c r="A78" s="5" t="s">
        <v>130</v>
      </c>
      <c r="B78" s="5" t="s">
        <v>131</v>
      </c>
      <c r="C78" s="5" t="s">
        <v>144</v>
      </c>
      <c r="D78" s="5" t="s">
        <v>145</v>
      </c>
      <c r="E78" s="12" t="s">
        <v>284</v>
      </c>
      <c r="F78" s="5" t="s">
        <v>141</v>
      </c>
      <c r="G78" s="5" t="s">
        <v>307</v>
      </c>
    </row>
    <row r="79" customFormat="false" ht="15" hidden="false" customHeight="false" outlineLevel="0" collapsed="false">
      <c r="A79" s="5" t="s">
        <v>130</v>
      </c>
      <c r="B79" s="5" t="s">
        <v>131</v>
      </c>
      <c r="C79" s="5" t="s">
        <v>147</v>
      </c>
      <c r="D79" s="5" t="s">
        <v>148</v>
      </c>
      <c r="E79" s="14" t="s">
        <v>295</v>
      </c>
      <c r="F79" s="5"/>
      <c r="G79" s="5" t="s">
        <v>308</v>
      </c>
    </row>
    <row r="80" customFormat="false" ht="23.85" hidden="false" customHeight="false" outlineLevel="0" collapsed="false">
      <c r="A80" s="5" t="s">
        <v>130</v>
      </c>
      <c r="B80" s="5" t="s">
        <v>131</v>
      </c>
      <c r="C80" s="5" t="s">
        <v>150</v>
      </c>
      <c r="D80" s="5" t="s">
        <v>151</v>
      </c>
      <c r="E80" s="12" t="s">
        <v>284</v>
      </c>
      <c r="F80" s="5" t="s">
        <v>135</v>
      </c>
      <c r="G80" s="5" t="s">
        <v>307</v>
      </c>
    </row>
    <row r="81" customFormat="false" ht="15" hidden="false" customHeight="false" outlineLevel="0" collapsed="false">
      <c r="A81" s="5" t="s">
        <v>130</v>
      </c>
      <c r="B81" s="5" t="s">
        <v>131</v>
      </c>
      <c r="C81" s="5" t="s">
        <v>153</v>
      </c>
      <c r="D81" s="5" t="s">
        <v>154</v>
      </c>
      <c r="E81" s="14" t="s">
        <v>295</v>
      </c>
      <c r="F81" s="5"/>
      <c r="G81" s="5" t="s">
        <v>309</v>
      </c>
    </row>
    <row r="82" customFormat="false" ht="23.85" hidden="false" customHeight="false" outlineLevel="0" collapsed="false">
      <c r="A82" s="5" t="s">
        <v>130</v>
      </c>
      <c r="B82" s="5" t="s">
        <v>131</v>
      </c>
      <c r="C82" s="5" t="s">
        <v>156</v>
      </c>
      <c r="D82" s="5" t="s">
        <v>157</v>
      </c>
      <c r="E82" s="12" t="s">
        <v>284</v>
      </c>
      <c r="F82" s="5"/>
      <c r="G82" s="5" t="s">
        <v>307</v>
      </c>
    </row>
    <row r="83" customFormat="false" ht="23.85" hidden="false" customHeight="false" outlineLevel="0" collapsed="false">
      <c r="A83" s="5" t="s">
        <v>130</v>
      </c>
      <c r="B83" s="5" t="s">
        <v>131</v>
      </c>
      <c r="C83" s="5" t="s">
        <v>159</v>
      </c>
      <c r="D83" s="5" t="s">
        <v>160</v>
      </c>
      <c r="E83" s="12" t="s">
        <v>284</v>
      </c>
      <c r="F83" s="5" t="s">
        <v>150</v>
      </c>
      <c r="G83" s="5" t="s">
        <v>307</v>
      </c>
    </row>
    <row r="84" customFormat="false" ht="15" hidden="false" customHeight="false" outlineLevel="0" collapsed="false">
      <c r="A84" s="5" t="s">
        <v>130</v>
      </c>
      <c r="B84" s="5" t="s">
        <v>131</v>
      </c>
      <c r="C84" s="5" t="s">
        <v>162</v>
      </c>
      <c r="D84" s="5" t="s">
        <v>163</v>
      </c>
      <c r="E84" s="14" t="s">
        <v>295</v>
      </c>
      <c r="F84" s="5"/>
      <c r="G84" s="5" t="s">
        <v>310</v>
      </c>
    </row>
    <row r="85" customFormat="false" ht="23.85" hidden="false" customHeight="false" outlineLevel="0" collapsed="false">
      <c r="A85" s="5" t="s">
        <v>130</v>
      </c>
      <c r="B85" s="5" t="s">
        <v>131</v>
      </c>
      <c r="C85" s="5" t="s">
        <v>165</v>
      </c>
      <c r="D85" s="5" t="s">
        <v>166</v>
      </c>
      <c r="E85" s="12" t="s">
        <v>284</v>
      </c>
      <c r="F85" s="5" t="s">
        <v>156</v>
      </c>
      <c r="G85" s="5" t="s">
        <v>307</v>
      </c>
    </row>
    <row r="86" customFormat="false" ht="23.85" hidden="false" customHeight="false" outlineLevel="0" collapsed="false">
      <c r="A86" s="5" t="s">
        <v>130</v>
      </c>
      <c r="B86" s="5" t="s">
        <v>131</v>
      </c>
      <c r="C86" s="5" t="s">
        <v>168</v>
      </c>
      <c r="D86" s="5" t="s">
        <v>169</v>
      </c>
      <c r="E86" s="12" t="s">
        <v>284</v>
      </c>
      <c r="F86" s="5" t="s">
        <v>141</v>
      </c>
      <c r="G86" s="5" t="s">
        <v>307</v>
      </c>
    </row>
    <row r="87" customFormat="false" ht="15" hidden="false" customHeight="false" outlineLevel="0" collapsed="false">
      <c r="A87" s="5" t="s">
        <v>130</v>
      </c>
      <c r="B87" s="5" t="s">
        <v>131</v>
      </c>
      <c r="C87" s="5" t="s">
        <v>171</v>
      </c>
      <c r="D87" s="5" t="s">
        <v>172</v>
      </c>
      <c r="E87" s="14" t="s">
        <v>295</v>
      </c>
      <c r="F87" s="5"/>
      <c r="G87" s="5" t="s">
        <v>311</v>
      </c>
    </row>
    <row r="88" customFormat="false" ht="15" hidden="false" customHeight="false" outlineLevel="0" collapsed="false">
      <c r="A88" s="5" t="s">
        <v>130</v>
      </c>
      <c r="B88" s="5" t="s">
        <v>131</v>
      </c>
      <c r="C88" s="5" t="s">
        <v>174</v>
      </c>
      <c r="D88" s="5" t="s">
        <v>175</v>
      </c>
      <c r="E88" s="13" t="s">
        <v>290</v>
      </c>
      <c r="F88" s="5"/>
      <c r="G88" s="5" t="s">
        <v>305</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70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22"/>
    <col collapsed="false" customWidth="true" hidden="false" outlineLevel="0" max="4" min="4" style="0" width="12"/>
    <col collapsed="false" customWidth="true" hidden="false" outlineLevel="0" max="5" min="5" style="0" width="22"/>
    <col collapsed="false" customWidth="true" hidden="false" outlineLevel="0" max="6" min="6" style="0" width="20"/>
    <col collapsed="false" customWidth="true" hidden="false" outlineLevel="0" max="7" min="7" style="0" width="14"/>
    <col collapsed="false" customWidth="true" hidden="false" outlineLevel="0" max="8" min="8" style="0" width="16"/>
    <col collapsed="false" customWidth="true" hidden="false" outlineLevel="0" max="9" min="9" style="0" width="50"/>
    <col collapsed="false" customWidth="true" hidden="false" outlineLevel="0" max="10" min="10" style="0" width="6"/>
    <col collapsed="false" customWidth="true" hidden="false" outlineLevel="0" max="11" min="11" style="0" width="50"/>
    <col collapsed="false" customWidth="true" hidden="false" outlineLevel="0" max="12" min="12" style="0" width="6"/>
    <col collapsed="false" customWidth="true" hidden="false" outlineLevel="0" max="13" min="13" style="0" width="50"/>
    <col collapsed="false" customWidth="true" hidden="false" outlineLevel="0" max="14" min="14" style="0" width="6"/>
    <col collapsed="false" customWidth="true" hidden="false" outlineLevel="0" max="15" min="15" style="0" width="50"/>
    <col collapsed="false" customWidth="true" hidden="false" outlineLevel="0" max="16" min="16" style="0" width="8"/>
    <col collapsed="false" customWidth="true" hidden="false" outlineLevel="0" max="17" min="17" style="0" width="40"/>
  </cols>
  <sheetData>
    <row r="1" customFormat="false" ht="27.75" hidden="false" customHeight="true" outlineLevel="0" collapsed="false">
      <c r="A1" s="1" t="s">
        <v>312</v>
      </c>
      <c r="B1" s="1"/>
      <c r="C1" s="1"/>
      <c r="D1" s="1"/>
      <c r="E1" s="1"/>
      <c r="F1" s="1"/>
      <c r="G1" s="1"/>
      <c r="H1" s="1"/>
      <c r="I1" s="1"/>
      <c r="J1" s="1"/>
      <c r="K1" s="1"/>
      <c r="L1" s="1"/>
      <c r="M1" s="1"/>
      <c r="N1" s="1"/>
      <c r="O1" s="1"/>
      <c r="P1" s="1"/>
      <c r="Q1" s="1"/>
    </row>
    <row r="3" customFormat="false" ht="31.5" hidden="false" customHeight="true" outlineLevel="0" collapsed="false">
      <c r="A3" s="4" t="s">
        <v>313</v>
      </c>
      <c r="B3" s="4" t="s">
        <v>108</v>
      </c>
      <c r="C3" s="4" t="s">
        <v>278</v>
      </c>
      <c r="D3" s="4" t="s">
        <v>279</v>
      </c>
      <c r="E3" s="4" t="s">
        <v>280</v>
      </c>
      <c r="F3" s="4" t="s">
        <v>179</v>
      </c>
      <c r="G3" s="4" t="s">
        <v>314</v>
      </c>
      <c r="H3" s="4" t="s">
        <v>315</v>
      </c>
      <c r="I3" s="4" t="s">
        <v>316</v>
      </c>
      <c r="J3" s="4" t="s">
        <v>211</v>
      </c>
      <c r="K3" s="4" t="s">
        <v>317</v>
      </c>
      <c r="L3" s="4" t="s">
        <v>232</v>
      </c>
      <c r="M3" s="4" t="s">
        <v>318</v>
      </c>
      <c r="N3" s="4" t="s">
        <v>252</v>
      </c>
      <c r="O3" s="4" t="s">
        <v>319</v>
      </c>
      <c r="P3" s="4" t="s">
        <v>320</v>
      </c>
      <c r="Q3" s="4" t="s">
        <v>321</v>
      </c>
    </row>
    <row r="4" customFormat="false" ht="68.65" hidden="false" customHeight="false" outlineLevel="0" collapsed="false">
      <c r="A4" s="5" t="s">
        <v>322</v>
      </c>
      <c r="B4" s="5" t="s">
        <v>112</v>
      </c>
      <c r="C4" s="5" t="s">
        <v>113</v>
      </c>
      <c r="D4" s="5" t="s">
        <v>135</v>
      </c>
      <c r="E4" s="5" t="s">
        <v>136</v>
      </c>
      <c r="F4" s="5" t="s">
        <v>184</v>
      </c>
      <c r="G4" s="5" t="s">
        <v>323</v>
      </c>
      <c r="H4" s="5" t="s">
        <v>199</v>
      </c>
      <c r="I4" s="5" t="s">
        <v>324</v>
      </c>
      <c r="J4" s="5" t="s">
        <v>218</v>
      </c>
      <c r="K4" s="5" t="s">
        <v>325</v>
      </c>
      <c r="L4" s="5" t="s">
        <v>185</v>
      </c>
      <c r="M4" s="5" t="s">
        <v>326</v>
      </c>
      <c r="N4" s="5" t="s">
        <v>261</v>
      </c>
      <c r="O4" s="5" t="s">
        <v>327</v>
      </c>
      <c r="P4" s="5" t="str">
        <f aca="false">IF(J4="S0","—",IF(K4="","",IF(L4="E0","QM",INDEX(10_ASIL_Matrix!$D$4:$F$15,MATCH(J4&amp;"-"&amp;L4,10_ASIL_Matrix!$C$4:$C$15,0),MATCH(N4,10_ASIL_Matrix!$D$3:$F$3,0)))))</f>
        <v>QM</v>
      </c>
      <c r="Q4" s="5" t="s">
        <v>328</v>
      </c>
    </row>
    <row r="5" customFormat="false" ht="68.65" hidden="false" customHeight="false" outlineLevel="0" collapsed="false">
      <c r="A5" s="6" t="s">
        <v>329</v>
      </c>
      <c r="B5" s="6" t="s">
        <v>112</v>
      </c>
      <c r="C5" s="6" t="s">
        <v>113</v>
      </c>
      <c r="D5" s="6" t="s">
        <v>135</v>
      </c>
      <c r="E5" s="6" t="s">
        <v>136</v>
      </c>
      <c r="F5" s="6" t="s">
        <v>184</v>
      </c>
      <c r="G5" s="6" t="s">
        <v>323</v>
      </c>
      <c r="H5" s="6" t="s">
        <v>201</v>
      </c>
      <c r="I5" s="6" t="s">
        <v>330</v>
      </c>
      <c r="J5" s="6" t="s">
        <v>218</v>
      </c>
      <c r="K5" s="6" t="s">
        <v>325</v>
      </c>
      <c r="L5" s="6" t="s">
        <v>185</v>
      </c>
      <c r="M5" s="6" t="s">
        <v>331</v>
      </c>
      <c r="N5" s="6" t="s">
        <v>261</v>
      </c>
      <c r="O5" s="6" t="s">
        <v>327</v>
      </c>
      <c r="P5" s="6" t="str">
        <f aca="false">IF(J5="S0","—",IF(K5="","",IF(L5="E0","QM",INDEX(10_ASIL_Matrix!$D$4:$F$15,MATCH(J5&amp;"-"&amp;L5,10_ASIL_Matrix!$C$4:$C$15,0),MATCH(N5,10_ASIL_Matrix!$D$3:$F$3,0)))))</f>
        <v>QM</v>
      </c>
      <c r="Q5" s="6" t="s">
        <v>328</v>
      </c>
    </row>
    <row r="6" customFormat="false" ht="68.65" hidden="false" customHeight="false" outlineLevel="0" collapsed="false">
      <c r="A6" s="5" t="s">
        <v>332</v>
      </c>
      <c r="B6" s="5" t="s">
        <v>112</v>
      </c>
      <c r="C6" s="5" t="s">
        <v>113</v>
      </c>
      <c r="D6" s="5" t="s">
        <v>135</v>
      </c>
      <c r="E6" s="5" t="s">
        <v>136</v>
      </c>
      <c r="F6" s="5" t="s">
        <v>184</v>
      </c>
      <c r="G6" s="5" t="s">
        <v>323</v>
      </c>
      <c r="H6" s="5" t="s">
        <v>203</v>
      </c>
      <c r="I6" s="5" t="s">
        <v>333</v>
      </c>
      <c r="J6" s="5" t="s">
        <v>218</v>
      </c>
      <c r="K6" s="5" t="s">
        <v>325</v>
      </c>
      <c r="L6" s="5" t="s">
        <v>185</v>
      </c>
      <c r="M6" s="5" t="s">
        <v>334</v>
      </c>
      <c r="N6" s="5" t="s">
        <v>261</v>
      </c>
      <c r="O6" s="5" t="s">
        <v>327</v>
      </c>
      <c r="P6" s="5" t="str">
        <f aca="false">IF(J6="S0","—",IF(K6="","",IF(L6="E0","QM",INDEX(10_ASIL_Matrix!$D$4:$F$15,MATCH(J6&amp;"-"&amp;L6,10_ASIL_Matrix!$C$4:$C$15,0),MATCH(N6,10_ASIL_Matrix!$D$3:$F$3,0)))))</f>
        <v>QM</v>
      </c>
      <c r="Q6" s="5" t="s">
        <v>328</v>
      </c>
    </row>
    <row r="7" customFormat="false" ht="68.65" hidden="false" customHeight="false" outlineLevel="0" collapsed="false">
      <c r="A7" s="6" t="s">
        <v>335</v>
      </c>
      <c r="B7" s="6" t="s">
        <v>112</v>
      </c>
      <c r="C7" s="6" t="s">
        <v>113</v>
      </c>
      <c r="D7" s="6" t="s">
        <v>135</v>
      </c>
      <c r="E7" s="6" t="s">
        <v>136</v>
      </c>
      <c r="F7" s="6" t="s">
        <v>184</v>
      </c>
      <c r="G7" s="6" t="s">
        <v>323</v>
      </c>
      <c r="H7" s="6" t="s">
        <v>205</v>
      </c>
      <c r="I7" s="6" t="s">
        <v>336</v>
      </c>
      <c r="J7" s="6" t="s">
        <v>218</v>
      </c>
      <c r="K7" s="6" t="s">
        <v>325</v>
      </c>
      <c r="L7" s="6" t="s">
        <v>206</v>
      </c>
      <c r="M7" s="6" t="s">
        <v>337</v>
      </c>
      <c r="N7" s="6" t="s">
        <v>261</v>
      </c>
      <c r="O7" s="6" t="s">
        <v>327</v>
      </c>
      <c r="P7" s="6" t="str">
        <f aca="false">IF(J7="S0","—",IF(K7="","",IF(L7="E0","QM",INDEX(10_ASIL_Matrix!$D$4:$F$15,MATCH(J7&amp;"-"&amp;L7,10_ASIL_Matrix!$C$4:$C$15,0),MATCH(N7,10_ASIL_Matrix!$D$3:$F$3,0)))))</f>
        <v>QM</v>
      </c>
      <c r="Q7" s="6" t="s">
        <v>328</v>
      </c>
    </row>
    <row r="8" customFormat="false" ht="68.65" hidden="false" customHeight="false" outlineLevel="0" collapsed="false">
      <c r="A8" s="5" t="s">
        <v>338</v>
      </c>
      <c r="B8" s="5" t="s">
        <v>112</v>
      </c>
      <c r="C8" s="5" t="s">
        <v>113</v>
      </c>
      <c r="D8" s="5" t="s">
        <v>135</v>
      </c>
      <c r="E8" s="5" t="s">
        <v>136</v>
      </c>
      <c r="F8" s="5" t="s">
        <v>184</v>
      </c>
      <c r="G8" s="5" t="s">
        <v>323</v>
      </c>
      <c r="H8" s="5" t="s">
        <v>208</v>
      </c>
      <c r="I8" s="5" t="s">
        <v>339</v>
      </c>
      <c r="J8" s="5" t="s">
        <v>218</v>
      </c>
      <c r="K8" s="5" t="s">
        <v>325</v>
      </c>
      <c r="L8" s="5" t="s">
        <v>209</v>
      </c>
      <c r="M8" s="5" t="s">
        <v>340</v>
      </c>
      <c r="N8" s="5" t="s">
        <v>261</v>
      </c>
      <c r="O8" s="5" t="s">
        <v>327</v>
      </c>
      <c r="P8" s="5" t="str">
        <f aca="false">IF(J8="S0","—",IF(K8="","",IF(L8="E0","QM",INDEX(10_ASIL_Matrix!$D$4:$F$15,MATCH(J8&amp;"-"&amp;L8,10_ASIL_Matrix!$C$4:$C$15,0),MATCH(N8,10_ASIL_Matrix!$D$3:$F$3,0)))))</f>
        <v>QM</v>
      </c>
      <c r="Q8" s="5" t="s">
        <v>328</v>
      </c>
    </row>
    <row r="9" customFormat="false" ht="68.65" hidden="false" customHeight="false" outlineLevel="0" collapsed="false">
      <c r="A9" s="6" t="s">
        <v>341</v>
      </c>
      <c r="B9" s="6" t="s">
        <v>112</v>
      </c>
      <c r="C9" s="6" t="s">
        <v>113</v>
      </c>
      <c r="D9" s="6" t="s">
        <v>135</v>
      </c>
      <c r="E9" s="6" t="s">
        <v>136</v>
      </c>
      <c r="F9" s="6" t="s">
        <v>187</v>
      </c>
      <c r="G9" s="6" t="s">
        <v>342</v>
      </c>
      <c r="H9" s="6" t="s">
        <v>199</v>
      </c>
      <c r="I9" s="6" t="s">
        <v>343</v>
      </c>
      <c r="J9" s="6" t="s">
        <v>222</v>
      </c>
      <c r="K9" s="6" t="s">
        <v>344</v>
      </c>
      <c r="L9" s="6" t="s">
        <v>188</v>
      </c>
      <c r="M9" s="6" t="s">
        <v>345</v>
      </c>
      <c r="N9" s="6" t="s">
        <v>261</v>
      </c>
      <c r="O9" s="6" t="s">
        <v>327</v>
      </c>
      <c r="P9" s="15" t="str">
        <f aca="false">IF(J9="S0","—",IF(K9="","",IF(L9="E0","QM",INDEX(10_ASIL_Matrix!$D$4:$F$15,MATCH(J9&amp;"-"&amp;L9,10_ASIL_Matrix!$C$4:$C$15,0),MATCH(N9,10_ASIL_Matrix!$D$3:$F$3,0)))))</f>
        <v>B</v>
      </c>
      <c r="Q9" s="6" t="s">
        <v>328</v>
      </c>
    </row>
    <row r="10" customFormat="false" ht="68.65" hidden="false" customHeight="false" outlineLevel="0" collapsed="false">
      <c r="A10" s="5" t="s">
        <v>346</v>
      </c>
      <c r="B10" s="5" t="s">
        <v>112</v>
      </c>
      <c r="C10" s="5" t="s">
        <v>113</v>
      </c>
      <c r="D10" s="5" t="s">
        <v>135</v>
      </c>
      <c r="E10" s="5" t="s">
        <v>136</v>
      </c>
      <c r="F10" s="5" t="s">
        <v>187</v>
      </c>
      <c r="G10" s="5" t="s">
        <v>342</v>
      </c>
      <c r="H10" s="5" t="s">
        <v>201</v>
      </c>
      <c r="I10" s="5" t="s">
        <v>347</v>
      </c>
      <c r="J10" s="5" t="s">
        <v>222</v>
      </c>
      <c r="K10" s="5" t="s">
        <v>344</v>
      </c>
      <c r="L10" s="5" t="s">
        <v>185</v>
      </c>
      <c r="M10" s="5" t="s">
        <v>348</v>
      </c>
      <c r="N10" s="5" t="s">
        <v>261</v>
      </c>
      <c r="O10" s="5" t="s">
        <v>327</v>
      </c>
      <c r="P10" s="16" t="str">
        <f aca="false">IF(J10="S0","—",IF(K10="","",IF(L10="E0","QM",INDEX(10_ASIL_Matrix!$D$4:$F$15,MATCH(J10&amp;"-"&amp;L10,10_ASIL_Matrix!$C$4:$C$15,0),MATCH(N10,10_ASIL_Matrix!$D$3:$F$3,0)))))</f>
        <v>A</v>
      </c>
      <c r="Q10" s="5" t="s">
        <v>328</v>
      </c>
    </row>
    <row r="11" customFormat="false" ht="68.65" hidden="false" customHeight="false" outlineLevel="0" collapsed="false">
      <c r="A11" s="6" t="s">
        <v>349</v>
      </c>
      <c r="B11" s="6" t="s">
        <v>112</v>
      </c>
      <c r="C11" s="6" t="s">
        <v>113</v>
      </c>
      <c r="D11" s="6" t="s">
        <v>135</v>
      </c>
      <c r="E11" s="6" t="s">
        <v>136</v>
      </c>
      <c r="F11" s="6" t="s">
        <v>187</v>
      </c>
      <c r="G11" s="6" t="s">
        <v>342</v>
      </c>
      <c r="H11" s="6" t="s">
        <v>203</v>
      </c>
      <c r="I11" s="6" t="s">
        <v>350</v>
      </c>
      <c r="J11" s="6" t="s">
        <v>222</v>
      </c>
      <c r="K11" s="6" t="s">
        <v>344</v>
      </c>
      <c r="L11" s="6" t="s">
        <v>185</v>
      </c>
      <c r="M11" s="6" t="s">
        <v>351</v>
      </c>
      <c r="N11" s="6" t="s">
        <v>261</v>
      </c>
      <c r="O11" s="6" t="s">
        <v>327</v>
      </c>
      <c r="P11" s="16" t="str">
        <f aca="false">IF(J11="S0","—",IF(K11="","",IF(L11="E0","QM",INDEX(10_ASIL_Matrix!$D$4:$F$15,MATCH(J11&amp;"-"&amp;L11,10_ASIL_Matrix!$C$4:$C$15,0),MATCH(N11,10_ASIL_Matrix!$D$3:$F$3,0)))))</f>
        <v>A</v>
      </c>
      <c r="Q11" s="6" t="s">
        <v>328</v>
      </c>
    </row>
    <row r="12" customFormat="false" ht="68.65" hidden="false" customHeight="false" outlineLevel="0" collapsed="false">
      <c r="A12" s="5" t="s">
        <v>352</v>
      </c>
      <c r="B12" s="5" t="s">
        <v>112</v>
      </c>
      <c r="C12" s="5" t="s">
        <v>113</v>
      </c>
      <c r="D12" s="5" t="s">
        <v>135</v>
      </c>
      <c r="E12" s="5" t="s">
        <v>136</v>
      </c>
      <c r="F12" s="5" t="s">
        <v>187</v>
      </c>
      <c r="G12" s="5" t="s">
        <v>342</v>
      </c>
      <c r="H12" s="5" t="s">
        <v>205</v>
      </c>
      <c r="I12" s="5" t="s">
        <v>353</v>
      </c>
      <c r="J12" s="5" t="s">
        <v>222</v>
      </c>
      <c r="K12" s="5" t="s">
        <v>354</v>
      </c>
      <c r="L12" s="5" t="s">
        <v>206</v>
      </c>
      <c r="M12" s="5" t="s">
        <v>355</v>
      </c>
      <c r="N12" s="5" t="s">
        <v>261</v>
      </c>
      <c r="O12" s="5" t="s">
        <v>327</v>
      </c>
      <c r="P12" s="5" t="str">
        <f aca="false">IF(J12="S0","—",IF(K12="","",IF(L12="E0","QM",INDEX(10_ASIL_Matrix!$D$4:$F$15,MATCH(J12&amp;"-"&amp;L12,10_ASIL_Matrix!$C$4:$C$15,0),MATCH(N12,10_ASIL_Matrix!$D$3:$F$3,0)))))</f>
        <v>QM</v>
      </c>
      <c r="Q12" s="5" t="s">
        <v>328</v>
      </c>
    </row>
    <row r="13" customFormat="false" ht="68.65" hidden="false" customHeight="false" outlineLevel="0" collapsed="false">
      <c r="A13" s="6" t="s">
        <v>356</v>
      </c>
      <c r="B13" s="6" t="s">
        <v>112</v>
      </c>
      <c r="C13" s="6" t="s">
        <v>113</v>
      </c>
      <c r="D13" s="6" t="s">
        <v>135</v>
      </c>
      <c r="E13" s="6" t="s">
        <v>136</v>
      </c>
      <c r="F13" s="6" t="s">
        <v>187</v>
      </c>
      <c r="G13" s="6" t="s">
        <v>342</v>
      </c>
      <c r="H13" s="6" t="s">
        <v>208</v>
      </c>
      <c r="I13" s="6" t="s">
        <v>357</v>
      </c>
      <c r="J13" s="6" t="s">
        <v>222</v>
      </c>
      <c r="K13" s="6" t="s">
        <v>354</v>
      </c>
      <c r="L13" s="6" t="s">
        <v>209</v>
      </c>
      <c r="M13" s="6" t="s">
        <v>358</v>
      </c>
      <c r="N13" s="6" t="s">
        <v>261</v>
      </c>
      <c r="O13" s="6" t="s">
        <v>327</v>
      </c>
      <c r="P13" s="6" t="str">
        <f aca="false">IF(J13="S0","—",IF(K13="","",IF(L13="E0","QM",INDEX(10_ASIL_Matrix!$D$4:$F$15,MATCH(J13&amp;"-"&amp;L13,10_ASIL_Matrix!$C$4:$C$15,0),MATCH(N13,10_ASIL_Matrix!$D$3:$F$3,0)))))</f>
        <v>QM</v>
      </c>
      <c r="Q13" s="6" t="s">
        <v>328</v>
      </c>
    </row>
    <row r="14" customFormat="false" ht="68.65" hidden="false" customHeight="false" outlineLevel="0" collapsed="false">
      <c r="A14" s="5" t="s">
        <v>359</v>
      </c>
      <c r="B14" s="5" t="s">
        <v>112</v>
      </c>
      <c r="C14" s="5" t="s">
        <v>113</v>
      </c>
      <c r="D14" s="5" t="s">
        <v>135</v>
      </c>
      <c r="E14" s="5" t="s">
        <v>136</v>
      </c>
      <c r="F14" s="5" t="s">
        <v>190</v>
      </c>
      <c r="G14" s="5" t="s">
        <v>360</v>
      </c>
      <c r="H14" s="5" t="s">
        <v>199</v>
      </c>
      <c r="I14" s="5" t="s">
        <v>361</v>
      </c>
      <c r="J14" s="5" t="s">
        <v>222</v>
      </c>
      <c r="K14" s="5" t="s">
        <v>362</v>
      </c>
      <c r="L14" s="5" t="s">
        <v>188</v>
      </c>
      <c r="M14" s="5" t="s">
        <v>363</v>
      </c>
      <c r="N14" s="5" t="s">
        <v>261</v>
      </c>
      <c r="O14" s="5" t="s">
        <v>327</v>
      </c>
      <c r="P14" s="15" t="str">
        <f aca="false">IF(J14="S0","—",IF(K14="","",IF(L14="E0","QM",INDEX(10_ASIL_Matrix!$D$4:$F$15,MATCH(J14&amp;"-"&amp;L14,10_ASIL_Matrix!$C$4:$C$15,0),MATCH(N14,10_ASIL_Matrix!$D$3:$F$3,0)))))</f>
        <v>B</v>
      </c>
      <c r="Q14" s="5" t="s">
        <v>328</v>
      </c>
    </row>
    <row r="15" customFormat="false" ht="68.65" hidden="false" customHeight="false" outlineLevel="0" collapsed="false">
      <c r="A15" s="6" t="s">
        <v>364</v>
      </c>
      <c r="B15" s="6" t="s">
        <v>112</v>
      </c>
      <c r="C15" s="6" t="s">
        <v>113</v>
      </c>
      <c r="D15" s="6" t="s">
        <v>135</v>
      </c>
      <c r="E15" s="6" t="s">
        <v>136</v>
      </c>
      <c r="F15" s="6" t="s">
        <v>190</v>
      </c>
      <c r="G15" s="6" t="s">
        <v>360</v>
      </c>
      <c r="H15" s="6" t="s">
        <v>201</v>
      </c>
      <c r="I15" s="6" t="s">
        <v>365</v>
      </c>
      <c r="J15" s="6" t="s">
        <v>222</v>
      </c>
      <c r="K15" s="6" t="s">
        <v>362</v>
      </c>
      <c r="L15" s="6" t="s">
        <v>185</v>
      </c>
      <c r="M15" s="6" t="s">
        <v>366</v>
      </c>
      <c r="N15" s="6" t="s">
        <v>261</v>
      </c>
      <c r="O15" s="6" t="s">
        <v>327</v>
      </c>
      <c r="P15" s="16" t="str">
        <f aca="false">IF(J15="S0","—",IF(K15="","",IF(L15="E0","QM",INDEX(10_ASIL_Matrix!$D$4:$F$15,MATCH(J15&amp;"-"&amp;L15,10_ASIL_Matrix!$C$4:$C$15,0),MATCH(N15,10_ASIL_Matrix!$D$3:$F$3,0)))))</f>
        <v>A</v>
      </c>
      <c r="Q15" s="6" t="s">
        <v>328</v>
      </c>
    </row>
    <row r="16" customFormat="false" ht="68.65" hidden="false" customHeight="false" outlineLevel="0" collapsed="false">
      <c r="A16" s="5" t="s">
        <v>367</v>
      </c>
      <c r="B16" s="5" t="s">
        <v>112</v>
      </c>
      <c r="C16" s="5" t="s">
        <v>113</v>
      </c>
      <c r="D16" s="5" t="s">
        <v>135</v>
      </c>
      <c r="E16" s="5" t="s">
        <v>136</v>
      </c>
      <c r="F16" s="5" t="s">
        <v>190</v>
      </c>
      <c r="G16" s="5" t="s">
        <v>360</v>
      </c>
      <c r="H16" s="5" t="s">
        <v>203</v>
      </c>
      <c r="I16" s="5" t="s">
        <v>368</v>
      </c>
      <c r="J16" s="5" t="s">
        <v>222</v>
      </c>
      <c r="K16" s="5" t="s">
        <v>362</v>
      </c>
      <c r="L16" s="5" t="s">
        <v>185</v>
      </c>
      <c r="M16" s="5" t="s">
        <v>369</v>
      </c>
      <c r="N16" s="5" t="s">
        <v>261</v>
      </c>
      <c r="O16" s="5" t="s">
        <v>327</v>
      </c>
      <c r="P16" s="16" t="str">
        <f aca="false">IF(J16="S0","—",IF(K16="","",IF(L16="E0","QM",INDEX(10_ASIL_Matrix!$D$4:$F$15,MATCH(J16&amp;"-"&amp;L16,10_ASIL_Matrix!$C$4:$C$15,0),MATCH(N16,10_ASIL_Matrix!$D$3:$F$3,0)))))</f>
        <v>A</v>
      </c>
      <c r="Q16" s="5" t="s">
        <v>328</v>
      </c>
    </row>
    <row r="17" customFormat="false" ht="68.65" hidden="false" customHeight="false" outlineLevel="0" collapsed="false">
      <c r="A17" s="6" t="s">
        <v>370</v>
      </c>
      <c r="B17" s="6" t="s">
        <v>112</v>
      </c>
      <c r="C17" s="6" t="s">
        <v>113</v>
      </c>
      <c r="D17" s="6" t="s">
        <v>135</v>
      </c>
      <c r="E17" s="6" t="s">
        <v>136</v>
      </c>
      <c r="F17" s="6" t="s">
        <v>190</v>
      </c>
      <c r="G17" s="6" t="s">
        <v>360</v>
      </c>
      <c r="H17" s="6" t="s">
        <v>205</v>
      </c>
      <c r="I17" s="6" t="s">
        <v>371</v>
      </c>
      <c r="J17" s="6" t="s">
        <v>222</v>
      </c>
      <c r="K17" s="6" t="s">
        <v>372</v>
      </c>
      <c r="L17" s="6" t="s">
        <v>206</v>
      </c>
      <c r="M17" s="6" t="s">
        <v>373</v>
      </c>
      <c r="N17" s="6" t="s">
        <v>261</v>
      </c>
      <c r="O17" s="6" t="s">
        <v>327</v>
      </c>
      <c r="P17" s="6" t="str">
        <f aca="false">IF(J17="S0","—",IF(K17="","",IF(L17="E0","QM",INDEX(10_ASIL_Matrix!$D$4:$F$15,MATCH(J17&amp;"-"&amp;L17,10_ASIL_Matrix!$C$4:$C$15,0),MATCH(N17,10_ASIL_Matrix!$D$3:$F$3,0)))))</f>
        <v>QM</v>
      </c>
      <c r="Q17" s="6" t="s">
        <v>328</v>
      </c>
    </row>
    <row r="18" customFormat="false" ht="68.65" hidden="false" customHeight="false" outlineLevel="0" collapsed="false">
      <c r="A18" s="5" t="s">
        <v>374</v>
      </c>
      <c r="B18" s="5" t="s">
        <v>112</v>
      </c>
      <c r="C18" s="5" t="s">
        <v>113</v>
      </c>
      <c r="D18" s="5" t="s">
        <v>135</v>
      </c>
      <c r="E18" s="5" t="s">
        <v>136</v>
      </c>
      <c r="F18" s="5" t="s">
        <v>190</v>
      </c>
      <c r="G18" s="5" t="s">
        <v>360</v>
      </c>
      <c r="H18" s="5" t="s">
        <v>208</v>
      </c>
      <c r="I18" s="5" t="s">
        <v>375</v>
      </c>
      <c r="J18" s="5" t="s">
        <v>222</v>
      </c>
      <c r="K18" s="5" t="s">
        <v>372</v>
      </c>
      <c r="L18" s="5" t="s">
        <v>209</v>
      </c>
      <c r="M18" s="5" t="s">
        <v>376</v>
      </c>
      <c r="N18" s="5" t="s">
        <v>261</v>
      </c>
      <c r="O18" s="5" t="s">
        <v>327</v>
      </c>
      <c r="P18" s="5" t="str">
        <f aca="false">IF(J18="S0","—",IF(K18="","",IF(L18="E0","QM",INDEX(10_ASIL_Matrix!$D$4:$F$15,MATCH(J18&amp;"-"&amp;L18,10_ASIL_Matrix!$C$4:$C$15,0),MATCH(N18,10_ASIL_Matrix!$D$3:$F$3,0)))))</f>
        <v>QM</v>
      </c>
      <c r="Q18" s="5" t="s">
        <v>328</v>
      </c>
    </row>
    <row r="19" customFormat="false" ht="68.65" hidden="false" customHeight="false" outlineLevel="0" collapsed="false">
      <c r="A19" s="6" t="s">
        <v>377</v>
      </c>
      <c r="B19" s="6" t="s">
        <v>112</v>
      </c>
      <c r="C19" s="6" t="s">
        <v>113</v>
      </c>
      <c r="D19" s="6" t="s">
        <v>135</v>
      </c>
      <c r="E19" s="6" t="s">
        <v>136</v>
      </c>
      <c r="F19" s="6" t="s">
        <v>192</v>
      </c>
      <c r="G19" s="6" t="s">
        <v>378</v>
      </c>
      <c r="H19" s="6" t="s">
        <v>199</v>
      </c>
      <c r="I19" s="6" t="s">
        <v>379</v>
      </c>
      <c r="J19" s="6" t="s">
        <v>226</v>
      </c>
      <c r="K19" s="6" t="s">
        <v>380</v>
      </c>
      <c r="L19" s="6" t="s">
        <v>185</v>
      </c>
      <c r="M19" s="6" t="s">
        <v>381</v>
      </c>
      <c r="N19" s="6" t="s">
        <v>261</v>
      </c>
      <c r="O19" s="6" t="s">
        <v>327</v>
      </c>
      <c r="P19" s="15" t="str">
        <f aca="false">IF(J19="S0","—",IF(K19="","",IF(L19="E0","QM",INDEX(10_ASIL_Matrix!$D$4:$F$15,MATCH(J19&amp;"-"&amp;L19,10_ASIL_Matrix!$C$4:$C$15,0),MATCH(N19,10_ASIL_Matrix!$D$3:$F$3,0)))))</f>
        <v>B</v>
      </c>
      <c r="Q19" s="6" t="s">
        <v>328</v>
      </c>
    </row>
    <row r="20" customFormat="false" ht="68.65" hidden="false" customHeight="false" outlineLevel="0" collapsed="false">
      <c r="A20" s="5" t="s">
        <v>382</v>
      </c>
      <c r="B20" s="5" t="s">
        <v>112</v>
      </c>
      <c r="C20" s="5" t="s">
        <v>113</v>
      </c>
      <c r="D20" s="5" t="s">
        <v>135</v>
      </c>
      <c r="E20" s="5" t="s">
        <v>136</v>
      </c>
      <c r="F20" s="5" t="s">
        <v>192</v>
      </c>
      <c r="G20" s="5" t="s">
        <v>378</v>
      </c>
      <c r="H20" s="5" t="s">
        <v>201</v>
      </c>
      <c r="I20" s="5" t="s">
        <v>383</v>
      </c>
      <c r="J20" s="5" t="s">
        <v>226</v>
      </c>
      <c r="K20" s="5" t="s">
        <v>380</v>
      </c>
      <c r="L20" s="5" t="s">
        <v>185</v>
      </c>
      <c r="M20" s="5" t="s">
        <v>384</v>
      </c>
      <c r="N20" s="5" t="s">
        <v>261</v>
      </c>
      <c r="O20" s="5" t="s">
        <v>327</v>
      </c>
      <c r="P20" s="15" t="str">
        <f aca="false">IF(J20="S0","—",IF(K20="","",IF(L20="E0","QM",INDEX(10_ASIL_Matrix!$D$4:$F$15,MATCH(J20&amp;"-"&amp;L20,10_ASIL_Matrix!$C$4:$C$15,0),MATCH(N20,10_ASIL_Matrix!$D$3:$F$3,0)))))</f>
        <v>B</v>
      </c>
      <c r="Q20" s="5" t="s">
        <v>328</v>
      </c>
    </row>
    <row r="21" customFormat="false" ht="68.65" hidden="false" customHeight="false" outlineLevel="0" collapsed="false">
      <c r="A21" s="6" t="s">
        <v>385</v>
      </c>
      <c r="B21" s="6" t="s">
        <v>112</v>
      </c>
      <c r="C21" s="6" t="s">
        <v>113</v>
      </c>
      <c r="D21" s="6" t="s">
        <v>135</v>
      </c>
      <c r="E21" s="6" t="s">
        <v>136</v>
      </c>
      <c r="F21" s="6" t="s">
        <v>192</v>
      </c>
      <c r="G21" s="6" t="s">
        <v>378</v>
      </c>
      <c r="H21" s="6" t="s">
        <v>203</v>
      </c>
      <c r="I21" s="6" t="s">
        <v>386</v>
      </c>
      <c r="J21" s="6" t="s">
        <v>226</v>
      </c>
      <c r="K21" s="6" t="s">
        <v>380</v>
      </c>
      <c r="L21" s="6" t="s">
        <v>185</v>
      </c>
      <c r="M21" s="6" t="s">
        <v>387</v>
      </c>
      <c r="N21" s="6" t="s">
        <v>261</v>
      </c>
      <c r="O21" s="6" t="s">
        <v>327</v>
      </c>
      <c r="P21" s="15" t="str">
        <f aca="false">IF(J21="S0","—",IF(K21="","",IF(L21="E0","QM",INDEX(10_ASIL_Matrix!$D$4:$F$15,MATCH(J21&amp;"-"&amp;L21,10_ASIL_Matrix!$C$4:$C$15,0),MATCH(N21,10_ASIL_Matrix!$D$3:$F$3,0)))))</f>
        <v>B</v>
      </c>
      <c r="Q21" s="6" t="s">
        <v>328</v>
      </c>
    </row>
    <row r="22" customFormat="false" ht="68.65" hidden="false" customHeight="false" outlineLevel="0" collapsed="false">
      <c r="A22" s="5" t="s">
        <v>388</v>
      </c>
      <c r="B22" s="5" t="s">
        <v>112</v>
      </c>
      <c r="C22" s="5" t="s">
        <v>113</v>
      </c>
      <c r="D22" s="5" t="s">
        <v>135</v>
      </c>
      <c r="E22" s="5" t="s">
        <v>136</v>
      </c>
      <c r="F22" s="5" t="s">
        <v>192</v>
      </c>
      <c r="G22" s="5" t="s">
        <v>378</v>
      </c>
      <c r="H22" s="5" t="s">
        <v>205</v>
      </c>
      <c r="I22" s="5" t="s">
        <v>389</v>
      </c>
      <c r="J22" s="5" t="s">
        <v>226</v>
      </c>
      <c r="K22" s="5" t="s">
        <v>390</v>
      </c>
      <c r="L22" s="5" t="s">
        <v>206</v>
      </c>
      <c r="M22" s="5" t="s">
        <v>391</v>
      </c>
      <c r="N22" s="5" t="s">
        <v>261</v>
      </c>
      <c r="O22" s="5" t="s">
        <v>327</v>
      </c>
      <c r="P22" s="16" t="str">
        <f aca="false">IF(J22="S0","—",IF(K22="","",IF(L22="E0","QM",INDEX(10_ASIL_Matrix!$D$4:$F$15,MATCH(J22&amp;"-"&amp;L22,10_ASIL_Matrix!$C$4:$C$15,0),MATCH(N22,10_ASIL_Matrix!$D$3:$F$3,0)))))</f>
        <v>A</v>
      </c>
      <c r="Q22" s="5" t="s">
        <v>328</v>
      </c>
    </row>
    <row r="23" customFormat="false" ht="68.65" hidden="false" customHeight="false" outlineLevel="0" collapsed="false">
      <c r="A23" s="6" t="s">
        <v>392</v>
      </c>
      <c r="B23" s="6" t="s">
        <v>112</v>
      </c>
      <c r="C23" s="6" t="s">
        <v>113</v>
      </c>
      <c r="D23" s="6" t="s">
        <v>135</v>
      </c>
      <c r="E23" s="6" t="s">
        <v>136</v>
      </c>
      <c r="F23" s="6" t="s">
        <v>192</v>
      </c>
      <c r="G23" s="6" t="s">
        <v>378</v>
      </c>
      <c r="H23" s="6" t="s">
        <v>208</v>
      </c>
      <c r="I23" s="6" t="s">
        <v>393</v>
      </c>
      <c r="J23" s="6" t="s">
        <v>226</v>
      </c>
      <c r="K23" s="6" t="s">
        <v>390</v>
      </c>
      <c r="L23" s="6" t="s">
        <v>209</v>
      </c>
      <c r="M23" s="6" t="s">
        <v>394</v>
      </c>
      <c r="N23" s="6" t="s">
        <v>261</v>
      </c>
      <c r="O23" s="6" t="s">
        <v>327</v>
      </c>
      <c r="P23" s="6" t="str">
        <f aca="false">IF(J23="S0","—",IF(K23="","",IF(L23="E0","QM",INDEX(10_ASIL_Matrix!$D$4:$F$15,MATCH(J23&amp;"-"&amp;L23,10_ASIL_Matrix!$C$4:$C$15,0),MATCH(N23,10_ASIL_Matrix!$D$3:$F$3,0)))))</f>
        <v>QM</v>
      </c>
      <c r="Q23" s="6" t="s">
        <v>328</v>
      </c>
    </row>
    <row r="24" customFormat="false" ht="68.65" hidden="false" customHeight="false" outlineLevel="0" collapsed="false">
      <c r="A24" s="5" t="s">
        <v>395</v>
      </c>
      <c r="B24" s="5" t="s">
        <v>112</v>
      </c>
      <c r="C24" s="5" t="s">
        <v>113</v>
      </c>
      <c r="D24" s="5" t="s">
        <v>135</v>
      </c>
      <c r="E24" s="5" t="s">
        <v>136</v>
      </c>
      <c r="F24" s="5" t="s">
        <v>194</v>
      </c>
      <c r="G24" s="5" t="s">
        <v>396</v>
      </c>
      <c r="H24" s="5" t="s">
        <v>199</v>
      </c>
      <c r="I24" s="5" t="s">
        <v>397</v>
      </c>
      <c r="J24" s="5" t="s">
        <v>226</v>
      </c>
      <c r="K24" s="5" t="s">
        <v>398</v>
      </c>
      <c r="L24" s="5" t="s">
        <v>188</v>
      </c>
      <c r="M24" s="5" t="s">
        <v>399</v>
      </c>
      <c r="N24" s="5" t="s">
        <v>261</v>
      </c>
      <c r="O24" s="5" t="s">
        <v>327</v>
      </c>
      <c r="P24" s="17" t="str">
        <f aca="false">IF(J24="S0","—",IF(K24="","",IF(L24="E0","QM",INDEX(10_ASIL_Matrix!$D$4:$F$15,MATCH(J24&amp;"-"&amp;L24,10_ASIL_Matrix!$C$4:$C$15,0),MATCH(N24,10_ASIL_Matrix!$D$3:$F$3,0)))))</f>
        <v>C</v>
      </c>
      <c r="Q24" s="5" t="s">
        <v>328</v>
      </c>
    </row>
    <row r="25" customFormat="false" ht="68.65" hidden="false" customHeight="false" outlineLevel="0" collapsed="false">
      <c r="A25" s="6" t="s">
        <v>400</v>
      </c>
      <c r="B25" s="6" t="s">
        <v>112</v>
      </c>
      <c r="C25" s="6" t="s">
        <v>113</v>
      </c>
      <c r="D25" s="6" t="s">
        <v>135</v>
      </c>
      <c r="E25" s="6" t="s">
        <v>136</v>
      </c>
      <c r="F25" s="6" t="s">
        <v>194</v>
      </c>
      <c r="G25" s="6" t="s">
        <v>396</v>
      </c>
      <c r="H25" s="6" t="s">
        <v>201</v>
      </c>
      <c r="I25" s="6" t="s">
        <v>401</v>
      </c>
      <c r="J25" s="6" t="s">
        <v>226</v>
      </c>
      <c r="K25" s="6" t="s">
        <v>398</v>
      </c>
      <c r="L25" s="6" t="s">
        <v>185</v>
      </c>
      <c r="M25" s="6" t="s">
        <v>402</v>
      </c>
      <c r="N25" s="6" t="s">
        <v>261</v>
      </c>
      <c r="O25" s="6" t="s">
        <v>327</v>
      </c>
      <c r="P25" s="15" t="str">
        <f aca="false">IF(J25="S0","—",IF(K25="","",IF(L25="E0","QM",INDEX(10_ASIL_Matrix!$D$4:$F$15,MATCH(J25&amp;"-"&amp;L25,10_ASIL_Matrix!$C$4:$C$15,0),MATCH(N25,10_ASIL_Matrix!$D$3:$F$3,0)))))</f>
        <v>B</v>
      </c>
      <c r="Q25" s="6" t="s">
        <v>328</v>
      </c>
    </row>
    <row r="26" customFormat="false" ht="68.65" hidden="false" customHeight="false" outlineLevel="0" collapsed="false">
      <c r="A26" s="5" t="s">
        <v>403</v>
      </c>
      <c r="B26" s="5" t="s">
        <v>112</v>
      </c>
      <c r="C26" s="5" t="s">
        <v>113</v>
      </c>
      <c r="D26" s="5" t="s">
        <v>135</v>
      </c>
      <c r="E26" s="5" t="s">
        <v>136</v>
      </c>
      <c r="F26" s="5" t="s">
        <v>194</v>
      </c>
      <c r="G26" s="5" t="s">
        <v>396</v>
      </c>
      <c r="H26" s="5" t="s">
        <v>203</v>
      </c>
      <c r="I26" s="5" t="s">
        <v>404</v>
      </c>
      <c r="J26" s="5" t="s">
        <v>226</v>
      </c>
      <c r="K26" s="5" t="s">
        <v>398</v>
      </c>
      <c r="L26" s="5" t="s">
        <v>185</v>
      </c>
      <c r="M26" s="5" t="s">
        <v>405</v>
      </c>
      <c r="N26" s="5" t="s">
        <v>261</v>
      </c>
      <c r="O26" s="5" t="s">
        <v>327</v>
      </c>
      <c r="P26" s="15" t="str">
        <f aca="false">IF(J26="S0","—",IF(K26="","",IF(L26="E0","QM",INDEX(10_ASIL_Matrix!$D$4:$F$15,MATCH(J26&amp;"-"&amp;L26,10_ASIL_Matrix!$C$4:$C$15,0),MATCH(N26,10_ASIL_Matrix!$D$3:$F$3,0)))))</f>
        <v>B</v>
      </c>
      <c r="Q26" s="5" t="s">
        <v>328</v>
      </c>
    </row>
    <row r="27" customFormat="false" ht="68.65" hidden="false" customHeight="false" outlineLevel="0" collapsed="false">
      <c r="A27" s="6" t="s">
        <v>406</v>
      </c>
      <c r="B27" s="6" t="s">
        <v>112</v>
      </c>
      <c r="C27" s="6" t="s">
        <v>113</v>
      </c>
      <c r="D27" s="6" t="s">
        <v>135</v>
      </c>
      <c r="E27" s="6" t="s">
        <v>136</v>
      </c>
      <c r="F27" s="6" t="s">
        <v>194</v>
      </c>
      <c r="G27" s="6" t="s">
        <v>396</v>
      </c>
      <c r="H27" s="6" t="s">
        <v>205</v>
      </c>
      <c r="I27" s="6" t="s">
        <v>407</v>
      </c>
      <c r="J27" s="6" t="s">
        <v>226</v>
      </c>
      <c r="K27" s="6" t="s">
        <v>408</v>
      </c>
      <c r="L27" s="6" t="s">
        <v>206</v>
      </c>
      <c r="M27" s="6" t="s">
        <v>409</v>
      </c>
      <c r="N27" s="6" t="s">
        <v>261</v>
      </c>
      <c r="O27" s="6" t="s">
        <v>327</v>
      </c>
      <c r="P27" s="16" t="str">
        <f aca="false">IF(J27="S0","—",IF(K27="","",IF(L27="E0","QM",INDEX(10_ASIL_Matrix!$D$4:$F$15,MATCH(J27&amp;"-"&amp;L27,10_ASIL_Matrix!$C$4:$C$15,0),MATCH(N27,10_ASIL_Matrix!$D$3:$F$3,0)))))</f>
        <v>A</v>
      </c>
      <c r="Q27" s="6" t="s">
        <v>328</v>
      </c>
    </row>
    <row r="28" customFormat="false" ht="68.65" hidden="false" customHeight="false" outlineLevel="0" collapsed="false">
      <c r="A28" s="5" t="s">
        <v>410</v>
      </c>
      <c r="B28" s="5" t="s">
        <v>112</v>
      </c>
      <c r="C28" s="5" t="s">
        <v>113</v>
      </c>
      <c r="D28" s="5" t="s">
        <v>135</v>
      </c>
      <c r="E28" s="5" t="s">
        <v>136</v>
      </c>
      <c r="F28" s="5" t="s">
        <v>194</v>
      </c>
      <c r="G28" s="5" t="s">
        <v>396</v>
      </c>
      <c r="H28" s="5" t="s">
        <v>208</v>
      </c>
      <c r="I28" s="5" t="s">
        <v>411</v>
      </c>
      <c r="J28" s="5" t="s">
        <v>226</v>
      </c>
      <c r="K28" s="5" t="s">
        <v>408</v>
      </c>
      <c r="L28" s="5" t="s">
        <v>209</v>
      </c>
      <c r="M28" s="5" t="s">
        <v>412</v>
      </c>
      <c r="N28" s="5" t="s">
        <v>261</v>
      </c>
      <c r="O28" s="5" t="s">
        <v>327</v>
      </c>
      <c r="P28" s="5" t="str">
        <f aca="false">IF(J28="S0","—",IF(K28="","",IF(L28="E0","QM",INDEX(10_ASIL_Matrix!$D$4:$F$15,MATCH(J28&amp;"-"&amp;L28,10_ASIL_Matrix!$C$4:$C$15,0),MATCH(N28,10_ASIL_Matrix!$D$3:$F$3,0)))))</f>
        <v>QM</v>
      </c>
      <c r="Q28" s="5" t="s">
        <v>328</v>
      </c>
    </row>
    <row r="29" customFormat="false" ht="68.65" hidden="false" customHeight="false" outlineLevel="0" collapsed="false">
      <c r="A29" s="6" t="s">
        <v>413</v>
      </c>
      <c r="B29" s="6" t="s">
        <v>112</v>
      </c>
      <c r="C29" s="6" t="s">
        <v>113</v>
      </c>
      <c r="D29" s="6" t="s">
        <v>138</v>
      </c>
      <c r="E29" s="6" t="s">
        <v>139</v>
      </c>
      <c r="F29" s="6" t="s">
        <v>184</v>
      </c>
      <c r="G29" s="6" t="s">
        <v>323</v>
      </c>
      <c r="H29" s="6" t="s">
        <v>199</v>
      </c>
      <c r="I29" s="6" t="s">
        <v>414</v>
      </c>
      <c r="J29" s="6" t="s">
        <v>218</v>
      </c>
      <c r="K29" s="6" t="s">
        <v>325</v>
      </c>
      <c r="L29" s="6" t="s">
        <v>185</v>
      </c>
      <c r="M29" s="6" t="s">
        <v>326</v>
      </c>
      <c r="N29" s="6" t="s">
        <v>261</v>
      </c>
      <c r="O29" s="6" t="s">
        <v>327</v>
      </c>
      <c r="P29" s="6" t="str">
        <f aca="false">IF(J29="S0","—",IF(K29="","",IF(L29="E0","QM",INDEX(10_ASIL_Matrix!$D$4:$F$15,MATCH(J29&amp;"-"&amp;L29,10_ASIL_Matrix!$C$4:$C$15,0),MATCH(N29,10_ASIL_Matrix!$D$3:$F$3,0)))))</f>
        <v>QM</v>
      </c>
      <c r="Q29" s="6" t="s">
        <v>328</v>
      </c>
    </row>
    <row r="30" customFormat="false" ht="68.65" hidden="false" customHeight="false" outlineLevel="0" collapsed="false">
      <c r="A30" s="5" t="s">
        <v>415</v>
      </c>
      <c r="B30" s="5" t="s">
        <v>112</v>
      </c>
      <c r="C30" s="5" t="s">
        <v>113</v>
      </c>
      <c r="D30" s="5" t="s">
        <v>138</v>
      </c>
      <c r="E30" s="5" t="s">
        <v>139</v>
      </c>
      <c r="F30" s="5" t="s">
        <v>184</v>
      </c>
      <c r="G30" s="5" t="s">
        <v>323</v>
      </c>
      <c r="H30" s="5" t="s">
        <v>201</v>
      </c>
      <c r="I30" s="5" t="s">
        <v>416</v>
      </c>
      <c r="J30" s="5" t="s">
        <v>218</v>
      </c>
      <c r="K30" s="5" t="s">
        <v>325</v>
      </c>
      <c r="L30" s="5" t="s">
        <v>185</v>
      </c>
      <c r="M30" s="5" t="s">
        <v>331</v>
      </c>
      <c r="N30" s="5" t="s">
        <v>261</v>
      </c>
      <c r="O30" s="5" t="s">
        <v>327</v>
      </c>
      <c r="P30" s="5" t="str">
        <f aca="false">IF(J30="S0","—",IF(K30="","",IF(L30="E0","QM",INDEX(10_ASIL_Matrix!$D$4:$F$15,MATCH(J30&amp;"-"&amp;L30,10_ASIL_Matrix!$C$4:$C$15,0),MATCH(N30,10_ASIL_Matrix!$D$3:$F$3,0)))))</f>
        <v>QM</v>
      </c>
      <c r="Q30" s="5" t="s">
        <v>328</v>
      </c>
    </row>
    <row r="31" customFormat="false" ht="68.65" hidden="false" customHeight="false" outlineLevel="0" collapsed="false">
      <c r="A31" s="6" t="s">
        <v>417</v>
      </c>
      <c r="B31" s="6" t="s">
        <v>112</v>
      </c>
      <c r="C31" s="6" t="s">
        <v>113</v>
      </c>
      <c r="D31" s="6" t="s">
        <v>138</v>
      </c>
      <c r="E31" s="6" t="s">
        <v>139</v>
      </c>
      <c r="F31" s="6" t="s">
        <v>184</v>
      </c>
      <c r="G31" s="6" t="s">
        <v>323</v>
      </c>
      <c r="H31" s="6" t="s">
        <v>203</v>
      </c>
      <c r="I31" s="6" t="s">
        <v>418</v>
      </c>
      <c r="J31" s="6" t="s">
        <v>218</v>
      </c>
      <c r="K31" s="6" t="s">
        <v>325</v>
      </c>
      <c r="L31" s="6" t="s">
        <v>185</v>
      </c>
      <c r="M31" s="6" t="s">
        <v>334</v>
      </c>
      <c r="N31" s="6" t="s">
        <v>261</v>
      </c>
      <c r="O31" s="6" t="s">
        <v>327</v>
      </c>
      <c r="P31" s="6" t="str">
        <f aca="false">IF(J31="S0","—",IF(K31="","",IF(L31="E0","QM",INDEX(10_ASIL_Matrix!$D$4:$F$15,MATCH(J31&amp;"-"&amp;L31,10_ASIL_Matrix!$C$4:$C$15,0),MATCH(N31,10_ASIL_Matrix!$D$3:$F$3,0)))))</f>
        <v>QM</v>
      </c>
      <c r="Q31" s="6" t="s">
        <v>328</v>
      </c>
    </row>
    <row r="32" customFormat="false" ht="68.65" hidden="false" customHeight="false" outlineLevel="0" collapsed="false">
      <c r="A32" s="5" t="s">
        <v>419</v>
      </c>
      <c r="B32" s="5" t="s">
        <v>112</v>
      </c>
      <c r="C32" s="5" t="s">
        <v>113</v>
      </c>
      <c r="D32" s="5" t="s">
        <v>138</v>
      </c>
      <c r="E32" s="5" t="s">
        <v>139</v>
      </c>
      <c r="F32" s="5" t="s">
        <v>184</v>
      </c>
      <c r="G32" s="5" t="s">
        <v>323</v>
      </c>
      <c r="H32" s="5" t="s">
        <v>205</v>
      </c>
      <c r="I32" s="5" t="s">
        <v>420</v>
      </c>
      <c r="J32" s="5" t="s">
        <v>218</v>
      </c>
      <c r="K32" s="5" t="s">
        <v>325</v>
      </c>
      <c r="L32" s="5" t="s">
        <v>206</v>
      </c>
      <c r="M32" s="5" t="s">
        <v>337</v>
      </c>
      <c r="N32" s="5" t="s">
        <v>261</v>
      </c>
      <c r="O32" s="5" t="s">
        <v>327</v>
      </c>
      <c r="P32" s="5" t="str">
        <f aca="false">IF(J32="S0","—",IF(K32="","",IF(L32="E0","QM",INDEX(10_ASIL_Matrix!$D$4:$F$15,MATCH(J32&amp;"-"&amp;L32,10_ASIL_Matrix!$C$4:$C$15,0),MATCH(N32,10_ASIL_Matrix!$D$3:$F$3,0)))))</f>
        <v>QM</v>
      </c>
      <c r="Q32" s="5" t="s">
        <v>328</v>
      </c>
    </row>
    <row r="33" customFormat="false" ht="68.65" hidden="false" customHeight="false" outlineLevel="0" collapsed="false">
      <c r="A33" s="6" t="s">
        <v>421</v>
      </c>
      <c r="B33" s="6" t="s">
        <v>112</v>
      </c>
      <c r="C33" s="6" t="s">
        <v>113</v>
      </c>
      <c r="D33" s="6" t="s">
        <v>138</v>
      </c>
      <c r="E33" s="6" t="s">
        <v>139</v>
      </c>
      <c r="F33" s="6" t="s">
        <v>184</v>
      </c>
      <c r="G33" s="6" t="s">
        <v>323</v>
      </c>
      <c r="H33" s="6" t="s">
        <v>208</v>
      </c>
      <c r="I33" s="6" t="s">
        <v>422</v>
      </c>
      <c r="J33" s="6" t="s">
        <v>218</v>
      </c>
      <c r="K33" s="6" t="s">
        <v>325</v>
      </c>
      <c r="L33" s="6" t="s">
        <v>209</v>
      </c>
      <c r="M33" s="6" t="s">
        <v>340</v>
      </c>
      <c r="N33" s="6" t="s">
        <v>261</v>
      </c>
      <c r="O33" s="6" t="s">
        <v>327</v>
      </c>
      <c r="P33" s="6" t="str">
        <f aca="false">IF(J33="S0","—",IF(K33="","",IF(L33="E0","QM",INDEX(10_ASIL_Matrix!$D$4:$F$15,MATCH(J33&amp;"-"&amp;L33,10_ASIL_Matrix!$C$4:$C$15,0),MATCH(N33,10_ASIL_Matrix!$D$3:$F$3,0)))))</f>
        <v>QM</v>
      </c>
      <c r="Q33" s="6" t="s">
        <v>328</v>
      </c>
    </row>
    <row r="34" customFormat="false" ht="68.65" hidden="false" customHeight="false" outlineLevel="0" collapsed="false">
      <c r="A34" s="5" t="s">
        <v>423</v>
      </c>
      <c r="B34" s="5" t="s">
        <v>112</v>
      </c>
      <c r="C34" s="5" t="s">
        <v>113</v>
      </c>
      <c r="D34" s="5" t="s">
        <v>138</v>
      </c>
      <c r="E34" s="5" t="s">
        <v>139</v>
      </c>
      <c r="F34" s="5" t="s">
        <v>187</v>
      </c>
      <c r="G34" s="5" t="s">
        <v>342</v>
      </c>
      <c r="H34" s="5" t="s">
        <v>199</v>
      </c>
      <c r="I34" s="5" t="s">
        <v>424</v>
      </c>
      <c r="J34" s="5" t="s">
        <v>222</v>
      </c>
      <c r="K34" s="5" t="s">
        <v>344</v>
      </c>
      <c r="L34" s="5" t="s">
        <v>188</v>
      </c>
      <c r="M34" s="5" t="s">
        <v>345</v>
      </c>
      <c r="N34" s="5" t="s">
        <v>261</v>
      </c>
      <c r="O34" s="5" t="s">
        <v>327</v>
      </c>
      <c r="P34" s="15" t="str">
        <f aca="false">IF(J34="S0","—",IF(K34="","",IF(L34="E0","QM",INDEX(10_ASIL_Matrix!$D$4:$F$15,MATCH(J34&amp;"-"&amp;L34,10_ASIL_Matrix!$C$4:$C$15,0),MATCH(N34,10_ASIL_Matrix!$D$3:$F$3,0)))))</f>
        <v>B</v>
      </c>
      <c r="Q34" s="5" t="s">
        <v>328</v>
      </c>
    </row>
    <row r="35" customFormat="false" ht="68.65" hidden="false" customHeight="false" outlineLevel="0" collapsed="false">
      <c r="A35" s="6" t="s">
        <v>425</v>
      </c>
      <c r="B35" s="6" t="s">
        <v>112</v>
      </c>
      <c r="C35" s="6" t="s">
        <v>113</v>
      </c>
      <c r="D35" s="6" t="s">
        <v>138</v>
      </c>
      <c r="E35" s="6" t="s">
        <v>139</v>
      </c>
      <c r="F35" s="6" t="s">
        <v>187</v>
      </c>
      <c r="G35" s="6" t="s">
        <v>342</v>
      </c>
      <c r="H35" s="6" t="s">
        <v>201</v>
      </c>
      <c r="I35" s="6" t="s">
        <v>426</v>
      </c>
      <c r="J35" s="6" t="s">
        <v>222</v>
      </c>
      <c r="K35" s="6" t="s">
        <v>344</v>
      </c>
      <c r="L35" s="6" t="s">
        <v>185</v>
      </c>
      <c r="M35" s="6" t="s">
        <v>348</v>
      </c>
      <c r="N35" s="6" t="s">
        <v>261</v>
      </c>
      <c r="O35" s="6" t="s">
        <v>327</v>
      </c>
      <c r="P35" s="16" t="str">
        <f aca="false">IF(J35="S0","—",IF(K35="","",IF(L35="E0","QM",INDEX(10_ASIL_Matrix!$D$4:$F$15,MATCH(J35&amp;"-"&amp;L35,10_ASIL_Matrix!$C$4:$C$15,0),MATCH(N35,10_ASIL_Matrix!$D$3:$F$3,0)))))</f>
        <v>A</v>
      </c>
      <c r="Q35" s="6" t="s">
        <v>328</v>
      </c>
    </row>
    <row r="36" customFormat="false" ht="68.65" hidden="false" customHeight="false" outlineLevel="0" collapsed="false">
      <c r="A36" s="5" t="s">
        <v>427</v>
      </c>
      <c r="B36" s="5" t="s">
        <v>112</v>
      </c>
      <c r="C36" s="5" t="s">
        <v>113</v>
      </c>
      <c r="D36" s="5" t="s">
        <v>138</v>
      </c>
      <c r="E36" s="5" t="s">
        <v>139</v>
      </c>
      <c r="F36" s="5" t="s">
        <v>187</v>
      </c>
      <c r="G36" s="5" t="s">
        <v>342</v>
      </c>
      <c r="H36" s="5" t="s">
        <v>203</v>
      </c>
      <c r="I36" s="5" t="s">
        <v>428</v>
      </c>
      <c r="J36" s="5" t="s">
        <v>222</v>
      </c>
      <c r="K36" s="5" t="s">
        <v>344</v>
      </c>
      <c r="L36" s="5" t="s">
        <v>185</v>
      </c>
      <c r="M36" s="5" t="s">
        <v>351</v>
      </c>
      <c r="N36" s="5" t="s">
        <v>261</v>
      </c>
      <c r="O36" s="5" t="s">
        <v>327</v>
      </c>
      <c r="P36" s="16" t="str">
        <f aca="false">IF(J36="S0","—",IF(K36="","",IF(L36="E0","QM",INDEX(10_ASIL_Matrix!$D$4:$F$15,MATCH(J36&amp;"-"&amp;L36,10_ASIL_Matrix!$C$4:$C$15,0),MATCH(N36,10_ASIL_Matrix!$D$3:$F$3,0)))))</f>
        <v>A</v>
      </c>
      <c r="Q36" s="5" t="s">
        <v>328</v>
      </c>
    </row>
    <row r="37" customFormat="false" ht="68.65" hidden="false" customHeight="false" outlineLevel="0" collapsed="false">
      <c r="A37" s="6" t="s">
        <v>429</v>
      </c>
      <c r="B37" s="6" t="s">
        <v>112</v>
      </c>
      <c r="C37" s="6" t="s">
        <v>113</v>
      </c>
      <c r="D37" s="6" t="s">
        <v>138</v>
      </c>
      <c r="E37" s="6" t="s">
        <v>139</v>
      </c>
      <c r="F37" s="6" t="s">
        <v>187</v>
      </c>
      <c r="G37" s="6" t="s">
        <v>342</v>
      </c>
      <c r="H37" s="6" t="s">
        <v>205</v>
      </c>
      <c r="I37" s="6" t="s">
        <v>430</v>
      </c>
      <c r="J37" s="6" t="s">
        <v>222</v>
      </c>
      <c r="K37" s="6" t="s">
        <v>354</v>
      </c>
      <c r="L37" s="6" t="s">
        <v>206</v>
      </c>
      <c r="M37" s="6" t="s">
        <v>355</v>
      </c>
      <c r="N37" s="6" t="s">
        <v>261</v>
      </c>
      <c r="O37" s="6" t="s">
        <v>327</v>
      </c>
      <c r="P37" s="6" t="str">
        <f aca="false">IF(J37="S0","—",IF(K37="","",IF(L37="E0","QM",INDEX(10_ASIL_Matrix!$D$4:$F$15,MATCH(J37&amp;"-"&amp;L37,10_ASIL_Matrix!$C$4:$C$15,0),MATCH(N37,10_ASIL_Matrix!$D$3:$F$3,0)))))</f>
        <v>QM</v>
      </c>
      <c r="Q37" s="6" t="s">
        <v>328</v>
      </c>
    </row>
    <row r="38" customFormat="false" ht="68.65" hidden="false" customHeight="false" outlineLevel="0" collapsed="false">
      <c r="A38" s="5" t="s">
        <v>431</v>
      </c>
      <c r="B38" s="5" t="s">
        <v>112</v>
      </c>
      <c r="C38" s="5" t="s">
        <v>113</v>
      </c>
      <c r="D38" s="5" t="s">
        <v>138</v>
      </c>
      <c r="E38" s="5" t="s">
        <v>139</v>
      </c>
      <c r="F38" s="5" t="s">
        <v>187</v>
      </c>
      <c r="G38" s="5" t="s">
        <v>342</v>
      </c>
      <c r="H38" s="5" t="s">
        <v>208</v>
      </c>
      <c r="I38" s="5" t="s">
        <v>432</v>
      </c>
      <c r="J38" s="5" t="s">
        <v>222</v>
      </c>
      <c r="K38" s="5" t="s">
        <v>354</v>
      </c>
      <c r="L38" s="5" t="s">
        <v>209</v>
      </c>
      <c r="M38" s="5" t="s">
        <v>358</v>
      </c>
      <c r="N38" s="5" t="s">
        <v>261</v>
      </c>
      <c r="O38" s="5" t="s">
        <v>327</v>
      </c>
      <c r="P38" s="5" t="str">
        <f aca="false">IF(J38="S0","—",IF(K38="","",IF(L38="E0","QM",INDEX(10_ASIL_Matrix!$D$4:$F$15,MATCH(J38&amp;"-"&amp;L38,10_ASIL_Matrix!$C$4:$C$15,0),MATCH(N38,10_ASIL_Matrix!$D$3:$F$3,0)))))</f>
        <v>QM</v>
      </c>
      <c r="Q38" s="5" t="s">
        <v>328</v>
      </c>
    </row>
    <row r="39" customFormat="false" ht="68.65" hidden="false" customHeight="false" outlineLevel="0" collapsed="false">
      <c r="A39" s="6" t="s">
        <v>433</v>
      </c>
      <c r="B39" s="6" t="s">
        <v>112</v>
      </c>
      <c r="C39" s="6" t="s">
        <v>113</v>
      </c>
      <c r="D39" s="6" t="s">
        <v>138</v>
      </c>
      <c r="E39" s="6" t="s">
        <v>139</v>
      </c>
      <c r="F39" s="6" t="s">
        <v>190</v>
      </c>
      <c r="G39" s="6" t="s">
        <v>360</v>
      </c>
      <c r="H39" s="6" t="s">
        <v>199</v>
      </c>
      <c r="I39" s="6" t="s">
        <v>434</v>
      </c>
      <c r="J39" s="6" t="s">
        <v>222</v>
      </c>
      <c r="K39" s="6" t="s">
        <v>362</v>
      </c>
      <c r="L39" s="6" t="s">
        <v>188</v>
      </c>
      <c r="M39" s="6" t="s">
        <v>363</v>
      </c>
      <c r="N39" s="6" t="s">
        <v>261</v>
      </c>
      <c r="O39" s="6" t="s">
        <v>327</v>
      </c>
      <c r="P39" s="15" t="str">
        <f aca="false">IF(J39="S0","—",IF(K39="","",IF(L39="E0","QM",INDEX(10_ASIL_Matrix!$D$4:$F$15,MATCH(J39&amp;"-"&amp;L39,10_ASIL_Matrix!$C$4:$C$15,0),MATCH(N39,10_ASIL_Matrix!$D$3:$F$3,0)))))</f>
        <v>B</v>
      </c>
      <c r="Q39" s="6" t="s">
        <v>328</v>
      </c>
    </row>
    <row r="40" customFormat="false" ht="68.65" hidden="false" customHeight="false" outlineLevel="0" collapsed="false">
      <c r="A40" s="5" t="s">
        <v>435</v>
      </c>
      <c r="B40" s="5" t="s">
        <v>112</v>
      </c>
      <c r="C40" s="5" t="s">
        <v>113</v>
      </c>
      <c r="D40" s="5" t="s">
        <v>138</v>
      </c>
      <c r="E40" s="5" t="s">
        <v>139</v>
      </c>
      <c r="F40" s="5" t="s">
        <v>190</v>
      </c>
      <c r="G40" s="5" t="s">
        <v>360</v>
      </c>
      <c r="H40" s="5" t="s">
        <v>201</v>
      </c>
      <c r="I40" s="5" t="s">
        <v>436</v>
      </c>
      <c r="J40" s="5" t="s">
        <v>222</v>
      </c>
      <c r="K40" s="5" t="s">
        <v>362</v>
      </c>
      <c r="L40" s="5" t="s">
        <v>185</v>
      </c>
      <c r="M40" s="5" t="s">
        <v>366</v>
      </c>
      <c r="N40" s="5" t="s">
        <v>261</v>
      </c>
      <c r="O40" s="5" t="s">
        <v>327</v>
      </c>
      <c r="P40" s="16" t="str">
        <f aca="false">IF(J40="S0","—",IF(K40="","",IF(L40="E0","QM",INDEX(10_ASIL_Matrix!$D$4:$F$15,MATCH(J40&amp;"-"&amp;L40,10_ASIL_Matrix!$C$4:$C$15,0),MATCH(N40,10_ASIL_Matrix!$D$3:$F$3,0)))))</f>
        <v>A</v>
      </c>
      <c r="Q40" s="5" t="s">
        <v>328</v>
      </c>
    </row>
    <row r="41" customFormat="false" ht="68.65" hidden="false" customHeight="false" outlineLevel="0" collapsed="false">
      <c r="A41" s="6" t="s">
        <v>437</v>
      </c>
      <c r="B41" s="6" t="s">
        <v>112</v>
      </c>
      <c r="C41" s="6" t="s">
        <v>113</v>
      </c>
      <c r="D41" s="6" t="s">
        <v>138</v>
      </c>
      <c r="E41" s="6" t="s">
        <v>139</v>
      </c>
      <c r="F41" s="6" t="s">
        <v>190</v>
      </c>
      <c r="G41" s="6" t="s">
        <v>360</v>
      </c>
      <c r="H41" s="6" t="s">
        <v>203</v>
      </c>
      <c r="I41" s="6" t="s">
        <v>438</v>
      </c>
      <c r="J41" s="6" t="s">
        <v>222</v>
      </c>
      <c r="K41" s="6" t="s">
        <v>362</v>
      </c>
      <c r="L41" s="6" t="s">
        <v>185</v>
      </c>
      <c r="M41" s="6" t="s">
        <v>369</v>
      </c>
      <c r="N41" s="6" t="s">
        <v>261</v>
      </c>
      <c r="O41" s="6" t="s">
        <v>327</v>
      </c>
      <c r="P41" s="16" t="str">
        <f aca="false">IF(J41="S0","—",IF(K41="","",IF(L41="E0","QM",INDEX(10_ASIL_Matrix!$D$4:$F$15,MATCH(J41&amp;"-"&amp;L41,10_ASIL_Matrix!$C$4:$C$15,0),MATCH(N41,10_ASIL_Matrix!$D$3:$F$3,0)))))</f>
        <v>A</v>
      </c>
      <c r="Q41" s="6" t="s">
        <v>328</v>
      </c>
    </row>
    <row r="42" customFormat="false" ht="68.65" hidden="false" customHeight="false" outlineLevel="0" collapsed="false">
      <c r="A42" s="5" t="s">
        <v>439</v>
      </c>
      <c r="B42" s="5" t="s">
        <v>112</v>
      </c>
      <c r="C42" s="5" t="s">
        <v>113</v>
      </c>
      <c r="D42" s="5" t="s">
        <v>138</v>
      </c>
      <c r="E42" s="5" t="s">
        <v>139</v>
      </c>
      <c r="F42" s="5" t="s">
        <v>190</v>
      </c>
      <c r="G42" s="5" t="s">
        <v>360</v>
      </c>
      <c r="H42" s="5" t="s">
        <v>205</v>
      </c>
      <c r="I42" s="5" t="s">
        <v>440</v>
      </c>
      <c r="J42" s="5" t="s">
        <v>222</v>
      </c>
      <c r="K42" s="5" t="s">
        <v>372</v>
      </c>
      <c r="L42" s="5" t="s">
        <v>206</v>
      </c>
      <c r="M42" s="5" t="s">
        <v>373</v>
      </c>
      <c r="N42" s="5" t="s">
        <v>261</v>
      </c>
      <c r="O42" s="5" t="s">
        <v>327</v>
      </c>
      <c r="P42" s="5" t="str">
        <f aca="false">IF(J42="S0","—",IF(K42="","",IF(L42="E0","QM",INDEX(10_ASIL_Matrix!$D$4:$F$15,MATCH(J42&amp;"-"&amp;L42,10_ASIL_Matrix!$C$4:$C$15,0),MATCH(N42,10_ASIL_Matrix!$D$3:$F$3,0)))))</f>
        <v>QM</v>
      </c>
      <c r="Q42" s="5" t="s">
        <v>328</v>
      </c>
    </row>
    <row r="43" customFormat="false" ht="68.65" hidden="false" customHeight="false" outlineLevel="0" collapsed="false">
      <c r="A43" s="6" t="s">
        <v>441</v>
      </c>
      <c r="B43" s="6" t="s">
        <v>112</v>
      </c>
      <c r="C43" s="6" t="s">
        <v>113</v>
      </c>
      <c r="D43" s="6" t="s">
        <v>138</v>
      </c>
      <c r="E43" s="6" t="s">
        <v>139</v>
      </c>
      <c r="F43" s="6" t="s">
        <v>190</v>
      </c>
      <c r="G43" s="6" t="s">
        <v>360</v>
      </c>
      <c r="H43" s="6" t="s">
        <v>208</v>
      </c>
      <c r="I43" s="6" t="s">
        <v>442</v>
      </c>
      <c r="J43" s="6" t="s">
        <v>222</v>
      </c>
      <c r="K43" s="6" t="s">
        <v>372</v>
      </c>
      <c r="L43" s="6" t="s">
        <v>209</v>
      </c>
      <c r="M43" s="6" t="s">
        <v>376</v>
      </c>
      <c r="N43" s="6" t="s">
        <v>261</v>
      </c>
      <c r="O43" s="6" t="s">
        <v>327</v>
      </c>
      <c r="P43" s="6" t="str">
        <f aca="false">IF(J43="S0","—",IF(K43="","",IF(L43="E0","QM",INDEX(10_ASIL_Matrix!$D$4:$F$15,MATCH(J43&amp;"-"&amp;L43,10_ASIL_Matrix!$C$4:$C$15,0),MATCH(N43,10_ASIL_Matrix!$D$3:$F$3,0)))))</f>
        <v>QM</v>
      </c>
      <c r="Q43" s="6" t="s">
        <v>328</v>
      </c>
    </row>
    <row r="44" customFormat="false" ht="68.65" hidden="false" customHeight="false" outlineLevel="0" collapsed="false">
      <c r="A44" s="5" t="s">
        <v>443</v>
      </c>
      <c r="B44" s="5" t="s">
        <v>112</v>
      </c>
      <c r="C44" s="5" t="s">
        <v>113</v>
      </c>
      <c r="D44" s="5" t="s">
        <v>138</v>
      </c>
      <c r="E44" s="5" t="s">
        <v>139</v>
      </c>
      <c r="F44" s="5" t="s">
        <v>192</v>
      </c>
      <c r="G44" s="5" t="s">
        <v>378</v>
      </c>
      <c r="H44" s="5" t="s">
        <v>199</v>
      </c>
      <c r="I44" s="5" t="s">
        <v>444</v>
      </c>
      <c r="J44" s="5" t="s">
        <v>226</v>
      </c>
      <c r="K44" s="5" t="s">
        <v>380</v>
      </c>
      <c r="L44" s="5" t="s">
        <v>185</v>
      </c>
      <c r="M44" s="5" t="s">
        <v>381</v>
      </c>
      <c r="N44" s="5" t="s">
        <v>261</v>
      </c>
      <c r="O44" s="5" t="s">
        <v>327</v>
      </c>
      <c r="P44" s="15" t="str">
        <f aca="false">IF(J44="S0","—",IF(K44="","",IF(L44="E0","QM",INDEX(10_ASIL_Matrix!$D$4:$F$15,MATCH(J44&amp;"-"&amp;L44,10_ASIL_Matrix!$C$4:$C$15,0),MATCH(N44,10_ASIL_Matrix!$D$3:$F$3,0)))))</f>
        <v>B</v>
      </c>
      <c r="Q44" s="5" t="s">
        <v>328</v>
      </c>
    </row>
    <row r="45" customFormat="false" ht="68.65" hidden="false" customHeight="false" outlineLevel="0" collapsed="false">
      <c r="A45" s="6" t="s">
        <v>445</v>
      </c>
      <c r="B45" s="6" t="s">
        <v>112</v>
      </c>
      <c r="C45" s="6" t="s">
        <v>113</v>
      </c>
      <c r="D45" s="6" t="s">
        <v>138</v>
      </c>
      <c r="E45" s="6" t="s">
        <v>139</v>
      </c>
      <c r="F45" s="6" t="s">
        <v>192</v>
      </c>
      <c r="G45" s="6" t="s">
        <v>378</v>
      </c>
      <c r="H45" s="6" t="s">
        <v>201</v>
      </c>
      <c r="I45" s="6" t="s">
        <v>446</v>
      </c>
      <c r="J45" s="6" t="s">
        <v>226</v>
      </c>
      <c r="K45" s="6" t="s">
        <v>380</v>
      </c>
      <c r="L45" s="6" t="s">
        <v>185</v>
      </c>
      <c r="M45" s="6" t="s">
        <v>384</v>
      </c>
      <c r="N45" s="6" t="s">
        <v>261</v>
      </c>
      <c r="O45" s="6" t="s">
        <v>327</v>
      </c>
      <c r="P45" s="15" t="str">
        <f aca="false">IF(J45="S0","—",IF(K45="","",IF(L45="E0","QM",INDEX(10_ASIL_Matrix!$D$4:$F$15,MATCH(J45&amp;"-"&amp;L45,10_ASIL_Matrix!$C$4:$C$15,0),MATCH(N45,10_ASIL_Matrix!$D$3:$F$3,0)))))</f>
        <v>B</v>
      </c>
      <c r="Q45" s="6" t="s">
        <v>328</v>
      </c>
    </row>
    <row r="46" customFormat="false" ht="68.65" hidden="false" customHeight="false" outlineLevel="0" collapsed="false">
      <c r="A46" s="5" t="s">
        <v>447</v>
      </c>
      <c r="B46" s="5" t="s">
        <v>112</v>
      </c>
      <c r="C46" s="5" t="s">
        <v>113</v>
      </c>
      <c r="D46" s="5" t="s">
        <v>138</v>
      </c>
      <c r="E46" s="5" t="s">
        <v>139</v>
      </c>
      <c r="F46" s="5" t="s">
        <v>192</v>
      </c>
      <c r="G46" s="5" t="s">
        <v>378</v>
      </c>
      <c r="H46" s="5" t="s">
        <v>203</v>
      </c>
      <c r="I46" s="5" t="s">
        <v>448</v>
      </c>
      <c r="J46" s="5" t="s">
        <v>226</v>
      </c>
      <c r="K46" s="5" t="s">
        <v>380</v>
      </c>
      <c r="L46" s="5" t="s">
        <v>185</v>
      </c>
      <c r="M46" s="5" t="s">
        <v>387</v>
      </c>
      <c r="N46" s="5" t="s">
        <v>261</v>
      </c>
      <c r="O46" s="5" t="s">
        <v>327</v>
      </c>
      <c r="P46" s="15" t="str">
        <f aca="false">IF(J46="S0","—",IF(K46="","",IF(L46="E0","QM",INDEX(10_ASIL_Matrix!$D$4:$F$15,MATCH(J46&amp;"-"&amp;L46,10_ASIL_Matrix!$C$4:$C$15,0),MATCH(N46,10_ASIL_Matrix!$D$3:$F$3,0)))))</f>
        <v>B</v>
      </c>
      <c r="Q46" s="5" t="s">
        <v>328</v>
      </c>
    </row>
    <row r="47" customFormat="false" ht="68.65" hidden="false" customHeight="false" outlineLevel="0" collapsed="false">
      <c r="A47" s="6" t="s">
        <v>449</v>
      </c>
      <c r="B47" s="6" t="s">
        <v>112</v>
      </c>
      <c r="C47" s="6" t="s">
        <v>113</v>
      </c>
      <c r="D47" s="6" t="s">
        <v>138</v>
      </c>
      <c r="E47" s="6" t="s">
        <v>139</v>
      </c>
      <c r="F47" s="6" t="s">
        <v>192</v>
      </c>
      <c r="G47" s="6" t="s">
        <v>378</v>
      </c>
      <c r="H47" s="6" t="s">
        <v>205</v>
      </c>
      <c r="I47" s="6" t="s">
        <v>450</v>
      </c>
      <c r="J47" s="6" t="s">
        <v>226</v>
      </c>
      <c r="K47" s="6" t="s">
        <v>390</v>
      </c>
      <c r="L47" s="6" t="s">
        <v>206</v>
      </c>
      <c r="M47" s="6" t="s">
        <v>391</v>
      </c>
      <c r="N47" s="6" t="s">
        <v>261</v>
      </c>
      <c r="O47" s="6" t="s">
        <v>327</v>
      </c>
      <c r="P47" s="16" t="str">
        <f aca="false">IF(J47="S0","—",IF(K47="","",IF(L47="E0","QM",INDEX(10_ASIL_Matrix!$D$4:$F$15,MATCH(J47&amp;"-"&amp;L47,10_ASIL_Matrix!$C$4:$C$15,0),MATCH(N47,10_ASIL_Matrix!$D$3:$F$3,0)))))</f>
        <v>A</v>
      </c>
      <c r="Q47" s="6" t="s">
        <v>328</v>
      </c>
    </row>
    <row r="48" customFormat="false" ht="68.65" hidden="false" customHeight="false" outlineLevel="0" collapsed="false">
      <c r="A48" s="5" t="s">
        <v>451</v>
      </c>
      <c r="B48" s="5" t="s">
        <v>112</v>
      </c>
      <c r="C48" s="5" t="s">
        <v>113</v>
      </c>
      <c r="D48" s="5" t="s">
        <v>138</v>
      </c>
      <c r="E48" s="5" t="s">
        <v>139</v>
      </c>
      <c r="F48" s="5" t="s">
        <v>192</v>
      </c>
      <c r="G48" s="5" t="s">
        <v>378</v>
      </c>
      <c r="H48" s="5" t="s">
        <v>208</v>
      </c>
      <c r="I48" s="5" t="s">
        <v>452</v>
      </c>
      <c r="J48" s="5" t="s">
        <v>226</v>
      </c>
      <c r="K48" s="5" t="s">
        <v>390</v>
      </c>
      <c r="L48" s="5" t="s">
        <v>209</v>
      </c>
      <c r="M48" s="5" t="s">
        <v>394</v>
      </c>
      <c r="N48" s="5" t="s">
        <v>261</v>
      </c>
      <c r="O48" s="5" t="s">
        <v>327</v>
      </c>
      <c r="P48" s="5" t="str">
        <f aca="false">IF(J48="S0","—",IF(K48="","",IF(L48="E0","QM",INDEX(10_ASIL_Matrix!$D$4:$F$15,MATCH(J48&amp;"-"&amp;L48,10_ASIL_Matrix!$C$4:$C$15,0),MATCH(N48,10_ASIL_Matrix!$D$3:$F$3,0)))))</f>
        <v>QM</v>
      </c>
      <c r="Q48" s="5" t="s">
        <v>328</v>
      </c>
    </row>
    <row r="49" customFormat="false" ht="68.65" hidden="false" customHeight="false" outlineLevel="0" collapsed="false">
      <c r="A49" s="6" t="s">
        <v>453</v>
      </c>
      <c r="B49" s="6" t="s">
        <v>112</v>
      </c>
      <c r="C49" s="6" t="s">
        <v>113</v>
      </c>
      <c r="D49" s="6" t="s">
        <v>138</v>
      </c>
      <c r="E49" s="6" t="s">
        <v>139</v>
      </c>
      <c r="F49" s="6" t="s">
        <v>194</v>
      </c>
      <c r="G49" s="6" t="s">
        <v>396</v>
      </c>
      <c r="H49" s="6" t="s">
        <v>199</v>
      </c>
      <c r="I49" s="6" t="s">
        <v>454</v>
      </c>
      <c r="J49" s="6" t="s">
        <v>226</v>
      </c>
      <c r="K49" s="6" t="s">
        <v>398</v>
      </c>
      <c r="L49" s="6" t="s">
        <v>188</v>
      </c>
      <c r="M49" s="6" t="s">
        <v>399</v>
      </c>
      <c r="N49" s="6" t="s">
        <v>261</v>
      </c>
      <c r="O49" s="6" t="s">
        <v>327</v>
      </c>
      <c r="P49" s="17" t="str">
        <f aca="false">IF(J49="S0","—",IF(K49="","",IF(L49="E0","QM",INDEX(10_ASIL_Matrix!$D$4:$F$15,MATCH(J49&amp;"-"&amp;L49,10_ASIL_Matrix!$C$4:$C$15,0),MATCH(N49,10_ASIL_Matrix!$D$3:$F$3,0)))))</f>
        <v>C</v>
      </c>
      <c r="Q49" s="6" t="s">
        <v>328</v>
      </c>
    </row>
    <row r="50" customFormat="false" ht="68.65" hidden="false" customHeight="false" outlineLevel="0" collapsed="false">
      <c r="A50" s="5" t="s">
        <v>455</v>
      </c>
      <c r="B50" s="5" t="s">
        <v>112</v>
      </c>
      <c r="C50" s="5" t="s">
        <v>113</v>
      </c>
      <c r="D50" s="5" t="s">
        <v>138</v>
      </c>
      <c r="E50" s="5" t="s">
        <v>139</v>
      </c>
      <c r="F50" s="5" t="s">
        <v>194</v>
      </c>
      <c r="G50" s="5" t="s">
        <v>396</v>
      </c>
      <c r="H50" s="5" t="s">
        <v>201</v>
      </c>
      <c r="I50" s="5" t="s">
        <v>456</v>
      </c>
      <c r="J50" s="5" t="s">
        <v>226</v>
      </c>
      <c r="K50" s="5" t="s">
        <v>398</v>
      </c>
      <c r="L50" s="5" t="s">
        <v>185</v>
      </c>
      <c r="M50" s="5" t="s">
        <v>402</v>
      </c>
      <c r="N50" s="5" t="s">
        <v>261</v>
      </c>
      <c r="O50" s="5" t="s">
        <v>327</v>
      </c>
      <c r="P50" s="15" t="str">
        <f aca="false">IF(J50="S0","—",IF(K50="","",IF(L50="E0","QM",INDEX(10_ASIL_Matrix!$D$4:$F$15,MATCH(J50&amp;"-"&amp;L50,10_ASIL_Matrix!$C$4:$C$15,0),MATCH(N50,10_ASIL_Matrix!$D$3:$F$3,0)))))</f>
        <v>B</v>
      </c>
      <c r="Q50" s="5" t="s">
        <v>328</v>
      </c>
    </row>
    <row r="51" customFormat="false" ht="68.65" hidden="false" customHeight="false" outlineLevel="0" collapsed="false">
      <c r="A51" s="6" t="s">
        <v>457</v>
      </c>
      <c r="B51" s="6" t="s">
        <v>112</v>
      </c>
      <c r="C51" s="6" t="s">
        <v>113</v>
      </c>
      <c r="D51" s="6" t="s">
        <v>138</v>
      </c>
      <c r="E51" s="6" t="s">
        <v>139</v>
      </c>
      <c r="F51" s="6" t="s">
        <v>194</v>
      </c>
      <c r="G51" s="6" t="s">
        <v>396</v>
      </c>
      <c r="H51" s="6" t="s">
        <v>203</v>
      </c>
      <c r="I51" s="6" t="s">
        <v>458</v>
      </c>
      <c r="J51" s="6" t="s">
        <v>226</v>
      </c>
      <c r="K51" s="6" t="s">
        <v>398</v>
      </c>
      <c r="L51" s="6" t="s">
        <v>185</v>
      </c>
      <c r="M51" s="6" t="s">
        <v>405</v>
      </c>
      <c r="N51" s="6" t="s">
        <v>261</v>
      </c>
      <c r="O51" s="6" t="s">
        <v>327</v>
      </c>
      <c r="P51" s="15" t="str">
        <f aca="false">IF(J51="S0","—",IF(K51="","",IF(L51="E0","QM",INDEX(10_ASIL_Matrix!$D$4:$F$15,MATCH(J51&amp;"-"&amp;L51,10_ASIL_Matrix!$C$4:$C$15,0),MATCH(N51,10_ASIL_Matrix!$D$3:$F$3,0)))))</f>
        <v>B</v>
      </c>
      <c r="Q51" s="6" t="s">
        <v>328</v>
      </c>
    </row>
    <row r="52" customFormat="false" ht="68.65" hidden="false" customHeight="false" outlineLevel="0" collapsed="false">
      <c r="A52" s="5" t="s">
        <v>459</v>
      </c>
      <c r="B52" s="5" t="s">
        <v>112</v>
      </c>
      <c r="C52" s="5" t="s">
        <v>113</v>
      </c>
      <c r="D52" s="5" t="s">
        <v>138</v>
      </c>
      <c r="E52" s="5" t="s">
        <v>139</v>
      </c>
      <c r="F52" s="5" t="s">
        <v>194</v>
      </c>
      <c r="G52" s="5" t="s">
        <v>396</v>
      </c>
      <c r="H52" s="5" t="s">
        <v>205</v>
      </c>
      <c r="I52" s="5" t="s">
        <v>460</v>
      </c>
      <c r="J52" s="5" t="s">
        <v>226</v>
      </c>
      <c r="K52" s="5" t="s">
        <v>408</v>
      </c>
      <c r="L52" s="5" t="s">
        <v>206</v>
      </c>
      <c r="M52" s="5" t="s">
        <v>409</v>
      </c>
      <c r="N52" s="5" t="s">
        <v>261</v>
      </c>
      <c r="O52" s="5" t="s">
        <v>327</v>
      </c>
      <c r="P52" s="16" t="str">
        <f aca="false">IF(J52="S0","—",IF(K52="","",IF(L52="E0","QM",INDEX(10_ASIL_Matrix!$D$4:$F$15,MATCH(J52&amp;"-"&amp;L52,10_ASIL_Matrix!$C$4:$C$15,0),MATCH(N52,10_ASIL_Matrix!$D$3:$F$3,0)))))</f>
        <v>A</v>
      </c>
      <c r="Q52" s="5" t="s">
        <v>328</v>
      </c>
    </row>
    <row r="53" customFormat="false" ht="68.65" hidden="false" customHeight="false" outlineLevel="0" collapsed="false">
      <c r="A53" s="6" t="s">
        <v>461</v>
      </c>
      <c r="B53" s="6" t="s">
        <v>112</v>
      </c>
      <c r="C53" s="6" t="s">
        <v>113</v>
      </c>
      <c r="D53" s="6" t="s">
        <v>138</v>
      </c>
      <c r="E53" s="6" t="s">
        <v>139</v>
      </c>
      <c r="F53" s="6" t="s">
        <v>194</v>
      </c>
      <c r="G53" s="6" t="s">
        <v>396</v>
      </c>
      <c r="H53" s="6" t="s">
        <v>208</v>
      </c>
      <c r="I53" s="6" t="s">
        <v>462</v>
      </c>
      <c r="J53" s="6" t="s">
        <v>226</v>
      </c>
      <c r="K53" s="6" t="s">
        <v>408</v>
      </c>
      <c r="L53" s="6" t="s">
        <v>209</v>
      </c>
      <c r="M53" s="6" t="s">
        <v>412</v>
      </c>
      <c r="N53" s="6" t="s">
        <v>261</v>
      </c>
      <c r="O53" s="6" t="s">
        <v>327</v>
      </c>
      <c r="P53" s="6" t="str">
        <f aca="false">IF(J53="S0","—",IF(K53="","",IF(L53="E0","QM",INDEX(10_ASIL_Matrix!$D$4:$F$15,MATCH(J53&amp;"-"&amp;L53,10_ASIL_Matrix!$C$4:$C$15,0),MATCH(N53,10_ASIL_Matrix!$D$3:$F$3,0)))))</f>
        <v>QM</v>
      </c>
      <c r="Q53" s="6" t="s">
        <v>328</v>
      </c>
    </row>
    <row r="54" customFormat="false" ht="35.05" hidden="false" customHeight="false" outlineLevel="0" collapsed="false">
      <c r="A54" s="5" t="s">
        <v>463</v>
      </c>
      <c r="B54" s="5" t="s">
        <v>112</v>
      </c>
      <c r="C54" s="5" t="s">
        <v>113</v>
      </c>
      <c r="D54" s="5" t="s">
        <v>141</v>
      </c>
      <c r="E54" s="5" t="s">
        <v>142</v>
      </c>
      <c r="F54" s="5" t="s">
        <v>184</v>
      </c>
      <c r="G54" s="5" t="s">
        <v>323</v>
      </c>
      <c r="H54" s="5" t="s">
        <v>199</v>
      </c>
      <c r="I54" s="5" t="s">
        <v>464</v>
      </c>
      <c r="J54" s="5" t="s">
        <v>218</v>
      </c>
      <c r="K54" s="5" t="s">
        <v>325</v>
      </c>
      <c r="L54" s="5" t="s">
        <v>185</v>
      </c>
      <c r="M54" s="5" t="s">
        <v>326</v>
      </c>
      <c r="N54" s="5" t="s">
        <v>261</v>
      </c>
      <c r="O54" s="5" t="s">
        <v>465</v>
      </c>
      <c r="P54" s="5" t="str">
        <f aca="false">IF(J54="S0","—",IF(K54="","",IF(L54="E0","QM",INDEX(10_ASIL_Matrix!$D$4:$F$15,MATCH(J54&amp;"-"&amp;L54,10_ASIL_Matrix!$C$4:$C$15,0),MATCH(N54,10_ASIL_Matrix!$D$3:$F$3,0)))))</f>
        <v>QM</v>
      </c>
      <c r="Q54" s="5" t="s">
        <v>328</v>
      </c>
    </row>
    <row r="55" customFormat="false" ht="35.05" hidden="false" customHeight="false" outlineLevel="0" collapsed="false">
      <c r="A55" s="6" t="s">
        <v>466</v>
      </c>
      <c r="B55" s="6" t="s">
        <v>112</v>
      </c>
      <c r="C55" s="6" t="s">
        <v>113</v>
      </c>
      <c r="D55" s="6" t="s">
        <v>141</v>
      </c>
      <c r="E55" s="6" t="s">
        <v>142</v>
      </c>
      <c r="F55" s="6" t="s">
        <v>184</v>
      </c>
      <c r="G55" s="6" t="s">
        <v>323</v>
      </c>
      <c r="H55" s="6" t="s">
        <v>201</v>
      </c>
      <c r="I55" s="6" t="s">
        <v>467</v>
      </c>
      <c r="J55" s="6" t="s">
        <v>218</v>
      </c>
      <c r="K55" s="6" t="s">
        <v>325</v>
      </c>
      <c r="L55" s="6" t="s">
        <v>185</v>
      </c>
      <c r="M55" s="6" t="s">
        <v>331</v>
      </c>
      <c r="N55" s="6" t="s">
        <v>261</v>
      </c>
      <c r="O55" s="6" t="s">
        <v>465</v>
      </c>
      <c r="P55" s="6" t="str">
        <f aca="false">IF(J55="S0","—",IF(K55="","",IF(L55="E0","QM",INDEX(10_ASIL_Matrix!$D$4:$F$15,MATCH(J55&amp;"-"&amp;L55,10_ASIL_Matrix!$C$4:$C$15,0),MATCH(N55,10_ASIL_Matrix!$D$3:$F$3,0)))))</f>
        <v>QM</v>
      </c>
      <c r="Q55" s="6" t="s">
        <v>328</v>
      </c>
    </row>
    <row r="56" customFormat="false" ht="35.05" hidden="false" customHeight="false" outlineLevel="0" collapsed="false">
      <c r="A56" s="5" t="s">
        <v>468</v>
      </c>
      <c r="B56" s="5" t="s">
        <v>112</v>
      </c>
      <c r="C56" s="5" t="s">
        <v>113</v>
      </c>
      <c r="D56" s="5" t="s">
        <v>141</v>
      </c>
      <c r="E56" s="5" t="s">
        <v>142</v>
      </c>
      <c r="F56" s="5" t="s">
        <v>184</v>
      </c>
      <c r="G56" s="5" t="s">
        <v>323</v>
      </c>
      <c r="H56" s="5" t="s">
        <v>203</v>
      </c>
      <c r="I56" s="5" t="s">
        <v>469</v>
      </c>
      <c r="J56" s="5" t="s">
        <v>218</v>
      </c>
      <c r="K56" s="5" t="s">
        <v>325</v>
      </c>
      <c r="L56" s="5" t="s">
        <v>185</v>
      </c>
      <c r="M56" s="5" t="s">
        <v>334</v>
      </c>
      <c r="N56" s="5" t="s">
        <v>261</v>
      </c>
      <c r="O56" s="5" t="s">
        <v>465</v>
      </c>
      <c r="P56" s="5" t="str">
        <f aca="false">IF(J56="S0","—",IF(K56="","",IF(L56="E0","QM",INDEX(10_ASIL_Matrix!$D$4:$F$15,MATCH(J56&amp;"-"&amp;L56,10_ASIL_Matrix!$C$4:$C$15,0),MATCH(N56,10_ASIL_Matrix!$D$3:$F$3,0)))))</f>
        <v>QM</v>
      </c>
      <c r="Q56" s="5" t="s">
        <v>328</v>
      </c>
    </row>
    <row r="57" customFormat="false" ht="35.05" hidden="false" customHeight="false" outlineLevel="0" collapsed="false">
      <c r="A57" s="6" t="s">
        <v>470</v>
      </c>
      <c r="B57" s="6" t="s">
        <v>112</v>
      </c>
      <c r="C57" s="6" t="s">
        <v>113</v>
      </c>
      <c r="D57" s="6" t="s">
        <v>141</v>
      </c>
      <c r="E57" s="6" t="s">
        <v>142</v>
      </c>
      <c r="F57" s="6" t="s">
        <v>184</v>
      </c>
      <c r="G57" s="6" t="s">
        <v>323</v>
      </c>
      <c r="H57" s="6" t="s">
        <v>205</v>
      </c>
      <c r="I57" s="6" t="s">
        <v>471</v>
      </c>
      <c r="J57" s="6" t="s">
        <v>218</v>
      </c>
      <c r="K57" s="6" t="s">
        <v>325</v>
      </c>
      <c r="L57" s="6" t="s">
        <v>206</v>
      </c>
      <c r="M57" s="6" t="s">
        <v>337</v>
      </c>
      <c r="N57" s="6" t="s">
        <v>261</v>
      </c>
      <c r="O57" s="6" t="s">
        <v>465</v>
      </c>
      <c r="P57" s="6" t="str">
        <f aca="false">IF(J57="S0","—",IF(K57="","",IF(L57="E0","QM",INDEX(10_ASIL_Matrix!$D$4:$F$15,MATCH(J57&amp;"-"&amp;L57,10_ASIL_Matrix!$C$4:$C$15,0),MATCH(N57,10_ASIL_Matrix!$D$3:$F$3,0)))))</f>
        <v>QM</v>
      </c>
      <c r="Q57" s="6" t="s">
        <v>328</v>
      </c>
    </row>
    <row r="58" customFormat="false" ht="35.05" hidden="false" customHeight="false" outlineLevel="0" collapsed="false">
      <c r="A58" s="5" t="s">
        <v>472</v>
      </c>
      <c r="B58" s="5" t="s">
        <v>112</v>
      </c>
      <c r="C58" s="5" t="s">
        <v>113</v>
      </c>
      <c r="D58" s="5" t="s">
        <v>141</v>
      </c>
      <c r="E58" s="5" t="s">
        <v>142</v>
      </c>
      <c r="F58" s="5" t="s">
        <v>184</v>
      </c>
      <c r="G58" s="5" t="s">
        <v>323</v>
      </c>
      <c r="H58" s="5" t="s">
        <v>208</v>
      </c>
      <c r="I58" s="5" t="s">
        <v>473</v>
      </c>
      <c r="J58" s="5" t="s">
        <v>218</v>
      </c>
      <c r="K58" s="5" t="s">
        <v>325</v>
      </c>
      <c r="L58" s="5" t="s">
        <v>209</v>
      </c>
      <c r="M58" s="5" t="s">
        <v>340</v>
      </c>
      <c r="N58" s="5" t="s">
        <v>261</v>
      </c>
      <c r="O58" s="5" t="s">
        <v>465</v>
      </c>
      <c r="P58" s="5" t="str">
        <f aca="false">IF(J58="S0","—",IF(K58="","",IF(L58="E0","QM",INDEX(10_ASIL_Matrix!$D$4:$F$15,MATCH(J58&amp;"-"&amp;L58,10_ASIL_Matrix!$C$4:$C$15,0),MATCH(N58,10_ASIL_Matrix!$D$3:$F$3,0)))))</f>
        <v>QM</v>
      </c>
      <c r="Q58" s="5" t="s">
        <v>328</v>
      </c>
    </row>
    <row r="59" customFormat="false" ht="35.05" hidden="false" customHeight="false" outlineLevel="0" collapsed="false">
      <c r="A59" s="6" t="s">
        <v>474</v>
      </c>
      <c r="B59" s="6" t="s">
        <v>112</v>
      </c>
      <c r="C59" s="6" t="s">
        <v>113</v>
      </c>
      <c r="D59" s="6" t="s">
        <v>141</v>
      </c>
      <c r="E59" s="6" t="s">
        <v>142</v>
      </c>
      <c r="F59" s="6" t="s">
        <v>187</v>
      </c>
      <c r="G59" s="6" t="s">
        <v>342</v>
      </c>
      <c r="H59" s="6" t="s">
        <v>199</v>
      </c>
      <c r="I59" s="6" t="s">
        <v>475</v>
      </c>
      <c r="J59" s="6" t="s">
        <v>222</v>
      </c>
      <c r="K59" s="6" t="s">
        <v>344</v>
      </c>
      <c r="L59" s="6" t="s">
        <v>188</v>
      </c>
      <c r="M59" s="6" t="s">
        <v>345</v>
      </c>
      <c r="N59" s="6" t="s">
        <v>261</v>
      </c>
      <c r="O59" s="6" t="s">
        <v>476</v>
      </c>
      <c r="P59" s="15" t="str">
        <f aca="false">IF(J59="S0","—",IF(K59="","",IF(L59="E0","QM",INDEX(10_ASIL_Matrix!$D$4:$F$15,MATCH(J59&amp;"-"&amp;L59,10_ASIL_Matrix!$C$4:$C$15,0),MATCH(N59,10_ASIL_Matrix!$D$3:$F$3,0)))))</f>
        <v>B</v>
      </c>
      <c r="Q59" s="6" t="s">
        <v>328</v>
      </c>
    </row>
    <row r="60" customFormat="false" ht="35.05" hidden="false" customHeight="false" outlineLevel="0" collapsed="false">
      <c r="A60" s="5" t="s">
        <v>477</v>
      </c>
      <c r="B60" s="5" t="s">
        <v>112</v>
      </c>
      <c r="C60" s="5" t="s">
        <v>113</v>
      </c>
      <c r="D60" s="5" t="s">
        <v>141</v>
      </c>
      <c r="E60" s="5" t="s">
        <v>142</v>
      </c>
      <c r="F60" s="5" t="s">
        <v>187</v>
      </c>
      <c r="G60" s="5" t="s">
        <v>342</v>
      </c>
      <c r="H60" s="5" t="s">
        <v>201</v>
      </c>
      <c r="I60" s="5" t="s">
        <v>478</v>
      </c>
      <c r="J60" s="5" t="s">
        <v>222</v>
      </c>
      <c r="K60" s="5" t="s">
        <v>344</v>
      </c>
      <c r="L60" s="5" t="s">
        <v>185</v>
      </c>
      <c r="M60" s="5" t="s">
        <v>348</v>
      </c>
      <c r="N60" s="5" t="s">
        <v>261</v>
      </c>
      <c r="O60" s="5" t="s">
        <v>476</v>
      </c>
      <c r="P60" s="16" t="str">
        <f aca="false">IF(J60="S0","—",IF(K60="","",IF(L60="E0","QM",INDEX(10_ASIL_Matrix!$D$4:$F$15,MATCH(J60&amp;"-"&amp;L60,10_ASIL_Matrix!$C$4:$C$15,0),MATCH(N60,10_ASIL_Matrix!$D$3:$F$3,0)))))</f>
        <v>A</v>
      </c>
      <c r="Q60" s="5" t="s">
        <v>328</v>
      </c>
    </row>
    <row r="61" customFormat="false" ht="35.05" hidden="false" customHeight="false" outlineLevel="0" collapsed="false">
      <c r="A61" s="6" t="s">
        <v>479</v>
      </c>
      <c r="B61" s="6" t="s">
        <v>112</v>
      </c>
      <c r="C61" s="6" t="s">
        <v>113</v>
      </c>
      <c r="D61" s="6" t="s">
        <v>141</v>
      </c>
      <c r="E61" s="6" t="s">
        <v>142</v>
      </c>
      <c r="F61" s="6" t="s">
        <v>187</v>
      </c>
      <c r="G61" s="6" t="s">
        <v>342</v>
      </c>
      <c r="H61" s="6" t="s">
        <v>203</v>
      </c>
      <c r="I61" s="6" t="s">
        <v>480</v>
      </c>
      <c r="J61" s="6" t="s">
        <v>222</v>
      </c>
      <c r="K61" s="6" t="s">
        <v>344</v>
      </c>
      <c r="L61" s="6" t="s">
        <v>185</v>
      </c>
      <c r="M61" s="6" t="s">
        <v>351</v>
      </c>
      <c r="N61" s="6" t="s">
        <v>261</v>
      </c>
      <c r="O61" s="6" t="s">
        <v>476</v>
      </c>
      <c r="P61" s="16" t="str">
        <f aca="false">IF(J61="S0","—",IF(K61="","",IF(L61="E0","QM",INDEX(10_ASIL_Matrix!$D$4:$F$15,MATCH(J61&amp;"-"&amp;L61,10_ASIL_Matrix!$C$4:$C$15,0),MATCH(N61,10_ASIL_Matrix!$D$3:$F$3,0)))))</f>
        <v>A</v>
      </c>
      <c r="Q61" s="6" t="s">
        <v>328</v>
      </c>
    </row>
    <row r="62" customFormat="false" ht="35.05" hidden="false" customHeight="false" outlineLevel="0" collapsed="false">
      <c r="A62" s="5" t="s">
        <v>481</v>
      </c>
      <c r="B62" s="5" t="s">
        <v>112</v>
      </c>
      <c r="C62" s="5" t="s">
        <v>113</v>
      </c>
      <c r="D62" s="5" t="s">
        <v>141</v>
      </c>
      <c r="E62" s="5" t="s">
        <v>142</v>
      </c>
      <c r="F62" s="5" t="s">
        <v>187</v>
      </c>
      <c r="G62" s="5" t="s">
        <v>342</v>
      </c>
      <c r="H62" s="5" t="s">
        <v>205</v>
      </c>
      <c r="I62" s="5" t="s">
        <v>482</v>
      </c>
      <c r="J62" s="5" t="s">
        <v>222</v>
      </c>
      <c r="K62" s="5" t="s">
        <v>354</v>
      </c>
      <c r="L62" s="5" t="s">
        <v>206</v>
      </c>
      <c r="M62" s="5" t="s">
        <v>355</v>
      </c>
      <c r="N62" s="5" t="s">
        <v>261</v>
      </c>
      <c r="O62" s="5" t="s">
        <v>476</v>
      </c>
      <c r="P62" s="5" t="str">
        <f aca="false">IF(J62="S0","—",IF(K62="","",IF(L62="E0","QM",INDEX(10_ASIL_Matrix!$D$4:$F$15,MATCH(J62&amp;"-"&amp;L62,10_ASIL_Matrix!$C$4:$C$15,0),MATCH(N62,10_ASIL_Matrix!$D$3:$F$3,0)))))</f>
        <v>QM</v>
      </c>
      <c r="Q62" s="5" t="s">
        <v>328</v>
      </c>
    </row>
    <row r="63" customFormat="false" ht="35.05" hidden="false" customHeight="false" outlineLevel="0" collapsed="false">
      <c r="A63" s="6" t="s">
        <v>483</v>
      </c>
      <c r="B63" s="6" t="s">
        <v>112</v>
      </c>
      <c r="C63" s="6" t="s">
        <v>113</v>
      </c>
      <c r="D63" s="6" t="s">
        <v>141</v>
      </c>
      <c r="E63" s="6" t="s">
        <v>142</v>
      </c>
      <c r="F63" s="6" t="s">
        <v>187</v>
      </c>
      <c r="G63" s="6" t="s">
        <v>342</v>
      </c>
      <c r="H63" s="6" t="s">
        <v>208</v>
      </c>
      <c r="I63" s="6" t="s">
        <v>484</v>
      </c>
      <c r="J63" s="6" t="s">
        <v>222</v>
      </c>
      <c r="K63" s="6" t="s">
        <v>354</v>
      </c>
      <c r="L63" s="6" t="s">
        <v>209</v>
      </c>
      <c r="M63" s="6" t="s">
        <v>358</v>
      </c>
      <c r="N63" s="6" t="s">
        <v>261</v>
      </c>
      <c r="O63" s="6" t="s">
        <v>476</v>
      </c>
      <c r="P63" s="6" t="str">
        <f aca="false">IF(J63="S0","—",IF(K63="","",IF(L63="E0","QM",INDEX(10_ASIL_Matrix!$D$4:$F$15,MATCH(J63&amp;"-"&amp;L63,10_ASIL_Matrix!$C$4:$C$15,0),MATCH(N63,10_ASIL_Matrix!$D$3:$F$3,0)))))</f>
        <v>QM</v>
      </c>
      <c r="Q63" s="6" t="s">
        <v>328</v>
      </c>
    </row>
    <row r="64" customFormat="false" ht="35.05" hidden="false" customHeight="false" outlineLevel="0" collapsed="false">
      <c r="A64" s="5" t="s">
        <v>485</v>
      </c>
      <c r="B64" s="5" t="s">
        <v>112</v>
      </c>
      <c r="C64" s="5" t="s">
        <v>113</v>
      </c>
      <c r="D64" s="5" t="s">
        <v>141</v>
      </c>
      <c r="E64" s="5" t="s">
        <v>142</v>
      </c>
      <c r="F64" s="5" t="s">
        <v>190</v>
      </c>
      <c r="G64" s="5" t="s">
        <v>360</v>
      </c>
      <c r="H64" s="5" t="s">
        <v>199</v>
      </c>
      <c r="I64" s="5" t="s">
        <v>486</v>
      </c>
      <c r="J64" s="5" t="s">
        <v>222</v>
      </c>
      <c r="K64" s="5" t="s">
        <v>362</v>
      </c>
      <c r="L64" s="5" t="s">
        <v>188</v>
      </c>
      <c r="M64" s="5" t="s">
        <v>363</v>
      </c>
      <c r="N64" s="5" t="s">
        <v>265</v>
      </c>
      <c r="O64" s="5" t="s">
        <v>487</v>
      </c>
      <c r="P64" s="17" t="str">
        <f aca="false">IF(J64="S0","—",IF(K64="","",IF(L64="E0","QM",INDEX(10_ASIL_Matrix!$D$4:$F$15,MATCH(J64&amp;"-"&amp;L64,10_ASIL_Matrix!$C$4:$C$15,0),MATCH(N64,10_ASIL_Matrix!$D$3:$F$3,0)))))</f>
        <v>C</v>
      </c>
      <c r="Q64" s="5" t="s">
        <v>328</v>
      </c>
    </row>
    <row r="65" customFormat="false" ht="35.05" hidden="false" customHeight="false" outlineLevel="0" collapsed="false">
      <c r="A65" s="6" t="s">
        <v>488</v>
      </c>
      <c r="B65" s="6" t="s">
        <v>112</v>
      </c>
      <c r="C65" s="6" t="s">
        <v>113</v>
      </c>
      <c r="D65" s="6" t="s">
        <v>141</v>
      </c>
      <c r="E65" s="6" t="s">
        <v>142</v>
      </c>
      <c r="F65" s="6" t="s">
        <v>190</v>
      </c>
      <c r="G65" s="6" t="s">
        <v>360</v>
      </c>
      <c r="H65" s="6" t="s">
        <v>201</v>
      </c>
      <c r="I65" s="6" t="s">
        <v>489</v>
      </c>
      <c r="J65" s="6" t="s">
        <v>222</v>
      </c>
      <c r="K65" s="6" t="s">
        <v>362</v>
      </c>
      <c r="L65" s="6" t="s">
        <v>185</v>
      </c>
      <c r="M65" s="6" t="s">
        <v>366</v>
      </c>
      <c r="N65" s="6" t="s">
        <v>265</v>
      </c>
      <c r="O65" s="6" t="s">
        <v>487</v>
      </c>
      <c r="P65" s="15" t="str">
        <f aca="false">IF(J65="S0","—",IF(K65="","",IF(L65="E0","QM",INDEX(10_ASIL_Matrix!$D$4:$F$15,MATCH(J65&amp;"-"&amp;L65,10_ASIL_Matrix!$C$4:$C$15,0),MATCH(N65,10_ASIL_Matrix!$D$3:$F$3,0)))))</f>
        <v>B</v>
      </c>
      <c r="Q65" s="6" t="s">
        <v>328</v>
      </c>
    </row>
    <row r="66" customFormat="false" ht="35.05" hidden="false" customHeight="false" outlineLevel="0" collapsed="false">
      <c r="A66" s="5" t="s">
        <v>490</v>
      </c>
      <c r="B66" s="5" t="s">
        <v>112</v>
      </c>
      <c r="C66" s="5" t="s">
        <v>113</v>
      </c>
      <c r="D66" s="5" t="s">
        <v>141</v>
      </c>
      <c r="E66" s="5" t="s">
        <v>142</v>
      </c>
      <c r="F66" s="5" t="s">
        <v>190</v>
      </c>
      <c r="G66" s="5" t="s">
        <v>360</v>
      </c>
      <c r="H66" s="5" t="s">
        <v>203</v>
      </c>
      <c r="I66" s="5" t="s">
        <v>491</v>
      </c>
      <c r="J66" s="5" t="s">
        <v>222</v>
      </c>
      <c r="K66" s="5" t="s">
        <v>362</v>
      </c>
      <c r="L66" s="5" t="s">
        <v>185</v>
      </c>
      <c r="M66" s="5" t="s">
        <v>369</v>
      </c>
      <c r="N66" s="5" t="s">
        <v>265</v>
      </c>
      <c r="O66" s="5" t="s">
        <v>487</v>
      </c>
      <c r="P66" s="15" t="str">
        <f aca="false">IF(J66="S0","—",IF(K66="","",IF(L66="E0","QM",INDEX(10_ASIL_Matrix!$D$4:$F$15,MATCH(J66&amp;"-"&amp;L66,10_ASIL_Matrix!$C$4:$C$15,0),MATCH(N66,10_ASIL_Matrix!$D$3:$F$3,0)))))</f>
        <v>B</v>
      </c>
      <c r="Q66" s="5" t="s">
        <v>328</v>
      </c>
    </row>
    <row r="67" customFormat="false" ht="35.05" hidden="false" customHeight="false" outlineLevel="0" collapsed="false">
      <c r="A67" s="6" t="s">
        <v>492</v>
      </c>
      <c r="B67" s="6" t="s">
        <v>112</v>
      </c>
      <c r="C67" s="6" t="s">
        <v>113</v>
      </c>
      <c r="D67" s="6" t="s">
        <v>141</v>
      </c>
      <c r="E67" s="6" t="s">
        <v>142</v>
      </c>
      <c r="F67" s="6" t="s">
        <v>190</v>
      </c>
      <c r="G67" s="6" t="s">
        <v>360</v>
      </c>
      <c r="H67" s="6" t="s">
        <v>205</v>
      </c>
      <c r="I67" s="6" t="s">
        <v>493</v>
      </c>
      <c r="J67" s="6" t="s">
        <v>222</v>
      </c>
      <c r="K67" s="6" t="s">
        <v>372</v>
      </c>
      <c r="L67" s="6" t="s">
        <v>206</v>
      </c>
      <c r="M67" s="6" t="s">
        <v>373</v>
      </c>
      <c r="N67" s="6" t="s">
        <v>265</v>
      </c>
      <c r="O67" s="6" t="s">
        <v>487</v>
      </c>
      <c r="P67" s="16" t="str">
        <f aca="false">IF(J67="S0","—",IF(K67="","",IF(L67="E0","QM",INDEX(10_ASIL_Matrix!$D$4:$F$15,MATCH(J67&amp;"-"&amp;L67,10_ASIL_Matrix!$C$4:$C$15,0),MATCH(N67,10_ASIL_Matrix!$D$3:$F$3,0)))))</f>
        <v>A</v>
      </c>
      <c r="Q67" s="6" t="s">
        <v>328</v>
      </c>
    </row>
    <row r="68" customFormat="false" ht="35.05" hidden="false" customHeight="false" outlineLevel="0" collapsed="false">
      <c r="A68" s="5" t="s">
        <v>494</v>
      </c>
      <c r="B68" s="5" t="s">
        <v>112</v>
      </c>
      <c r="C68" s="5" t="s">
        <v>113</v>
      </c>
      <c r="D68" s="5" t="s">
        <v>141</v>
      </c>
      <c r="E68" s="5" t="s">
        <v>142</v>
      </c>
      <c r="F68" s="5" t="s">
        <v>190</v>
      </c>
      <c r="G68" s="5" t="s">
        <v>360</v>
      </c>
      <c r="H68" s="5" t="s">
        <v>208</v>
      </c>
      <c r="I68" s="5" t="s">
        <v>495</v>
      </c>
      <c r="J68" s="5" t="s">
        <v>222</v>
      </c>
      <c r="K68" s="5" t="s">
        <v>372</v>
      </c>
      <c r="L68" s="5" t="s">
        <v>209</v>
      </c>
      <c r="M68" s="5" t="s">
        <v>376</v>
      </c>
      <c r="N68" s="5" t="s">
        <v>265</v>
      </c>
      <c r="O68" s="5" t="s">
        <v>487</v>
      </c>
      <c r="P68" s="5" t="str">
        <f aca="false">IF(J68="S0","—",IF(K68="","",IF(L68="E0","QM",INDEX(10_ASIL_Matrix!$D$4:$F$15,MATCH(J68&amp;"-"&amp;L68,10_ASIL_Matrix!$C$4:$C$15,0),MATCH(N68,10_ASIL_Matrix!$D$3:$F$3,0)))))</f>
        <v>QM</v>
      </c>
      <c r="Q68" s="5" t="s">
        <v>328</v>
      </c>
    </row>
    <row r="69" customFormat="false" ht="35.05" hidden="false" customHeight="false" outlineLevel="0" collapsed="false">
      <c r="A69" s="6" t="s">
        <v>496</v>
      </c>
      <c r="B69" s="6" t="s">
        <v>112</v>
      </c>
      <c r="C69" s="6" t="s">
        <v>113</v>
      </c>
      <c r="D69" s="6" t="s">
        <v>141</v>
      </c>
      <c r="E69" s="6" t="s">
        <v>142</v>
      </c>
      <c r="F69" s="6" t="s">
        <v>192</v>
      </c>
      <c r="G69" s="6" t="s">
        <v>378</v>
      </c>
      <c r="H69" s="6" t="s">
        <v>199</v>
      </c>
      <c r="I69" s="6" t="s">
        <v>497</v>
      </c>
      <c r="J69" s="6" t="s">
        <v>226</v>
      </c>
      <c r="K69" s="6" t="s">
        <v>380</v>
      </c>
      <c r="L69" s="6" t="s">
        <v>185</v>
      </c>
      <c r="M69" s="6" t="s">
        <v>381</v>
      </c>
      <c r="N69" s="6" t="s">
        <v>265</v>
      </c>
      <c r="O69" s="6" t="s">
        <v>498</v>
      </c>
      <c r="P69" s="17" t="str">
        <f aca="false">IF(J69="S0","—",IF(K69="","",IF(L69="E0","QM",INDEX(10_ASIL_Matrix!$D$4:$F$15,MATCH(J69&amp;"-"&amp;L69,10_ASIL_Matrix!$C$4:$C$15,0),MATCH(N69,10_ASIL_Matrix!$D$3:$F$3,0)))))</f>
        <v>C</v>
      </c>
      <c r="Q69" s="6" t="s">
        <v>328</v>
      </c>
    </row>
    <row r="70" customFormat="false" ht="35.05" hidden="false" customHeight="false" outlineLevel="0" collapsed="false">
      <c r="A70" s="5" t="s">
        <v>499</v>
      </c>
      <c r="B70" s="5" t="s">
        <v>112</v>
      </c>
      <c r="C70" s="5" t="s">
        <v>113</v>
      </c>
      <c r="D70" s="5" t="s">
        <v>141</v>
      </c>
      <c r="E70" s="5" t="s">
        <v>142</v>
      </c>
      <c r="F70" s="5" t="s">
        <v>192</v>
      </c>
      <c r="G70" s="5" t="s">
        <v>378</v>
      </c>
      <c r="H70" s="5" t="s">
        <v>201</v>
      </c>
      <c r="I70" s="5" t="s">
        <v>500</v>
      </c>
      <c r="J70" s="5" t="s">
        <v>226</v>
      </c>
      <c r="K70" s="5" t="s">
        <v>380</v>
      </c>
      <c r="L70" s="5" t="s">
        <v>185</v>
      </c>
      <c r="M70" s="5" t="s">
        <v>384</v>
      </c>
      <c r="N70" s="5" t="s">
        <v>265</v>
      </c>
      <c r="O70" s="5" t="s">
        <v>498</v>
      </c>
      <c r="P70" s="17" t="str">
        <f aca="false">IF(J70="S0","—",IF(K70="","",IF(L70="E0","QM",INDEX(10_ASIL_Matrix!$D$4:$F$15,MATCH(J70&amp;"-"&amp;L70,10_ASIL_Matrix!$C$4:$C$15,0),MATCH(N70,10_ASIL_Matrix!$D$3:$F$3,0)))))</f>
        <v>C</v>
      </c>
      <c r="Q70" s="5" t="s">
        <v>328</v>
      </c>
    </row>
    <row r="71" customFormat="false" ht="35.05" hidden="false" customHeight="false" outlineLevel="0" collapsed="false">
      <c r="A71" s="6" t="s">
        <v>501</v>
      </c>
      <c r="B71" s="6" t="s">
        <v>112</v>
      </c>
      <c r="C71" s="6" t="s">
        <v>113</v>
      </c>
      <c r="D71" s="6" t="s">
        <v>141</v>
      </c>
      <c r="E71" s="6" t="s">
        <v>142</v>
      </c>
      <c r="F71" s="6" t="s">
        <v>192</v>
      </c>
      <c r="G71" s="6" t="s">
        <v>378</v>
      </c>
      <c r="H71" s="6" t="s">
        <v>203</v>
      </c>
      <c r="I71" s="6" t="s">
        <v>502</v>
      </c>
      <c r="J71" s="6" t="s">
        <v>226</v>
      </c>
      <c r="K71" s="6" t="s">
        <v>380</v>
      </c>
      <c r="L71" s="6" t="s">
        <v>185</v>
      </c>
      <c r="M71" s="6" t="s">
        <v>387</v>
      </c>
      <c r="N71" s="6" t="s">
        <v>265</v>
      </c>
      <c r="O71" s="6" t="s">
        <v>498</v>
      </c>
      <c r="P71" s="17" t="str">
        <f aca="false">IF(J71="S0","—",IF(K71="","",IF(L71="E0","QM",INDEX(10_ASIL_Matrix!$D$4:$F$15,MATCH(J71&amp;"-"&amp;L71,10_ASIL_Matrix!$C$4:$C$15,0),MATCH(N71,10_ASIL_Matrix!$D$3:$F$3,0)))))</f>
        <v>C</v>
      </c>
      <c r="Q71" s="6" t="s">
        <v>328</v>
      </c>
    </row>
    <row r="72" customFormat="false" ht="35.05" hidden="false" customHeight="false" outlineLevel="0" collapsed="false">
      <c r="A72" s="5" t="s">
        <v>503</v>
      </c>
      <c r="B72" s="5" t="s">
        <v>112</v>
      </c>
      <c r="C72" s="5" t="s">
        <v>113</v>
      </c>
      <c r="D72" s="5" t="s">
        <v>141</v>
      </c>
      <c r="E72" s="5" t="s">
        <v>142</v>
      </c>
      <c r="F72" s="5" t="s">
        <v>192</v>
      </c>
      <c r="G72" s="5" t="s">
        <v>378</v>
      </c>
      <c r="H72" s="5" t="s">
        <v>205</v>
      </c>
      <c r="I72" s="5" t="s">
        <v>504</v>
      </c>
      <c r="J72" s="5" t="s">
        <v>226</v>
      </c>
      <c r="K72" s="5" t="s">
        <v>390</v>
      </c>
      <c r="L72" s="5" t="s">
        <v>206</v>
      </c>
      <c r="M72" s="5" t="s">
        <v>391</v>
      </c>
      <c r="N72" s="5" t="s">
        <v>265</v>
      </c>
      <c r="O72" s="5" t="s">
        <v>498</v>
      </c>
      <c r="P72" s="15" t="str">
        <f aca="false">IF(J72="S0","—",IF(K72="","",IF(L72="E0","QM",INDEX(10_ASIL_Matrix!$D$4:$F$15,MATCH(J72&amp;"-"&amp;L72,10_ASIL_Matrix!$C$4:$C$15,0),MATCH(N72,10_ASIL_Matrix!$D$3:$F$3,0)))))</f>
        <v>B</v>
      </c>
      <c r="Q72" s="5" t="s">
        <v>328</v>
      </c>
    </row>
    <row r="73" customFormat="false" ht="35.05" hidden="false" customHeight="false" outlineLevel="0" collapsed="false">
      <c r="A73" s="6" t="s">
        <v>505</v>
      </c>
      <c r="B73" s="6" t="s">
        <v>112</v>
      </c>
      <c r="C73" s="6" t="s">
        <v>113</v>
      </c>
      <c r="D73" s="6" t="s">
        <v>141</v>
      </c>
      <c r="E73" s="6" t="s">
        <v>142</v>
      </c>
      <c r="F73" s="6" t="s">
        <v>192</v>
      </c>
      <c r="G73" s="6" t="s">
        <v>378</v>
      </c>
      <c r="H73" s="6" t="s">
        <v>208</v>
      </c>
      <c r="I73" s="6" t="s">
        <v>506</v>
      </c>
      <c r="J73" s="6" t="s">
        <v>226</v>
      </c>
      <c r="K73" s="6" t="s">
        <v>390</v>
      </c>
      <c r="L73" s="6" t="s">
        <v>209</v>
      </c>
      <c r="M73" s="6" t="s">
        <v>394</v>
      </c>
      <c r="N73" s="6" t="s">
        <v>265</v>
      </c>
      <c r="O73" s="6" t="s">
        <v>498</v>
      </c>
      <c r="P73" s="16" t="str">
        <f aca="false">IF(J73="S0","—",IF(K73="","",IF(L73="E0","QM",INDEX(10_ASIL_Matrix!$D$4:$F$15,MATCH(J73&amp;"-"&amp;L73,10_ASIL_Matrix!$C$4:$C$15,0),MATCH(N73,10_ASIL_Matrix!$D$3:$F$3,0)))))</f>
        <v>A</v>
      </c>
      <c r="Q73" s="6" t="s">
        <v>328</v>
      </c>
    </row>
    <row r="74" customFormat="false" ht="35.05" hidden="false" customHeight="false" outlineLevel="0" collapsed="false">
      <c r="A74" s="5" t="s">
        <v>507</v>
      </c>
      <c r="B74" s="5" t="s">
        <v>112</v>
      </c>
      <c r="C74" s="5" t="s">
        <v>113</v>
      </c>
      <c r="D74" s="5" t="s">
        <v>141</v>
      </c>
      <c r="E74" s="5" t="s">
        <v>142</v>
      </c>
      <c r="F74" s="5" t="s">
        <v>194</v>
      </c>
      <c r="G74" s="5" t="s">
        <v>396</v>
      </c>
      <c r="H74" s="5" t="s">
        <v>199</v>
      </c>
      <c r="I74" s="5" t="s">
        <v>508</v>
      </c>
      <c r="J74" s="5" t="s">
        <v>226</v>
      </c>
      <c r="K74" s="5" t="s">
        <v>398</v>
      </c>
      <c r="L74" s="5" t="s">
        <v>188</v>
      </c>
      <c r="M74" s="5" t="s">
        <v>399</v>
      </c>
      <c r="N74" s="5" t="s">
        <v>265</v>
      </c>
      <c r="O74" s="5" t="s">
        <v>509</v>
      </c>
      <c r="P74" s="18" t="str">
        <f aca="false">IF(J74="S0","—",IF(K74="","",IF(L74="E0","QM",INDEX(10_ASIL_Matrix!$D$4:$F$15,MATCH(J74&amp;"-"&amp;L74,10_ASIL_Matrix!$C$4:$C$15,0),MATCH(N74,10_ASIL_Matrix!$D$3:$F$3,0)))))</f>
        <v>D</v>
      </c>
      <c r="Q74" s="5" t="s">
        <v>328</v>
      </c>
    </row>
    <row r="75" customFormat="false" ht="35.05" hidden="false" customHeight="false" outlineLevel="0" collapsed="false">
      <c r="A75" s="6" t="s">
        <v>510</v>
      </c>
      <c r="B75" s="6" t="s">
        <v>112</v>
      </c>
      <c r="C75" s="6" t="s">
        <v>113</v>
      </c>
      <c r="D75" s="6" t="s">
        <v>141</v>
      </c>
      <c r="E75" s="6" t="s">
        <v>142</v>
      </c>
      <c r="F75" s="6" t="s">
        <v>194</v>
      </c>
      <c r="G75" s="6" t="s">
        <v>396</v>
      </c>
      <c r="H75" s="6" t="s">
        <v>201</v>
      </c>
      <c r="I75" s="6" t="s">
        <v>511</v>
      </c>
      <c r="J75" s="6" t="s">
        <v>226</v>
      </c>
      <c r="K75" s="6" t="s">
        <v>398</v>
      </c>
      <c r="L75" s="6" t="s">
        <v>185</v>
      </c>
      <c r="M75" s="6" t="s">
        <v>402</v>
      </c>
      <c r="N75" s="6" t="s">
        <v>265</v>
      </c>
      <c r="O75" s="6" t="s">
        <v>509</v>
      </c>
      <c r="P75" s="17" t="str">
        <f aca="false">IF(J75="S0","—",IF(K75="","",IF(L75="E0","QM",INDEX(10_ASIL_Matrix!$D$4:$F$15,MATCH(J75&amp;"-"&amp;L75,10_ASIL_Matrix!$C$4:$C$15,0),MATCH(N75,10_ASIL_Matrix!$D$3:$F$3,0)))))</f>
        <v>C</v>
      </c>
      <c r="Q75" s="6" t="s">
        <v>328</v>
      </c>
    </row>
    <row r="76" customFormat="false" ht="35.05" hidden="false" customHeight="false" outlineLevel="0" collapsed="false">
      <c r="A76" s="5" t="s">
        <v>512</v>
      </c>
      <c r="B76" s="5" t="s">
        <v>112</v>
      </c>
      <c r="C76" s="5" t="s">
        <v>113</v>
      </c>
      <c r="D76" s="5" t="s">
        <v>141</v>
      </c>
      <c r="E76" s="5" t="s">
        <v>142</v>
      </c>
      <c r="F76" s="5" t="s">
        <v>194</v>
      </c>
      <c r="G76" s="5" t="s">
        <v>396</v>
      </c>
      <c r="H76" s="5" t="s">
        <v>203</v>
      </c>
      <c r="I76" s="5" t="s">
        <v>513</v>
      </c>
      <c r="J76" s="5" t="s">
        <v>226</v>
      </c>
      <c r="K76" s="5" t="s">
        <v>398</v>
      </c>
      <c r="L76" s="5" t="s">
        <v>185</v>
      </c>
      <c r="M76" s="5" t="s">
        <v>405</v>
      </c>
      <c r="N76" s="5" t="s">
        <v>265</v>
      </c>
      <c r="O76" s="5" t="s">
        <v>509</v>
      </c>
      <c r="P76" s="17" t="str">
        <f aca="false">IF(J76="S0","—",IF(K76="","",IF(L76="E0","QM",INDEX(10_ASIL_Matrix!$D$4:$F$15,MATCH(J76&amp;"-"&amp;L76,10_ASIL_Matrix!$C$4:$C$15,0),MATCH(N76,10_ASIL_Matrix!$D$3:$F$3,0)))))</f>
        <v>C</v>
      </c>
      <c r="Q76" s="5" t="s">
        <v>328</v>
      </c>
    </row>
    <row r="77" customFormat="false" ht="35.05" hidden="false" customHeight="false" outlineLevel="0" collapsed="false">
      <c r="A77" s="6" t="s">
        <v>514</v>
      </c>
      <c r="B77" s="6" t="s">
        <v>112</v>
      </c>
      <c r="C77" s="6" t="s">
        <v>113</v>
      </c>
      <c r="D77" s="6" t="s">
        <v>141</v>
      </c>
      <c r="E77" s="6" t="s">
        <v>142</v>
      </c>
      <c r="F77" s="6" t="s">
        <v>194</v>
      </c>
      <c r="G77" s="6" t="s">
        <v>396</v>
      </c>
      <c r="H77" s="6" t="s">
        <v>205</v>
      </c>
      <c r="I77" s="6" t="s">
        <v>515</v>
      </c>
      <c r="J77" s="6" t="s">
        <v>226</v>
      </c>
      <c r="K77" s="6" t="s">
        <v>408</v>
      </c>
      <c r="L77" s="6" t="s">
        <v>206</v>
      </c>
      <c r="M77" s="6" t="s">
        <v>409</v>
      </c>
      <c r="N77" s="6" t="s">
        <v>265</v>
      </c>
      <c r="O77" s="6" t="s">
        <v>509</v>
      </c>
      <c r="P77" s="15" t="str">
        <f aca="false">IF(J77="S0","—",IF(K77="","",IF(L77="E0","QM",INDEX(10_ASIL_Matrix!$D$4:$F$15,MATCH(J77&amp;"-"&amp;L77,10_ASIL_Matrix!$C$4:$C$15,0),MATCH(N77,10_ASIL_Matrix!$D$3:$F$3,0)))))</f>
        <v>B</v>
      </c>
      <c r="Q77" s="6" t="s">
        <v>328</v>
      </c>
    </row>
    <row r="78" customFormat="false" ht="35.05" hidden="false" customHeight="false" outlineLevel="0" collapsed="false">
      <c r="A78" s="5" t="s">
        <v>516</v>
      </c>
      <c r="B78" s="5" t="s">
        <v>112</v>
      </c>
      <c r="C78" s="5" t="s">
        <v>113</v>
      </c>
      <c r="D78" s="5" t="s">
        <v>141</v>
      </c>
      <c r="E78" s="5" t="s">
        <v>142</v>
      </c>
      <c r="F78" s="5" t="s">
        <v>194</v>
      </c>
      <c r="G78" s="5" t="s">
        <v>396</v>
      </c>
      <c r="H78" s="5" t="s">
        <v>208</v>
      </c>
      <c r="I78" s="5" t="s">
        <v>517</v>
      </c>
      <c r="J78" s="5" t="s">
        <v>226</v>
      </c>
      <c r="K78" s="5" t="s">
        <v>408</v>
      </c>
      <c r="L78" s="5" t="s">
        <v>209</v>
      </c>
      <c r="M78" s="5" t="s">
        <v>412</v>
      </c>
      <c r="N78" s="5" t="s">
        <v>265</v>
      </c>
      <c r="O78" s="5" t="s">
        <v>509</v>
      </c>
      <c r="P78" s="16" t="str">
        <f aca="false">IF(J78="S0","—",IF(K78="","",IF(L78="E0","QM",INDEX(10_ASIL_Matrix!$D$4:$F$15,MATCH(J78&amp;"-"&amp;L78,10_ASIL_Matrix!$C$4:$C$15,0),MATCH(N78,10_ASIL_Matrix!$D$3:$F$3,0)))))</f>
        <v>A</v>
      </c>
      <c r="Q78" s="5" t="s">
        <v>328</v>
      </c>
    </row>
    <row r="79" customFormat="false" ht="35.05" hidden="false" customHeight="false" outlineLevel="0" collapsed="false">
      <c r="A79" s="6" t="s">
        <v>518</v>
      </c>
      <c r="B79" s="6" t="s">
        <v>112</v>
      </c>
      <c r="C79" s="6" t="s">
        <v>113</v>
      </c>
      <c r="D79" s="6" t="s">
        <v>144</v>
      </c>
      <c r="E79" s="6" t="s">
        <v>145</v>
      </c>
      <c r="F79" s="6" t="s">
        <v>184</v>
      </c>
      <c r="G79" s="6" t="s">
        <v>323</v>
      </c>
      <c r="H79" s="6" t="s">
        <v>199</v>
      </c>
      <c r="I79" s="6" t="s">
        <v>519</v>
      </c>
      <c r="J79" s="6" t="s">
        <v>218</v>
      </c>
      <c r="K79" s="6" t="s">
        <v>325</v>
      </c>
      <c r="L79" s="6" t="s">
        <v>185</v>
      </c>
      <c r="M79" s="6" t="s">
        <v>326</v>
      </c>
      <c r="N79" s="6" t="s">
        <v>261</v>
      </c>
      <c r="O79" s="6" t="s">
        <v>465</v>
      </c>
      <c r="P79" s="6" t="str">
        <f aca="false">IF(J79="S0","—",IF(K79="","",IF(L79="E0","QM",INDEX(10_ASIL_Matrix!$D$4:$F$15,MATCH(J79&amp;"-"&amp;L79,10_ASIL_Matrix!$C$4:$C$15,0),MATCH(N79,10_ASIL_Matrix!$D$3:$F$3,0)))))</f>
        <v>QM</v>
      </c>
      <c r="Q79" s="6" t="s">
        <v>328</v>
      </c>
    </row>
    <row r="80" customFormat="false" ht="35.05" hidden="false" customHeight="false" outlineLevel="0" collapsed="false">
      <c r="A80" s="5" t="s">
        <v>520</v>
      </c>
      <c r="B80" s="5" t="s">
        <v>112</v>
      </c>
      <c r="C80" s="5" t="s">
        <v>113</v>
      </c>
      <c r="D80" s="5" t="s">
        <v>144</v>
      </c>
      <c r="E80" s="5" t="s">
        <v>145</v>
      </c>
      <c r="F80" s="5" t="s">
        <v>184</v>
      </c>
      <c r="G80" s="5" t="s">
        <v>323</v>
      </c>
      <c r="H80" s="5" t="s">
        <v>201</v>
      </c>
      <c r="I80" s="5" t="s">
        <v>521</v>
      </c>
      <c r="J80" s="5" t="s">
        <v>218</v>
      </c>
      <c r="K80" s="5" t="s">
        <v>325</v>
      </c>
      <c r="L80" s="5" t="s">
        <v>185</v>
      </c>
      <c r="M80" s="5" t="s">
        <v>331</v>
      </c>
      <c r="N80" s="5" t="s">
        <v>261</v>
      </c>
      <c r="O80" s="5" t="s">
        <v>465</v>
      </c>
      <c r="P80" s="5" t="str">
        <f aca="false">IF(J80="S0","—",IF(K80="","",IF(L80="E0","QM",INDEX(10_ASIL_Matrix!$D$4:$F$15,MATCH(J80&amp;"-"&amp;L80,10_ASIL_Matrix!$C$4:$C$15,0),MATCH(N80,10_ASIL_Matrix!$D$3:$F$3,0)))))</f>
        <v>QM</v>
      </c>
      <c r="Q80" s="5" t="s">
        <v>328</v>
      </c>
    </row>
    <row r="81" customFormat="false" ht="35.05" hidden="false" customHeight="false" outlineLevel="0" collapsed="false">
      <c r="A81" s="6" t="s">
        <v>522</v>
      </c>
      <c r="B81" s="6" t="s">
        <v>112</v>
      </c>
      <c r="C81" s="6" t="s">
        <v>113</v>
      </c>
      <c r="D81" s="6" t="s">
        <v>144</v>
      </c>
      <c r="E81" s="6" t="s">
        <v>145</v>
      </c>
      <c r="F81" s="6" t="s">
        <v>184</v>
      </c>
      <c r="G81" s="6" t="s">
        <v>323</v>
      </c>
      <c r="H81" s="6" t="s">
        <v>203</v>
      </c>
      <c r="I81" s="6" t="s">
        <v>523</v>
      </c>
      <c r="J81" s="6" t="s">
        <v>218</v>
      </c>
      <c r="K81" s="6" t="s">
        <v>325</v>
      </c>
      <c r="L81" s="6" t="s">
        <v>185</v>
      </c>
      <c r="M81" s="6" t="s">
        <v>334</v>
      </c>
      <c r="N81" s="6" t="s">
        <v>261</v>
      </c>
      <c r="O81" s="6" t="s">
        <v>465</v>
      </c>
      <c r="P81" s="6" t="str">
        <f aca="false">IF(J81="S0","—",IF(K81="","",IF(L81="E0","QM",INDEX(10_ASIL_Matrix!$D$4:$F$15,MATCH(J81&amp;"-"&amp;L81,10_ASIL_Matrix!$C$4:$C$15,0),MATCH(N81,10_ASIL_Matrix!$D$3:$F$3,0)))))</f>
        <v>QM</v>
      </c>
      <c r="Q81" s="6" t="s">
        <v>328</v>
      </c>
    </row>
    <row r="82" customFormat="false" ht="35.05" hidden="false" customHeight="false" outlineLevel="0" collapsed="false">
      <c r="A82" s="5" t="s">
        <v>524</v>
      </c>
      <c r="B82" s="5" t="s">
        <v>112</v>
      </c>
      <c r="C82" s="5" t="s">
        <v>113</v>
      </c>
      <c r="D82" s="5" t="s">
        <v>144</v>
      </c>
      <c r="E82" s="5" t="s">
        <v>145</v>
      </c>
      <c r="F82" s="5" t="s">
        <v>184</v>
      </c>
      <c r="G82" s="5" t="s">
        <v>323</v>
      </c>
      <c r="H82" s="5" t="s">
        <v>205</v>
      </c>
      <c r="I82" s="5" t="s">
        <v>525</v>
      </c>
      <c r="J82" s="5" t="s">
        <v>218</v>
      </c>
      <c r="K82" s="5" t="s">
        <v>325</v>
      </c>
      <c r="L82" s="5" t="s">
        <v>206</v>
      </c>
      <c r="M82" s="5" t="s">
        <v>337</v>
      </c>
      <c r="N82" s="5" t="s">
        <v>261</v>
      </c>
      <c r="O82" s="5" t="s">
        <v>465</v>
      </c>
      <c r="P82" s="5" t="str">
        <f aca="false">IF(J82="S0","—",IF(K82="","",IF(L82="E0","QM",INDEX(10_ASIL_Matrix!$D$4:$F$15,MATCH(J82&amp;"-"&amp;L82,10_ASIL_Matrix!$C$4:$C$15,0),MATCH(N82,10_ASIL_Matrix!$D$3:$F$3,0)))))</f>
        <v>QM</v>
      </c>
      <c r="Q82" s="5" t="s">
        <v>328</v>
      </c>
    </row>
    <row r="83" customFormat="false" ht="35.05" hidden="false" customHeight="false" outlineLevel="0" collapsed="false">
      <c r="A83" s="6" t="s">
        <v>526</v>
      </c>
      <c r="B83" s="6" t="s">
        <v>112</v>
      </c>
      <c r="C83" s="6" t="s">
        <v>113</v>
      </c>
      <c r="D83" s="6" t="s">
        <v>144</v>
      </c>
      <c r="E83" s="6" t="s">
        <v>145</v>
      </c>
      <c r="F83" s="6" t="s">
        <v>184</v>
      </c>
      <c r="G83" s="6" t="s">
        <v>323</v>
      </c>
      <c r="H83" s="6" t="s">
        <v>208</v>
      </c>
      <c r="I83" s="6" t="s">
        <v>527</v>
      </c>
      <c r="J83" s="6" t="s">
        <v>218</v>
      </c>
      <c r="K83" s="6" t="s">
        <v>325</v>
      </c>
      <c r="L83" s="6" t="s">
        <v>209</v>
      </c>
      <c r="M83" s="6" t="s">
        <v>340</v>
      </c>
      <c r="N83" s="6" t="s">
        <v>261</v>
      </c>
      <c r="O83" s="6" t="s">
        <v>465</v>
      </c>
      <c r="P83" s="6" t="str">
        <f aca="false">IF(J83="S0","—",IF(K83="","",IF(L83="E0","QM",INDEX(10_ASIL_Matrix!$D$4:$F$15,MATCH(J83&amp;"-"&amp;L83,10_ASIL_Matrix!$C$4:$C$15,0),MATCH(N83,10_ASIL_Matrix!$D$3:$F$3,0)))))</f>
        <v>QM</v>
      </c>
      <c r="Q83" s="6" t="s">
        <v>328</v>
      </c>
    </row>
    <row r="84" customFormat="false" ht="35.05" hidden="false" customHeight="false" outlineLevel="0" collapsed="false">
      <c r="A84" s="5" t="s">
        <v>528</v>
      </c>
      <c r="B84" s="5" t="s">
        <v>112</v>
      </c>
      <c r="C84" s="5" t="s">
        <v>113</v>
      </c>
      <c r="D84" s="5" t="s">
        <v>144</v>
      </c>
      <c r="E84" s="5" t="s">
        <v>145</v>
      </c>
      <c r="F84" s="5" t="s">
        <v>187</v>
      </c>
      <c r="G84" s="5" t="s">
        <v>342</v>
      </c>
      <c r="H84" s="5" t="s">
        <v>199</v>
      </c>
      <c r="I84" s="5" t="s">
        <v>529</v>
      </c>
      <c r="J84" s="5" t="s">
        <v>222</v>
      </c>
      <c r="K84" s="5" t="s">
        <v>344</v>
      </c>
      <c r="L84" s="5" t="s">
        <v>188</v>
      </c>
      <c r="M84" s="5" t="s">
        <v>345</v>
      </c>
      <c r="N84" s="5" t="s">
        <v>261</v>
      </c>
      <c r="O84" s="5" t="s">
        <v>476</v>
      </c>
      <c r="P84" s="15" t="str">
        <f aca="false">IF(J84="S0","—",IF(K84="","",IF(L84="E0","QM",INDEX(10_ASIL_Matrix!$D$4:$F$15,MATCH(J84&amp;"-"&amp;L84,10_ASIL_Matrix!$C$4:$C$15,0),MATCH(N84,10_ASIL_Matrix!$D$3:$F$3,0)))))</f>
        <v>B</v>
      </c>
      <c r="Q84" s="5" t="s">
        <v>328</v>
      </c>
    </row>
    <row r="85" customFormat="false" ht="35.05" hidden="false" customHeight="false" outlineLevel="0" collapsed="false">
      <c r="A85" s="6" t="s">
        <v>530</v>
      </c>
      <c r="B85" s="6" t="s">
        <v>112</v>
      </c>
      <c r="C85" s="6" t="s">
        <v>113</v>
      </c>
      <c r="D85" s="6" t="s">
        <v>144</v>
      </c>
      <c r="E85" s="6" t="s">
        <v>145</v>
      </c>
      <c r="F85" s="6" t="s">
        <v>187</v>
      </c>
      <c r="G85" s="6" t="s">
        <v>342</v>
      </c>
      <c r="H85" s="6" t="s">
        <v>201</v>
      </c>
      <c r="I85" s="6" t="s">
        <v>531</v>
      </c>
      <c r="J85" s="6" t="s">
        <v>222</v>
      </c>
      <c r="K85" s="6" t="s">
        <v>344</v>
      </c>
      <c r="L85" s="6" t="s">
        <v>185</v>
      </c>
      <c r="M85" s="6" t="s">
        <v>348</v>
      </c>
      <c r="N85" s="6" t="s">
        <v>261</v>
      </c>
      <c r="O85" s="6" t="s">
        <v>476</v>
      </c>
      <c r="P85" s="16" t="str">
        <f aca="false">IF(J85="S0","—",IF(K85="","",IF(L85="E0","QM",INDEX(10_ASIL_Matrix!$D$4:$F$15,MATCH(J85&amp;"-"&amp;L85,10_ASIL_Matrix!$C$4:$C$15,0),MATCH(N85,10_ASIL_Matrix!$D$3:$F$3,0)))))</f>
        <v>A</v>
      </c>
      <c r="Q85" s="6" t="s">
        <v>328</v>
      </c>
    </row>
    <row r="86" customFormat="false" ht="35.05" hidden="false" customHeight="false" outlineLevel="0" collapsed="false">
      <c r="A86" s="5" t="s">
        <v>532</v>
      </c>
      <c r="B86" s="5" t="s">
        <v>112</v>
      </c>
      <c r="C86" s="5" t="s">
        <v>113</v>
      </c>
      <c r="D86" s="5" t="s">
        <v>144</v>
      </c>
      <c r="E86" s="5" t="s">
        <v>145</v>
      </c>
      <c r="F86" s="5" t="s">
        <v>187</v>
      </c>
      <c r="G86" s="5" t="s">
        <v>342</v>
      </c>
      <c r="H86" s="5" t="s">
        <v>203</v>
      </c>
      <c r="I86" s="5" t="s">
        <v>533</v>
      </c>
      <c r="J86" s="5" t="s">
        <v>222</v>
      </c>
      <c r="K86" s="5" t="s">
        <v>344</v>
      </c>
      <c r="L86" s="5" t="s">
        <v>185</v>
      </c>
      <c r="M86" s="5" t="s">
        <v>351</v>
      </c>
      <c r="N86" s="5" t="s">
        <v>261</v>
      </c>
      <c r="O86" s="5" t="s">
        <v>476</v>
      </c>
      <c r="P86" s="16" t="str">
        <f aca="false">IF(J86="S0","—",IF(K86="","",IF(L86="E0","QM",INDEX(10_ASIL_Matrix!$D$4:$F$15,MATCH(J86&amp;"-"&amp;L86,10_ASIL_Matrix!$C$4:$C$15,0),MATCH(N86,10_ASIL_Matrix!$D$3:$F$3,0)))))</f>
        <v>A</v>
      </c>
      <c r="Q86" s="5" t="s">
        <v>328</v>
      </c>
    </row>
    <row r="87" customFormat="false" ht="35.05" hidden="false" customHeight="false" outlineLevel="0" collapsed="false">
      <c r="A87" s="6" t="s">
        <v>534</v>
      </c>
      <c r="B87" s="6" t="s">
        <v>112</v>
      </c>
      <c r="C87" s="6" t="s">
        <v>113</v>
      </c>
      <c r="D87" s="6" t="s">
        <v>144</v>
      </c>
      <c r="E87" s="6" t="s">
        <v>145</v>
      </c>
      <c r="F87" s="6" t="s">
        <v>187</v>
      </c>
      <c r="G87" s="6" t="s">
        <v>342</v>
      </c>
      <c r="H87" s="6" t="s">
        <v>205</v>
      </c>
      <c r="I87" s="6" t="s">
        <v>535</v>
      </c>
      <c r="J87" s="6" t="s">
        <v>222</v>
      </c>
      <c r="K87" s="6" t="s">
        <v>354</v>
      </c>
      <c r="L87" s="6" t="s">
        <v>206</v>
      </c>
      <c r="M87" s="6" t="s">
        <v>355</v>
      </c>
      <c r="N87" s="6" t="s">
        <v>261</v>
      </c>
      <c r="O87" s="6" t="s">
        <v>476</v>
      </c>
      <c r="P87" s="6" t="str">
        <f aca="false">IF(J87="S0","—",IF(K87="","",IF(L87="E0","QM",INDEX(10_ASIL_Matrix!$D$4:$F$15,MATCH(J87&amp;"-"&amp;L87,10_ASIL_Matrix!$C$4:$C$15,0),MATCH(N87,10_ASIL_Matrix!$D$3:$F$3,0)))))</f>
        <v>QM</v>
      </c>
      <c r="Q87" s="6" t="s">
        <v>328</v>
      </c>
    </row>
    <row r="88" customFormat="false" ht="35.05" hidden="false" customHeight="false" outlineLevel="0" collapsed="false">
      <c r="A88" s="5" t="s">
        <v>536</v>
      </c>
      <c r="B88" s="5" t="s">
        <v>112</v>
      </c>
      <c r="C88" s="5" t="s">
        <v>113</v>
      </c>
      <c r="D88" s="5" t="s">
        <v>144</v>
      </c>
      <c r="E88" s="5" t="s">
        <v>145</v>
      </c>
      <c r="F88" s="5" t="s">
        <v>187</v>
      </c>
      <c r="G88" s="5" t="s">
        <v>342</v>
      </c>
      <c r="H88" s="5" t="s">
        <v>208</v>
      </c>
      <c r="I88" s="5" t="s">
        <v>537</v>
      </c>
      <c r="J88" s="5" t="s">
        <v>222</v>
      </c>
      <c r="K88" s="5" t="s">
        <v>354</v>
      </c>
      <c r="L88" s="5" t="s">
        <v>209</v>
      </c>
      <c r="M88" s="5" t="s">
        <v>358</v>
      </c>
      <c r="N88" s="5" t="s">
        <v>261</v>
      </c>
      <c r="O88" s="5" t="s">
        <v>476</v>
      </c>
      <c r="P88" s="5" t="str">
        <f aca="false">IF(J88="S0","—",IF(K88="","",IF(L88="E0","QM",INDEX(10_ASIL_Matrix!$D$4:$F$15,MATCH(J88&amp;"-"&amp;L88,10_ASIL_Matrix!$C$4:$C$15,0),MATCH(N88,10_ASIL_Matrix!$D$3:$F$3,0)))))</f>
        <v>QM</v>
      </c>
      <c r="Q88" s="5" t="s">
        <v>328</v>
      </c>
    </row>
    <row r="89" customFormat="false" ht="35.05" hidden="false" customHeight="false" outlineLevel="0" collapsed="false">
      <c r="A89" s="6" t="s">
        <v>538</v>
      </c>
      <c r="B89" s="6" t="s">
        <v>112</v>
      </c>
      <c r="C89" s="6" t="s">
        <v>113</v>
      </c>
      <c r="D89" s="6" t="s">
        <v>144</v>
      </c>
      <c r="E89" s="6" t="s">
        <v>145</v>
      </c>
      <c r="F89" s="6" t="s">
        <v>190</v>
      </c>
      <c r="G89" s="6" t="s">
        <v>360</v>
      </c>
      <c r="H89" s="6" t="s">
        <v>199</v>
      </c>
      <c r="I89" s="6" t="s">
        <v>539</v>
      </c>
      <c r="J89" s="6" t="s">
        <v>222</v>
      </c>
      <c r="K89" s="6" t="s">
        <v>362</v>
      </c>
      <c r="L89" s="6" t="s">
        <v>188</v>
      </c>
      <c r="M89" s="6" t="s">
        <v>363</v>
      </c>
      <c r="N89" s="6" t="s">
        <v>261</v>
      </c>
      <c r="O89" s="6" t="s">
        <v>540</v>
      </c>
      <c r="P89" s="15" t="str">
        <f aca="false">IF(J89="S0","—",IF(K89="","",IF(L89="E0","QM",INDEX(10_ASIL_Matrix!$D$4:$F$15,MATCH(J89&amp;"-"&amp;L89,10_ASIL_Matrix!$C$4:$C$15,0),MATCH(N89,10_ASIL_Matrix!$D$3:$F$3,0)))))</f>
        <v>B</v>
      </c>
      <c r="Q89" s="6" t="s">
        <v>328</v>
      </c>
    </row>
    <row r="90" customFormat="false" ht="35.05" hidden="false" customHeight="false" outlineLevel="0" collapsed="false">
      <c r="A90" s="5" t="s">
        <v>541</v>
      </c>
      <c r="B90" s="5" t="s">
        <v>112</v>
      </c>
      <c r="C90" s="5" t="s">
        <v>113</v>
      </c>
      <c r="D90" s="5" t="s">
        <v>144</v>
      </c>
      <c r="E90" s="5" t="s">
        <v>145</v>
      </c>
      <c r="F90" s="5" t="s">
        <v>190</v>
      </c>
      <c r="G90" s="5" t="s">
        <v>360</v>
      </c>
      <c r="H90" s="5" t="s">
        <v>201</v>
      </c>
      <c r="I90" s="5" t="s">
        <v>542</v>
      </c>
      <c r="J90" s="5" t="s">
        <v>222</v>
      </c>
      <c r="K90" s="5" t="s">
        <v>362</v>
      </c>
      <c r="L90" s="5" t="s">
        <v>185</v>
      </c>
      <c r="M90" s="5" t="s">
        <v>366</v>
      </c>
      <c r="N90" s="5" t="s">
        <v>261</v>
      </c>
      <c r="O90" s="5" t="s">
        <v>540</v>
      </c>
      <c r="P90" s="16" t="str">
        <f aca="false">IF(J90="S0","—",IF(K90="","",IF(L90="E0","QM",INDEX(10_ASIL_Matrix!$D$4:$F$15,MATCH(J90&amp;"-"&amp;L90,10_ASIL_Matrix!$C$4:$C$15,0),MATCH(N90,10_ASIL_Matrix!$D$3:$F$3,0)))))</f>
        <v>A</v>
      </c>
      <c r="Q90" s="5" t="s">
        <v>328</v>
      </c>
    </row>
    <row r="91" customFormat="false" ht="35.05" hidden="false" customHeight="false" outlineLevel="0" collapsed="false">
      <c r="A91" s="6" t="s">
        <v>543</v>
      </c>
      <c r="B91" s="6" t="s">
        <v>112</v>
      </c>
      <c r="C91" s="6" t="s">
        <v>113</v>
      </c>
      <c r="D91" s="6" t="s">
        <v>144</v>
      </c>
      <c r="E91" s="6" t="s">
        <v>145</v>
      </c>
      <c r="F91" s="6" t="s">
        <v>190</v>
      </c>
      <c r="G91" s="6" t="s">
        <v>360</v>
      </c>
      <c r="H91" s="6" t="s">
        <v>203</v>
      </c>
      <c r="I91" s="6" t="s">
        <v>544</v>
      </c>
      <c r="J91" s="6" t="s">
        <v>222</v>
      </c>
      <c r="K91" s="6" t="s">
        <v>362</v>
      </c>
      <c r="L91" s="6" t="s">
        <v>185</v>
      </c>
      <c r="M91" s="6" t="s">
        <v>369</v>
      </c>
      <c r="N91" s="6" t="s">
        <v>261</v>
      </c>
      <c r="O91" s="6" t="s">
        <v>540</v>
      </c>
      <c r="P91" s="16" t="str">
        <f aca="false">IF(J91="S0","—",IF(K91="","",IF(L91="E0","QM",INDEX(10_ASIL_Matrix!$D$4:$F$15,MATCH(J91&amp;"-"&amp;L91,10_ASIL_Matrix!$C$4:$C$15,0),MATCH(N91,10_ASIL_Matrix!$D$3:$F$3,0)))))</f>
        <v>A</v>
      </c>
      <c r="Q91" s="6" t="s">
        <v>328</v>
      </c>
    </row>
    <row r="92" customFormat="false" ht="35.05" hidden="false" customHeight="false" outlineLevel="0" collapsed="false">
      <c r="A92" s="5" t="s">
        <v>545</v>
      </c>
      <c r="B92" s="5" t="s">
        <v>112</v>
      </c>
      <c r="C92" s="5" t="s">
        <v>113</v>
      </c>
      <c r="D92" s="5" t="s">
        <v>144</v>
      </c>
      <c r="E92" s="5" t="s">
        <v>145</v>
      </c>
      <c r="F92" s="5" t="s">
        <v>190</v>
      </c>
      <c r="G92" s="5" t="s">
        <v>360</v>
      </c>
      <c r="H92" s="5" t="s">
        <v>205</v>
      </c>
      <c r="I92" s="5" t="s">
        <v>546</v>
      </c>
      <c r="J92" s="5" t="s">
        <v>222</v>
      </c>
      <c r="K92" s="5" t="s">
        <v>372</v>
      </c>
      <c r="L92" s="5" t="s">
        <v>206</v>
      </c>
      <c r="M92" s="5" t="s">
        <v>373</v>
      </c>
      <c r="N92" s="5" t="s">
        <v>261</v>
      </c>
      <c r="O92" s="5" t="s">
        <v>540</v>
      </c>
      <c r="P92" s="5" t="str">
        <f aca="false">IF(J92="S0","—",IF(K92="","",IF(L92="E0","QM",INDEX(10_ASIL_Matrix!$D$4:$F$15,MATCH(J92&amp;"-"&amp;L92,10_ASIL_Matrix!$C$4:$C$15,0),MATCH(N92,10_ASIL_Matrix!$D$3:$F$3,0)))))</f>
        <v>QM</v>
      </c>
      <c r="Q92" s="5" t="s">
        <v>328</v>
      </c>
    </row>
    <row r="93" customFormat="false" ht="35.05" hidden="false" customHeight="false" outlineLevel="0" collapsed="false">
      <c r="A93" s="6" t="s">
        <v>547</v>
      </c>
      <c r="B93" s="6" t="s">
        <v>112</v>
      </c>
      <c r="C93" s="6" t="s">
        <v>113</v>
      </c>
      <c r="D93" s="6" t="s">
        <v>144</v>
      </c>
      <c r="E93" s="6" t="s">
        <v>145</v>
      </c>
      <c r="F93" s="6" t="s">
        <v>190</v>
      </c>
      <c r="G93" s="6" t="s">
        <v>360</v>
      </c>
      <c r="H93" s="6" t="s">
        <v>208</v>
      </c>
      <c r="I93" s="6" t="s">
        <v>548</v>
      </c>
      <c r="J93" s="6" t="s">
        <v>222</v>
      </c>
      <c r="K93" s="6" t="s">
        <v>372</v>
      </c>
      <c r="L93" s="6" t="s">
        <v>209</v>
      </c>
      <c r="M93" s="6" t="s">
        <v>376</v>
      </c>
      <c r="N93" s="6" t="s">
        <v>261</v>
      </c>
      <c r="O93" s="6" t="s">
        <v>540</v>
      </c>
      <c r="P93" s="6" t="str">
        <f aca="false">IF(J93="S0","—",IF(K93="","",IF(L93="E0","QM",INDEX(10_ASIL_Matrix!$D$4:$F$15,MATCH(J93&amp;"-"&amp;L93,10_ASIL_Matrix!$C$4:$C$15,0),MATCH(N93,10_ASIL_Matrix!$D$3:$F$3,0)))))</f>
        <v>QM</v>
      </c>
      <c r="Q93" s="6" t="s">
        <v>328</v>
      </c>
    </row>
    <row r="94" customFormat="false" ht="35.05" hidden="false" customHeight="false" outlineLevel="0" collapsed="false">
      <c r="A94" s="5" t="s">
        <v>549</v>
      </c>
      <c r="B94" s="5" t="s">
        <v>112</v>
      </c>
      <c r="C94" s="5" t="s">
        <v>113</v>
      </c>
      <c r="D94" s="5" t="s">
        <v>144</v>
      </c>
      <c r="E94" s="5" t="s">
        <v>145</v>
      </c>
      <c r="F94" s="5" t="s">
        <v>192</v>
      </c>
      <c r="G94" s="5" t="s">
        <v>378</v>
      </c>
      <c r="H94" s="5" t="s">
        <v>199</v>
      </c>
      <c r="I94" s="5" t="s">
        <v>550</v>
      </c>
      <c r="J94" s="5" t="s">
        <v>226</v>
      </c>
      <c r="K94" s="5" t="s">
        <v>380</v>
      </c>
      <c r="L94" s="5" t="s">
        <v>185</v>
      </c>
      <c r="M94" s="5" t="s">
        <v>381</v>
      </c>
      <c r="N94" s="5" t="s">
        <v>265</v>
      </c>
      <c r="O94" s="5" t="s">
        <v>551</v>
      </c>
      <c r="P94" s="17" t="str">
        <f aca="false">IF(J94="S0","—",IF(K94="","",IF(L94="E0","QM",INDEX(10_ASIL_Matrix!$D$4:$F$15,MATCH(J94&amp;"-"&amp;L94,10_ASIL_Matrix!$C$4:$C$15,0),MATCH(N94,10_ASIL_Matrix!$D$3:$F$3,0)))))</f>
        <v>C</v>
      </c>
      <c r="Q94" s="5" t="s">
        <v>328</v>
      </c>
    </row>
    <row r="95" customFormat="false" ht="35.05" hidden="false" customHeight="false" outlineLevel="0" collapsed="false">
      <c r="A95" s="6" t="s">
        <v>552</v>
      </c>
      <c r="B95" s="6" t="s">
        <v>112</v>
      </c>
      <c r="C95" s="6" t="s">
        <v>113</v>
      </c>
      <c r="D95" s="6" t="s">
        <v>144</v>
      </c>
      <c r="E95" s="6" t="s">
        <v>145</v>
      </c>
      <c r="F95" s="6" t="s">
        <v>192</v>
      </c>
      <c r="G95" s="6" t="s">
        <v>378</v>
      </c>
      <c r="H95" s="6" t="s">
        <v>201</v>
      </c>
      <c r="I95" s="6" t="s">
        <v>553</v>
      </c>
      <c r="J95" s="6" t="s">
        <v>226</v>
      </c>
      <c r="K95" s="6" t="s">
        <v>380</v>
      </c>
      <c r="L95" s="6" t="s">
        <v>185</v>
      </c>
      <c r="M95" s="6" t="s">
        <v>384</v>
      </c>
      <c r="N95" s="6" t="s">
        <v>265</v>
      </c>
      <c r="O95" s="6" t="s">
        <v>551</v>
      </c>
      <c r="P95" s="17" t="str">
        <f aca="false">IF(J95="S0","—",IF(K95="","",IF(L95="E0","QM",INDEX(10_ASIL_Matrix!$D$4:$F$15,MATCH(J95&amp;"-"&amp;L95,10_ASIL_Matrix!$C$4:$C$15,0),MATCH(N95,10_ASIL_Matrix!$D$3:$F$3,0)))))</f>
        <v>C</v>
      </c>
      <c r="Q95" s="6" t="s">
        <v>328</v>
      </c>
    </row>
    <row r="96" customFormat="false" ht="35.05" hidden="false" customHeight="false" outlineLevel="0" collapsed="false">
      <c r="A96" s="5" t="s">
        <v>554</v>
      </c>
      <c r="B96" s="5" t="s">
        <v>112</v>
      </c>
      <c r="C96" s="5" t="s">
        <v>113</v>
      </c>
      <c r="D96" s="5" t="s">
        <v>144</v>
      </c>
      <c r="E96" s="5" t="s">
        <v>145</v>
      </c>
      <c r="F96" s="5" t="s">
        <v>192</v>
      </c>
      <c r="G96" s="5" t="s">
        <v>378</v>
      </c>
      <c r="H96" s="5" t="s">
        <v>203</v>
      </c>
      <c r="I96" s="5" t="s">
        <v>555</v>
      </c>
      <c r="J96" s="5" t="s">
        <v>226</v>
      </c>
      <c r="K96" s="5" t="s">
        <v>380</v>
      </c>
      <c r="L96" s="5" t="s">
        <v>185</v>
      </c>
      <c r="M96" s="5" t="s">
        <v>387</v>
      </c>
      <c r="N96" s="5" t="s">
        <v>265</v>
      </c>
      <c r="O96" s="5" t="s">
        <v>551</v>
      </c>
      <c r="P96" s="17" t="str">
        <f aca="false">IF(J96="S0","—",IF(K96="","",IF(L96="E0","QM",INDEX(10_ASIL_Matrix!$D$4:$F$15,MATCH(J96&amp;"-"&amp;L96,10_ASIL_Matrix!$C$4:$C$15,0),MATCH(N96,10_ASIL_Matrix!$D$3:$F$3,0)))))</f>
        <v>C</v>
      </c>
      <c r="Q96" s="5" t="s">
        <v>328</v>
      </c>
    </row>
    <row r="97" customFormat="false" ht="35.05" hidden="false" customHeight="false" outlineLevel="0" collapsed="false">
      <c r="A97" s="6" t="s">
        <v>556</v>
      </c>
      <c r="B97" s="6" t="s">
        <v>112</v>
      </c>
      <c r="C97" s="6" t="s">
        <v>113</v>
      </c>
      <c r="D97" s="6" t="s">
        <v>144</v>
      </c>
      <c r="E97" s="6" t="s">
        <v>145</v>
      </c>
      <c r="F97" s="6" t="s">
        <v>192</v>
      </c>
      <c r="G97" s="6" t="s">
        <v>378</v>
      </c>
      <c r="H97" s="6" t="s">
        <v>205</v>
      </c>
      <c r="I97" s="6" t="s">
        <v>557</v>
      </c>
      <c r="J97" s="6" t="s">
        <v>226</v>
      </c>
      <c r="K97" s="6" t="s">
        <v>390</v>
      </c>
      <c r="L97" s="6" t="s">
        <v>206</v>
      </c>
      <c r="M97" s="6" t="s">
        <v>391</v>
      </c>
      <c r="N97" s="6" t="s">
        <v>265</v>
      </c>
      <c r="O97" s="6" t="s">
        <v>551</v>
      </c>
      <c r="P97" s="15" t="str">
        <f aca="false">IF(J97="S0","—",IF(K97="","",IF(L97="E0","QM",INDEX(10_ASIL_Matrix!$D$4:$F$15,MATCH(J97&amp;"-"&amp;L97,10_ASIL_Matrix!$C$4:$C$15,0),MATCH(N97,10_ASIL_Matrix!$D$3:$F$3,0)))))</f>
        <v>B</v>
      </c>
      <c r="Q97" s="6" t="s">
        <v>328</v>
      </c>
    </row>
    <row r="98" customFormat="false" ht="35.05" hidden="false" customHeight="false" outlineLevel="0" collapsed="false">
      <c r="A98" s="5" t="s">
        <v>558</v>
      </c>
      <c r="B98" s="5" t="s">
        <v>112</v>
      </c>
      <c r="C98" s="5" t="s">
        <v>113</v>
      </c>
      <c r="D98" s="5" t="s">
        <v>144</v>
      </c>
      <c r="E98" s="5" t="s">
        <v>145</v>
      </c>
      <c r="F98" s="5" t="s">
        <v>192</v>
      </c>
      <c r="G98" s="5" t="s">
        <v>378</v>
      </c>
      <c r="H98" s="5" t="s">
        <v>208</v>
      </c>
      <c r="I98" s="5" t="s">
        <v>559</v>
      </c>
      <c r="J98" s="5" t="s">
        <v>226</v>
      </c>
      <c r="K98" s="5" t="s">
        <v>390</v>
      </c>
      <c r="L98" s="5" t="s">
        <v>209</v>
      </c>
      <c r="M98" s="5" t="s">
        <v>394</v>
      </c>
      <c r="N98" s="5" t="s">
        <v>265</v>
      </c>
      <c r="O98" s="5" t="s">
        <v>551</v>
      </c>
      <c r="P98" s="16" t="str">
        <f aca="false">IF(J98="S0","—",IF(K98="","",IF(L98="E0","QM",INDEX(10_ASIL_Matrix!$D$4:$F$15,MATCH(J98&amp;"-"&amp;L98,10_ASIL_Matrix!$C$4:$C$15,0),MATCH(N98,10_ASIL_Matrix!$D$3:$F$3,0)))))</f>
        <v>A</v>
      </c>
      <c r="Q98" s="5" t="s">
        <v>328</v>
      </c>
    </row>
    <row r="99" customFormat="false" ht="35.05" hidden="false" customHeight="false" outlineLevel="0" collapsed="false">
      <c r="A99" s="6" t="s">
        <v>560</v>
      </c>
      <c r="B99" s="6" t="s">
        <v>112</v>
      </c>
      <c r="C99" s="6" t="s">
        <v>113</v>
      </c>
      <c r="D99" s="6" t="s">
        <v>144</v>
      </c>
      <c r="E99" s="6" t="s">
        <v>145</v>
      </c>
      <c r="F99" s="6" t="s">
        <v>194</v>
      </c>
      <c r="G99" s="6" t="s">
        <v>396</v>
      </c>
      <c r="H99" s="6" t="s">
        <v>199</v>
      </c>
      <c r="I99" s="6" t="s">
        <v>561</v>
      </c>
      <c r="J99" s="6" t="s">
        <v>226</v>
      </c>
      <c r="K99" s="6" t="s">
        <v>398</v>
      </c>
      <c r="L99" s="6" t="s">
        <v>188</v>
      </c>
      <c r="M99" s="6" t="s">
        <v>399</v>
      </c>
      <c r="N99" s="6" t="s">
        <v>265</v>
      </c>
      <c r="O99" s="6" t="s">
        <v>562</v>
      </c>
      <c r="P99" s="18" t="str">
        <f aca="false">IF(J99="S0","—",IF(K99="","",IF(L99="E0","QM",INDEX(10_ASIL_Matrix!$D$4:$F$15,MATCH(J99&amp;"-"&amp;L99,10_ASIL_Matrix!$C$4:$C$15,0),MATCH(N99,10_ASIL_Matrix!$D$3:$F$3,0)))))</f>
        <v>D</v>
      </c>
      <c r="Q99" s="6" t="s">
        <v>328</v>
      </c>
    </row>
    <row r="100" customFormat="false" ht="35.05" hidden="false" customHeight="false" outlineLevel="0" collapsed="false">
      <c r="A100" s="5" t="s">
        <v>563</v>
      </c>
      <c r="B100" s="5" t="s">
        <v>112</v>
      </c>
      <c r="C100" s="5" t="s">
        <v>113</v>
      </c>
      <c r="D100" s="5" t="s">
        <v>144</v>
      </c>
      <c r="E100" s="5" t="s">
        <v>145</v>
      </c>
      <c r="F100" s="5" t="s">
        <v>194</v>
      </c>
      <c r="G100" s="5" t="s">
        <v>396</v>
      </c>
      <c r="H100" s="5" t="s">
        <v>201</v>
      </c>
      <c r="I100" s="5" t="s">
        <v>564</v>
      </c>
      <c r="J100" s="5" t="s">
        <v>226</v>
      </c>
      <c r="K100" s="5" t="s">
        <v>398</v>
      </c>
      <c r="L100" s="5" t="s">
        <v>185</v>
      </c>
      <c r="M100" s="5" t="s">
        <v>402</v>
      </c>
      <c r="N100" s="5" t="s">
        <v>265</v>
      </c>
      <c r="O100" s="5" t="s">
        <v>562</v>
      </c>
      <c r="P100" s="17" t="str">
        <f aca="false">IF(J100="S0","—",IF(K100="","",IF(L100="E0","QM",INDEX(10_ASIL_Matrix!$D$4:$F$15,MATCH(J100&amp;"-"&amp;L100,10_ASIL_Matrix!$C$4:$C$15,0),MATCH(N100,10_ASIL_Matrix!$D$3:$F$3,0)))))</f>
        <v>C</v>
      </c>
      <c r="Q100" s="5" t="s">
        <v>328</v>
      </c>
    </row>
    <row r="101" customFormat="false" ht="35.05" hidden="false" customHeight="false" outlineLevel="0" collapsed="false">
      <c r="A101" s="6" t="s">
        <v>565</v>
      </c>
      <c r="B101" s="6" t="s">
        <v>112</v>
      </c>
      <c r="C101" s="6" t="s">
        <v>113</v>
      </c>
      <c r="D101" s="6" t="s">
        <v>144</v>
      </c>
      <c r="E101" s="6" t="s">
        <v>145</v>
      </c>
      <c r="F101" s="6" t="s">
        <v>194</v>
      </c>
      <c r="G101" s="6" t="s">
        <v>396</v>
      </c>
      <c r="H101" s="6" t="s">
        <v>203</v>
      </c>
      <c r="I101" s="6" t="s">
        <v>566</v>
      </c>
      <c r="J101" s="6" t="s">
        <v>226</v>
      </c>
      <c r="K101" s="6" t="s">
        <v>398</v>
      </c>
      <c r="L101" s="6" t="s">
        <v>185</v>
      </c>
      <c r="M101" s="6" t="s">
        <v>405</v>
      </c>
      <c r="N101" s="6" t="s">
        <v>265</v>
      </c>
      <c r="O101" s="6" t="s">
        <v>562</v>
      </c>
      <c r="P101" s="17" t="str">
        <f aca="false">IF(J101="S0","—",IF(K101="","",IF(L101="E0","QM",INDEX(10_ASIL_Matrix!$D$4:$F$15,MATCH(J101&amp;"-"&amp;L101,10_ASIL_Matrix!$C$4:$C$15,0),MATCH(N101,10_ASIL_Matrix!$D$3:$F$3,0)))))</f>
        <v>C</v>
      </c>
      <c r="Q101" s="6" t="s">
        <v>328</v>
      </c>
    </row>
    <row r="102" customFormat="false" ht="35.05" hidden="false" customHeight="false" outlineLevel="0" collapsed="false">
      <c r="A102" s="5" t="s">
        <v>567</v>
      </c>
      <c r="B102" s="5" t="s">
        <v>112</v>
      </c>
      <c r="C102" s="5" t="s">
        <v>113</v>
      </c>
      <c r="D102" s="5" t="s">
        <v>144</v>
      </c>
      <c r="E102" s="5" t="s">
        <v>145</v>
      </c>
      <c r="F102" s="5" t="s">
        <v>194</v>
      </c>
      <c r="G102" s="5" t="s">
        <v>396</v>
      </c>
      <c r="H102" s="5" t="s">
        <v>205</v>
      </c>
      <c r="I102" s="5" t="s">
        <v>568</v>
      </c>
      <c r="J102" s="5" t="s">
        <v>226</v>
      </c>
      <c r="K102" s="5" t="s">
        <v>408</v>
      </c>
      <c r="L102" s="5" t="s">
        <v>206</v>
      </c>
      <c r="M102" s="5" t="s">
        <v>409</v>
      </c>
      <c r="N102" s="5" t="s">
        <v>265</v>
      </c>
      <c r="O102" s="5" t="s">
        <v>562</v>
      </c>
      <c r="P102" s="15" t="str">
        <f aca="false">IF(J102="S0","—",IF(K102="","",IF(L102="E0","QM",INDEX(10_ASIL_Matrix!$D$4:$F$15,MATCH(J102&amp;"-"&amp;L102,10_ASIL_Matrix!$C$4:$C$15,0),MATCH(N102,10_ASIL_Matrix!$D$3:$F$3,0)))))</f>
        <v>B</v>
      </c>
      <c r="Q102" s="5" t="s">
        <v>328</v>
      </c>
    </row>
    <row r="103" customFormat="false" ht="35.05" hidden="false" customHeight="false" outlineLevel="0" collapsed="false">
      <c r="A103" s="6" t="s">
        <v>569</v>
      </c>
      <c r="B103" s="6" t="s">
        <v>112</v>
      </c>
      <c r="C103" s="6" t="s">
        <v>113</v>
      </c>
      <c r="D103" s="6" t="s">
        <v>144</v>
      </c>
      <c r="E103" s="6" t="s">
        <v>145</v>
      </c>
      <c r="F103" s="6" t="s">
        <v>194</v>
      </c>
      <c r="G103" s="6" t="s">
        <v>396</v>
      </c>
      <c r="H103" s="6" t="s">
        <v>208</v>
      </c>
      <c r="I103" s="6" t="s">
        <v>570</v>
      </c>
      <c r="J103" s="6" t="s">
        <v>226</v>
      </c>
      <c r="K103" s="6" t="s">
        <v>408</v>
      </c>
      <c r="L103" s="6" t="s">
        <v>209</v>
      </c>
      <c r="M103" s="6" t="s">
        <v>412</v>
      </c>
      <c r="N103" s="6" t="s">
        <v>265</v>
      </c>
      <c r="O103" s="6" t="s">
        <v>562</v>
      </c>
      <c r="P103" s="16" t="str">
        <f aca="false">IF(J103="S0","—",IF(K103="","",IF(L103="E0","QM",INDEX(10_ASIL_Matrix!$D$4:$F$15,MATCH(J103&amp;"-"&amp;L103,10_ASIL_Matrix!$C$4:$C$15,0),MATCH(N103,10_ASIL_Matrix!$D$3:$F$3,0)))))</f>
        <v>A</v>
      </c>
      <c r="Q103" s="6" t="s">
        <v>328</v>
      </c>
    </row>
    <row r="104" customFormat="false" ht="35.05" hidden="false" customHeight="false" outlineLevel="0" collapsed="false">
      <c r="A104" s="5" t="s">
        <v>571</v>
      </c>
      <c r="B104" s="5" t="s">
        <v>112</v>
      </c>
      <c r="C104" s="5" t="s">
        <v>113</v>
      </c>
      <c r="D104" s="5" t="s">
        <v>147</v>
      </c>
      <c r="E104" s="5" t="s">
        <v>148</v>
      </c>
      <c r="F104" s="5" t="s">
        <v>184</v>
      </c>
      <c r="G104" s="5" t="s">
        <v>323</v>
      </c>
      <c r="H104" s="5" t="s">
        <v>199</v>
      </c>
      <c r="I104" s="5" t="s">
        <v>572</v>
      </c>
      <c r="J104" s="5" t="s">
        <v>218</v>
      </c>
      <c r="K104" s="5" t="s">
        <v>325</v>
      </c>
      <c r="L104" s="5" t="s">
        <v>185</v>
      </c>
      <c r="M104" s="5" t="s">
        <v>326</v>
      </c>
      <c r="N104" s="5" t="s">
        <v>261</v>
      </c>
      <c r="O104" s="5" t="s">
        <v>465</v>
      </c>
      <c r="P104" s="5" t="str">
        <f aca="false">IF(J104="S0","—",IF(K104="","",IF(L104="E0","QM",INDEX(10_ASIL_Matrix!$D$4:$F$15,MATCH(J104&amp;"-"&amp;L104,10_ASIL_Matrix!$C$4:$C$15,0),MATCH(N104,10_ASIL_Matrix!$D$3:$F$3,0)))))</f>
        <v>QM</v>
      </c>
      <c r="Q104" s="5" t="s">
        <v>328</v>
      </c>
    </row>
    <row r="105" customFormat="false" ht="35.05" hidden="false" customHeight="false" outlineLevel="0" collapsed="false">
      <c r="A105" s="6" t="s">
        <v>573</v>
      </c>
      <c r="B105" s="6" t="s">
        <v>112</v>
      </c>
      <c r="C105" s="6" t="s">
        <v>113</v>
      </c>
      <c r="D105" s="6" t="s">
        <v>147</v>
      </c>
      <c r="E105" s="6" t="s">
        <v>148</v>
      </c>
      <c r="F105" s="6" t="s">
        <v>184</v>
      </c>
      <c r="G105" s="6" t="s">
        <v>323</v>
      </c>
      <c r="H105" s="6" t="s">
        <v>201</v>
      </c>
      <c r="I105" s="6" t="s">
        <v>574</v>
      </c>
      <c r="J105" s="6" t="s">
        <v>218</v>
      </c>
      <c r="K105" s="6" t="s">
        <v>325</v>
      </c>
      <c r="L105" s="6" t="s">
        <v>185</v>
      </c>
      <c r="M105" s="6" t="s">
        <v>331</v>
      </c>
      <c r="N105" s="6" t="s">
        <v>261</v>
      </c>
      <c r="O105" s="6" t="s">
        <v>465</v>
      </c>
      <c r="P105" s="6" t="str">
        <f aca="false">IF(J105="S0","—",IF(K105="","",IF(L105="E0","QM",INDEX(10_ASIL_Matrix!$D$4:$F$15,MATCH(J105&amp;"-"&amp;L105,10_ASIL_Matrix!$C$4:$C$15,0),MATCH(N105,10_ASIL_Matrix!$D$3:$F$3,0)))))</f>
        <v>QM</v>
      </c>
      <c r="Q105" s="6" t="s">
        <v>328</v>
      </c>
    </row>
    <row r="106" customFormat="false" ht="35.05" hidden="false" customHeight="false" outlineLevel="0" collapsed="false">
      <c r="A106" s="5" t="s">
        <v>575</v>
      </c>
      <c r="B106" s="5" t="s">
        <v>112</v>
      </c>
      <c r="C106" s="5" t="s">
        <v>113</v>
      </c>
      <c r="D106" s="5" t="s">
        <v>147</v>
      </c>
      <c r="E106" s="5" t="s">
        <v>148</v>
      </c>
      <c r="F106" s="5" t="s">
        <v>184</v>
      </c>
      <c r="G106" s="5" t="s">
        <v>323</v>
      </c>
      <c r="H106" s="5" t="s">
        <v>203</v>
      </c>
      <c r="I106" s="5" t="s">
        <v>576</v>
      </c>
      <c r="J106" s="5" t="s">
        <v>218</v>
      </c>
      <c r="K106" s="5" t="s">
        <v>325</v>
      </c>
      <c r="L106" s="5" t="s">
        <v>185</v>
      </c>
      <c r="M106" s="5" t="s">
        <v>334</v>
      </c>
      <c r="N106" s="5" t="s">
        <v>261</v>
      </c>
      <c r="O106" s="5" t="s">
        <v>465</v>
      </c>
      <c r="P106" s="5" t="str">
        <f aca="false">IF(J106="S0","—",IF(K106="","",IF(L106="E0","QM",INDEX(10_ASIL_Matrix!$D$4:$F$15,MATCH(J106&amp;"-"&amp;L106,10_ASIL_Matrix!$C$4:$C$15,0),MATCH(N106,10_ASIL_Matrix!$D$3:$F$3,0)))))</f>
        <v>QM</v>
      </c>
      <c r="Q106" s="5" t="s">
        <v>328</v>
      </c>
    </row>
    <row r="107" customFormat="false" ht="35.05" hidden="false" customHeight="false" outlineLevel="0" collapsed="false">
      <c r="A107" s="6" t="s">
        <v>577</v>
      </c>
      <c r="B107" s="6" t="s">
        <v>112</v>
      </c>
      <c r="C107" s="6" t="s">
        <v>113</v>
      </c>
      <c r="D107" s="6" t="s">
        <v>147</v>
      </c>
      <c r="E107" s="6" t="s">
        <v>148</v>
      </c>
      <c r="F107" s="6" t="s">
        <v>184</v>
      </c>
      <c r="G107" s="6" t="s">
        <v>323</v>
      </c>
      <c r="H107" s="6" t="s">
        <v>205</v>
      </c>
      <c r="I107" s="6" t="s">
        <v>578</v>
      </c>
      <c r="J107" s="6" t="s">
        <v>218</v>
      </c>
      <c r="K107" s="6" t="s">
        <v>325</v>
      </c>
      <c r="L107" s="6" t="s">
        <v>206</v>
      </c>
      <c r="M107" s="6" t="s">
        <v>337</v>
      </c>
      <c r="N107" s="6" t="s">
        <v>261</v>
      </c>
      <c r="O107" s="6" t="s">
        <v>465</v>
      </c>
      <c r="P107" s="6" t="str">
        <f aca="false">IF(J107="S0","—",IF(K107="","",IF(L107="E0","QM",INDEX(10_ASIL_Matrix!$D$4:$F$15,MATCH(J107&amp;"-"&amp;L107,10_ASIL_Matrix!$C$4:$C$15,0),MATCH(N107,10_ASIL_Matrix!$D$3:$F$3,0)))))</f>
        <v>QM</v>
      </c>
      <c r="Q107" s="6" t="s">
        <v>328</v>
      </c>
    </row>
    <row r="108" customFormat="false" ht="35.05" hidden="false" customHeight="false" outlineLevel="0" collapsed="false">
      <c r="A108" s="5" t="s">
        <v>579</v>
      </c>
      <c r="B108" s="5" t="s">
        <v>112</v>
      </c>
      <c r="C108" s="5" t="s">
        <v>113</v>
      </c>
      <c r="D108" s="5" t="s">
        <v>147</v>
      </c>
      <c r="E108" s="5" t="s">
        <v>148</v>
      </c>
      <c r="F108" s="5" t="s">
        <v>184</v>
      </c>
      <c r="G108" s="5" t="s">
        <v>323</v>
      </c>
      <c r="H108" s="5" t="s">
        <v>208</v>
      </c>
      <c r="I108" s="5" t="s">
        <v>580</v>
      </c>
      <c r="J108" s="5" t="s">
        <v>218</v>
      </c>
      <c r="K108" s="5" t="s">
        <v>325</v>
      </c>
      <c r="L108" s="5" t="s">
        <v>209</v>
      </c>
      <c r="M108" s="5" t="s">
        <v>340</v>
      </c>
      <c r="N108" s="5" t="s">
        <v>261</v>
      </c>
      <c r="O108" s="5" t="s">
        <v>465</v>
      </c>
      <c r="P108" s="5" t="str">
        <f aca="false">IF(J108="S0","—",IF(K108="","",IF(L108="E0","QM",INDEX(10_ASIL_Matrix!$D$4:$F$15,MATCH(J108&amp;"-"&amp;L108,10_ASIL_Matrix!$C$4:$C$15,0),MATCH(N108,10_ASIL_Matrix!$D$3:$F$3,0)))))</f>
        <v>QM</v>
      </c>
      <c r="Q108" s="5" t="s">
        <v>328</v>
      </c>
    </row>
    <row r="109" customFormat="false" ht="35.05" hidden="false" customHeight="false" outlineLevel="0" collapsed="false">
      <c r="A109" s="6" t="s">
        <v>581</v>
      </c>
      <c r="B109" s="6" t="s">
        <v>112</v>
      </c>
      <c r="C109" s="6" t="s">
        <v>113</v>
      </c>
      <c r="D109" s="6" t="s">
        <v>147</v>
      </c>
      <c r="E109" s="6" t="s">
        <v>148</v>
      </c>
      <c r="F109" s="6" t="s">
        <v>187</v>
      </c>
      <c r="G109" s="6" t="s">
        <v>342</v>
      </c>
      <c r="H109" s="6" t="s">
        <v>199</v>
      </c>
      <c r="I109" s="6" t="s">
        <v>582</v>
      </c>
      <c r="J109" s="6" t="s">
        <v>222</v>
      </c>
      <c r="K109" s="6" t="s">
        <v>344</v>
      </c>
      <c r="L109" s="6" t="s">
        <v>188</v>
      </c>
      <c r="M109" s="6" t="s">
        <v>345</v>
      </c>
      <c r="N109" s="6" t="s">
        <v>261</v>
      </c>
      <c r="O109" s="6" t="s">
        <v>476</v>
      </c>
      <c r="P109" s="15" t="str">
        <f aca="false">IF(J109="S0","—",IF(K109="","",IF(L109="E0","QM",INDEX(10_ASIL_Matrix!$D$4:$F$15,MATCH(J109&amp;"-"&amp;L109,10_ASIL_Matrix!$C$4:$C$15,0),MATCH(N109,10_ASIL_Matrix!$D$3:$F$3,0)))))</f>
        <v>B</v>
      </c>
      <c r="Q109" s="6" t="s">
        <v>328</v>
      </c>
    </row>
    <row r="110" customFormat="false" ht="35.05" hidden="false" customHeight="false" outlineLevel="0" collapsed="false">
      <c r="A110" s="5" t="s">
        <v>583</v>
      </c>
      <c r="B110" s="5" t="s">
        <v>112</v>
      </c>
      <c r="C110" s="5" t="s">
        <v>113</v>
      </c>
      <c r="D110" s="5" t="s">
        <v>147</v>
      </c>
      <c r="E110" s="5" t="s">
        <v>148</v>
      </c>
      <c r="F110" s="5" t="s">
        <v>187</v>
      </c>
      <c r="G110" s="5" t="s">
        <v>342</v>
      </c>
      <c r="H110" s="5" t="s">
        <v>201</v>
      </c>
      <c r="I110" s="5" t="s">
        <v>584</v>
      </c>
      <c r="J110" s="5" t="s">
        <v>222</v>
      </c>
      <c r="K110" s="5" t="s">
        <v>344</v>
      </c>
      <c r="L110" s="5" t="s">
        <v>185</v>
      </c>
      <c r="M110" s="5" t="s">
        <v>348</v>
      </c>
      <c r="N110" s="5" t="s">
        <v>261</v>
      </c>
      <c r="O110" s="5" t="s">
        <v>476</v>
      </c>
      <c r="P110" s="16" t="str">
        <f aca="false">IF(J110="S0","—",IF(K110="","",IF(L110="E0","QM",INDEX(10_ASIL_Matrix!$D$4:$F$15,MATCH(J110&amp;"-"&amp;L110,10_ASIL_Matrix!$C$4:$C$15,0),MATCH(N110,10_ASIL_Matrix!$D$3:$F$3,0)))))</f>
        <v>A</v>
      </c>
      <c r="Q110" s="5" t="s">
        <v>328</v>
      </c>
    </row>
    <row r="111" customFormat="false" ht="35.05" hidden="false" customHeight="false" outlineLevel="0" collapsed="false">
      <c r="A111" s="6" t="s">
        <v>585</v>
      </c>
      <c r="B111" s="6" t="s">
        <v>112</v>
      </c>
      <c r="C111" s="6" t="s">
        <v>113</v>
      </c>
      <c r="D111" s="6" t="s">
        <v>147</v>
      </c>
      <c r="E111" s="6" t="s">
        <v>148</v>
      </c>
      <c r="F111" s="6" t="s">
        <v>187</v>
      </c>
      <c r="G111" s="6" t="s">
        <v>342</v>
      </c>
      <c r="H111" s="6" t="s">
        <v>203</v>
      </c>
      <c r="I111" s="6" t="s">
        <v>586</v>
      </c>
      <c r="J111" s="6" t="s">
        <v>222</v>
      </c>
      <c r="K111" s="6" t="s">
        <v>344</v>
      </c>
      <c r="L111" s="6" t="s">
        <v>185</v>
      </c>
      <c r="M111" s="6" t="s">
        <v>351</v>
      </c>
      <c r="N111" s="6" t="s">
        <v>261</v>
      </c>
      <c r="O111" s="6" t="s">
        <v>476</v>
      </c>
      <c r="P111" s="16" t="str">
        <f aca="false">IF(J111="S0","—",IF(K111="","",IF(L111="E0","QM",INDEX(10_ASIL_Matrix!$D$4:$F$15,MATCH(J111&amp;"-"&amp;L111,10_ASIL_Matrix!$C$4:$C$15,0),MATCH(N111,10_ASIL_Matrix!$D$3:$F$3,0)))))</f>
        <v>A</v>
      </c>
      <c r="Q111" s="6" t="s">
        <v>328</v>
      </c>
    </row>
    <row r="112" customFormat="false" ht="35.05" hidden="false" customHeight="false" outlineLevel="0" collapsed="false">
      <c r="A112" s="5" t="s">
        <v>587</v>
      </c>
      <c r="B112" s="5" t="s">
        <v>112</v>
      </c>
      <c r="C112" s="5" t="s">
        <v>113</v>
      </c>
      <c r="D112" s="5" t="s">
        <v>147</v>
      </c>
      <c r="E112" s="5" t="s">
        <v>148</v>
      </c>
      <c r="F112" s="5" t="s">
        <v>187</v>
      </c>
      <c r="G112" s="5" t="s">
        <v>342</v>
      </c>
      <c r="H112" s="5" t="s">
        <v>205</v>
      </c>
      <c r="I112" s="5" t="s">
        <v>588</v>
      </c>
      <c r="J112" s="5" t="s">
        <v>222</v>
      </c>
      <c r="K112" s="5" t="s">
        <v>354</v>
      </c>
      <c r="L112" s="5" t="s">
        <v>206</v>
      </c>
      <c r="M112" s="5" t="s">
        <v>355</v>
      </c>
      <c r="N112" s="5" t="s">
        <v>261</v>
      </c>
      <c r="O112" s="5" t="s">
        <v>476</v>
      </c>
      <c r="P112" s="5" t="str">
        <f aca="false">IF(J112="S0","—",IF(K112="","",IF(L112="E0","QM",INDEX(10_ASIL_Matrix!$D$4:$F$15,MATCH(J112&amp;"-"&amp;L112,10_ASIL_Matrix!$C$4:$C$15,0),MATCH(N112,10_ASIL_Matrix!$D$3:$F$3,0)))))</f>
        <v>QM</v>
      </c>
      <c r="Q112" s="5" t="s">
        <v>328</v>
      </c>
    </row>
    <row r="113" customFormat="false" ht="35.05" hidden="false" customHeight="false" outlineLevel="0" collapsed="false">
      <c r="A113" s="6" t="s">
        <v>589</v>
      </c>
      <c r="B113" s="6" t="s">
        <v>112</v>
      </c>
      <c r="C113" s="6" t="s">
        <v>113</v>
      </c>
      <c r="D113" s="6" t="s">
        <v>147</v>
      </c>
      <c r="E113" s="6" t="s">
        <v>148</v>
      </c>
      <c r="F113" s="6" t="s">
        <v>187</v>
      </c>
      <c r="G113" s="6" t="s">
        <v>342</v>
      </c>
      <c r="H113" s="6" t="s">
        <v>208</v>
      </c>
      <c r="I113" s="6" t="s">
        <v>590</v>
      </c>
      <c r="J113" s="6" t="s">
        <v>222</v>
      </c>
      <c r="K113" s="6" t="s">
        <v>354</v>
      </c>
      <c r="L113" s="6" t="s">
        <v>209</v>
      </c>
      <c r="M113" s="6" t="s">
        <v>358</v>
      </c>
      <c r="N113" s="6" t="s">
        <v>261</v>
      </c>
      <c r="O113" s="6" t="s">
        <v>476</v>
      </c>
      <c r="P113" s="6" t="str">
        <f aca="false">IF(J113="S0","—",IF(K113="","",IF(L113="E0","QM",INDEX(10_ASIL_Matrix!$D$4:$F$15,MATCH(J113&amp;"-"&amp;L113,10_ASIL_Matrix!$C$4:$C$15,0),MATCH(N113,10_ASIL_Matrix!$D$3:$F$3,0)))))</f>
        <v>QM</v>
      </c>
      <c r="Q113" s="6" t="s">
        <v>328</v>
      </c>
    </row>
    <row r="114" customFormat="false" ht="35.05" hidden="false" customHeight="false" outlineLevel="0" collapsed="false">
      <c r="A114" s="5" t="s">
        <v>591</v>
      </c>
      <c r="B114" s="5" t="s">
        <v>112</v>
      </c>
      <c r="C114" s="5" t="s">
        <v>113</v>
      </c>
      <c r="D114" s="5" t="s">
        <v>147</v>
      </c>
      <c r="E114" s="5" t="s">
        <v>148</v>
      </c>
      <c r="F114" s="5" t="s">
        <v>190</v>
      </c>
      <c r="G114" s="5" t="s">
        <v>360</v>
      </c>
      <c r="H114" s="5" t="s">
        <v>199</v>
      </c>
      <c r="I114" s="5" t="s">
        <v>592</v>
      </c>
      <c r="J114" s="5" t="s">
        <v>222</v>
      </c>
      <c r="K114" s="5" t="s">
        <v>362</v>
      </c>
      <c r="L114" s="5" t="s">
        <v>188</v>
      </c>
      <c r="M114" s="5" t="s">
        <v>363</v>
      </c>
      <c r="N114" s="5" t="s">
        <v>265</v>
      </c>
      <c r="O114" s="5" t="s">
        <v>593</v>
      </c>
      <c r="P114" s="17" t="str">
        <f aca="false">IF(J114="S0","—",IF(K114="","",IF(L114="E0","QM",INDEX(10_ASIL_Matrix!$D$4:$F$15,MATCH(J114&amp;"-"&amp;L114,10_ASIL_Matrix!$C$4:$C$15,0),MATCH(N114,10_ASIL_Matrix!$D$3:$F$3,0)))))</f>
        <v>C</v>
      </c>
      <c r="Q114" s="5" t="s">
        <v>328</v>
      </c>
    </row>
    <row r="115" customFormat="false" ht="35.05" hidden="false" customHeight="false" outlineLevel="0" collapsed="false">
      <c r="A115" s="6" t="s">
        <v>594</v>
      </c>
      <c r="B115" s="6" t="s">
        <v>112</v>
      </c>
      <c r="C115" s="6" t="s">
        <v>113</v>
      </c>
      <c r="D115" s="6" t="s">
        <v>147</v>
      </c>
      <c r="E115" s="6" t="s">
        <v>148</v>
      </c>
      <c r="F115" s="6" t="s">
        <v>190</v>
      </c>
      <c r="G115" s="6" t="s">
        <v>360</v>
      </c>
      <c r="H115" s="6" t="s">
        <v>201</v>
      </c>
      <c r="I115" s="6" t="s">
        <v>595</v>
      </c>
      <c r="J115" s="6" t="s">
        <v>222</v>
      </c>
      <c r="K115" s="6" t="s">
        <v>362</v>
      </c>
      <c r="L115" s="6" t="s">
        <v>185</v>
      </c>
      <c r="M115" s="6" t="s">
        <v>366</v>
      </c>
      <c r="N115" s="6" t="s">
        <v>265</v>
      </c>
      <c r="O115" s="6" t="s">
        <v>593</v>
      </c>
      <c r="P115" s="15" t="str">
        <f aca="false">IF(J115="S0","—",IF(K115="","",IF(L115="E0","QM",INDEX(10_ASIL_Matrix!$D$4:$F$15,MATCH(J115&amp;"-"&amp;L115,10_ASIL_Matrix!$C$4:$C$15,0),MATCH(N115,10_ASIL_Matrix!$D$3:$F$3,0)))))</f>
        <v>B</v>
      </c>
      <c r="Q115" s="6" t="s">
        <v>328</v>
      </c>
    </row>
    <row r="116" customFormat="false" ht="35.05" hidden="false" customHeight="false" outlineLevel="0" collapsed="false">
      <c r="A116" s="5" t="s">
        <v>596</v>
      </c>
      <c r="B116" s="5" t="s">
        <v>112</v>
      </c>
      <c r="C116" s="5" t="s">
        <v>113</v>
      </c>
      <c r="D116" s="5" t="s">
        <v>147</v>
      </c>
      <c r="E116" s="5" t="s">
        <v>148</v>
      </c>
      <c r="F116" s="5" t="s">
        <v>190</v>
      </c>
      <c r="G116" s="5" t="s">
        <v>360</v>
      </c>
      <c r="H116" s="5" t="s">
        <v>203</v>
      </c>
      <c r="I116" s="5" t="s">
        <v>597</v>
      </c>
      <c r="J116" s="5" t="s">
        <v>222</v>
      </c>
      <c r="K116" s="5" t="s">
        <v>362</v>
      </c>
      <c r="L116" s="5" t="s">
        <v>185</v>
      </c>
      <c r="M116" s="5" t="s">
        <v>369</v>
      </c>
      <c r="N116" s="5" t="s">
        <v>265</v>
      </c>
      <c r="O116" s="5" t="s">
        <v>593</v>
      </c>
      <c r="P116" s="15" t="str">
        <f aca="false">IF(J116="S0","—",IF(K116="","",IF(L116="E0","QM",INDEX(10_ASIL_Matrix!$D$4:$F$15,MATCH(J116&amp;"-"&amp;L116,10_ASIL_Matrix!$C$4:$C$15,0),MATCH(N116,10_ASIL_Matrix!$D$3:$F$3,0)))))</f>
        <v>B</v>
      </c>
      <c r="Q116" s="5" t="s">
        <v>328</v>
      </c>
    </row>
    <row r="117" customFormat="false" ht="35.05" hidden="false" customHeight="false" outlineLevel="0" collapsed="false">
      <c r="A117" s="6" t="s">
        <v>598</v>
      </c>
      <c r="B117" s="6" t="s">
        <v>112</v>
      </c>
      <c r="C117" s="6" t="s">
        <v>113</v>
      </c>
      <c r="D117" s="6" t="s">
        <v>147</v>
      </c>
      <c r="E117" s="6" t="s">
        <v>148</v>
      </c>
      <c r="F117" s="6" t="s">
        <v>190</v>
      </c>
      <c r="G117" s="6" t="s">
        <v>360</v>
      </c>
      <c r="H117" s="6" t="s">
        <v>205</v>
      </c>
      <c r="I117" s="6" t="s">
        <v>599</v>
      </c>
      <c r="J117" s="6" t="s">
        <v>222</v>
      </c>
      <c r="K117" s="6" t="s">
        <v>372</v>
      </c>
      <c r="L117" s="6" t="s">
        <v>206</v>
      </c>
      <c r="M117" s="6" t="s">
        <v>373</v>
      </c>
      <c r="N117" s="6" t="s">
        <v>265</v>
      </c>
      <c r="O117" s="6" t="s">
        <v>593</v>
      </c>
      <c r="P117" s="16" t="str">
        <f aca="false">IF(J117="S0","—",IF(K117="","",IF(L117="E0","QM",INDEX(10_ASIL_Matrix!$D$4:$F$15,MATCH(J117&amp;"-"&amp;L117,10_ASIL_Matrix!$C$4:$C$15,0),MATCH(N117,10_ASIL_Matrix!$D$3:$F$3,0)))))</f>
        <v>A</v>
      </c>
      <c r="Q117" s="6" t="s">
        <v>328</v>
      </c>
    </row>
    <row r="118" customFormat="false" ht="35.05" hidden="false" customHeight="false" outlineLevel="0" collapsed="false">
      <c r="A118" s="5" t="s">
        <v>600</v>
      </c>
      <c r="B118" s="5" t="s">
        <v>112</v>
      </c>
      <c r="C118" s="5" t="s">
        <v>113</v>
      </c>
      <c r="D118" s="5" t="s">
        <v>147</v>
      </c>
      <c r="E118" s="5" t="s">
        <v>148</v>
      </c>
      <c r="F118" s="5" t="s">
        <v>190</v>
      </c>
      <c r="G118" s="5" t="s">
        <v>360</v>
      </c>
      <c r="H118" s="5" t="s">
        <v>208</v>
      </c>
      <c r="I118" s="5" t="s">
        <v>601</v>
      </c>
      <c r="J118" s="5" t="s">
        <v>222</v>
      </c>
      <c r="K118" s="5" t="s">
        <v>372</v>
      </c>
      <c r="L118" s="5" t="s">
        <v>209</v>
      </c>
      <c r="M118" s="5" t="s">
        <v>376</v>
      </c>
      <c r="N118" s="5" t="s">
        <v>265</v>
      </c>
      <c r="O118" s="5" t="s">
        <v>593</v>
      </c>
      <c r="P118" s="5" t="str">
        <f aca="false">IF(J118="S0","—",IF(K118="","",IF(L118="E0","QM",INDEX(10_ASIL_Matrix!$D$4:$F$15,MATCH(J118&amp;"-"&amp;L118,10_ASIL_Matrix!$C$4:$C$15,0),MATCH(N118,10_ASIL_Matrix!$D$3:$F$3,0)))))</f>
        <v>QM</v>
      </c>
      <c r="Q118" s="5" t="s">
        <v>328</v>
      </c>
    </row>
    <row r="119" customFormat="false" ht="35.05" hidden="false" customHeight="false" outlineLevel="0" collapsed="false">
      <c r="A119" s="6" t="s">
        <v>602</v>
      </c>
      <c r="B119" s="6" t="s">
        <v>112</v>
      </c>
      <c r="C119" s="6" t="s">
        <v>113</v>
      </c>
      <c r="D119" s="6" t="s">
        <v>147</v>
      </c>
      <c r="E119" s="6" t="s">
        <v>148</v>
      </c>
      <c r="F119" s="6" t="s">
        <v>192</v>
      </c>
      <c r="G119" s="6" t="s">
        <v>378</v>
      </c>
      <c r="H119" s="6" t="s">
        <v>199</v>
      </c>
      <c r="I119" s="6" t="s">
        <v>603</v>
      </c>
      <c r="J119" s="6" t="s">
        <v>226</v>
      </c>
      <c r="K119" s="6" t="s">
        <v>380</v>
      </c>
      <c r="L119" s="6" t="s">
        <v>185</v>
      </c>
      <c r="M119" s="6" t="s">
        <v>381</v>
      </c>
      <c r="N119" s="6" t="s">
        <v>265</v>
      </c>
      <c r="O119" s="6" t="s">
        <v>604</v>
      </c>
      <c r="P119" s="17" t="str">
        <f aca="false">IF(J119="S0","—",IF(K119="","",IF(L119="E0","QM",INDEX(10_ASIL_Matrix!$D$4:$F$15,MATCH(J119&amp;"-"&amp;L119,10_ASIL_Matrix!$C$4:$C$15,0),MATCH(N119,10_ASIL_Matrix!$D$3:$F$3,0)))))</f>
        <v>C</v>
      </c>
      <c r="Q119" s="6" t="s">
        <v>328</v>
      </c>
    </row>
    <row r="120" customFormat="false" ht="35.05" hidden="false" customHeight="false" outlineLevel="0" collapsed="false">
      <c r="A120" s="5" t="s">
        <v>605</v>
      </c>
      <c r="B120" s="5" t="s">
        <v>112</v>
      </c>
      <c r="C120" s="5" t="s">
        <v>113</v>
      </c>
      <c r="D120" s="5" t="s">
        <v>147</v>
      </c>
      <c r="E120" s="5" t="s">
        <v>148</v>
      </c>
      <c r="F120" s="5" t="s">
        <v>192</v>
      </c>
      <c r="G120" s="5" t="s">
        <v>378</v>
      </c>
      <c r="H120" s="5" t="s">
        <v>201</v>
      </c>
      <c r="I120" s="5" t="s">
        <v>606</v>
      </c>
      <c r="J120" s="5" t="s">
        <v>226</v>
      </c>
      <c r="K120" s="5" t="s">
        <v>380</v>
      </c>
      <c r="L120" s="5" t="s">
        <v>185</v>
      </c>
      <c r="M120" s="5" t="s">
        <v>384</v>
      </c>
      <c r="N120" s="5" t="s">
        <v>265</v>
      </c>
      <c r="O120" s="5" t="s">
        <v>604</v>
      </c>
      <c r="P120" s="17" t="str">
        <f aca="false">IF(J120="S0","—",IF(K120="","",IF(L120="E0","QM",INDEX(10_ASIL_Matrix!$D$4:$F$15,MATCH(J120&amp;"-"&amp;L120,10_ASIL_Matrix!$C$4:$C$15,0),MATCH(N120,10_ASIL_Matrix!$D$3:$F$3,0)))))</f>
        <v>C</v>
      </c>
      <c r="Q120" s="5" t="s">
        <v>328</v>
      </c>
    </row>
    <row r="121" customFormat="false" ht="35.05" hidden="false" customHeight="false" outlineLevel="0" collapsed="false">
      <c r="A121" s="6" t="s">
        <v>607</v>
      </c>
      <c r="B121" s="6" t="s">
        <v>112</v>
      </c>
      <c r="C121" s="6" t="s">
        <v>113</v>
      </c>
      <c r="D121" s="6" t="s">
        <v>147</v>
      </c>
      <c r="E121" s="6" t="s">
        <v>148</v>
      </c>
      <c r="F121" s="6" t="s">
        <v>192</v>
      </c>
      <c r="G121" s="6" t="s">
        <v>378</v>
      </c>
      <c r="H121" s="6" t="s">
        <v>203</v>
      </c>
      <c r="I121" s="6" t="s">
        <v>608</v>
      </c>
      <c r="J121" s="6" t="s">
        <v>226</v>
      </c>
      <c r="K121" s="6" t="s">
        <v>380</v>
      </c>
      <c r="L121" s="6" t="s">
        <v>185</v>
      </c>
      <c r="M121" s="6" t="s">
        <v>387</v>
      </c>
      <c r="N121" s="6" t="s">
        <v>265</v>
      </c>
      <c r="O121" s="6" t="s">
        <v>604</v>
      </c>
      <c r="P121" s="17" t="str">
        <f aca="false">IF(J121="S0","—",IF(K121="","",IF(L121="E0","QM",INDEX(10_ASIL_Matrix!$D$4:$F$15,MATCH(J121&amp;"-"&amp;L121,10_ASIL_Matrix!$C$4:$C$15,0),MATCH(N121,10_ASIL_Matrix!$D$3:$F$3,0)))))</f>
        <v>C</v>
      </c>
      <c r="Q121" s="6" t="s">
        <v>328</v>
      </c>
    </row>
    <row r="122" customFormat="false" ht="35.05" hidden="false" customHeight="false" outlineLevel="0" collapsed="false">
      <c r="A122" s="5" t="s">
        <v>609</v>
      </c>
      <c r="B122" s="5" t="s">
        <v>112</v>
      </c>
      <c r="C122" s="5" t="s">
        <v>113</v>
      </c>
      <c r="D122" s="5" t="s">
        <v>147</v>
      </c>
      <c r="E122" s="5" t="s">
        <v>148</v>
      </c>
      <c r="F122" s="5" t="s">
        <v>192</v>
      </c>
      <c r="G122" s="5" t="s">
        <v>378</v>
      </c>
      <c r="H122" s="5" t="s">
        <v>205</v>
      </c>
      <c r="I122" s="5" t="s">
        <v>610</v>
      </c>
      <c r="J122" s="5" t="s">
        <v>226</v>
      </c>
      <c r="K122" s="5" t="s">
        <v>390</v>
      </c>
      <c r="L122" s="5" t="s">
        <v>206</v>
      </c>
      <c r="M122" s="5" t="s">
        <v>391</v>
      </c>
      <c r="N122" s="5" t="s">
        <v>265</v>
      </c>
      <c r="O122" s="5" t="s">
        <v>604</v>
      </c>
      <c r="P122" s="15" t="str">
        <f aca="false">IF(J122="S0","—",IF(K122="","",IF(L122="E0","QM",INDEX(10_ASIL_Matrix!$D$4:$F$15,MATCH(J122&amp;"-"&amp;L122,10_ASIL_Matrix!$C$4:$C$15,0),MATCH(N122,10_ASIL_Matrix!$D$3:$F$3,0)))))</f>
        <v>B</v>
      </c>
      <c r="Q122" s="5" t="s">
        <v>328</v>
      </c>
    </row>
    <row r="123" customFormat="false" ht="35.05" hidden="false" customHeight="false" outlineLevel="0" collapsed="false">
      <c r="A123" s="6" t="s">
        <v>611</v>
      </c>
      <c r="B123" s="6" t="s">
        <v>112</v>
      </c>
      <c r="C123" s="6" t="s">
        <v>113</v>
      </c>
      <c r="D123" s="6" t="s">
        <v>147</v>
      </c>
      <c r="E123" s="6" t="s">
        <v>148</v>
      </c>
      <c r="F123" s="6" t="s">
        <v>192</v>
      </c>
      <c r="G123" s="6" t="s">
        <v>378</v>
      </c>
      <c r="H123" s="6" t="s">
        <v>208</v>
      </c>
      <c r="I123" s="6" t="s">
        <v>612</v>
      </c>
      <c r="J123" s="6" t="s">
        <v>226</v>
      </c>
      <c r="K123" s="6" t="s">
        <v>390</v>
      </c>
      <c r="L123" s="6" t="s">
        <v>209</v>
      </c>
      <c r="M123" s="6" t="s">
        <v>394</v>
      </c>
      <c r="N123" s="6" t="s">
        <v>265</v>
      </c>
      <c r="O123" s="6" t="s">
        <v>604</v>
      </c>
      <c r="P123" s="16" t="str">
        <f aca="false">IF(J123="S0","—",IF(K123="","",IF(L123="E0","QM",INDEX(10_ASIL_Matrix!$D$4:$F$15,MATCH(J123&amp;"-"&amp;L123,10_ASIL_Matrix!$C$4:$C$15,0),MATCH(N123,10_ASIL_Matrix!$D$3:$F$3,0)))))</f>
        <v>A</v>
      </c>
      <c r="Q123" s="6" t="s">
        <v>328</v>
      </c>
    </row>
    <row r="124" customFormat="false" ht="35.05" hidden="false" customHeight="false" outlineLevel="0" collapsed="false">
      <c r="A124" s="5" t="s">
        <v>613</v>
      </c>
      <c r="B124" s="5" t="s">
        <v>112</v>
      </c>
      <c r="C124" s="5" t="s">
        <v>113</v>
      </c>
      <c r="D124" s="5" t="s">
        <v>147</v>
      </c>
      <c r="E124" s="5" t="s">
        <v>148</v>
      </c>
      <c r="F124" s="5" t="s">
        <v>194</v>
      </c>
      <c r="G124" s="5" t="s">
        <v>396</v>
      </c>
      <c r="H124" s="5" t="s">
        <v>199</v>
      </c>
      <c r="I124" s="5" t="s">
        <v>614</v>
      </c>
      <c r="J124" s="5" t="s">
        <v>226</v>
      </c>
      <c r="K124" s="5" t="s">
        <v>398</v>
      </c>
      <c r="L124" s="5" t="s">
        <v>188</v>
      </c>
      <c r="M124" s="5" t="s">
        <v>399</v>
      </c>
      <c r="N124" s="5" t="s">
        <v>265</v>
      </c>
      <c r="O124" s="5" t="s">
        <v>615</v>
      </c>
      <c r="P124" s="18" t="str">
        <f aca="false">IF(J124="S0","—",IF(K124="","",IF(L124="E0","QM",INDEX(10_ASIL_Matrix!$D$4:$F$15,MATCH(J124&amp;"-"&amp;L124,10_ASIL_Matrix!$C$4:$C$15,0),MATCH(N124,10_ASIL_Matrix!$D$3:$F$3,0)))))</f>
        <v>D</v>
      </c>
      <c r="Q124" s="5" t="s">
        <v>328</v>
      </c>
    </row>
    <row r="125" customFormat="false" ht="35.05" hidden="false" customHeight="false" outlineLevel="0" collapsed="false">
      <c r="A125" s="6" t="s">
        <v>616</v>
      </c>
      <c r="B125" s="6" t="s">
        <v>112</v>
      </c>
      <c r="C125" s="6" t="s">
        <v>113</v>
      </c>
      <c r="D125" s="6" t="s">
        <v>147</v>
      </c>
      <c r="E125" s="6" t="s">
        <v>148</v>
      </c>
      <c r="F125" s="6" t="s">
        <v>194</v>
      </c>
      <c r="G125" s="6" t="s">
        <v>396</v>
      </c>
      <c r="H125" s="6" t="s">
        <v>201</v>
      </c>
      <c r="I125" s="6" t="s">
        <v>617</v>
      </c>
      <c r="J125" s="6" t="s">
        <v>226</v>
      </c>
      <c r="K125" s="6" t="s">
        <v>398</v>
      </c>
      <c r="L125" s="6" t="s">
        <v>185</v>
      </c>
      <c r="M125" s="6" t="s">
        <v>402</v>
      </c>
      <c r="N125" s="6" t="s">
        <v>265</v>
      </c>
      <c r="O125" s="6" t="s">
        <v>615</v>
      </c>
      <c r="P125" s="17" t="str">
        <f aca="false">IF(J125="S0","—",IF(K125="","",IF(L125="E0","QM",INDEX(10_ASIL_Matrix!$D$4:$F$15,MATCH(J125&amp;"-"&amp;L125,10_ASIL_Matrix!$C$4:$C$15,0),MATCH(N125,10_ASIL_Matrix!$D$3:$F$3,0)))))</f>
        <v>C</v>
      </c>
      <c r="Q125" s="6" t="s">
        <v>328</v>
      </c>
    </row>
    <row r="126" customFormat="false" ht="35.05" hidden="false" customHeight="false" outlineLevel="0" collapsed="false">
      <c r="A126" s="5" t="s">
        <v>618</v>
      </c>
      <c r="B126" s="5" t="s">
        <v>112</v>
      </c>
      <c r="C126" s="5" t="s">
        <v>113</v>
      </c>
      <c r="D126" s="5" t="s">
        <v>147</v>
      </c>
      <c r="E126" s="5" t="s">
        <v>148</v>
      </c>
      <c r="F126" s="5" t="s">
        <v>194</v>
      </c>
      <c r="G126" s="5" t="s">
        <v>396</v>
      </c>
      <c r="H126" s="5" t="s">
        <v>203</v>
      </c>
      <c r="I126" s="5" t="s">
        <v>619</v>
      </c>
      <c r="J126" s="5" t="s">
        <v>226</v>
      </c>
      <c r="K126" s="5" t="s">
        <v>398</v>
      </c>
      <c r="L126" s="5" t="s">
        <v>185</v>
      </c>
      <c r="M126" s="5" t="s">
        <v>405</v>
      </c>
      <c r="N126" s="5" t="s">
        <v>265</v>
      </c>
      <c r="O126" s="5" t="s">
        <v>615</v>
      </c>
      <c r="P126" s="17" t="str">
        <f aca="false">IF(J126="S0","—",IF(K126="","",IF(L126="E0","QM",INDEX(10_ASIL_Matrix!$D$4:$F$15,MATCH(J126&amp;"-"&amp;L126,10_ASIL_Matrix!$C$4:$C$15,0),MATCH(N126,10_ASIL_Matrix!$D$3:$F$3,0)))))</f>
        <v>C</v>
      </c>
      <c r="Q126" s="5" t="s">
        <v>328</v>
      </c>
    </row>
    <row r="127" customFormat="false" ht="35.05" hidden="false" customHeight="false" outlineLevel="0" collapsed="false">
      <c r="A127" s="6" t="s">
        <v>620</v>
      </c>
      <c r="B127" s="6" t="s">
        <v>112</v>
      </c>
      <c r="C127" s="6" t="s">
        <v>113</v>
      </c>
      <c r="D127" s="6" t="s">
        <v>147</v>
      </c>
      <c r="E127" s="6" t="s">
        <v>148</v>
      </c>
      <c r="F127" s="6" t="s">
        <v>194</v>
      </c>
      <c r="G127" s="6" t="s">
        <v>396</v>
      </c>
      <c r="H127" s="6" t="s">
        <v>205</v>
      </c>
      <c r="I127" s="6" t="s">
        <v>621</v>
      </c>
      <c r="J127" s="6" t="s">
        <v>226</v>
      </c>
      <c r="K127" s="6" t="s">
        <v>408</v>
      </c>
      <c r="L127" s="6" t="s">
        <v>206</v>
      </c>
      <c r="M127" s="6" t="s">
        <v>409</v>
      </c>
      <c r="N127" s="6" t="s">
        <v>265</v>
      </c>
      <c r="O127" s="6" t="s">
        <v>615</v>
      </c>
      <c r="P127" s="15" t="str">
        <f aca="false">IF(J127="S0","—",IF(K127="","",IF(L127="E0","QM",INDEX(10_ASIL_Matrix!$D$4:$F$15,MATCH(J127&amp;"-"&amp;L127,10_ASIL_Matrix!$C$4:$C$15,0),MATCH(N127,10_ASIL_Matrix!$D$3:$F$3,0)))))</f>
        <v>B</v>
      </c>
      <c r="Q127" s="6" t="s">
        <v>328</v>
      </c>
    </row>
    <row r="128" customFormat="false" ht="35.05" hidden="false" customHeight="false" outlineLevel="0" collapsed="false">
      <c r="A128" s="5" t="s">
        <v>622</v>
      </c>
      <c r="B128" s="5" t="s">
        <v>112</v>
      </c>
      <c r="C128" s="5" t="s">
        <v>113</v>
      </c>
      <c r="D128" s="5" t="s">
        <v>147</v>
      </c>
      <c r="E128" s="5" t="s">
        <v>148</v>
      </c>
      <c r="F128" s="5" t="s">
        <v>194</v>
      </c>
      <c r="G128" s="5" t="s">
        <v>396</v>
      </c>
      <c r="H128" s="5" t="s">
        <v>208</v>
      </c>
      <c r="I128" s="5" t="s">
        <v>623</v>
      </c>
      <c r="J128" s="5" t="s">
        <v>226</v>
      </c>
      <c r="K128" s="5" t="s">
        <v>408</v>
      </c>
      <c r="L128" s="5" t="s">
        <v>209</v>
      </c>
      <c r="M128" s="5" t="s">
        <v>412</v>
      </c>
      <c r="N128" s="5" t="s">
        <v>265</v>
      </c>
      <c r="O128" s="5" t="s">
        <v>615</v>
      </c>
      <c r="P128" s="16" t="str">
        <f aca="false">IF(J128="S0","—",IF(K128="","",IF(L128="E0","QM",INDEX(10_ASIL_Matrix!$D$4:$F$15,MATCH(J128&amp;"-"&amp;L128,10_ASIL_Matrix!$C$4:$C$15,0),MATCH(N128,10_ASIL_Matrix!$D$3:$F$3,0)))))</f>
        <v>A</v>
      </c>
      <c r="Q128" s="5" t="s">
        <v>328</v>
      </c>
    </row>
    <row r="129" customFormat="false" ht="68.65" hidden="false" customHeight="false" outlineLevel="0" collapsed="false">
      <c r="A129" s="6" t="s">
        <v>624</v>
      </c>
      <c r="B129" s="6" t="s">
        <v>112</v>
      </c>
      <c r="C129" s="6" t="s">
        <v>113</v>
      </c>
      <c r="D129" s="6" t="s">
        <v>150</v>
      </c>
      <c r="E129" s="6" t="s">
        <v>151</v>
      </c>
      <c r="F129" s="6" t="s">
        <v>184</v>
      </c>
      <c r="G129" s="6" t="s">
        <v>323</v>
      </c>
      <c r="H129" s="6" t="s">
        <v>199</v>
      </c>
      <c r="I129" s="6" t="s">
        <v>625</v>
      </c>
      <c r="J129" s="6" t="s">
        <v>218</v>
      </c>
      <c r="K129" s="6" t="s">
        <v>325</v>
      </c>
      <c r="L129" s="6" t="s">
        <v>185</v>
      </c>
      <c r="M129" s="6" t="s">
        <v>326</v>
      </c>
      <c r="N129" s="6" t="s">
        <v>261</v>
      </c>
      <c r="O129" s="6" t="s">
        <v>327</v>
      </c>
      <c r="P129" s="6" t="str">
        <f aca="false">IF(J129="S0","—",IF(K129="","",IF(L129="E0","QM",INDEX(10_ASIL_Matrix!$D$4:$F$15,MATCH(J129&amp;"-"&amp;L129,10_ASIL_Matrix!$C$4:$C$15,0),MATCH(N129,10_ASIL_Matrix!$D$3:$F$3,0)))))</f>
        <v>QM</v>
      </c>
      <c r="Q129" s="6" t="s">
        <v>328</v>
      </c>
    </row>
    <row r="130" customFormat="false" ht="68.65" hidden="false" customHeight="false" outlineLevel="0" collapsed="false">
      <c r="A130" s="5" t="s">
        <v>626</v>
      </c>
      <c r="B130" s="5" t="s">
        <v>112</v>
      </c>
      <c r="C130" s="5" t="s">
        <v>113</v>
      </c>
      <c r="D130" s="5" t="s">
        <v>150</v>
      </c>
      <c r="E130" s="5" t="s">
        <v>151</v>
      </c>
      <c r="F130" s="5" t="s">
        <v>184</v>
      </c>
      <c r="G130" s="5" t="s">
        <v>323</v>
      </c>
      <c r="H130" s="5" t="s">
        <v>201</v>
      </c>
      <c r="I130" s="5" t="s">
        <v>627</v>
      </c>
      <c r="J130" s="5" t="s">
        <v>218</v>
      </c>
      <c r="K130" s="5" t="s">
        <v>325</v>
      </c>
      <c r="L130" s="5" t="s">
        <v>185</v>
      </c>
      <c r="M130" s="5" t="s">
        <v>331</v>
      </c>
      <c r="N130" s="5" t="s">
        <v>261</v>
      </c>
      <c r="O130" s="5" t="s">
        <v>327</v>
      </c>
      <c r="P130" s="5" t="str">
        <f aca="false">IF(J130="S0","—",IF(K130="","",IF(L130="E0","QM",INDEX(10_ASIL_Matrix!$D$4:$F$15,MATCH(J130&amp;"-"&amp;L130,10_ASIL_Matrix!$C$4:$C$15,0),MATCH(N130,10_ASIL_Matrix!$D$3:$F$3,0)))))</f>
        <v>QM</v>
      </c>
      <c r="Q130" s="5" t="s">
        <v>328</v>
      </c>
    </row>
    <row r="131" customFormat="false" ht="68.65" hidden="false" customHeight="false" outlineLevel="0" collapsed="false">
      <c r="A131" s="6" t="s">
        <v>628</v>
      </c>
      <c r="B131" s="6" t="s">
        <v>112</v>
      </c>
      <c r="C131" s="6" t="s">
        <v>113</v>
      </c>
      <c r="D131" s="6" t="s">
        <v>150</v>
      </c>
      <c r="E131" s="6" t="s">
        <v>151</v>
      </c>
      <c r="F131" s="6" t="s">
        <v>184</v>
      </c>
      <c r="G131" s="6" t="s">
        <v>323</v>
      </c>
      <c r="H131" s="6" t="s">
        <v>203</v>
      </c>
      <c r="I131" s="6" t="s">
        <v>629</v>
      </c>
      <c r="J131" s="6" t="s">
        <v>218</v>
      </c>
      <c r="K131" s="6" t="s">
        <v>325</v>
      </c>
      <c r="L131" s="6" t="s">
        <v>185</v>
      </c>
      <c r="M131" s="6" t="s">
        <v>334</v>
      </c>
      <c r="N131" s="6" t="s">
        <v>261</v>
      </c>
      <c r="O131" s="6" t="s">
        <v>327</v>
      </c>
      <c r="P131" s="6" t="str">
        <f aca="false">IF(J131="S0","—",IF(K131="","",IF(L131="E0","QM",INDEX(10_ASIL_Matrix!$D$4:$F$15,MATCH(J131&amp;"-"&amp;L131,10_ASIL_Matrix!$C$4:$C$15,0),MATCH(N131,10_ASIL_Matrix!$D$3:$F$3,0)))))</f>
        <v>QM</v>
      </c>
      <c r="Q131" s="6" t="s">
        <v>328</v>
      </c>
    </row>
    <row r="132" customFormat="false" ht="68.65" hidden="false" customHeight="false" outlineLevel="0" collapsed="false">
      <c r="A132" s="5" t="s">
        <v>630</v>
      </c>
      <c r="B132" s="5" t="s">
        <v>112</v>
      </c>
      <c r="C132" s="5" t="s">
        <v>113</v>
      </c>
      <c r="D132" s="5" t="s">
        <v>150</v>
      </c>
      <c r="E132" s="5" t="s">
        <v>151</v>
      </c>
      <c r="F132" s="5" t="s">
        <v>184</v>
      </c>
      <c r="G132" s="5" t="s">
        <v>323</v>
      </c>
      <c r="H132" s="5" t="s">
        <v>205</v>
      </c>
      <c r="I132" s="5" t="s">
        <v>631</v>
      </c>
      <c r="J132" s="5" t="s">
        <v>218</v>
      </c>
      <c r="K132" s="5" t="s">
        <v>325</v>
      </c>
      <c r="L132" s="5" t="s">
        <v>206</v>
      </c>
      <c r="M132" s="5" t="s">
        <v>337</v>
      </c>
      <c r="N132" s="5" t="s">
        <v>261</v>
      </c>
      <c r="O132" s="5" t="s">
        <v>327</v>
      </c>
      <c r="P132" s="5" t="str">
        <f aca="false">IF(J132="S0","—",IF(K132="","",IF(L132="E0","QM",INDEX(10_ASIL_Matrix!$D$4:$F$15,MATCH(J132&amp;"-"&amp;L132,10_ASIL_Matrix!$C$4:$C$15,0),MATCH(N132,10_ASIL_Matrix!$D$3:$F$3,0)))))</f>
        <v>QM</v>
      </c>
      <c r="Q132" s="5" t="s">
        <v>328</v>
      </c>
    </row>
    <row r="133" customFormat="false" ht="68.65" hidden="false" customHeight="false" outlineLevel="0" collapsed="false">
      <c r="A133" s="6" t="s">
        <v>632</v>
      </c>
      <c r="B133" s="6" t="s">
        <v>112</v>
      </c>
      <c r="C133" s="6" t="s">
        <v>113</v>
      </c>
      <c r="D133" s="6" t="s">
        <v>150</v>
      </c>
      <c r="E133" s="6" t="s">
        <v>151</v>
      </c>
      <c r="F133" s="6" t="s">
        <v>184</v>
      </c>
      <c r="G133" s="6" t="s">
        <v>323</v>
      </c>
      <c r="H133" s="6" t="s">
        <v>208</v>
      </c>
      <c r="I133" s="6" t="s">
        <v>633</v>
      </c>
      <c r="J133" s="6" t="s">
        <v>218</v>
      </c>
      <c r="K133" s="6" t="s">
        <v>325</v>
      </c>
      <c r="L133" s="6" t="s">
        <v>209</v>
      </c>
      <c r="M133" s="6" t="s">
        <v>340</v>
      </c>
      <c r="N133" s="6" t="s">
        <v>261</v>
      </c>
      <c r="O133" s="6" t="s">
        <v>327</v>
      </c>
      <c r="P133" s="6" t="str">
        <f aca="false">IF(J133="S0","—",IF(K133="","",IF(L133="E0","QM",INDEX(10_ASIL_Matrix!$D$4:$F$15,MATCH(J133&amp;"-"&amp;L133,10_ASIL_Matrix!$C$4:$C$15,0),MATCH(N133,10_ASIL_Matrix!$D$3:$F$3,0)))))</f>
        <v>QM</v>
      </c>
      <c r="Q133" s="6" t="s">
        <v>328</v>
      </c>
    </row>
    <row r="134" customFormat="false" ht="68.65" hidden="false" customHeight="false" outlineLevel="0" collapsed="false">
      <c r="A134" s="5" t="s">
        <v>634</v>
      </c>
      <c r="B134" s="5" t="s">
        <v>112</v>
      </c>
      <c r="C134" s="5" t="s">
        <v>113</v>
      </c>
      <c r="D134" s="5" t="s">
        <v>150</v>
      </c>
      <c r="E134" s="5" t="s">
        <v>151</v>
      </c>
      <c r="F134" s="5" t="s">
        <v>187</v>
      </c>
      <c r="G134" s="5" t="s">
        <v>342</v>
      </c>
      <c r="H134" s="5" t="s">
        <v>199</v>
      </c>
      <c r="I134" s="5" t="s">
        <v>635</v>
      </c>
      <c r="J134" s="5" t="s">
        <v>222</v>
      </c>
      <c r="K134" s="5" t="s">
        <v>344</v>
      </c>
      <c r="L134" s="5" t="s">
        <v>188</v>
      </c>
      <c r="M134" s="5" t="s">
        <v>345</v>
      </c>
      <c r="N134" s="5" t="s">
        <v>261</v>
      </c>
      <c r="O134" s="5" t="s">
        <v>327</v>
      </c>
      <c r="P134" s="15" t="str">
        <f aca="false">IF(J134="S0","—",IF(K134="","",IF(L134="E0","QM",INDEX(10_ASIL_Matrix!$D$4:$F$15,MATCH(J134&amp;"-"&amp;L134,10_ASIL_Matrix!$C$4:$C$15,0),MATCH(N134,10_ASIL_Matrix!$D$3:$F$3,0)))))</f>
        <v>B</v>
      </c>
      <c r="Q134" s="5" t="s">
        <v>328</v>
      </c>
    </row>
    <row r="135" customFormat="false" ht="68.65" hidden="false" customHeight="false" outlineLevel="0" collapsed="false">
      <c r="A135" s="6" t="s">
        <v>636</v>
      </c>
      <c r="B135" s="6" t="s">
        <v>112</v>
      </c>
      <c r="C135" s="6" t="s">
        <v>113</v>
      </c>
      <c r="D135" s="6" t="s">
        <v>150</v>
      </c>
      <c r="E135" s="6" t="s">
        <v>151</v>
      </c>
      <c r="F135" s="6" t="s">
        <v>187</v>
      </c>
      <c r="G135" s="6" t="s">
        <v>342</v>
      </c>
      <c r="H135" s="6" t="s">
        <v>201</v>
      </c>
      <c r="I135" s="6" t="s">
        <v>637</v>
      </c>
      <c r="J135" s="6" t="s">
        <v>222</v>
      </c>
      <c r="K135" s="6" t="s">
        <v>344</v>
      </c>
      <c r="L135" s="6" t="s">
        <v>185</v>
      </c>
      <c r="M135" s="6" t="s">
        <v>348</v>
      </c>
      <c r="N135" s="6" t="s">
        <v>261</v>
      </c>
      <c r="O135" s="6" t="s">
        <v>327</v>
      </c>
      <c r="P135" s="16" t="str">
        <f aca="false">IF(J135="S0","—",IF(K135="","",IF(L135="E0","QM",INDEX(10_ASIL_Matrix!$D$4:$F$15,MATCH(J135&amp;"-"&amp;L135,10_ASIL_Matrix!$C$4:$C$15,0),MATCH(N135,10_ASIL_Matrix!$D$3:$F$3,0)))))</f>
        <v>A</v>
      </c>
      <c r="Q135" s="6" t="s">
        <v>328</v>
      </c>
    </row>
    <row r="136" customFormat="false" ht="68.65" hidden="false" customHeight="false" outlineLevel="0" collapsed="false">
      <c r="A136" s="5" t="s">
        <v>638</v>
      </c>
      <c r="B136" s="5" t="s">
        <v>112</v>
      </c>
      <c r="C136" s="5" t="s">
        <v>113</v>
      </c>
      <c r="D136" s="5" t="s">
        <v>150</v>
      </c>
      <c r="E136" s="5" t="s">
        <v>151</v>
      </c>
      <c r="F136" s="5" t="s">
        <v>187</v>
      </c>
      <c r="G136" s="5" t="s">
        <v>342</v>
      </c>
      <c r="H136" s="5" t="s">
        <v>203</v>
      </c>
      <c r="I136" s="5" t="s">
        <v>639</v>
      </c>
      <c r="J136" s="5" t="s">
        <v>222</v>
      </c>
      <c r="K136" s="5" t="s">
        <v>344</v>
      </c>
      <c r="L136" s="5" t="s">
        <v>185</v>
      </c>
      <c r="M136" s="5" t="s">
        <v>351</v>
      </c>
      <c r="N136" s="5" t="s">
        <v>261</v>
      </c>
      <c r="O136" s="5" t="s">
        <v>327</v>
      </c>
      <c r="P136" s="16" t="str">
        <f aca="false">IF(J136="S0","—",IF(K136="","",IF(L136="E0","QM",INDEX(10_ASIL_Matrix!$D$4:$F$15,MATCH(J136&amp;"-"&amp;L136,10_ASIL_Matrix!$C$4:$C$15,0),MATCH(N136,10_ASIL_Matrix!$D$3:$F$3,0)))))</f>
        <v>A</v>
      </c>
      <c r="Q136" s="5" t="s">
        <v>328</v>
      </c>
    </row>
    <row r="137" customFormat="false" ht="68.65" hidden="false" customHeight="false" outlineLevel="0" collapsed="false">
      <c r="A137" s="6" t="s">
        <v>640</v>
      </c>
      <c r="B137" s="6" t="s">
        <v>112</v>
      </c>
      <c r="C137" s="6" t="s">
        <v>113</v>
      </c>
      <c r="D137" s="6" t="s">
        <v>150</v>
      </c>
      <c r="E137" s="6" t="s">
        <v>151</v>
      </c>
      <c r="F137" s="6" t="s">
        <v>187</v>
      </c>
      <c r="G137" s="6" t="s">
        <v>342</v>
      </c>
      <c r="H137" s="6" t="s">
        <v>205</v>
      </c>
      <c r="I137" s="6" t="s">
        <v>641</v>
      </c>
      <c r="J137" s="6" t="s">
        <v>222</v>
      </c>
      <c r="K137" s="6" t="s">
        <v>354</v>
      </c>
      <c r="L137" s="6" t="s">
        <v>206</v>
      </c>
      <c r="M137" s="6" t="s">
        <v>355</v>
      </c>
      <c r="N137" s="6" t="s">
        <v>261</v>
      </c>
      <c r="O137" s="6" t="s">
        <v>327</v>
      </c>
      <c r="P137" s="6" t="str">
        <f aca="false">IF(J137="S0","—",IF(K137="","",IF(L137="E0","QM",INDEX(10_ASIL_Matrix!$D$4:$F$15,MATCH(J137&amp;"-"&amp;L137,10_ASIL_Matrix!$C$4:$C$15,0),MATCH(N137,10_ASIL_Matrix!$D$3:$F$3,0)))))</f>
        <v>QM</v>
      </c>
      <c r="Q137" s="6" t="s">
        <v>328</v>
      </c>
    </row>
    <row r="138" customFormat="false" ht="68.65" hidden="false" customHeight="false" outlineLevel="0" collapsed="false">
      <c r="A138" s="5" t="s">
        <v>642</v>
      </c>
      <c r="B138" s="5" t="s">
        <v>112</v>
      </c>
      <c r="C138" s="5" t="s">
        <v>113</v>
      </c>
      <c r="D138" s="5" t="s">
        <v>150</v>
      </c>
      <c r="E138" s="5" t="s">
        <v>151</v>
      </c>
      <c r="F138" s="5" t="s">
        <v>187</v>
      </c>
      <c r="G138" s="5" t="s">
        <v>342</v>
      </c>
      <c r="H138" s="5" t="s">
        <v>208</v>
      </c>
      <c r="I138" s="5" t="s">
        <v>643</v>
      </c>
      <c r="J138" s="5" t="s">
        <v>222</v>
      </c>
      <c r="K138" s="5" t="s">
        <v>354</v>
      </c>
      <c r="L138" s="5" t="s">
        <v>209</v>
      </c>
      <c r="M138" s="5" t="s">
        <v>358</v>
      </c>
      <c r="N138" s="5" t="s">
        <v>261</v>
      </c>
      <c r="O138" s="5" t="s">
        <v>327</v>
      </c>
      <c r="P138" s="5" t="str">
        <f aca="false">IF(J138="S0","—",IF(K138="","",IF(L138="E0","QM",INDEX(10_ASIL_Matrix!$D$4:$F$15,MATCH(J138&amp;"-"&amp;L138,10_ASIL_Matrix!$C$4:$C$15,0),MATCH(N138,10_ASIL_Matrix!$D$3:$F$3,0)))))</f>
        <v>QM</v>
      </c>
      <c r="Q138" s="5" t="s">
        <v>328</v>
      </c>
    </row>
    <row r="139" customFormat="false" ht="68.65" hidden="false" customHeight="false" outlineLevel="0" collapsed="false">
      <c r="A139" s="6" t="s">
        <v>644</v>
      </c>
      <c r="B139" s="6" t="s">
        <v>112</v>
      </c>
      <c r="C139" s="6" t="s">
        <v>113</v>
      </c>
      <c r="D139" s="6" t="s">
        <v>150</v>
      </c>
      <c r="E139" s="6" t="s">
        <v>151</v>
      </c>
      <c r="F139" s="6" t="s">
        <v>190</v>
      </c>
      <c r="G139" s="6" t="s">
        <v>360</v>
      </c>
      <c r="H139" s="6" t="s">
        <v>199</v>
      </c>
      <c r="I139" s="6" t="s">
        <v>645</v>
      </c>
      <c r="J139" s="6" t="s">
        <v>222</v>
      </c>
      <c r="K139" s="6" t="s">
        <v>362</v>
      </c>
      <c r="L139" s="6" t="s">
        <v>188</v>
      </c>
      <c r="M139" s="6" t="s">
        <v>363</v>
      </c>
      <c r="N139" s="6" t="s">
        <v>261</v>
      </c>
      <c r="O139" s="6" t="s">
        <v>327</v>
      </c>
      <c r="P139" s="15" t="str">
        <f aca="false">IF(J139="S0","—",IF(K139="","",IF(L139="E0","QM",INDEX(10_ASIL_Matrix!$D$4:$F$15,MATCH(J139&amp;"-"&amp;L139,10_ASIL_Matrix!$C$4:$C$15,0),MATCH(N139,10_ASIL_Matrix!$D$3:$F$3,0)))))</f>
        <v>B</v>
      </c>
      <c r="Q139" s="6" t="s">
        <v>328</v>
      </c>
    </row>
    <row r="140" customFormat="false" ht="68.65" hidden="false" customHeight="false" outlineLevel="0" collapsed="false">
      <c r="A140" s="5" t="s">
        <v>646</v>
      </c>
      <c r="B140" s="5" t="s">
        <v>112</v>
      </c>
      <c r="C140" s="5" t="s">
        <v>113</v>
      </c>
      <c r="D140" s="5" t="s">
        <v>150</v>
      </c>
      <c r="E140" s="5" t="s">
        <v>151</v>
      </c>
      <c r="F140" s="5" t="s">
        <v>190</v>
      </c>
      <c r="G140" s="5" t="s">
        <v>360</v>
      </c>
      <c r="H140" s="5" t="s">
        <v>201</v>
      </c>
      <c r="I140" s="5" t="s">
        <v>647</v>
      </c>
      <c r="J140" s="5" t="s">
        <v>222</v>
      </c>
      <c r="K140" s="5" t="s">
        <v>362</v>
      </c>
      <c r="L140" s="5" t="s">
        <v>185</v>
      </c>
      <c r="M140" s="5" t="s">
        <v>366</v>
      </c>
      <c r="N140" s="5" t="s">
        <v>261</v>
      </c>
      <c r="O140" s="5" t="s">
        <v>327</v>
      </c>
      <c r="P140" s="16" t="str">
        <f aca="false">IF(J140="S0","—",IF(K140="","",IF(L140="E0","QM",INDEX(10_ASIL_Matrix!$D$4:$F$15,MATCH(J140&amp;"-"&amp;L140,10_ASIL_Matrix!$C$4:$C$15,0),MATCH(N140,10_ASIL_Matrix!$D$3:$F$3,0)))))</f>
        <v>A</v>
      </c>
      <c r="Q140" s="5" t="s">
        <v>328</v>
      </c>
    </row>
    <row r="141" customFormat="false" ht="68.65" hidden="false" customHeight="false" outlineLevel="0" collapsed="false">
      <c r="A141" s="6" t="s">
        <v>648</v>
      </c>
      <c r="B141" s="6" t="s">
        <v>112</v>
      </c>
      <c r="C141" s="6" t="s">
        <v>113</v>
      </c>
      <c r="D141" s="6" t="s">
        <v>150</v>
      </c>
      <c r="E141" s="6" t="s">
        <v>151</v>
      </c>
      <c r="F141" s="6" t="s">
        <v>190</v>
      </c>
      <c r="G141" s="6" t="s">
        <v>360</v>
      </c>
      <c r="H141" s="6" t="s">
        <v>203</v>
      </c>
      <c r="I141" s="6" t="s">
        <v>649</v>
      </c>
      <c r="J141" s="6" t="s">
        <v>222</v>
      </c>
      <c r="K141" s="6" t="s">
        <v>362</v>
      </c>
      <c r="L141" s="6" t="s">
        <v>185</v>
      </c>
      <c r="M141" s="6" t="s">
        <v>369</v>
      </c>
      <c r="N141" s="6" t="s">
        <v>261</v>
      </c>
      <c r="O141" s="6" t="s">
        <v>327</v>
      </c>
      <c r="P141" s="16" t="str">
        <f aca="false">IF(J141="S0","—",IF(K141="","",IF(L141="E0","QM",INDEX(10_ASIL_Matrix!$D$4:$F$15,MATCH(J141&amp;"-"&amp;L141,10_ASIL_Matrix!$C$4:$C$15,0),MATCH(N141,10_ASIL_Matrix!$D$3:$F$3,0)))))</f>
        <v>A</v>
      </c>
      <c r="Q141" s="6" t="s">
        <v>328</v>
      </c>
    </row>
    <row r="142" customFormat="false" ht="68.65" hidden="false" customHeight="false" outlineLevel="0" collapsed="false">
      <c r="A142" s="5" t="s">
        <v>650</v>
      </c>
      <c r="B142" s="5" t="s">
        <v>112</v>
      </c>
      <c r="C142" s="5" t="s">
        <v>113</v>
      </c>
      <c r="D142" s="5" t="s">
        <v>150</v>
      </c>
      <c r="E142" s="5" t="s">
        <v>151</v>
      </c>
      <c r="F142" s="5" t="s">
        <v>190</v>
      </c>
      <c r="G142" s="5" t="s">
        <v>360</v>
      </c>
      <c r="H142" s="5" t="s">
        <v>205</v>
      </c>
      <c r="I142" s="5" t="s">
        <v>651</v>
      </c>
      <c r="J142" s="5" t="s">
        <v>222</v>
      </c>
      <c r="K142" s="5" t="s">
        <v>372</v>
      </c>
      <c r="L142" s="5" t="s">
        <v>206</v>
      </c>
      <c r="M142" s="5" t="s">
        <v>373</v>
      </c>
      <c r="N142" s="5" t="s">
        <v>261</v>
      </c>
      <c r="O142" s="5" t="s">
        <v>327</v>
      </c>
      <c r="P142" s="5" t="str">
        <f aca="false">IF(J142="S0","—",IF(K142="","",IF(L142="E0","QM",INDEX(10_ASIL_Matrix!$D$4:$F$15,MATCH(J142&amp;"-"&amp;L142,10_ASIL_Matrix!$C$4:$C$15,0),MATCH(N142,10_ASIL_Matrix!$D$3:$F$3,0)))))</f>
        <v>QM</v>
      </c>
      <c r="Q142" s="5" t="s">
        <v>328</v>
      </c>
    </row>
    <row r="143" customFormat="false" ht="68.65" hidden="false" customHeight="false" outlineLevel="0" collapsed="false">
      <c r="A143" s="6" t="s">
        <v>652</v>
      </c>
      <c r="B143" s="6" t="s">
        <v>112</v>
      </c>
      <c r="C143" s="6" t="s">
        <v>113</v>
      </c>
      <c r="D143" s="6" t="s">
        <v>150</v>
      </c>
      <c r="E143" s="6" t="s">
        <v>151</v>
      </c>
      <c r="F143" s="6" t="s">
        <v>190</v>
      </c>
      <c r="G143" s="6" t="s">
        <v>360</v>
      </c>
      <c r="H143" s="6" t="s">
        <v>208</v>
      </c>
      <c r="I143" s="6" t="s">
        <v>653</v>
      </c>
      <c r="J143" s="6" t="s">
        <v>222</v>
      </c>
      <c r="K143" s="6" t="s">
        <v>372</v>
      </c>
      <c r="L143" s="6" t="s">
        <v>209</v>
      </c>
      <c r="M143" s="6" t="s">
        <v>376</v>
      </c>
      <c r="N143" s="6" t="s">
        <v>261</v>
      </c>
      <c r="O143" s="6" t="s">
        <v>327</v>
      </c>
      <c r="P143" s="6" t="str">
        <f aca="false">IF(J143="S0","—",IF(K143="","",IF(L143="E0","QM",INDEX(10_ASIL_Matrix!$D$4:$F$15,MATCH(J143&amp;"-"&amp;L143,10_ASIL_Matrix!$C$4:$C$15,0),MATCH(N143,10_ASIL_Matrix!$D$3:$F$3,0)))))</f>
        <v>QM</v>
      </c>
      <c r="Q143" s="6" t="s">
        <v>328</v>
      </c>
    </row>
    <row r="144" customFormat="false" ht="68.65" hidden="false" customHeight="false" outlineLevel="0" collapsed="false">
      <c r="A144" s="5" t="s">
        <v>654</v>
      </c>
      <c r="B144" s="5" t="s">
        <v>112</v>
      </c>
      <c r="C144" s="5" t="s">
        <v>113</v>
      </c>
      <c r="D144" s="5" t="s">
        <v>150</v>
      </c>
      <c r="E144" s="5" t="s">
        <v>151</v>
      </c>
      <c r="F144" s="5" t="s">
        <v>192</v>
      </c>
      <c r="G144" s="5" t="s">
        <v>378</v>
      </c>
      <c r="H144" s="5" t="s">
        <v>199</v>
      </c>
      <c r="I144" s="5" t="s">
        <v>655</v>
      </c>
      <c r="J144" s="5" t="s">
        <v>226</v>
      </c>
      <c r="K144" s="5" t="s">
        <v>380</v>
      </c>
      <c r="L144" s="5" t="s">
        <v>185</v>
      </c>
      <c r="M144" s="5" t="s">
        <v>381</v>
      </c>
      <c r="N144" s="5" t="s">
        <v>261</v>
      </c>
      <c r="O144" s="5" t="s">
        <v>327</v>
      </c>
      <c r="P144" s="15" t="str">
        <f aca="false">IF(J144="S0","—",IF(K144="","",IF(L144="E0","QM",INDEX(10_ASIL_Matrix!$D$4:$F$15,MATCH(J144&amp;"-"&amp;L144,10_ASIL_Matrix!$C$4:$C$15,0),MATCH(N144,10_ASIL_Matrix!$D$3:$F$3,0)))))</f>
        <v>B</v>
      </c>
      <c r="Q144" s="5" t="s">
        <v>328</v>
      </c>
    </row>
    <row r="145" customFormat="false" ht="68.65" hidden="false" customHeight="false" outlineLevel="0" collapsed="false">
      <c r="A145" s="6" t="s">
        <v>656</v>
      </c>
      <c r="B145" s="6" t="s">
        <v>112</v>
      </c>
      <c r="C145" s="6" t="s">
        <v>113</v>
      </c>
      <c r="D145" s="6" t="s">
        <v>150</v>
      </c>
      <c r="E145" s="6" t="s">
        <v>151</v>
      </c>
      <c r="F145" s="6" t="s">
        <v>192</v>
      </c>
      <c r="G145" s="6" t="s">
        <v>378</v>
      </c>
      <c r="H145" s="6" t="s">
        <v>201</v>
      </c>
      <c r="I145" s="6" t="s">
        <v>657</v>
      </c>
      <c r="J145" s="6" t="s">
        <v>226</v>
      </c>
      <c r="K145" s="6" t="s">
        <v>380</v>
      </c>
      <c r="L145" s="6" t="s">
        <v>185</v>
      </c>
      <c r="M145" s="6" t="s">
        <v>384</v>
      </c>
      <c r="N145" s="6" t="s">
        <v>261</v>
      </c>
      <c r="O145" s="6" t="s">
        <v>327</v>
      </c>
      <c r="P145" s="15" t="str">
        <f aca="false">IF(J145="S0","—",IF(K145="","",IF(L145="E0","QM",INDEX(10_ASIL_Matrix!$D$4:$F$15,MATCH(J145&amp;"-"&amp;L145,10_ASIL_Matrix!$C$4:$C$15,0),MATCH(N145,10_ASIL_Matrix!$D$3:$F$3,0)))))</f>
        <v>B</v>
      </c>
      <c r="Q145" s="6" t="s">
        <v>328</v>
      </c>
    </row>
    <row r="146" customFormat="false" ht="68.65" hidden="false" customHeight="false" outlineLevel="0" collapsed="false">
      <c r="A146" s="5" t="s">
        <v>658</v>
      </c>
      <c r="B146" s="5" t="s">
        <v>112</v>
      </c>
      <c r="C146" s="5" t="s">
        <v>113</v>
      </c>
      <c r="D146" s="5" t="s">
        <v>150</v>
      </c>
      <c r="E146" s="5" t="s">
        <v>151</v>
      </c>
      <c r="F146" s="5" t="s">
        <v>192</v>
      </c>
      <c r="G146" s="5" t="s">
        <v>378</v>
      </c>
      <c r="H146" s="5" t="s">
        <v>203</v>
      </c>
      <c r="I146" s="5" t="s">
        <v>659</v>
      </c>
      <c r="J146" s="5" t="s">
        <v>226</v>
      </c>
      <c r="K146" s="5" t="s">
        <v>380</v>
      </c>
      <c r="L146" s="5" t="s">
        <v>185</v>
      </c>
      <c r="M146" s="5" t="s">
        <v>387</v>
      </c>
      <c r="N146" s="5" t="s">
        <v>261</v>
      </c>
      <c r="O146" s="5" t="s">
        <v>327</v>
      </c>
      <c r="P146" s="15" t="str">
        <f aca="false">IF(J146="S0","—",IF(K146="","",IF(L146="E0","QM",INDEX(10_ASIL_Matrix!$D$4:$F$15,MATCH(J146&amp;"-"&amp;L146,10_ASIL_Matrix!$C$4:$C$15,0),MATCH(N146,10_ASIL_Matrix!$D$3:$F$3,0)))))</f>
        <v>B</v>
      </c>
      <c r="Q146" s="5" t="s">
        <v>328</v>
      </c>
    </row>
    <row r="147" customFormat="false" ht="68.65" hidden="false" customHeight="false" outlineLevel="0" collapsed="false">
      <c r="A147" s="6" t="s">
        <v>660</v>
      </c>
      <c r="B147" s="6" t="s">
        <v>112</v>
      </c>
      <c r="C147" s="6" t="s">
        <v>113</v>
      </c>
      <c r="D147" s="6" t="s">
        <v>150</v>
      </c>
      <c r="E147" s="6" t="s">
        <v>151</v>
      </c>
      <c r="F147" s="6" t="s">
        <v>192</v>
      </c>
      <c r="G147" s="6" t="s">
        <v>378</v>
      </c>
      <c r="H147" s="6" t="s">
        <v>205</v>
      </c>
      <c r="I147" s="6" t="s">
        <v>661</v>
      </c>
      <c r="J147" s="6" t="s">
        <v>226</v>
      </c>
      <c r="K147" s="6" t="s">
        <v>390</v>
      </c>
      <c r="L147" s="6" t="s">
        <v>206</v>
      </c>
      <c r="M147" s="6" t="s">
        <v>391</v>
      </c>
      <c r="N147" s="6" t="s">
        <v>261</v>
      </c>
      <c r="O147" s="6" t="s">
        <v>327</v>
      </c>
      <c r="P147" s="16" t="str">
        <f aca="false">IF(J147="S0","—",IF(K147="","",IF(L147="E0","QM",INDEX(10_ASIL_Matrix!$D$4:$F$15,MATCH(J147&amp;"-"&amp;L147,10_ASIL_Matrix!$C$4:$C$15,0),MATCH(N147,10_ASIL_Matrix!$D$3:$F$3,0)))))</f>
        <v>A</v>
      </c>
      <c r="Q147" s="6" t="s">
        <v>328</v>
      </c>
    </row>
    <row r="148" customFormat="false" ht="68.65" hidden="false" customHeight="false" outlineLevel="0" collapsed="false">
      <c r="A148" s="5" t="s">
        <v>662</v>
      </c>
      <c r="B148" s="5" t="s">
        <v>112</v>
      </c>
      <c r="C148" s="5" t="s">
        <v>113</v>
      </c>
      <c r="D148" s="5" t="s">
        <v>150</v>
      </c>
      <c r="E148" s="5" t="s">
        <v>151</v>
      </c>
      <c r="F148" s="5" t="s">
        <v>192</v>
      </c>
      <c r="G148" s="5" t="s">
        <v>378</v>
      </c>
      <c r="H148" s="5" t="s">
        <v>208</v>
      </c>
      <c r="I148" s="5" t="s">
        <v>663</v>
      </c>
      <c r="J148" s="5" t="s">
        <v>226</v>
      </c>
      <c r="K148" s="5" t="s">
        <v>390</v>
      </c>
      <c r="L148" s="5" t="s">
        <v>209</v>
      </c>
      <c r="M148" s="5" t="s">
        <v>394</v>
      </c>
      <c r="N148" s="5" t="s">
        <v>261</v>
      </c>
      <c r="O148" s="5" t="s">
        <v>327</v>
      </c>
      <c r="P148" s="5" t="str">
        <f aca="false">IF(J148="S0","—",IF(K148="","",IF(L148="E0","QM",INDEX(10_ASIL_Matrix!$D$4:$F$15,MATCH(J148&amp;"-"&amp;L148,10_ASIL_Matrix!$C$4:$C$15,0),MATCH(N148,10_ASIL_Matrix!$D$3:$F$3,0)))))</f>
        <v>QM</v>
      </c>
      <c r="Q148" s="5" t="s">
        <v>328</v>
      </c>
    </row>
    <row r="149" customFormat="false" ht="68.65" hidden="false" customHeight="false" outlineLevel="0" collapsed="false">
      <c r="A149" s="6" t="s">
        <v>664</v>
      </c>
      <c r="B149" s="6" t="s">
        <v>112</v>
      </c>
      <c r="C149" s="6" t="s">
        <v>113</v>
      </c>
      <c r="D149" s="6" t="s">
        <v>150</v>
      </c>
      <c r="E149" s="6" t="s">
        <v>151</v>
      </c>
      <c r="F149" s="6" t="s">
        <v>194</v>
      </c>
      <c r="G149" s="6" t="s">
        <v>396</v>
      </c>
      <c r="H149" s="6" t="s">
        <v>199</v>
      </c>
      <c r="I149" s="6" t="s">
        <v>665</v>
      </c>
      <c r="J149" s="6" t="s">
        <v>226</v>
      </c>
      <c r="K149" s="6" t="s">
        <v>398</v>
      </c>
      <c r="L149" s="6" t="s">
        <v>188</v>
      </c>
      <c r="M149" s="6" t="s">
        <v>399</v>
      </c>
      <c r="N149" s="6" t="s">
        <v>261</v>
      </c>
      <c r="O149" s="6" t="s">
        <v>327</v>
      </c>
      <c r="P149" s="17" t="str">
        <f aca="false">IF(J149="S0","—",IF(K149="","",IF(L149="E0","QM",INDEX(10_ASIL_Matrix!$D$4:$F$15,MATCH(J149&amp;"-"&amp;L149,10_ASIL_Matrix!$C$4:$C$15,0),MATCH(N149,10_ASIL_Matrix!$D$3:$F$3,0)))))</f>
        <v>C</v>
      </c>
      <c r="Q149" s="6" t="s">
        <v>328</v>
      </c>
    </row>
    <row r="150" customFormat="false" ht="68.65" hidden="false" customHeight="false" outlineLevel="0" collapsed="false">
      <c r="A150" s="5" t="s">
        <v>666</v>
      </c>
      <c r="B150" s="5" t="s">
        <v>112</v>
      </c>
      <c r="C150" s="5" t="s">
        <v>113</v>
      </c>
      <c r="D150" s="5" t="s">
        <v>150</v>
      </c>
      <c r="E150" s="5" t="s">
        <v>151</v>
      </c>
      <c r="F150" s="5" t="s">
        <v>194</v>
      </c>
      <c r="G150" s="5" t="s">
        <v>396</v>
      </c>
      <c r="H150" s="5" t="s">
        <v>201</v>
      </c>
      <c r="I150" s="5" t="s">
        <v>667</v>
      </c>
      <c r="J150" s="5" t="s">
        <v>226</v>
      </c>
      <c r="K150" s="5" t="s">
        <v>398</v>
      </c>
      <c r="L150" s="5" t="s">
        <v>185</v>
      </c>
      <c r="M150" s="5" t="s">
        <v>402</v>
      </c>
      <c r="N150" s="5" t="s">
        <v>261</v>
      </c>
      <c r="O150" s="5" t="s">
        <v>327</v>
      </c>
      <c r="P150" s="15" t="str">
        <f aca="false">IF(J150="S0","—",IF(K150="","",IF(L150="E0","QM",INDEX(10_ASIL_Matrix!$D$4:$F$15,MATCH(J150&amp;"-"&amp;L150,10_ASIL_Matrix!$C$4:$C$15,0),MATCH(N150,10_ASIL_Matrix!$D$3:$F$3,0)))))</f>
        <v>B</v>
      </c>
      <c r="Q150" s="5" t="s">
        <v>328</v>
      </c>
    </row>
    <row r="151" customFormat="false" ht="68.65" hidden="false" customHeight="false" outlineLevel="0" collapsed="false">
      <c r="A151" s="6" t="s">
        <v>668</v>
      </c>
      <c r="B151" s="6" t="s">
        <v>112</v>
      </c>
      <c r="C151" s="6" t="s">
        <v>113</v>
      </c>
      <c r="D151" s="6" t="s">
        <v>150</v>
      </c>
      <c r="E151" s="6" t="s">
        <v>151</v>
      </c>
      <c r="F151" s="6" t="s">
        <v>194</v>
      </c>
      <c r="G151" s="6" t="s">
        <v>396</v>
      </c>
      <c r="H151" s="6" t="s">
        <v>203</v>
      </c>
      <c r="I151" s="6" t="s">
        <v>669</v>
      </c>
      <c r="J151" s="6" t="s">
        <v>226</v>
      </c>
      <c r="K151" s="6" t="s">
        <v>398</v>
      </c>
      <c r="L151" s="6" t="s">
        <v>185</v>
      </c>
      <c r="M151" s="6" t="s">
        <v>405</v>
      </c>
      <c r="N151" s="6" t="s">
        <v>261</v>
      </c>
      <c r="O151" s="6" t="s">
        <v>327</v>
      </c>
      <c r="P151" s="15" t="str">
        <f aca="false">IF(J151="S0","—",IF(K151="","",IF(L151="E0","QM",INDEX(10_ASIL_Matrix!$D$4:$F$15,MATCH(J151&amp;"-"&amp;L151,10_ASIL_Matrix!$C$4:$C$15,0),MATCH(N151,10_ASIL_Matrix!$D$3:$F$3,0)))))</f>
        <v>B</v>
      </c>
      <c r="Q151" s="6" t="s">
        <v>328</v>
      </c>
    </row>
    <row r="152" customFormat="false" ht="68.65" hidden="false" customHeight="false" outlineLevel="0" collapsed="false">
      <c r="A152" s="5" t="s">
        <v>670</v>
      </c>
      <c r="B152" s="5" t="s">
        <v>112</v>
      </c>
      <c r="C152" s="5" t="s">
        <v>113</v>
      </c>
      <c r="D152" s="5" t="s">
        <v>150</v>
      </c>
      <c r="E152" s="5" t="s">
        <v>151</v>
      </c>
      <c r="F152" s="5" t="s">
        <v>194</v>
      </c>
      <c r="G152" s="5" t="s">
        <v>396</v>
      </c>
      <c r="H152" s="5" t="s">
        <v>205</v>
      </c>
      <c r="I152" s="5" t="s">
        <v>671</v>
      </c>
      <c r="J152" s="5" t="s">
        <v>226</v>
      </c>
      <c r="K152" s="5" t="s">
        <v>408</v>
      </c>
      <c r="L152" s="5" t="s">
        <v>206</v>
      </c>
      <c r="M152" s="5" t="s">
        <v>409</v>
      </c>
      <c r="N152" s="5" t="s">
        <v>261</v>
      </c>
      <c r="O152" s="5" t="s">
        <v>327</v>
      </c>
      <c r="P152" s="16" t="str">
        <f aca="false">IF(J152="S0","—",IF(K152="","",IF(L152="E0","QM",INDEX(10_ASIL_Matrix!$D$4:$F$15,MATCH(J152&amp;"-"&amp;L152,10_ASIL_Matrix!$C$4:$C$15,0),MATCH(N152,10_ASIL_Matrix!$D$3:$F$3,0)))))</f>
        <v>A</v>
      </c>
      <c r="Q152" s="5" t="s">
        <v>328</v>
      </c>
    </row>
    <row r="153" customFormat="false" ht="68.65" hidden="false" customHeight="false" outlineLevel="0" collapsed="false">
      <c r="A153" s="6" t="s">
        <v>672</v>
      </c>
      <c r="B153" s="6" t="s">
        <v>112</v>
      </c>
      <c r="C153" s="6" t="s">
        <v>113</v>
      </c>
      <c r="D153" s="6" t="s">
        <v>150</v>
      </c>
      <c r="E153" s="6" t="s">
        <v>151</v>
      </c>
      <c r="F153" s="6" t="s">
        <v>194</v>
      </c>
      <c r="G153" s="6" t="s">
        <v>396</v>
      </c>
      <c r="H153" s="6" t="s">
        <v>208</v>
      </c>
      <c r="I153" s="6" t="s">
        <v>673</v>
      </c>
      <c r="J153" s="6" t="s">
        <v>226</v>
      </c>
      <c r="K153" s="6" t="s">
        <v>408</v>
      </c>
      <c r="L153" s="6" t="s">
        <v>209</v>
      </c>
      <c r="M153" s="6" t="s">
        <v>412</v>
      </c>
      <c r="N153" s="6" t="s">
        <v>261</v>
      </c>
      <c r="O153" s="6" t="s">
        <v>327</v>
      </c>
      <c r="P153" s="6" t="str">
        <f aca="false">IF(J153="S0","—",IF(K153="","",IF(L153="E0","QM",INDEX(10_ASIL_Matrix!$D$4:$F$15,MATCH(J153&amp;"-"&amp;L153,10_ASIL_Matrix!$C$4:$C$15,0),MATCH(N153,10_ASIL_Matrix!$D$3:$F$3,0)))))</f>
        <v>QM</v>
      </c>
      <c r="Q153" s="6" t="s">
        <v>328</v>
      </c>
    </row>
    <row r="154" customFormat="false" ht="35.05" hidden="false" customHeight="false" outlineLevel="0" collapsed="false">
      <c r="A154" s="5" t="s">
        <v>674</v>
      </c>
      <c r="B154" s="5" t="s">
        <v>112</v>
      </c>
      <c r="C154" s="5" t="s">
        <v>113</v>
      </c>
      <c r="D154" s="5" t="s">
        <v>168</v>
      </c>
      <c r="E154" s="5" t="s">
        <v>169</v>
      </c>
      <c r="F154" s="5" t="s">
        <v>184</v>
      </c>
      <c r="G154" s="5" t="s">
        <v>323</v>
      </c>
      <c r="H154" s="5" t="s">
        <v>199</v>
      </c>
      <c r="I154" s="5" t="s">
        <v>675</v>
      </c>
      <c r="J154" s="5" t="s">
        <v>218</v>
      </c>
      <c r="K154" s="5" t="s">
        <v>325</v>
      </c>
      <c r="L154" s="5" t="s">
        <v>185</v>
      </c>
      <c r="M154" s="5" t="s">
        <v>326</v>
      </c>
      <c r="N154" s="5" t="s">
        <v>261</v>
      </c>
      <c r="O154" s="5" t="s">
        <v>465</v>
      </c>
      <c r="P154" s="5" t="str">
        <f aca="false">IF(J154="S0","—",IF(K154="","",IF(L154="E0","QM",INDEX(10_ASIL_Matrix!$D$4:$F$15,MATCH(J154&amp;"-"&amp;L154,10_ASIL_Matrix!$C$4:$C$15,0),MATCH(N154,10_ASIL_Matrix!$D$3:$F$3,0)))))</f>
        <v>QM</v>
      </c>
      <c r="Q154" s="5" t="s">
        <v>328</v>
      </c>
    </row>
    <row r="155" customFormat="false" ht="35.05" hidden="false" customHeight="false" outlineLevel="0" collapsed="false">
      <c r="A155" s="6" t="s">
        <v>676</v>
      </c>
      <c r="B155" s="6" t="s">
        <v>112</v>
      </c>
      <c r="C155" s="6" t="s">
        <v>113</v>
      </c>
      <c r="D155" s="6" t="s">
        <v>168</v>
      </c>
      <c r="E155" s="6" t="s">
        <v>169</v>
      </c>
      <c r="F155" s="6" t="s">
        <v>184</v>
      </c>
      <c r="G155" s="6" t="s">
        <v>323</v>
      </c>
      <c r="H155" s="6" t="s">
        <v>201</v>
      </c>
      <c r="I155" s="6" t="s">
        <v>677</v>
      </c>
      <c r="J155" s="6" t="s">
        <v>218</v>
      </c>
      <c r="K155" s="6" t="s">
        <v>325</v>
      </c>
      <c r="L155" s="6" t="s">
        <v>185</v>
      </c>
      <c r="M155" s="6" t="s">
        <v>331</v>
      </c>
      <c r="N155" s="6" t="s">
        <v>261</v>
      </c>
      <c r="O155" s="6" t="s">
        <v>465</v>
      </c>
      <c r="P155" s="6" t="str">
        <f aca="false">IF(J155="S0","—",IF(K155="","",IF(L155="E0","QM",INDEX(10_ASIL_Matrix!$D$4:$F$15,MATCH(J155&amp;"-"&amp;L155,10_ASIL_Matrix!$C$4:$C$15,0),MATCH(N155,10_ASIL_Matrix!$D$3:$F$3,0)))))</f>
        <v>QM</v>
      </c>
      <c r="Q155" s="6" t="s">
        <v>328</v>
      </c>
    </row>
    <row r="156" customFormat="false" ht="35.05" hidden="false" customHeight="false" outlineLevel="0" collapsed="false">
      <c r="A156" s="5" t="s">
        <v>678</v>
      </c>
      <c r="B156" s="5" t="s">
        <v>112</v>
      </c>
      <c r="C156" s="5" t="s">
        <v>113</v>
      </c>
      <c r="D156" s="5" t="s">
        <v>168</v>
      </c>
      <c r="E156" s="5" t="s">
        <v>169</v>
      </c>
      <c r="F156" s="5" t="s">
        <v>184</v>
      </c>
      <c r="G156" s="5" t="s">
        <v>323</v>
      </c>
      <c r="H156" s="5" t="s">
        <v>203</v>
      </c>
      <c r="I156" s="5" t="s">
        <v>679</v>
      </c>
      <c r="J156" s="5" t="s">
        <v>218</v>
      </c>
      <c r="K156" s="5" t="s">
        <v>325</v>
      </c>
      <c r="L156" s="5" t="s">
        <v>185</v>
      </c>
      <c r="M156" s="5" t="s">
        <v>334</v>
      </c>
      <c r="N156" s="5" t="s">
        <v>261</v>
      </c>
      <c r="O156" s="5" t="s">
        <v>465</v>
      </c>
      <c r="P156" s="5" t="str">
        <f aca="false">IF(J156="S0","—",IF(K156="","",IF(L156="E0","QM",INDEX(10_ASIL_Matrix!$D$4:$F$15,MATCH(J156&amp;"-"&amp;L156,10_ASIL_Matrix!$C$4:$C$15,0),MATCH(N156,10_ASIL_Matrix!$D$3:$F$3,0)))))</f>
        <v>QM</v>
      </c>
      <c r="Q156" s="5" t="s">
        <v>328</v>
      </c>
    </row>
    <row r="157" customFormat="false" ht="35.05" hidden="false" customHeight="false" outlineLevel="0" collapsed="false">
      <c r="A157" s="6" t="s">
        <v>680</v>
      </c>
      <c r="B157" s="6" t="s">
        <v>112</v>
      </c>
      <c r="C157" s="6" t="s">
        <v>113</v>
      </c>
      <c r="D157" s="6" t="s">
        <v>168</v>
      </c>
      <c r="E157" s="6" t="s">
        <v>169</v>
      </c>
      <c r="F157" s="6" t="s">
        <v>184</v>
      </c>
      <c r="G157" s="6" t="s">
        <v>323</v>
      </c>
      <c r="H157" s="6" t="s">
        <v>205</v>
      </c>
      <c r="I157" s="6" t="s">
        <v>681</v>
      </c>
      <c r="J157" s="6" t="s">
        <v>218</v>
      </c>
      <c r="K157" s="6" t="s">
        <v>325</v>
      </c>
      <c r="L157" s="6" t="s">
        <v>206</v>
      </c>
      <c r="M157" s="6" t="s">
        <v>337</v>
      </c>
      <c r="N157" s="6" t="s">
        <v>261</v>
      </c>
      <c r="O157" s="6" t="s">
        <v>465</v>
      </c>
      <c r="P157" s="6" t="str">
        <f aca="false">IF(J157="S0","—",IF(K157="","",IF(L157="E0","QM",INDEX(10_ASIL_Matrix!$D$4:$F$15,MATCH(J157&amp;"-"&amp;L157,10_ASIL_Matrix!$C$4:$C$15,0),MATCH(N157,10_ASIL_Matrix!$D$3:$F$3,0)))))</f>
        <v>QM</v>
      </c>
      <c r="Q157" s="6" t="s">
        <v>328</v>
      </c>
    </row>
    <row r="158" customFormat="false" ht="35.05" hidden="false" customHeight="false" outlineLevel="0" collapsed="false">
      <c r="A158" s="5" t="s">
        <v>682</v>
      </c>
      <c r="B158" s="5" t="s">
        <v>112</v>
      </c>
      <c r="C158" s="5" t="s">
        <v>113</v>
      </c>
      <c r="D158" s="5" t="s">
        <v>168</v>
      </c>
      <c r="E158" s="5" t="s">
        <v>169</v>
      </c>
      <c r="F158" s="5" t="s">
        <v>184</v>
      </c>
      <c r="G158" s="5" t="s">
        <v>323</v>
      </c>
      <c r="H158" s="5" t="s">
        <v>208</v>
      </c>
      <c r="I158" s="5" t="s">
        <v>683</v>
      </c>
      <c r="J158" s="5" t="s">
        <v>218</v>
      </c>
      <c r="K158" s="5" t="s">
        <v>325</v>
      </c>
      <c r="L158" s="5" t="s">
        <v>209</v>
      </c>
      <c r="M158" s="5" t="s">
        <v>340</v>
      </c>
      <c r="N158" s="5" t="s">
        <v>261</v>
      </c>
      <c r="O158" s="5" t="s">
        <v>465</v>
      </c>
      <c r="P158" s="5" t="str">
        <f aca="false">IF(J158="S0","—",IF(K158="","",IF(L158="E0","QM",INDEX(10_ASIL_Matrix!$D$4:$F$15,MATCH(J158&amp;"-"&amp;L158,10_ASIL_Matrix!$C$4:$C$15,0),MATCH(N158,10_ASIL_Matrix!$D$3:$F$3,0)))))</f>
        <v>QM</v>
      </c>
      <c r="Q158" s="5" t="s">
        <v>328</v>
      </c>
    </row>
    <row r="159" customFormat="false" ht="35.05" hidden="false" customHeight="false" outlineLevel="0" collapsed="false">
      <c r="A159" s="6" t="s">
        <v>684</v>
      </c>
      <c r="B159" s="6" t="s">
        <v>112</v>
      </c>
      <c r="C159" s="6" t="s">
        <v>113</v>
      </c>
      <c r="D159" s="6" t="s">
        <v>168</v>
      </c>
      <c r="E159" s="6" t="s">
        <v>169</v>
      </c>
      <c r="F159" s="6" t="s">
        <v>187</v>
      </c>
      <c r="G159" s="6" t="s">
        <v>342</v>
      </c>
      <c r="H159" s="6" t="s">
        <v>199</v>
      </c>
      <c r="I159" s="6" t="s">
        <v>685</v>
      </c>
      <c r="J159" s="6" t="s">
        <v>222</v>
      </c>
      <c r="K159" s="6" t="s">
        <v>344</v>
      </c>
      <c r="L159" s="6" t="s">
        <v>188</v>
      </c>
      <c r="M159" s="6" t="s">
        <v>345</v>
      </c>
      <c r="N159" s="6" t="s">
        <v>261</v>
      </c>
      <c r="O159" s="6" t="s">
        <v>476</v>
      </c>
      <c r="P159" s="15" t="str">
        <f aca="false">IF(J159="S0","—",IF(K159="","",IF(L159="E0","QM",INDEX(10_ASIL_Matrix!$D$4:$F$15,MATCH(J159&amp;"-"&amp;L159,10_ASIL_Matrix!$C$4:$C$15,0),MATCH(N159,10_ASIL_Matrix!$D$3:$F$3,0)))))</f>
        <v>B</v>
      </c>
      <c r="Q159" s="6" t="s">
        <v>328</v>
      </c>
    </row>
    <row r="160" customFormat="false" ht="35.05" hidden="false" customHeight="false" outlineLevel="0" collapsed="false">
      <c r="A160" s="5" t="s">
        <v>686</v>
      </c>
      <c r="B160" s="5" t="s">
        <v>112</v>
      </c>
      <c r="C160" s="5" t="s">
        <v>113</v>
      </c>
      <c r="D160" s="5" t="s">
        <v>168</v>
      </c>
      <c r="E160" s="5" t="s">
        <v>169</v>
      </c>
      <c r="F160" s="5" t="s">
        <v>187</v>
      </c>
      <c r="G160" s="5" t="s">
        <v>342</v>
      </c>
      <c r="H160" s="5" t="s">
        <v>201</v>
      </c>
      <c r="I160" s="5" t="s">
        <v>687</v>
      </c>
      <c r="J160" s="5" t="s">
        <v>222</v>
      </c>
      <c r="K160" s="5" t="s">
        <v>344</v>
      </c>
      <c r="L160" s="5" t="s">
        <v>185</v>
      </c>
      <c r="M160" s="5" t="s">
        <v>348</v>
      </c>
      <c r="N160" s="5" t="s">
        <v>261</v>
      </c>
      <c r="O160" s="5" t="s">
        <v>476</v>
      </c>
      <c r="P160" s="16" t="str">
        <f aca="false">IF(J160="S0","—",IF(K160="","",IF(L160="E0","QM",INDEX(10_ASIL_Matrix!$D$4:$F$15,MATCH(J160&amp;"-"&amp;L160,10_ASIL_Matrix!$C$4:$C$15,0),MATCH(N160,10_ASIL_Matrix!$D$3:$F$3,0)))))</f>
        <v>A</v>
      </c>
      <c r="Q160" s="5" t="s">
        <v>328</v>
      </c>
    </row>
    <row r="161" customFormat="false" ht="35.05" hidden="false" customHeight="false" outlineLevel="0" collapsed="false">
      <c r="A161" s="6" t="s">
        <v>688</v>
      </c>
      <c r="B161" s="6" t="s">
        <v>112</v>
      </c>
      <c r="C161" s="6" t="s">
        <v>113</v>
      </c>
      <c r="D161" s="6" t="s">
        <v>168</v>
      </c>
      <c r="E161" s="6" t="s">
        <v>169</v>
      </c>
      <c r="F161" s="6" t="s">
        <v>187</v>
      </c>
      <c r="G161" s="6" t="s">
        <v>342</v>
      </c>
      <c r="H161" s="6" t="s">
        <v>203</v>
      </c>
      <c r="I161" s="6" t="s">
        <v>689</v>
      </c>
      <c r="J161" s="6" t="s">
        <v>222</v>
      </c>
      <c r="K161" s="6" t="s">
        <v>344</v>
      </c>
      <c r="L161" s="6" t="s">
        <v>185</v>
      </c>
      <c r="M161" s="6" t="s">
        <v>351</v>
      </c>
      <c r="N161" s="6" t="s">
        <v>261</v>
      </c>
      <c r="O161" s="6" t="s">
        <v>476</v>
      </c>
      <c r="P161" s="16" t="str">
        <f aca="false">IF(J161="S0","—",IF(K161="","",IF(L161="E0","QM",INDEX(10_ASIL_Matrix!$D$4:$F$15,MATCH(J161&amp;"-"&amp;L161,10_ASIL_Matrix!$C$4:$C$15,0),MATCH(N161,10_ASIL_Matrix!$D$3:$F$3,0)))))</f>
        <v>A</v>
      </c>
      <c r="Q161" s="6" t="s">
        <v>328</v>
      </c>
    </row>
    <row r="162" customFormat="false" ht="35.05" hidden="false" customHeight="false" outlineLevel="0" collapsed="false">
      <c r="A162" s="5" t="s">
        <v>690</v>
      </c>
      <c r="B162" s="5" t="s">
        <v>112</v>
      </c>
      <c r="C162" s="5" t="s">
        <v>113</v>
      </c>
      <c r="D162" s="5" t="s">
        <v>168</v>
      </c>
      <c r="E162" s="5" t="s">
        <v>169</v>
      </c>
      <c r="F162" s="5" t="s">
        <v>187</v>
      </c>
      <c r="G162" s="5" t="s">
        <v>342</v>
      </c>
      <c r="H162" s="5" t="s">
        <v>205</v>
      </c>
      <c r="I162" s="5" t="s">
        <v>691</v>
      </c>
      <c r="J162" s="5" t="s">
        <v>222</v>
      </c>
      <c r="K162" s="5" t="s">
        <v>354</v>
      </c>
      <c r="L162" s="5" t="s">
        <v>206</v>
      </c>
      <c r="M162" s="5" t="s">
        <v>355</v>
      </c>
      <c r="N162" s="5" t="s">
        <v>261</v>
      </c>
      <c r="O162" s="5" t="s">
        <v>476</v>
      </c>
      <c r="P162" s="5" t="str">
        <f aca="false">IF(J162="S0","—",IF(K162="","",IF(L162="E0","QM",INDEX(10_ASIL_Matrix!$D$4:$F$15,MATCH(J162&amp;"-"&amp;L162,10_ASIL_Matrix!$C$4:$C$15,0),MATCH(N162,10_ASIL_Matrix!$D$3:$F$3,0)))))</f>
        <v>QM</v>
      </c>
      <c r="Q162" s="5" t="s">
        <v>328</v>
      </c>
    </row>
    <row r="163" customFormat="false" ht="35.05" hidden="false" customHeight="false" outlineLevel="0" collapsed="false">
      <c r="A163" s="6" t="s">
        <v>692</v>
      </c>
      <c r="B163" s="6" t="s">
        <v>112</v>
      </c>
      <c r="C163" s="6" t="s">
        <v>113</v>
      </c>
      <c r="D163" s="6" t="s">
        <v>168</v>
      </c>
      <c r="E163" s="6" t="s">
        <v>169</v>
      </c>
      <c r="F163" s="6" t="s">
        <v>187</v>
      </c>
      <c r="G163" s="6" t="s">
        <v>342</v>
      </c>
      <c r="H163" s="6" t="s">
        <v>208</v>
      </c>
      <c r="I163" s="6" t="s">
        <v>693</v>
      </c>
      <c r="J163" s="6" t="s">
        <v>222</v>
      </c>
      <c r="K163" s="6" t="s">
        <v>354</v>
      </c>
      <c r="L163" s="6" t="s">
        <v>209</v>
      </c>
      <c r="M163" s="6" t="s">
        <v>358</v>
      </c>
      <c r="N163" s="6" t="s">
        <v>261</v>
      </c>
      <c r="O163" s="6" t="s">
        <v>476</v>
      </c>
      <c r="P163" s="6" t="str">
        <f aca="false">IF(J163="S0","—",IF(K163="","",IF(L163="E0","QM",INDEX(10_ASIL_Matrix!$D$4:$F$15,MATCH(J163&amp;"-"&amp;L163,10_ASIL_Matrix!$C$4:$C$15,0),MATCH(N163,10_ASIL_Matrix!$D$3:$F$3,0)))))</f>
        <v>QM</v>
      </c>
      <c r="Q163" s="6" t="s">
        <v>328</v>
      </c>
    </row>
    <row r="164" customFormat="false" ht="35.05" hidden="false" customHeight="false" outlineLevel="0" collapsed="false">
      <c r="A164" s="5" t="s">
        <v>694</v>
      </c>
      <c r="B164" s="5" t="s">
        <v>112</v>
      </c>
      <c r="C164" s="5" t="s">
        <v>113</v>
      </c>
      <c r="D164" s="5" t="s">
        <v>168</v>
      </c>
      <c r="E164" s="5" t="s">
        <v>169</v>
      </c>
      <c r="F164" s="5" t="s">
        <v>190</v>
      </c>
      <c r="G164" s="5" t="s">
        <v>360</v>
      </c>
      <c r="H164" s="5" t="s">
        <v>199</v>
      </c>
      <c r="I164" s="5" t="s">
        <v>695</v>
      </c>
      <c r="J164" s="5" t="s">
        <v>222</v>
      </c>
      <c r="K164" s="5" t="s">
        <v>362</v>
      </c>
      <c r="L164" s="5" t="s">
        <v>188</v>
      </c>
      <c r="M164" s="5" t="s">
        <v>363</v>
      </c>
      <c r="N164" s="5" t="s">
        <v>265</v>
      </c>
      <c r="O164" s="5" t="s">
        <v>696</v>
      </c>
      <c r="P164" s="17" t="str">
        <f aca="false">IF(J164="S0","—",IF(K164="","",IF(L164="E0","QM",INDEX(10_ASIL_Matrix!$D$4:$F$15,MATCH(J164&amp;"-"&amp;L164,10_ASIL_Matrix!$C$4:$C$15,0),MATCH(N164,10_ASIL_Matrix!$D$3:$F$3,0)))))</f>
        <v>C</v>
      </c>
      <c r="Q164" s="5" t="s">
        <v>328</v>
      </c>
    </row>
    <row r="165" customFormat="false" ht="35.05" hidden="false" customHeight="false" outlineLevel="0" collapsed="false">
      <c r="A165" s="6" t="s">
        <v>697</v>
      </c>
      <c r="B165" s="6" t="s">
        <v>112</v>
      </c>
      <c r="C165" s="6" t="s">
        <v>113</v>
      </c>
      <c r="D165" s="6" t="s">
        <v>168</v>
      </c>
      <c r="E165" s="6" t="s">
        <v>169</v>
      </c>
      <c r="F165" s="6" t="s">
        <v>190</v>
      </c>
      <c r="G165" s="6" t="s">
        <v>360</v>
      </c>
      <c r="H165" s="6" t="s">
        <v>201</v>
      </c>
      <c r="I165" s="6" t="s">
        <v>698</v>
      </c>
      <c r="J165" s="6" t="s">
        <v>222</v>
      </c>
      <c r="K165" s="6" t="s">
        <v>362</v>
      </c>
      <c r="L165" s="6" t="s">
        <v>185</v>
      </c>
      <c r="M165" s="6" t="s">
        <v>366</v>
      </c>
      <c r="N165" s="6" t="s">
        <v>265</v>
      </c>
      <c r="O165" s="6" t="s">
        <v>696</v>
      </c>
      <c r="P165" s="15" t="str">
        <f aca="false">IF(J165="S0","—",IF(K165="","",IF(L165="E0","QM",INDEX(10_ASIL_Matrix!$D$4:$F$15,MATCH(J165&amp;"-"&amp;L165,10_ASIL_Matrix!$C$4:$C$15,0),MATCH(N165,10_ASIL_Matrix!$D$3:$F$3,0)))))</f>
        <v>B</v>
      </c>
      <c r="Q165" s="6" t="s">
        <v>328</v>
      </c>
    </row>
    <row r="166" customFormat="false" ht="35.05" hidden="false" customHeight="false" outlineLevel="0" collapsed="false">
      <c r="A166" s="5" t="s">
        <v>699</v>
      </c>
      <c r="B166" s="5" t="s">
        <v>112</v>
      </c>
      <c r="C166" s="5" t="s">
        <v>113</v>
      </c>
      <c r="D166" s="5" t="s">
        <v>168</v>
      </c>
      <c r="E166" s="5" t="s">
        <v>169</v>
      </c>
      <c r="F166" s="5" t="s">
        <v>190</v>
      </c>
      <c r="G166" s="5" t="s">
        <v>360</v>
      </c>
      <c r="H166" s="5" t="s">
        <v>203</v>
      </c>
      <c r="I166" s="5" t="s">
        <v>700</v>
      </c>
      <c r="J166" s="5" t="s">
        <v>222</v>
      </c>
      <c r="K166" s="5" t="s">
        <v>362</v>
      </c>
      <c r="L166" s="5" t="s">
        <v>185</v>
      </c>
      <c r="M166" s="5" t="s">
        <v>369</v>
      </c>
      <c r="N166" s="5" t="s">
        <v>265</v>
      </c>
      <c r="O166" s="5" t="s">
        <v>696</v>
      </c>
      <c r="P166" s="15" t="str">
        <f aca="false">IF(J166="S0","—",IF(K166="","",IF(L166="E0","QM",INDEX(10_ASIL_Matrix!$D$4:$F$15,MATCH(J166&amp;"-"&amp;L166,10_ASIL_Matrix!$C$4:$C$15,0),MATCH(N166,10_ASIL_Matrix!$D$3:$F$3,0)))))</f>
        <v>B</v>
      </c>
      <c r="Q166" s="5" t="s">
        <v>328</v>
      </c>
    </row>
    <row r="167" customFormat="false" ht="35.05" hidden="false" customHeight="false" outlineLevel="0" collapsed="false">
      <c r="A167" s="6" t="s">
        <v>701</v>
      </c>
      <c r="B167" s="6" t="s">
        <v>112</v>
      </c>
      <c r="C167" s="6" t="s">
        <v>113</v>
      </c>
      <c r="D167" s="6" t="s">
        <v>168</v>
      </c>
      <c r="E167" s="6" t="s">
        <v>169</v>
      </c>
      <c r="F167" s="6" t="s">
        <v>190</v>
      </c>
      <c r="G167" s="6" t="s">
        <v>360</v>
      </c>
      <c r="H167" s="6" t="s">
        <v>205</v>
      </c>
      <c r="I167" s="6" t="s">
        <v>702</v>
      </c>
      <c r="J167" s="6" t="s">
        <v>222</v>
      </c>
      <c r="K167" s="6" t="s">
        <v>372</v>
      </c>
      <c r="L167" s="6" t="s">
        <v>206</v>
      </c>
      <c r="M167" s="6" t="s">
        <v>373</v>
      </c>
      <c r="N167" s="6" t="s">
        <v>265</v>
      </c>
      <c r="O167" s="6" t="s">
        <v>696</v>
      </c>
      <c r="P167" s="16" t="str">
        <f aca="false">IF(J167="S0","—",IF(K167="","",IF(L167="E0","QM",INDEX(10_ASIL_Matrix!$D$4:$F$15,MATCH(J167&amp;"-"&amp;L167,10_ASIL_Matrix!$C$4:$C$15,0),MATCH(N167,10_ASIL_Matrix!$D$3:$F$3,0)))))</f>
        <v>A</v>
      </c>
      <c r="Q167" s="6" t="s">
        <v>328</v>
      </c>
    </row>
    <row r="168" customFormat="false" ht="35.05" hidden="false" customHeight="false" outlineLevel="0" collapsed="false">
      <c r="A168" s="5" t="s">
        <v>703</v>
      </c>
      <c r="B168" s="5" t="s">
        <v>112</v>
      </c>
      <c r="C168" s="5" t="s">
        <v>113</v>
      </c>
      <c r="D168" s="5" t="s">
        <v>168</v>
      </c>
      <c r="E168" s="5" t="s">
        <v>169</v>
      </c>
      <c r="F168" s="5" t="s">
        <v>190</v>
      </c>
      <c r="G168" s="5" t="s">
        <v>360</v>
      </c>
      <c r="H168" s="5" t="s">
        <v>208</v>
      </c>
      <c r="I168" s="5" t="s">
        <v>704</v>
      </c>
      <c r="J168" s="5" t="s">
        <v>222</v>
      </c>
      <c r="K168" s="5" t="s">
        <v>372</v>
      </c>
      <c r="L168" s="5" t="s">
        <v>209</v>
      </c>
      <c r="M168" s="5" t="s">
        <v>376</v>
      </c>
      <c r="N168" s="5" t="s">
        <v>265</v>
      </c>
      <c r="O168" s="5" t="s">
        <v>696</v>
      </c>
      <c r="P168" s="5" t="str">
        <f aca="false">IF(J168="S0","—",IF(K168="","",IF(L168="E0","QM",INDEX(10_ASIL_Matrix!$D$4:$F$15,MATCH(J168&amp;"-"&amp;L168,10_ASIL_Matrix!$C$4:$C$15,0),MATCH(N168,10_ASIL_Matrix!$D$3:$F$3,0)))))</f>
        <v>QM</v>
      </c>
      <c r="Q168" s="5" t="s">
        <v>328</v>
      </c>
    </row>
    <row r="169" customFormat="false" ht="35.05" hidden="false" customHeight="false" outlineLevel="0" collapsed="false">
      <c r="A169" s="6" t="s">
        <v>705</v>
      </c>
      <c r="B169" s="6" t="s">
        <v>112</v>
      </c>
      <c r="C169" s="6" t="s">
        <v>113</v>
      </c>
      <c r="D169" s="6" t="s">
        <v>168</v>
      </c>
      <c r="E169" s="6" t="s">
        <v>169</v>
      </c>
      <c r="F169" s="6" t="s">
        <v>192</v>
      </c>
      <c r="G169" s="6" t="s">
        <v>378</v>
      </c>
      <c r="H169" s="6" t="s">
        <v>199</v>
      </c>
      <c r="I169" s="6" t="s">
        <v>706</v>
      </c>
      <c r="J169" s="6" t="s">
        <v>226</v>
      </c>
      <c r="K169" s="6" t="s">
        <v>380</v>
      </c>
      <c r="L169" s="6" t="s">
        <v>185</v>
      </c>
      <c r="M169" s="6" t="s">
        <v>381</v>
      </c>
      <c r="N169" s="6" t="s">
        <v>265</v>
      </c>
      <c r="O169" s="6" t="s">
        <v>707</v>
      </c>
      <c r="P169" s="17" t="str">
        <f aca="false">IF(J169="S0","—",IF(K169="","",IF(L169="E0","QM",INDEX(10_ASIL_Matrix!$D$4:$F$15,MATCH(J169&amp;"-"&amp;L169,10_ASIL_Matrix!$C$4:$C$15,0),MATCH(N169,10_ASIL_Matrix!$D$3:$F$3,0)))))</f>
        <v>C</v>
      </c>
      <c r="Q169" s="6" t="s">
        <v>328</v>
      </c>
    </row>
    <row r="170" customFormat="false" ht="35.05" hidden="false" customHeight="false" outlineLevel="0" collapsed="false">
      <c r="A170" s="5" t="s">
        <v>708</v>
      </c>
      <c r="B170" s="5" t="s">
        <v>112</v>
      </c>
      <c r="C170" s="5" t="s">
        <v>113</v>
      </c>
      <c r="D170" s="5" t="s">
        <v>168</v>
      </c>
      <c r="E170" s="5" t="s">
        <v>169</v>
      </c>
      <c r="F170" s="5" t="s">
        <v>192</v>
      </c>
      <c r="G170" s="5" t="s">
        <v>378</v>
      </c>
      <c r="H170" s="5" t="s">
        <v>201</v>
      </c>
      <c r="I170" s="5" t="s">
        <v>709</v>
      </c>
      <c r="J170" s="5" t="s">
        <v>226</v>
      </c>
      <c r="K170" s="5" t="s">
        <v>380</v>
      </c>
      <c r="L170" s="5" t="s">
        <v>185</v>
      </c>
      <c r="M170" s="5" t="s">
        <v>384</v>
      </c>
      <c r="N170" s="5" t="s">
        <v>265</v>
      </c>
      <c r="O170" s="5" t="s">
        <v>707</v>
      </c>
      <c r="P170" s="17" t="str">
        <f aca="false">IF(J170="S0","—",IF(K170="","",IF(L170="E0","QM",INDEX(10_ASIL_Matrix!$D$4:$F$15,MATCH(J170&amp;"-"&amp;L170,10_ASIL_Matrix!$C$4:$C$15,0),MATCH(N170,10_ASIL_Matrix!$D$3:$F$3,0)))))</f>
        <v>C</v>
      </c>
      <c r="Q170" s="5" t="s">
        <v>328</v>
      </c>
    </row>
    <row r="171" customFormat="false" ht="35.05" hidden="false" customHeight="false" outlineLevel="0" collapsed="false">
      <c r="A171" s="6" t="s">
        <v>710</v>
      </c>
      <c r="B171" s="6" t="s">
        <v>112</v>
      </c>
      <c r="C171" s="6" t="s">
        <v>113</v>
      </c>
      <c r="D171" s="6" t="s">
        <v>168</v>
      </c>
      <c r="E171" s="6" t="s">
        <v>169</v>
      </c>
      <c r="F171" s="6" t="s">
        <v>192</v>
      </c>
      <c r="G171" s="6" t="s">
        <v>378</v>
      </c>
      <c r="H171" s="6" t="s">
        <v>203</v>
      </c>
      <c r="I171" s="6" t="s">
        <v>711</v>
      </c>
      <c r="J171" s="6" t="s">
        <v>226</v>
      </c>
      <c r="K171" s="6" t="s">
        <v>380</v>
      </c>
      <c r="L171" s="6" t="s">
        <v>185</v>
      </c>
      <c r="M171" s="6" t="s">
        <v>387</v>
      </c>
      <c r="N171" s="6" t="s">
        <v>265</v>
      </c>
      <c r="O171" s="6" t="s">
        <v>707</v>
      </c>
      <c r="P171" s="17" t="str">
        <f aca="false">IF(J171="S0","—",IF(K171="","",IF(L171="E0","QM",INDEX(10_ASIL_Matrix!$D$4:$F$15,MATCH(J171&amp;"-"&amp;L171,10_ASIL_Matrix!$C$4:$C$15,0),MATCH(N171,10_ASIL_Matrix!$D$3:$F$3,0)))))</f>
        <v>C</v>
      </c>
      <c r="Q171" s="6" t="s">
        <v>328</v>
      </c>
    </row>
    <row r="172" customFormat="false" ht="35.05" hidden="false" customHeight="false" outlineLevel="0" collapsed="false">
      <c r="A172" s="5" t="s">
        <v>712</v>
      </c>
      <c r="B172" s="5" t="s">
        <v>112</v>
      </c>
      <c r="C172" s="5" t="s">
        <v>113</v>
      </c>
      <c r="D172" s="5" t="s">
        <v>168</v>
      </c>
      <c r="E172" s="5" t="s">
        <v>169</v>
      </c>
      <c r="F172" s="5" t="s">
        <v>192</v>
      </c>
      <c r="G172" s="5" t="s">
        <v>378</v>
      </c>
      <c r="H172" s="5" t="s">
        <v>205</v>
      </c>
      <c r="I172" s="5" t="s">
        <v>713</v>
      </c>
      <c r="J172" s="5" t="s">
        <v>226</v>
      </c>
      <c r="K172" s="5" t="s">
        <v>390</v>
      </c>
      <c r="L172" s="5" t="s">
        <v>206</v>
      </c>
      <c r="M172" s="5" t="s">
        <v>391</v>
      </c>
      <c r="N172" s="5" t="s">
        <v>265</v>
      </c>
      <c r="O172" s="5" t="s">
        <v>707</v>
      </c>
      <c r="P172" s="15" t="str">
        <f aca="false">IF(J172="S0","—",IF(K172="","",IF(L172="E0","QM",INDEX(10_ASIL_Matrix!$D$4:$F$15,MATCH(J172&amp;"-"&amp;L172,10_ASIL_Matrix!$C$4:$C$15,0),MATCH(N172,10_ASIL_Matrix!$D$3:$F$3,0)))))</f>
        <v>B</v>
      </c>
      <c r="Q172" s="5" t="s">
        <v>328</v>
      </c>
    </row>
    <row r="173" customFormat="false" ht="35.05" hidden="false" customHeight="false" outlineLevel="0" collapsed="false">
      <c r="A173" s="6" t="s">
        <v>714</v>
      </c>
      <c r="B173" s="6" t="s">
        <v>112</v>
      </c>
      <c r="C173" s="6" t="s">
        <v>113</v>
      </c>
      <c r="D173" s="6" t="s">
        <v>168</v>
      </c>
      <c r="E173" s="6" t="s">
        <v>169</v>
      </c>
      <c r="F173" s="6" t="s">
        <v>192</v>
      </c>
      <c r="G173" s="6" t="s">
        <v>378</v>
      </c>
      <c r="H173" s="6" t="s">
        <v>208</v>
      </c>
      <c r="I173" s="6" t="s">
        <v>715</v>
      </c>
      <c r="J173" s="6" t="s">
        <v>226</v>
      </c>
      <c r="K173" s="6" t="s">
        <v>390</v>
      </c>
      <c r="L173" s="6" t="s">
        <v>209</v>
      </c>
      <c r="M173" s="6" t="s">
        <v>394</v>
      </c>
      <c r="N173" s="6" t="s">
        <v>265</v>
      </c>
      <c r="O173" s="6" t="s">
        <v>707</v>
      </c>
      <c r="P173" s="16" t="str">
        <f aca="false">IF(J173="S0","—",IF(K173="","",IF(L173="E0","QM",INDEX(10_ASIL_Matrix!$D$4:$F$15,MATCH(J173&amp;"-"&amp;L173,10_ASIL_Matrix!$C$4:$C$15,0),MATCH(N173,10_ASIL_Matrix!$D$3:$F$3,0)))))</f>
        <v>A</v>
      </c>
      <c r="Q173" s="6" t="s">
        <v>328</v>
      </c>
    </row>
    <row r="174" customFormat="false" ht="35.05" hidden="false" customHeight="false" outlineLevel="0" collapsed="false">
      <c r="A174" s="5" t="s">
        <v>716</v>
      </c>
      <c r="B174" s="5" t="s">
        <v>112</v>
      </c>
      <c r="C174" s="5" t="s">
        <v>113</v>
      </c>
      <c r="D174" s="5" t="s">
        <v>168</v>
      </c>
      <c r="E174" s="5" t="s">
        <v>169</v>
      </c>
      <c r="F174" s="5" t="s">
        <v>194</v>
      </c>
      <c r="G174" s="5" t="s">
        <v>396</v>
      </c>
      <c r="H174" s="5" t="s">
        <v>199</v>
      </c>
      <c r="I174" s="5" t="s">
        <v>717</v>
      </c>
      <c r="J174" s="5" t="s">
        <v>226</v>
      </c>
      <c r="K174" s="5" t="s">
        <v>398</v>
      </c>
      <c r="L174" s="5" t="s">
        <v>188</v>
      </c>
      <c r="M174" s="5" t="s">
        <v>399</v>
      </c>
      <c r="N174" s="5" t="s">
        <v>265</v>
      </c>
      <c r="O174" s="5" t="s">
        <v>718</v>
      </c>
      <c r="P174" s="18" t="str">
        <f aca="false">IF(J174="S0","—",IF(K174="","",IF(L174="E0","QM",INDEX(10_ASIL_Matrix!$D$4:$F$15,MATCH(J174&amp;"-"&amp;L174,10_ASIL_Matrix!$C$4:$C$15,0),MATCH(N174,10_ASIL_Matrix!$D$3:$F$3,0)))))</f>
        <v>D</v>
      </c>
      <c r="Q174" s="5" t="s">
        <v>328</v>
      </c>
    </row>
    <row r="175" customFormat="false" ht="35.05" hidden="false" customHeight="false" outlineLevel="0" collapsed="false">
      <c r="A175" s="6" t="s">
        <v>719</v>
      </c>
      <c r="B175" s="6" t="s">
        <v>112</v>
      </c>
      <c r="C175" s="6" t="s">
        <v>113</v>
      </c>
      <c r="D175" s="6" t="s">
        <v>168</v>
      </c>
      <c r="E175" s="6" t="s">
        <v>169</v>
      </c>
      <c r="F175" s="6" t="s">
        <v>194</v>
      </c>
      <c r="G175" s="6" t="s">
        <v>396</v>
      </c>
      <c r="H175" s="6" t="s">
        <v>201</v>
      </c>
      <c r="I175" s="6" t="s">
        <v>720</v>
      </c>
      <c r="J175" s="6" t="s">
        <v>226</v>
      </c>
      <c r="K175" s="6" t="s">
        <v>398</v>
      </c>
      <c r="L175" s="6" t="s">
        <v>185</v>
      </c>
      <c r="M175" s="6" t="s">
        <v>402</v>
      </c>
      <c r="N175" s="6" t="s">
        <v>265</v>
      </c>
      <c r="O175" s="6" t="s">
        <v>718</v>
      </c>
      <c r="P175" s="17" t="str">
        <f aca="false">IF(J175="S0","—",IF(K175="","",IF(L175="E0","QM",INDEX(10_ASIL_Matrix!$D$4:$F$15,MATCH(J175&amp;"-"&amp;L175,10_ASIL_Matrix!$C$4:$C$15,0),MATCH(N175,10_ASIL_Matrix!$D$3:$F$3,0)))))</f>
        <v>C</v>
      </c>
      <c r="Q175" s="6" t="s">
        <v>328</v>
      </c>
    </row>
    <row r="176" customFormat="false" ht="35.05" hidden="false" customHeight="false" outlineLevel="0" collapsed="false">
      <c r="A176" s="5" t="s">
        <v>721</v>
      </c>
      <c r="B176" s="5" t="s">
        <v>112</v>
      </c>
      <c r="C176" s="5" t="s">
        <v>113</v>
      </c>
      <c r="D176" s="5" t="s">
        <v>168</v>
      </c>
      <c r="E176" s="5" t="s">
        <v>169</v>
      </c>
      <c r="F176" s="5" t="s">
        <v>194</v>
      </c>
      <c r="G176" s="5" t="s">
        <v>396</v>
      </c>
      <c r="H176" s="5" t="s">
        <v>203</v>
      </c>
      <c r="I176" s="5" t="s">
        <v>722</v>
      </c>
      <c r="J176" s="5" t="s">
        <v>226</v>
      </c>
      <c r="K176" s="5" t="s">
        <v>398</v>
      </c>
      <c r="L176" s="5" t="s">
        <v>185</v>
      </c>
      <c r="M176" s="5" t="s">
        <v>405</v>
      </c>
      <c r="N176" s="5" t="s">
        <v>265</v>
      </c>
      <c r="O176" s="5" t="s">
        <v>718</v>
      </c>
      <c r="P176" s="17" t="str">
        <f aca="false">IF(J176="S0","—",IF(K176="","",IF(L176="E0","QM",INDEX(10_ASIL_Matrix!$D$4:$F$15,MATCH(J176&amp;"-"&amp;L176,10_ASIL_Matrix!$C$4:$C$15,0),MATCH(N176,10_ASIL_Matrix!$D$3:$F$3,0)))))</f>
        <v>C</v>
      </c>
      <c r="Q176" s="5" t="s">
        <v>328</v>
      </c>
    </row>
    <row r="177" customFormat="false" ht="35.05" hidden="false" customHeight="false" outlineLevel="0" collapsed="false">
      <c r="A177" s="6" t="s">
        <v>723</v>
      </c>
      <c r="B177" s="6" t="s">
        <v>112</v>
      </c>
      <c r="C177" s="6" t="s">
        <v>113</v>
      </c>
      <c r="D177" s="6" t="s">
        <v>168</v>
      </c>
      <c r="E177" s="6" t="s">
        <v>169</v>
      </c>
      <c r="F177" s="6" t="s">
        <v>194</v>
      </c>
      <c r="G177" s="6" t="s">
        <v>396</v>
      </c>
      <c r="H177" s="6" t="s">
        <v>205</v>
      </c>
      <c r="I177" s="6" t="s">
        <v>724</v>
      </c>
      <c r="J177" s="6" t="s">
        <v>226</v>
      </c>
      <c r="K177" s="6" t="s">
        <v>408</v>
      </c>
      <c r="L177" s="6" t="s">
        <v>206</v>
      </c>
      <c r="M177" s="6" t="s">
        <v>409</v>
      </c>
      <c r="N177" s="6" t="s">
        <v>265</v>
      </c>
      <c r="O177" s="6" t="s">
        <v>718</v>
      </c>
      <c r="P177" s="15" t="str">
        <f aca="false">IF(J177="S0","—",IF(K177="","",IF(L177="E0","QM",INDEX(10_ASIL_Matrix!$D$4:$F$15,MATCH(J177&amp;"-"&amp;L177,10_ASIL_Matrix!$C$4:$C$15,0),MATCH(N177,10_ASIL_Matrix!$D$3:$F$3,0)))))</f>
        <v>B</v>
      </c>
      <c r="Q177" s="6" t="s">
        <v>328</v>
      </c>
    </row>
    <row r="178" customFormat="false" ht="35.05" hidden="false" customHeight="false" outlineLevel="0" collapsed="false">
      <c r="A178" s="5" t="s">
        <v>725</v>
      </c>
      <c r="B178" s="5" t="s">
        <v>112</v>
      </c>
      <c r="C178" s="5" t="s">
        <v>113</v>
      </c>
      <c r="D178" s="5" t="s">
        <v>168</v>
      </c>
      <c r="E178" s="5" t="s">
        <v>169</v>
      </c>
      <c r="F178" s="5" t="s">
        <v>194</v>
      </c>
      <c r="G178" s="5" t="s">
        <v>396</v>
      </c>
      <c r="H178" s="5" t="s">
        <v>208</v>
      </c>
      <c r="I178" s="5" t="s">
        <v>726</v>
      </c>
      <c r="J178" s="5" t="s">
        <v>226</v>
      </c>
      <c r="K178" s="5" t="s">
        <v>408</v>
      </c>
      <c r="L178" s="5" t="s">
        <v>209</v>
      </c>
      <c r="M178" s="5" t="s">
        <v>412</v>
      </c>
      <c r="N178" s="5" t="s">
        <v>265</v>
      </c>
      <c r="O178" s="5" t="s">
        <v>718</v>
      </c>
      <c r="P178" s="16" t="str">
        <f aca="false">IF(J178="S0","—",IF(K178="","",IF(L178="E0","QM",INDEX(10_ASIL_Matrix!$D$4:$F$15,MATCH(J178&amp;"-"&amp;L178,10_ASIL_Matrix!$C$4:$C$15,0),MATCH(N178,10_ASIL_Matrix!$D$3:$F$3,0)))))</f>
        <v>A</v>
      </c>
      <c r="Q178" s="5" t="s">
        <v>328</v>
      </c>
    </row>
    <row r="179" customFormat="false" ht="35.05" hidden="false" customHeight="false" outlineLevel="0" collapsed="false">
      <c r="A179" s="6" t="s">
        <v>727</v>
      </c>
      <c r="B179" s="6" t="s">
        <v>112</v>
      </c>
      <c r="C179" s="6" t="s">
        <v>113</v>
      </c>
      <c r="D179" s="6" t="s">
        <v>171</v>
      </c>
      <c r="E179" s="6" t="s">
        <v>172</v>
      </c>
      <c r="F179" s="6" t="s">
        <v>184</v>
      </c>
      <c r="G179" s="6" t="s">
        <v>323</v>
      </c>
      <c r="H179" s="6" t="s">
        <v>199</v>
      </c>
      <c r="I179" s="6" t="s">
        <v>728</v>
      </c>
      <c r="J179" s="6" t="s">
        <v>218</v>
      </c>
      <c r="K179" s="6" t="s">
        <v>325</v>
      </c>
      <c r="L179" s="6" t="s">
        <v>185</v>
      </c>
      <c r="M179" s="6" t="s">
        <v>326</v>
      </c>
      <c r="N179" s="6" t="s">
        <v>261</v>
      </c>
      <c r="O179" s="6" t="s">
        <v>465</v>
      </c>
      <c r="P179" s="6" t="str">
        <f aca="false">IF(J179="S0","—",IF(K179="","",IF(L179="E0","QM",INDEX(10_ASIL_Matrix!$D$4:$F$15,MATCH(J179&amp;"-"&amp;L179,10_ASIL_Matrix!$C$4:$C$15,0),MATCH(N179,10_ASIL_Matrix!$D$3:$F$3,0)))))</f>
        <v>QM</v>
      </c>
      <c r="Q179" s="6" t="s">
        <v>328</v>
      </c>
    </row>
    <row r="180" customFormat="false" ht="35.05" hidden="false" customHeight="false" outlineLevel="0" collapsed="false">
      <c r="A180" s="5" t="s">
        <v>729</v>
      </c>
      <c r="B180" s="5" t="s">
        <v>112</v>
      </c>
      <c r="C180" s="5" t="s">
        <v>113</v>
      </c>
      <c r="D180" s="5" t="s">
        <v>171</v>
      </c>
      <c r="E180" s="5" t="s">
        <v>172</v>
      </c>
      <c r="F180" s="5" t="s">
        <v>184</v>
      </c>
      <c r="G180" s="5" t="s">
        <v>323</v>
      </c>
      <c r="H180" s="5" t="s">
        <v>201</v>
      </c>
      <c r="I180" s="5" t="s">
        <v>730</v>
      </c>
      <c r="J180" s="5" t="s">
        <v>218</v>
      </c>
      <c r="K180" s="5" t="s">
        <v>325</v>
      </c>
      <c r="L180" s="5" t="s">
        <v>185</v>
      </c>
      <c r="M180" s="5" t="s">
        <v>331</v>
      </c>
      <c r="N180" s="5" t="s">
        <v>261</v>
      </c>
      <c r="O180" s="5" t="s">
        <v>465</v>
      </c>
      <c r="P180" s="5" t="str">
        <f aca="false">IF(J180="S0","—",IF(K180="","",IF(L180="E0","QM",INDEX(10_ASIL_Matrix!$D$4:$F$15,MATCH(J180&amp;"-"&amp;L180,10_ASIL_Matrix!$C$4:$C$15,0),MATCH(N180,10_ASIL_Matrix!$D$3:$F$3,0)))))</f>
        <v>QM</v>
      </c>
      <c r="Q180" s="5" t="s">
        <v>328</v>
      </c>
    </row>
    <row r="181" customFormat="false" ht="35.05" hidden="false" customHeight="false" outlineLevel="0" collapsed="false">
      <c r="A181" s="6" t="s">
        <v>731</v>
      </c>
      <c r="B181" s="6" t="s">
        <v>112</v>
      </c>
      <c r="C181" s="6" t="s">
        <v>113</v>
      </c>
      <c r="D181" s="6" t="s">
        <v>171</v>
      </c>
      <c r="E181" s="6" t="s">
        <v>172</v>
      </c>
      <c r="F181" s="6" t="s">
        <v>184</v>
      </c>
      <c r="G181" s="6" t="s">
        <v>323</v>
      </c>
      <c r="H181" s="6" t="s">
        <v>203</v>
      </c>
      <c r="I181" s="6" t="s">
        <v>732</v>
      </c>
      <c r="J181" s="6" t="s">
        <v>218</v>
      </c>
      <c r="K181" s="6" t="s">
        <v>325</v>
      </c>
      <c r="L181" s="6" t="s">
        <v>185</v>
      </c>
      <c r="M181" s="6" t="s">
        <v>334</v>
      </c>
      <c r="N181" s="6" t="s">
        <v>261</v>
      </c>
      <c r="O181" s="6" t="s">
        <v>465</v>
      </c>
      <c r="P181" s="6" t="str">
        <f aca="false">IF(J181="S0","—",IF(K181="","",IF(L181="E0","QM",INDEX(10_ASIL_Matrix!$D$4:$F$15,MATCH(J181&amp;"-"&amp;L181,10_ASIL_Matrix!$C$4:$C$15,0),MATCH(N181,10_ASIL_Matrix!$D$3:$F$3,0)))))</f>
        <v>QM</v>
      </c>
      <c r="Q181" s="6" t="s">
        <v>328</v>
      </c>
    </row>
    <row r="182" customFormat="false" ht="35.05" hidden="false" customHeight="false" outlineLevel="0" collapsed="false">
      <c r="A182" s="5" t="s">
        <v>733</v>
      </c>
      <c r="B182" s="5" t="s">
        <v>112</v>
      </c>
      <c r="C182" s="5" t="s">
        <v>113</v>
      </c>
      <c r="D182" s="5" t="s">
        <v>171</v>
      </c>
      <c r="E182" s="5" t="s">
        <v>172</v>
      </c>
      <c r="F182" s="5" t="s">
        <v>184</v>
      </c>
      <c r="G182" s="5" t="s">
        <v>323</v>
      </c>
      <c r="H182" s="5" t="s">
        <v>205</v>
      </c>
      <c r="I182" s="5" t="s">
        <v>734</v>
      </c>
      <c r="J182" s="5" t="s">
        <v>218</v>
      </c>
      <c r="K182" s="5" t="s">
        <v>325</v>
      </c>
      <c r="L182" s="5" t="s">
        <v>206</v>
      </c>
      <c r="M182" s="5" t="s">
        <v>337</v>
      </c>
      <c r="N182" s="5" t="s">
        <v>261</v>
      </c>
      <c r="O182" s="5" t="s">
        <v>465</v>
      </c>
      <c r="P182" s="5" t="str">
        <f aca="false">IF(J182="S0","—",IF(K182="","",IF(L182="E0","QM",INDEX(10_ASIL_Matrix!$D$4:$F$15,MATCH(J182&amp;"-"&amp;L182,10_ASIL_Matrix!$C$4:$C$15,0),MATCH(N182,10_ASIL_Matrix!$D$3:$F$3,0)))))</f>
        <v>QM</v>
      </c>
      <c r="Q182" s="5" t="s">
        <v>328</v>
      </c>
    </row>
    <row r="183" customFormat="false" ht="35.05" hidden="false" customHeight="false" outlineLevel="0" collapsed="false">
      <c r="A183" s="6" t="s">
        <v>735</v>
      </c>
      <c r="B183" s="6" t="s">
        <v>112</v>
      </c>
      <c r="C183" s="6" t="s">
        <v>113</v>
      </c>
      <c r="D183" s="6" t="s">
        <v>171</v>
      </c>
      <c r="E183" s="6" t="s">
        <v>172</v>
      </c>
      <c r="F183" s="6" t="s">
        <v>184</v>
      </c>
      <c r="G183" s="6" t="s">
        <v>323</v>
      </c>
      <c r="H183" s="6" t="s">
        <v>208</v>
      </c>
      <c r="I183" s="6" t="s">
        <v>736</v>
      </c>
      <c r="J183" s="6" t="s">
        <v>218</v>
      </c>
      <c r="K183" s="6" t="s">
        <v>325</v>
      </c>
      <c r="L183" s="6" t="s">
        <v>209</v>
      </c>
      <c r="M183" s="6" t="s">
        <v>340</v>
      </c>
      <c r="N183" s="6" t="s">
        <v>261</v>
      </c>
      <c r="O183" s="6" t="s">
        <v>465</v>
      </c>
      <c r="P183" s="6" t="str">
        <f aca="false">IF(J183="S0","—",IF(K183="","",IF(L183="E0","QM",INDEX(10_ASIL_Matrix!$D$4:$F$15,MATCH(J183&amp;"-"&amp;L183,10_ASIL_Matrix!$C$4:$C$15,0),MATCH(N183,10_ASIL_Matrix!$D$3:$F$3,0)))))</f>
        <v>QM</v>
      </c>
      <c r="Q183" s="6" t="s">
        <v>328</v>
      </c>
    </row>
    <row r="184" customFormat="false" ht="35.05" hidden="false" customHeight="false" outlineLevel="0" collapsed="false">
      <c r="A184" s="5" t="s">
        <v>737</v>
      </c>
      <c r="B184" s="5" t="s">
        <v>112</v>
      </c>
      <c r="C184" s="5" t="s">
        <v>113</v>
      </c>
      <c r="D184" s="5" t="s">
        <v>171</v>
      </c>
      <c r="E184" s="5" t="s">
        <v>172</v>
      </c>
      <c r="F184" s="5" t="s">
        <v>187</v>
      </c>
      <c r="G184" s="5" t="s">
        <v>342</v>
      </c>
      <c r="H184" s="5" t="s">
        <v>199</v>
      </c>
      <c r="I184" s="5" t="s">
        <v>738</v>
      </c>
      <c r="J184" s="5" t="s">
        <v>222</v>
      </c>
      <c r="K184" s="5" t="s">
        <v>344</v>
      </c>
      <c r="L184" s="5" t="s">
        <v>188</v>
      </c>
      <c r="M184" s="5" t="s">
        <v>345</v>
      </c>
      <c r="N184" s="5" t="s">
        <v>261</v>
      </c>
      <c r="O184" s="5" t="s">
        <v>476</v>
      </c>
      <c r="P184" s="15" t="str">
        <f aca="false">IF(J184="S0","—",IF(K184="","",IF(L184="E0","QM",INDEX(10_ASIL_Matrix!$D$4:$F$15,MATCH(J184&amp;"-"&amp;L184,10_ASIL_Matrix!$C$4:$C$15,0),MATCH(N184,10_ASIL_Matrix!$D$3:$F$3,0)))))</f>
        <v>B</v>
      </c>
      <c r="Q184" s="5" t="s">
        <v>328</v>
      </c>
    </row>
    <row r="185" customFormat="false" ht="35.05" hidden="false" customHeight="false" outlineLevel="0" collapsed="false">
      <c r="A185" s="6" t="s">
        <v>739</v>
      </c>
      <c r="B185" s="6" t="s">
        <v>112</v>
      </c>
      <c r="C185" s="6" t="s">
        <v>113</v>
      </c>
      <c r="D185" s="6" t="s">
        <v>171</v>
      </c>
      <c r="E185" s="6" t="s">
        <v>172</v>
      </c>
      <c r="F185" s="6" t="s">
        <v>187</v>
      </c>
      <c r="G185" s="6" t="s">
        <v>342</v>
      </c>
      <c r="H185" s="6" t="s">
        <v>201</v>
      </c>
      <c r="I185" s="6" t="s">
        <v>740</v>
      </c>
      <c r="J185" s="6" t="s">
        <v>222</v>
      </c>
      <c r="K185" s="6" t="s">
        <v>344</v>
      </c>
      <c r="L185" s="6" t="s">
        <v>185</v>
      </c>
      <c r="M185" s="6" t="s">
        <v>348</v>
      </c>
      <c r="N185" s="6" t="s">
        <v>261</v>
      </c>
      <c r="O185" s="6" t="s">
        <v>476</v>
      </c>
      <c r="P185" s="16" t="str">
        <f aca="false">IF(J185="S0","—",IF(K185="","",IF(L185="E0","QM",INDEX(10_ASIL_Matrix!$D$4:$F$15,MATCH(J185&amp;"-"&amp;L185,10_ASIL_Matrix!$C$4:$C$15,0),MATCH(N185,10_ASIL_Matrix!$D$3:$F$3,0)))))</f>
        <v>A</v>
      </c>
      <c r="Q185" s="6" t="s">
        <v>328</v>
      </c>
    </row>
    <row r="186" customFormat="false" ht="35.05" hidden="false" customHeight="false" outlineLevel="0" collapsed="false">
      <c r="A186" s="5" t="s">
        <v>741</v>
      </c>
      <c r="B186" s="5" t="s">
        <v>112</v>
      </c>
      <c r="C186" s="5" t="s">
        <v>113</v>
      </c>
      <c r="D186" s="5" t="s">
        <v>171</v>
      </c>
      <c r="E186" s="5" t="s">
        <v>172</v>
      </c>
      <c r="F186" s="5" t="s">
        <v>187</v>
      </c>
      <c r="G186" s="5" t="s">
        <v>342</v>
      </c>
      <c r="H186" s="5" t="s">
        <v>203</v>
      </c>
      <c r="I186" s="5" t="s">
        <v>742</v>
      </c>
      <c r="J186" s="5" t="s">
        <v>222</v>
      </c>
      <c r="K186" s="5" t="s">
        <v>344</v>
      </c>
      <c r="L186" s="5" t="s">
        <v>185</v>
      </c>
      <c r="M186" s="5" t="s">
        <v>351</v>
      </c>
      <c r="N186" s="5" t="s">
        <v>261</v>
      </c>
      <c r="O186" s="5" t="s">
        <v>476</v>
      </c>
      <c r="P186" s="16" t="str">
        <f aca="false">IF(J186="S0","—",IF(K186="","",IF(L186="E0","QM",INDEX(10_ASIL_Matrix!$D$4:$F$15,MATCH(J186&amp;"-"&amp;L186,10_ASIL_Matrix!$C$4:$C$15,0),MATCH(N186,10_ASIL_Matrix!$D$3:$F$3,0)))))</f>
        <v>A</v>
      </c>
      <c r="Q186" s="5" t="s">
        <v>328</v>
      </c>
    </row>
    <row r="187" customFormat="false" ht="35.05" hidden="false" customHeight="false" outlineLevel="0" collapsed="false">
      <c r="A187" s="6" t="s">
        <v>743</v>
      </c>
      <c r="B187" s="6" t="s">
        <v>112</v>
      </c>
      <c r="C187" s="6" t="s">
        <v>113</v>
      </c>
      <c r="D187" s="6" t="s">
        <v>171</v>
      </c>
      <c r="E187" s="6" t="s">
        <v>172</v>
      </c>
      <c r="F187" s="6" t="s">
        <v>187</v>
      </c>
      <c r="G187" s="6" t="s">
        <v>342</v>
      </c>
      <c r="H187" s="6" t="s">
        <v>205</v>
      </c>
      <c r="I187" s="6" t="s">
        <v>744</v>
      </c>
      <c r="J187" s="6" t="s">
        <v>222</v>
      </c>
      <c r="K187" s="6" t="s">
        <v>354</v>
      </c>
      <c r="L187" s="6" t="s">
        <v>206</v>
      </c>
      <c r="M187" s="6" t="s">
        <v>355</v>
      </c>
      <c r="N187" s="6" t="s">
        <v>261</v>
      </c>
      <c r="O187" s="6" t="s">
        <v>476</v>
      </c>
      <c r="P187" s="6" t="str">
        <f aca="false">IF(J187="S0","—",IF(K187="","",IF(L187="E0","QM",INDEX(10_ASIL_Matrix!$D$4:$F$15,MATCH(J187&amp;"-"&amp;L187,10_ASIL_Matrix!$C$4:$C$15,0),MATCH(N187,10_ASIL_Matrix!$D$3:$F$3,0)))))</f>
        <v>QM</v>
      </c>
      <c r="Q187" s="6" t="s">
        <v>328</v>
      </c>
    </row>
    <row r="188" customFormat="false" ht="35.05" hidden="false" customHeight="false" outlineLevel="0" collapsed="false">
      <c r="A188" s="5" t="s">
        <v>745</v>
      </c>
      <c r="B188" s="5" t="s">
        <v>112</v>
      </c>
      <c r="C188" s="5" t="s">
        <v>113</v>
      </c>
      <c r="D188" s="5" t="s">
        <v>171</v>
      </c>
      <c r="E188" s="5" t="s">
        <v>172</v>
      </c>
      <c r="F188" s="5" t="s">
        <v>187</v>
      </c>
      <c r="G188" s="5" t="s">
        <v>342</v>
      </c>
      <c r="H188" s="5" t="s">
        <v>208</v>
      </c>
      <c r="I188" s="5" t="s">
        <v>746</v>
      </c>
      <c r="J188" s="5" t="s">
        <v>222</v>
      </c>
      <c r="K188" s="5" t="s">
        <v>354</v>
      </c>
      <c r="L188" s="5" t="s">
        <v>209</v>
      </c>
      <c r="M188" s="5" t="s">
        <v>358</v>
      </c>
      <c r="N188" s="5" t="s">
        <v>261</v>
      </c>
      <c r="O188" s="5" t="s">
        <v>476</v>
      </c>
      <c r="P188" s="5" t="str">
        <f aca="false">IF(J188="S0","—",IF(K188="","",IF(L188="E0","QM",INDEX(10_ASIL_Matrix!$D$4:$F$15,MATCH(J188&amp;"-"&amp;L188,10_ASIL_Matrix!$C$4:$C$15,0),MATCH(N188,10_ASIL_Matrix!$D$3:$F$3,0)))))</f>
        <v>QM</v>
      </c>
      <c r="Q188" s="5" t="s">
        <v>328</v>
      </c>
    </row>
    <row r="189" customFormat="false" ht="35.05" hidden="false" customHeight="false" outlineLevel="0" collapsed="false">
      <c r="A189" s="6" t="s">
        <v>747</v>
      </c>
      <c r="B189" s="6" t="s">
        <v>112</v>
      </c>
      <c r="C189" s="6" t="s">
        <v>113</v>
      </c>
      <c r="D189" s="6" t="s">
        <v>171</v>
      </c>
      <c r="E189" s="6" t="s">
        <v>172</v>
      </c>
      <c r="F189" s="6" t="s">
        <v>190</v>
      </c>
      <c r="G189" s="6" t="s">
        <v>360</v>
      </c>
      <c r="H189" s="6" t="s">
        <v>199</v>
      </c>
      <c r="I189" s="6" t="s">
        <v>748</v>
      </c>
      <c r="J189" s="6" t="s">
        <v>222</v>
      </c>
      <c r="K189" s="6" t="s">
        <v>362</v>
      </c>
      <c r="L189" s="6" t="s">
        <v>188</v>
      </c>
      <c r="M189" s="6" t="s">
        <v>363</v>
      </c>
      <c r="N189" s="6" t="s">
        <v>261</v>
      </c>
      <c r="O189" s="6" t="s">
        <v>540</v>
      </c>
      <c r="P189" s="15" t="str">
        <f aca="false">IF(J189="S0","—",IF(K189="","",IF(L189="E0","QM",INDEX(10_ASIL_Matrix!$D$4:$F$15,MATCH(J189&amp;"-"&amp;L189,10_ASIL_Matrix!$C$4:$C$15,0),MATCH(N189,10_ASIL_Matrix!$D$3:$F$3,0)))))</f>
        <v>B</v>
      </c>
      <c r="Q189" s="6" t="s">
        <v>328</v>
      </c>
    </row>
    <row r="190" customFormat="false" ht="35.05" hidden="false" customHeight="false" outlineLevel="0" collapsed="false">
      <c r="A190" s="5" t="s">
        <v>749</v>
      </c>
      <c r="B190" s="5" t="s">
        <v>112</v>
      </c>
      <c r="C190" s="5" t="s">
        <v>113</v>
      </c>
      <c r="D190" s="5" t="s">
        <v>171</v>
      </c>
      <c r="E190" s="5" t="s">
        <v>172</v>
      </c>
      <c r="F190" s="5" t="s">
        <v>190</v>
      </c>
      <c r="G190" s="5" t="s">
        <v>360</v>
      </c>
      <c r="H190" s="5" t="s">
        <v>201</v>
      </c>
      <c r="I190" s="5" t="s">
        <v>750</v>
      </c>
      <c r="J190" s="5" t="s">
        <v>222</v>
      </c>
      <c r="K190" s="5" t="s">
        <v>362</v>
      </c>
      <c r="L190" s="5" t="s">
        <v>185</v>
      </c>
      <c r="M190" s="5" t="s">
        <v>366</v>
      </c>
      <c r="N190" s="5" t="s">
        <v>261</v>
      </c>
      <c r="O190" s="5" t="s">
        <v>540</v>
      </c>
      <c r="P190" s="16" t="str">
        <f aca="false">IF(J190="S0","—",IF(K190="","",IF(L190="E0","QM",INDEX(10_ASIL_Matrix!$D$4:$F$15,MATCH(J190&amp;"-"&amp;L190,10_ASIL_Matrix!$C$4:$C$15,0),MATCH(N190,10_ASIL_Matrix!$D$3:$F$3,0)))))</f>
        <v>A</v>
      </c>
      <c r="Q190" s="5" t="s">
        <v>328</v>
      </c>
    </row>
    <row r="191" customFormat="false" ht="35.05" hidden="false" customHeight="false" outlineLevel="0" collapsed="false">
      <c r="A191" s="6" t="s">
        <v>751</v>
      </c>
      <c r="B191" s="6" t="s">
        <v>112</v>
      </c>
      <c r="C191" s="6" t="s">
        <v>113</v>
      </c>
      <c r="D191" s="6" t="s">
        <v>171</v>
      </c>
      <c r="E191" s="6" t="s">
        <v>172</v>
      </c>
      <c r="F191" s="6" t="s">
        <v>190</v>
      </c>
      <c r="G191" s="6" t="s">
        <v>360</v>
      </c>
      <c r="H191" s="6" t="s">
        <v>203</v>
      </c>
      <c r="I191" s="6" t="s">
        <v>752</v>
      </c>
      <c r="J191" s="6" t="s">
        <v>222</v>
      </c>
      <c r="K191" s="6" t="s">
        <v>362</v>
      </c>
      <c r="L191" s="6" t="s">
        <v>185</v>
      </c>
      <c r="M191" s="6" t="s">
        <v>369</v>
      </c>
      <c r="N191" s="6" t="s">
        <v>261</v>
      </c>
      <c r="O191" s="6" t="s">
        <v>540</v>
      </c>
      <c r="P191" s="16" t="str">
        <f aca="false">IF(J191="S0","—",IF(K191="","",IF(L191="E0","QM",INDEX(10_ASIL_Matrix!$D$4:$F$15,MATCH(J191&amp;"-"&amp;L191,10_ASIL_Matrix!$C$4:$C$15,0),MATCH(N191,10_ASIL_Matrix!$D$3:$F$3,0)))))</f>
        <v>A</v>
      </c>
      <c r="Q191" s="6" t="s">
        <v>328</v>
      </c>
    </row>
    <row r="192" customFormat="false" ht="35.05" hidden="false" customHeight="false" outlineLevel="0" collapsed="false">
      <c r="A192" s="5" t="s">
        <v>753</v>
      </c>
      <c r="B192" s="5" t="s">
        <v>112</v>
      </c>
      <c r="C192" s="5" t="s">
        <v>113</v>
      </c>
      <c r="D192" s="5" t="s">
        <v>171</v>
      </c>
      <c r="E192" s="5" t="s">
        <v>172</v>
      </c>
      <c r="F192" s="5" t="s">
        <v>190</v>
      </c>
      <c r="G192" s="5" t="s">
        <v>360</v>
      </c>
      <c r="H192" s="5" t="s">
        <v>205</v>
      </c>
      <c r="I192" s="5" t="s">
        <v>754</v>
      </c>
      <c r="J192" s="5" t="s">
        <v>222</v>
      </c>
      <c r="K192" s="5" t="s">
        <v>372</v>
      </c>
      <c r="L192" s="5" t="s">
        <v>206</v>
      </c>
      <c r="M192" s="5" t="s">
        <v>373</v>
      </c>
      <c r="N192" s="5" t="s">
        <v>261</v>
      </c>
      <c r="O192" s="5" t="s">
        <v>540</v>
      </c>
      <c r="P192" s="5" t="str">
        <f aca="false">IF(J192="S0","—",IF(K192="","",IF(L192="E0","QM",INDEX(10_ASIL_Matrix!$D$4:$F$15,MATCH(J192&amp;"-"&amp;L192,10_ASIL_Matrix!$C$4:$C$15,0),MATCH(N192,10_ASIL_Matrix!$D$3:$F$3,0)))))</f>
        <v>QM</v>
      </c>
      <c r="Q192" s="5" t="s">
        <v>328</v>
      </c>
    </row>
    <row r="193" customFormat="false" ht="35.05" hidden="false" customHeight="false" outlineLevel="0" collapsed="false">
      <c r="A193" s="6" t="s">
        <v>755</v>
      </c>
      <c r="B193" s="6" t="s">
        <v>112</v>
      </c>
      <c r="C193" s="6" t="s">
        <v>113</v>
      </c>
      <c r="D193" s="6" t="s">
        <v>171</v>
      </c>
      <c r="E193" s="6" t="s">
        <v>172</v>
      </c>
      <c r="F193" s="6" t="s">
        <v>190</v>
      </c>
      <c r="G193" s="6" t="s">
        <v>360</v>
      </c>
      <c r="H193" s="6" t="s">
        <v>208</v>
      </c>
      <c r="I193" s="6" t="s">
        <v>756</v>
      </c>
      <c r="J193" s="6" t="s">
        <v>222</v>
      </c>
      <c r="K193" s="6" t="s">
        <v>372</v>
      </c>
      <c r="L193" s="6" t="s">
        <v>209</v>
      </c>
      <c r="M193" s="6" t="s">
        <v>376</v>
      </c>
      <c r="N193" s="6" t="s">
        <v>261</v>
      </c>
      <c r="O193" s="6" t="s">
        <v>540</v>
      </c>
      <c r="P193" s="6" t="str">
        <f aca="false">IF(J193="S0","—",IF(K193="","",IF(L193="E0","QM",INDEX(10_ASIL_Matrix!$D$4:$F$15,MATCH(J193&amp;"-"&amp;L193,10_ASIL_Matrix!$C$4:$C$15,0),MATCH(N193,10_ASIL_Matrix!$D$3:$F$3,0)))))</f>
        <v>QM</v>
      </c>
      <c r="Q193" s="6" t="s">
        <v>328</v>
      </c>
    </row>
    <row r="194" customFormat="false" ht="35.05" hidden="false" customHeight="false" outlineLevel="0" collapsed="false">
      <c r="A194" s="5" t="s">
        <v>757</v>
      </c>
      <c r="B194" s="5" t="s">
        <v>112</v>
      </c>
      <c r="C194" s="5" t="s">
        <v>113</v>
      </c>
      <c r="D194" s="5" t="s">
        <v>171</v>
      </c>
      <c r="E194" s="5" t="s">
        <v>172</v>
      </c>
      <c r="F194" s="5" t="s">
        <v>192</v>
      </c>
      <c r="G194" s="5" t="s">
        <v>378</v>
      </c>
      <c r="H194" s="5" t="s">
        <v>199</v>
      </c>
      <c r="I194" s="5" t="s">
        <v>758</v>
      </c>
      <c r="J194" s="5" t="s">
        <v>226</v>
      </c>
      <c r="K194" s="5" t="s">
        <v>380</v>
      </c>
      <c r="L194" s="5" t="s">
        <v>185</v>
      </c>
      <c r="M194" s="5" t="s">
        <v>381</v>
      </c>
      <c r="N194" s="5" t="s">
        <v>265</v>
      </c>
      <c r="O194" s="5" t="s">
        <v>551</v>
      </c>
      <c r="P194" s="17" t="str">
        <f aca="false">IF(J194="S0","—",IF(K194="","",IF(L194="E0","QM",INDEX(10_ASIL_Matrix!$D$4:$F$15,MATCH(J194&amp;"-"&amp;L194,10_ASIL_Matrix!$C$4:$C$15,0),MATCH(N194,10_ASIL_Matrix!$D$3:$F$3,0)))))</f>
        <v>C</v>
      </c>
      <c r="Q194" s="5" t="s">
        <v>328</v>
      </c>
    </row>
    <row r="195" customFormat="false" ht="35.05" hidden="false" customHeight="false" outlineLevel="0" collapsed="false">
      <c r="A195" s="6" t="s">
        <v>759</v>
      </c>
      <c r="B195" s="6" t="s">
        <v>112</v>
      </c>
      <c r="C195" s="6" t="s">
        <v>113</v>
      </c>
      <c r="D195" s="6" t="s">
        <v>171</v>
      </c>
      <c r="E195" s="6" t="s">
        <v>172</v>
      </c>
      <c r="F195" s="6" t="s">
        <v>192</v>
      </c>
      <c r="G195" s="6" t="s">
        <v>378</v>
      </c>
      <c r="H195" s="6" t="s">
        <v>201</v>
      </c>
      <c r="I195" s="6" t="s">
        <v>760</v>
      </c>
      <c r="J195" s="6" t="s">
        <v>226</v>
      </c>
      <c r="K195" s="6" t="s">
        <v>380</v>
      </c>
      <c r="L195" s="6" t="s">
        <v>185</v>
      </c>
      <c r="M195" s="6" t="s">
        <v>384</v>
      </c>
      <c r="N195" s="6" t="s">
        <v>265</v>
      </c>
      <c r="O195" s="6" t="s">
        <v>551</v>
      </c>
      <c r="P195" s="17" t="str">
        <f aca="false">IF(J195="S0","—",IF(K195="","",IF(L195="E0","QM",INDEX(10_ASIL_Matrix!$D$4:$F$15,MATCH(J195&amp;"-"&amp;L195,10_ASIL_Matrix!$C$4:$C$15,0),MATCH(N195,10_ASIL_Matrix!$D$3:$F$3,0)))))</f>
        <v>C</v>
      </c>
      <c r="Q195" s="6" t="s">
        <v>328</v>
      </c>
    </row>
    <row r="196" customFormat="false" ht="35.05" hidden="false" customHeight="false" outlineLevel="0" collapsed="false">
      <c r="A196" s="5" t="s">
        <v>761</v>
      </c>
      <c r="B196" s="5" t="s">
        <v>112</v>
      </c>
      <c r="C196" s="5" t="s">
        <v>113</v>
      </c>
      <c r="D196" s="5" t="s">
        <v>171</v>
      </c>
      <c r="E196" s="5" t="s">
        <v>172</v>
      </c>
      <c r="F196" s="5" t="s">
        <v>192</v>
      </c>
      <c r="G196" s="5" t="s">
        <v>378</v>
      </c>
      <c r="H196" s="5" t="s">
        <v>203</v>
      </c>
      <c r="I196" s="5" t="s">
        <v>762</v>
      </c>
      <c r="J196" s="5" t="s">
        <v>226</v>
      </c>
      <c r="K196" s="5" t="s">
        <v>380</v>
      </c>
      <c r="L196" s="5" t="s">
        <v>185</v>
      </c>
      <c r="M196" s="5" t="s">
        <v>387</v>
      </c>
      <c r="N196" s="5" t="s">
        <v>265</v>
      </c>
      <c r="O196" s="5" t="s">
        <v>551</v>
      </c>
      <c r="P196" s="17" t="str">
        <f aca="false">IF(J196="S0","—",IF(K196="","",IF(L196="E0","QM",INDEX(10_ASIL_Matrix!$D$4:$F$15,MATCH(J196&amp;"-"&amp;L196,10_ASIL_Matrix!$C$4:$C$15,0),MATCH(N196,10_ASIL_Matrix!$D$3:$F$3,0)))))</f>
        <v>C</v>
      </c>
      <c r="Q196" s="5" t="s">
        <v>328</v>
      </c>
    </row>
    <row r="197" customFormat="false" ht="35.05" hidden="false" customHeight="false" outlineLevel="0" collapsed="false">
      <c r="A197" s="6" t="s">
        <v>763</v>
      </c>
      <c r="B197" s="6" t="s">
        <v>112</v>
      </c>
      <c r="C197" s="6" t="s">
        <v>113</v>
      </c>
      <c r="D197" s="6" t="s">
        <v>171</v>
      </c>
      <c r="E197" s="6" t="s">
        <v>172</v>
      </c>
      <c r="F197" s="6" t="s">
        <v>192</v>
      </c>
      <c r="G197" s="6" t="s">
        <v>378</v>
      </c>
      <c r="H197" s="6" t="s">
        <v>205</v>
      </c>
      <c r="I197" s="6" t="s">
        <v>764</v>
      </c>
      <c r="J197" s="6" t="s">
        <v>226</v>
      </c>
      <c r="K197" s="6" t="s">
        <v>390</v>
      </c>
      <c r="L197" s="6" t="s">
        <v>206</v>
      </c>
      <c r="M197" s="6" t="s">
        <v>391</v>
      </c>
      <c r="N197" s="6" t="s">
        <v>265</v>
      </c>
      <c r="O197" s="6" t="s">
        <v>551</v>
      </c>
      <c r="P197" s="15" t="str">
        <f aca="false">IF(J197="S0","—",IF(K197="","",IF(L197="E0","QM",INDEX(10_ASIL_Matrix!$D$4:$F$15,MATCH(J197&amp;"-"&amp;L197,10_ASIL_Matrix!$C$4:$C$15,0),MATCH(N197,10_ASIL_Matrix!$D$3:$F$3,0)))))</f>
        <v>B</v>
      </c>
      <c r="Q197" s="6" t="s">
        <v>328</v>
      </c>
    </row>
    <row r="198" customFormat="false" ht="35.05" hidden="false" customHeight="false" outlineLevel="0" collapsed="false">
      <c r="A198" s="5" t="s">
        <v>765</v>
      </c>
      <c r="B198" s="5" t="s">
        <v>112</v>
      </c>
      <c r="C198" s="5" t="s">
        <v>113</v>
      </c>
      <c r="D198" s="5" t="s">
        <v>171</v>
      </c>
      <c r="E198" s="5" t="s">
        <v>172</v>
      </c>
      <c r="F198" s="5" t="s">
        <v>192</v>
      </c>
      <c r="G198" s="5" t="s">
        <v>378</v>
      </c>
      <c r="H198" s="5" t="s">
        <v>208</v>
      </c>
      <c r="I198" s="5" t="s">
        <v>766</v>
      </c>
      <c r="J198" s="5" t="s">
        <v>226</v>
      </c>
      <c r="K198" s="5" t="s">
        <v>390</v>
      </c>
      <c r="L198" s="5" t="s">
        <v>209</v>
      </c>
      <c r="M198" s="5" t="s">
        <v>394</v>
      </c>
      <c r="N198" s="5" t="s">
        <v>265</v>
      </c>
      <c r="O198" s="5" t="s">
        <v>551</v>
      </c>
      <c r="P198" s="16" t="str">
        <f aca="false">IF(J198="S0","—",IF(K198="","",IF(L198="E0","QM",INDEX(10_ASIL_Matrix!$D$4:$F$15,MATCH(J198&amp;"-"&amp;L198,10_ASIL_Matrix!$C$4:$C$15,0),MATCH(N198,10_ASIL_Matrix!$D$3:$F$3,0)))))</f>
        <v>A</v>
      </c>
      <c r="Q198" s="5" t="s">
        <v>328</v>
      </c>
    </row>
    <row r="199" customFormat="false" ht="35.05" hidden="false" customHeight="false" outlineLevel="0" collapsed="false">
      <c r="A199" s="6" t="s">
        <v>767</v>
      </c>
      <c r="B199" s="6" t="s">
        <v>112</v>
      </c>
      <c r="C199" s="6" t="s">
        <v>113</v>
      </c>
      <c r="D199" s="6" t="s">
        <v>171</v>
      </c>
      <c r="E199" s="6" t="s">
        <v>172</v>
      </c>
      <c r="F199" s="6" t="s">
        <v>194</v>
      </c>
      <c r="G199" s="6" t="s">
        <v>396</v>
      </c>
      <c r="H199" s="6" t="s">
        <v>199</v>
      </c>
      <c r="I199" s="6" t="s">
        <v>768</v>
      </c>
      <c r="J199" s="6" t="s">
        <v>226</v>
      </c>
      <c r="K199" s="6" t="s">
        <v>398</v>
      </c>
      <c r="L199" s="6" t="s">
        <v>188</v>
      </c>
      <c r="M199" s="6" t="s">
        <v>399</v>
      </c>
      <c r="N199" s="6" t="s">
        <v>265</v>
      </c>
      <c r="O199" s="6" t="s">
        <v>562</v>
      </c>
      <c r="P199" s="18" t="str">
        <f aca="false">IF(J199="S0","—",IF(K199="","",IF(L199="E0","QM",INDEX(10_ASIL_Matrix!$D$4:$F$15,MATCH(J199&amp;"-"&amp;L199,10_ASIL_Matrix!$C$4:$C$15,0),MATCH(N199,10_ASIL_Matrix!$D$3:$F$3,0)))))</f>
        <v>D</v>
      </c>
      <c r="Q199" s="6" t="s">
        <v>328</v>
      </c>
    </row>
    <row r="200" customFormat="false" ht="35.05" hidden="false" customHeight="false" outlineLevel="0" collapsed="false">
      <c r="A200" s="5" t="s">
        <v>769</v>
      </c>
      <c r="B200" s="5" t="s">
        <v>112</v>
      </c>
      <c r="C200" s="5" t="s">
        <v>113</v>
      </c>
      <c r="D200" s="5" t="s">
        <v>171</v>
      </c>
      <c r="E200" s="5" t="s">
        <v>172</v>
      </c>
      <c r="F200" s="5" t="s">
        <v>194</v>
      </c>
      <c r="G200" s="5" t="s">
        <v>396</v>
      </c>
      <c r="H200" s="5" t="s">
        <v>201</v>
      </c>
      <c r="I200" s="5" t="s">
        <v>770</v>
      </c>
      <c r="J200" s="5" t="s">
        <v>226</v>
      </c>
      <c r="K200" s="5" t="s">
        <v>398</v>
      </c>
      <c r="L200" s="5" t="s">
        <v>185</v>
      </c>
      <c r="M200" s="5" t="s">
        <v>402</v>
      </c>
      <c r="N200" s="5" t="s">
        <v>265</v>
      </c>
      <c r="O200" s="5" t="s">
        <v>562</v>
      </c>
      <c r="P200" s="17" t="str">
        <f aca="false">IF(J200="S0","—",IF(K200="","",IF(L200="E0","QM",INDEX(10_ASIL_Matrix!$D$4:$F$15,MATCH(J200&amp;"-"&amp;L200,10_ASIL_Matrix!$C$4:$C$15,0),MATCH(N200,10_ASIL_Matrix!$D$3:$F$3,0)))))</f>
        <v>C</v>
      </c>
      <c r="Q200" s="5" t="s">
        <v>328</v>
      </c>
    </row>
    <row r="201" customFormat="false" ht="35.05" hidden="false" customHeight="false" outlineLevel="0" collapsed="false">
      <c r="A201" s="6" t="s">
        <v>771</v>
      </c>
      <c r="B201" s="6" t="s">
        <v>112</v>
      </c>
      <c r="C201" s="6" t="s">
        <v>113</v>
      </c>
      <c r="D201" s="6" t="s">
        <v>171</v>
      </c>
      <c r="E201" s="6" t="s">
        <v>172</v>
      </c>
      <c r="F201" s="6" t="s">
        <v>194</v>
      </c>
      <c r="G201" s="6" t="s">
        <v>396</v>
      </c>
      <c r="H201" s="6" t="s">
        <v>203</v>
      </c>
      <c r="I201" s="6" t="s">
        <v>772</v>
      </c>
      <c r="J201" s="6" t="s">
        <v>226</v>
      </c>
      <c r="K201" s="6" t="s">
        <v>398</v>
      </c>
      <c r="L201" s="6" t="s">
        <v>185</v>
      </c>
      <c r="M201" s="6" t="s">
        <v>405</v>
      </c>
      <c r="N201" s="6" t="s">
        <v>265</v>
      </c>
      <c r="O201" s="6" t="s">
        <v>562</v>
      </c>
      <c r="P201" s="17" t="str">
        <f aca="false">IF(J201="S0","—",IF(K201="","",IF(L201="E0","QM",INDEX(10_ASIL_Matrix!$D$4:$F$15,MATCH(J201&amp;"-"&amp;L201,10_ASIL_Matrix!$C$4:$C$15,0),MATCH(N201,10_ASIL_Matrix!$D$3:$F$3,0)))))</f>
        <v>C</v>
      </c>
      <c r="Q201" s="6" t="s">
        <v>328</v>
      </c>
    </row>
    <row r="202" customFormat="false" ht="35.05" hidden="false" customHeight="false" outlineLevel="0" collapsed="false">
      <c r="A202" s="5" t="s">
        <v>773</v>
      </c>
      <c r="B202" s="5" t="s">
        <v>112</v>
      </c>
      <c r="C202" s="5" t="s">
        <v>113</v>
      </c>
      <c r="D202" s="5" t="s">
        <v>171</v>
      </c>
      <c r="E202" s="5" t="s">
        <v>172</v>
      </c>
      <c r="F202" s="5" t="s">
        <v>194</v>
      </c>
      <c r="G202" s="5" t="s">
        <v>396</v>
      </c>
      <c r="H202" s="5" t="s">
        <v>205</v>
      </c>
      <c r="I202" s="5" t="s">
        <v>774</v>
      </c>
      <c r="J202" s="5" t="s">
        <v>226</v>
      </c>
      <c r="K202" s="5" t="s">
        <v>408</v>
      </c>
      <c r="L202" s="5" t="s">
        <v>206</v>
      </c>
      <c r="M202" s="5" t="s">
        <v>409</v>
      </c>
      <c r="N202" s="5" t="s">
        <v>265</v>
      </c>
      <c r="O202" s="5" t="s">
        <v>562</v>
      </c>
      <c r="P202" s="15" t="str">
        <f aca="false">IF(J202="S0","—",IF(K202="","",IF(L202="E0","QM",INDEX(10_ASIL_Matrix!$D$4:$F$15,MATCH(J202&amp;"-"&amp;L202,10_ASIL_Matrix!$C$4:$C$15,0),MATCH(N202,10_ASIL_Matrix!$D$3:$F$3,0)))))</f>
        <v>B</v>
      </c>
      <c r="Q202" s="5" t="s">
        <v>328</v>
      </c>
    </row>
    <row r="203" customFormat="false" ht="35.05" hidden="false" customHeight="false" outlineLevel="0" collapsed="false">
      <c r="A203" s="6" t="s">
        <v>775</v>
      </c>
      <c r="B203" s="6" t="s">
        <v>112</v>
      </c>
      <c r="C203" s="6" t="s">
        <v>113</v>
      </c>
      <c r="D203" s="6" t="s">
        <v>171</v>
      </c>
      <c r="E203" s="6" t="s">
        <v>172</v>
      </c>
      <c r="F203" s="6" t="s">
        <v>194</v>
      </c>
      <c r="G203" s="6" t="s">
        <v>396</v>
      </c>
      <c r="H203" s="6" t="s">
        <v>208</v>
      </c>
      <c r="I203" s="6" t="s">
        <v>776</v>
      </c>
      <c r="J203" s="6" t="s">
        <v>226</v>
      </c>
      <c r="K203" s="6" t="s">
        <v>408</v>
      </c>
      <c r="L203" s="6" t="s">
        <v>209</v>
      </c>
      <c r="M203" s="6" t="s">
        <v>412</v>
      </c>
      <c r="N203" s="6" t="s">
        <v>265</v>
      </c>
      <c r="O203" s="6" t="s">
        <v>562</v>
      </c>
      <c r="P203" s="16" t="str">
        <f aca="false">IF(J203="S0","—",IF(K203="","",IF(L203="E0","QM",INDEX(10_ASIL_Matrix!$D$4:$F$15,MATCH(J203&amp;"-"&amp;L203,10_ASIL_Matrix!$C$4:$C$15,0),MATCH(N203,10_ASIL_Matrix!$D$3:$F$3,0)))))</f>
        <v>A</v>
      </c>
      <c r="Q203" s="6" t="s">
        <v>328</v>
      </c>
    </row>
    <row r="204" customFormat="false" ht="68.65" hidden="false" customHeight="false" outlineLevel="0" collapsed="false">
      <c r="A204" s="5" t="s">
        <v>777</v>
      </c>
      <c r="B204" s="5" t="s">
        <v>116</v>
      </c>
      <c r="C204" s="5" t="s">
        <v>117</v>
      </c>
      <c r="D204" s="5" t="s">
        <v>135</v>
      </c>
      <c r="E204" s="5" t="s">
        <v>136</v>
      </c>
      <c r="F204" s="5" t="s">
        <v>184</v>
      </c>
      <c r="G204" s="5" t="s">
        <v>323</v>
      </c>
      <c r="H204" s="5" t="s">
        <v>199</v>
      </c>
      <c r="I204" s="5" t="s">
        <v>778</v>
      </c>
      <c r="J204" s="5" t="s">
        <v>218</v>
      </c>
      <c r="K204" s="5" t="s">
        <v>325</v>
      </c>
      <c r="L204" s="5" t="s">
        <v>185</v>
      </c>
      <c r="M204" s="5" t="s">
        <v>326</v>
      </c>
      <c r="N204" s="5" t="s">
        <v>261</v>
      </c>
      <c r="O204" s="5" t="s">
        <v>327</v>
      </c>
      <c r="P204" s="5" t="str">
        <f aca="false">IF(J204="S0","—",IF(K204="","",IF(L204="E0","QM",INDEX(10_ASIL_Matrix!$D$4:$F$15,MATCH(J204&amp;"-"&amp;L204,10_ASIL_Matrix!$C$4:$C$15,0),MATCH(N204,10_ASIL_Matrix!$D$3:$F$3,0)))))</f>
        <v>QM</v>
      </c>
      <c r="Q204" s="5" t="s">
        <v>779</v>
      </c>
    </row>
    <row r="205" customFormat="false" ht="68.65" hidden="false" customHeight="false" outlineLevel="0" collapsed="false">
      <c r="A205" s="6" t="s">
        <v>780</v>
      </c>
      <c r="B205" s="6" t="s">
        <v>116</v>
      </c>
      <c r="C205" s="6" t="s">
        <v>117</v>
      </c>
      <c r="D205" s="6" t="s">
        <v>135</v>
      </c>
      <c r="E205" s="6" t="s">
        <v>136</v>
      </c>
      <c r="F205" s="6" t="s">
        <v>184</v>
      </c>
      <c r="G205" s="6" t="s">
        <v>323</v>
      </c>
      <c r="H205" s="6" t="s">
        <v>201</v>
      </c>
      <c r="I205" s="6" t="s">
        <v>781</v>
      </c>
      <c r="J205" s="6" t="s">
        <v>218</v>
      </c>
      <c r="K205" s="6" t="s">
        <v>325</v>
      </c>
      <c r="L205" s="6" t="s">
        <v>185</v>
      </c>
      <c r="M205" s="6" t="s">
        <v>331</v>
      </c>
      <c r="N205" s="6" t="s">
        <v>261</v>
      </c>
      <c r="O205" s="6" t="s">
        <v>327</v>
      </c>
      <c r="P205" s="6" t="str">
        <f aca="false">IF(J205="S0","—",IF(K205="","",IF(L205="E0","QM",INDEX(10_ASIL_Matrix!$D$4:$F$15,MATCH(J205&amp;"-"&amp;L205,10_ASIL_Matrix!$C$4:$C$15,0),MATCH(N205,10_ASIL_Matrix!$D$3:$F$3,0)))))</f>
        <v>QM</v>
      </c>
      <c r="Q205" s="6" t="s">
        <v>779</v>
      </c>
    </row>
    <row r="206" customFormat="false" ht="68.65" hidden="false" customHeight="false" outlineLevel="0" collapsed="false">
      <c r="A206" s="5" t="s">
        <v>782</v>
      </c>
      <c r="B206" s="5" t="s">
        <v>116</v>
      </c>
      <c r="C206" s="5" t="s">
        <v>117</v>
      </c>
      <c r="D206" s="5" t="s">
        <v>135</v>
      </c>
      <c r="E206" s="5" t="s">
        <v>136</v>
      </c>
      <c r="F206" s="5" t="s">
        <v>184</v>
      </c>
      <c r="G206" s="5" t="s">
        <v>323</v>
      </c>
      <c r="H206" s="5" t="s">
        <v>203</v>
      </c>
      <c r="I206" s="5" t="s">
        <v>783</v>
      </c>
      <c r="J206" s="5" t="s">
        <v>218</v>
      </c>
      <c r="K206" s="5" t="s">
        <v>325</v>
      </c>
      <c r="L206" s="5" t="s">
        <v>185</v>
      </c>
      <c r="M206" s="5" t="s">
        <v>334</v>
      </c>
      <c r="N206" s="5" t="s">
        <v>261</v>
      </c>
      <c r="O206" s="5" t="s">
        <v>327</v>
      </c>
      <c r="P206" s="5" t="str">
        <f aca="false">IF(J206="S0","—",IF(K206="","",IF(L206="E0","QM",INDEX(10_ASIL_Matrix!$D$4:$F$15,MATCH(J206&amp;"-"&amp;L206,10_ASIL_Matrix!$C$4:$C$15,0),MATCH(N206,10_ASIL_Matrix!$D$3:$F$3,0)))))</f>
        <v>QM</v>
      </c>
      <c r="Q206" s="5" t="s">
        <v>779</v>
      </c>
    </row>
    <row r="207" customFormat="false" ht="68.65" hidden="false" customHeight="false" outlineLevel="0" collapsed="false">
      <c r="A207" s="6" t="s">
        <v>784</v>
      </c>
      <c r="B207" s="6" t="s">
        <v>116</v>
      </c>
      <c r="C207" s="6" t="s">
        <v>117</v>
      </c>
      <c r="D207" s="6" t="s">
        <v>135</v>
      </c>
      <c r="E207" s="6" t="s">
        <v>136</v>
      </c>
      <c r="F207" s="6" t="s">
        <v>184</v>
      </c>
      <c r="G207" s="6" t="s">
        <v>323</v>
      </c>
      <c r="H207" s="6" t="s">
        <v>205</v>
      </c>
      <c r="I207" s="6" t="s">
        <v>785</v>
      </c>
      <c r="J207" s="6" t="s">
        <v>218</v>
      </c>
      <c r="K207" s="6" t="s">
        <v>325</v>
      </c>
      <c r="L207" s="6" t="s">
        <v>206</v>
      </c>
      <c r="M207" s="6" t="s">
        <v>337</v>
      </c>
      <c r="N207" s="6" t="s">
        <v>261</v>
      </c>
      <c r="O207" s="6" t="s">
        <v>327</v>
      </c>
      <c r="P207" s="6" t="str">
        <f aca="false">IF(J207="S0","—",IF(K207="","",IF(L207="E0","QM",INDEX(10_ASIL_Matrix!$D$4:$F$15,MATCH(J207&amp;"-"&amp;L207,10_ASIL_Matrix!$C$4:$C$15,0),MATCH(N207,10_ASIL_Matrix!$D$3:$F$3,0)))))</f>
        <v>QM</v>
      </c>
      <c r="Q207" s="6" t="s">
        <v>779</v>
      </c>
    </row>
    <row r="208" customFormat="false" ht="68.65" hidden="false" customHeight="false" outlineLevel="0" collapsed="false">
      <c r="A208" s="5" t="s">
        <v>786</v>
      </c>
      <c r="B208" s="5" t="s">
        <v>116</v>
      </c>
      <c r="C208" s="5" t="s">
        <v>117</v>
      </c>
      <c r="D208" s="5" t="s">
        <v>135</v>
      </c>
      <c r="E208" s="5" t="s">
        <v>136</v>
      </c>
      <c r="F208" s="5" t="s">
        <v>184</v>
      </c>
      <c r="G208" s="5" t="s">
        <v>323</v>
      </c>
      <c r="H208" s="5" t="s">
        <v>208</v>
      </c>
      <c r="I208" s="5" t="s">
        <v>787</v>
      </c>
      <c r="J208" s="5" t="s">
        <v>218</v>
      </c>
      <c r="K208" s="5" t="s">
        <v>325</v>
      </c>
      <c r="L208" s="5" t="s">
        <v>209</v>
      </c>
      <c r="M208" s="5" t="s">
        <v>340</v>
      </c>
      <c r="N208" s="5" t="s">
        <v>261</v>
      </c>
      <c r="O208" s="5" t="s">
        <v>327</v>
      </c>
      <c r="P208" s="5" t="str">
        <f aca="false">IF(J208="S0","—",IF(K208="","",IF(L208="E0","QM",INDEX(10_ASIL_Matrix!$D$4:$F$15,MATCH(J208&amp;"-"&amp;L208,10_ASIL_Matrix!$C$4:$C$15,0),MATCH(N208,10_ASIL_Matrix!$D$3:$F$3,0)))))</f>
        <v>QM</v>
      </c>
      <c r="Q208" s="5" t="s">
        <v>779</v>
      </c>
    </row>
    <row r="209" customFormat="false" ht="68.65" hidden="false" customHeight="false" outlineLevel="0" collapsed="false">
      <c r="A209" s="6" t="s">
        <v>788</v>
      </c>
      <c r="B209" s="6" t="s">
        <v>116</v>
      </c>
      <c r="C209" s="6" t="s">
        <v>117</v>
      </c>
      <c r="D209" s="6" t="s">
        <v>135</v>
      </c>
      <c r="E209" s="6" t="s">
        <v>136</v>
      </c>
      <c r="F209" s="6" t="s">
        <v>187</v>
      </c>
      <c r="G209" s="6" t="s">
        <v>342</v>
      </c>
      <c r="H209" s="6" t="s">
        <v>199</v>
      </c>
      <c r="I209" s="6" t="s">
        <v>789</v>
      </c>
      <c r="J209" s="6" t="s">
        <v>222</v>
      </c>
      <c r="K209" s="6" t="s">
        <v>344</v>
      </c>
      <c r="L209" s="6" t="s">
        <v>188</v>
      </c>
      <c r="M209" s="6" t="s">
        <v>345</v>
      </c>
      <c r="N209" s="6" t="s">
        <v>261</v>
      </c>
      <c r="O209" s="6" t="s">
        <v>327</v>
      </c>
      <c r="P209" s="15" t="str">
        <f aca="false">IF(J209="S0","—",IF(K209="","",IF(L209="E0","QM",INDEX(10_ASIL_Matrix!$D$4:$F$15,MATCH(J209&amp;"-"&amp;L209,10_ASIL_Matrix!$C$4:$C$15,0),MATCH(N209,10_ASIL_Matrix!$D$3:$F$3,0)))))</f>
        <v>B</v>
      </c>
      <c r="Q209" s="6" t="s">
        <v>779</v>
      </c>
    </row>
    <row r="210" customFormat="false" ht="68.65" hidden="false" customHeight="false" outlineLevel="0" collapsed="false">
      <c r="A210" s="5" t="s">
        <v>790</v>
      </c>
      <c r="B210" s="5" t="s">
        <v>116</v>
      </c>
      <c r="C210" s="5" t="s">
        <v>117</v>
      </c>
      <c r="D210" s="5" t="s">
        <v>135</v>
      </c>
      <c r="E210" s="5" t="s">
        <v>136</v>
      </c>
      <c r="F210" s="5" t="s">
        <v>187</v>
      </c>
      <c r="G210" s="5" t="s">
        <v>342</v>
      </c>
      <c r="H210" s="5" t="s">
        <v>201</v>
      </c>
      <c r="I210" s="5" t="s">
        <v>791</v>
      </c>
      <c r="J210" s="5" t="s">
        <v>222</v>
      </c>
      <c r="K210" s="5" t="s">
        <v>344</v>
      </c>
      <c r="L210" s="5" t="s">
        <v>185</v>
      </c>
      <c r="M210" s="5" t="s">
        <v>348</v>
      </c>
      <c r="N210" s="5" t="s">
        <v>261</v>
      </c>
      <c r="O210" s="5" t="s">
        <v>327</v>
      </c>
      <c r="P210" s="16" t="str">
        <f aca="false">IF(J210="S0","—",IF(K210="","",IF(L210="E0","QM",INDEX(10_ASIL_Matrix!$D$4:$F$15,MATCH(J210&amp;"-"&amp;L210,10_ASIL_Matrix!$C$4:$C$15,0),MATCH(N210,10_ASIL_Matrix!$D$3:$F$3,0)))))</f>
        <v>A</v>
      </c>
      <c r="Q210" s="5" t="s">
        <v>779</v>
      </c>
    </row>
    <row r="211" customFormat="false" ht="68.65" hidden="false" customHeight="false" outlineLevel="0" collapsed="false">
      <c r="A211" s="6" t="s">
        <v>792</v>
      </c>
      <c r="B211" s="6" t="s">
        <v>116</v>
      </c>
      <c r="C211" s="6" t="s">
        <v>117</v>
      </c>
      <c r="D211" s="6" t="s">
        <v>135</v>
      </c>
      <c r="E211" s="6" t="s">
        <v>136</v>
      </c>
      <c r="F211" s="6" t="s">
        <v>187</v>
      </c>
      <c r="G211" s="6" t="s">
        <v>342</v>
      </c>
      <c r="H211" s="6" t="s">
        <v>203</v>
      </c>
      <c r="I211" s="6" t="s">
        <v>793</v>
      </c>
      <c r="J211" s="6" t="s">
        <v>222</v>
      </c>
      <c r="K211" s="6" t="s">
        <v>344</v>
      </c>
      <c r="L211" s="6" t="s">
        <v>185</v>
      </c>
      <c r="M211" s="6" t="s">
        <v>351</v>
      </c>
      <c r="N211" s="6" t="s">
        <v>261</v>
      </c>
      <c r="O211" s="6" t="s">
        <v>327</v>
      </c>
      <c r="P211" s="16" t="str">
        <f aca="false">IF(J211="S0","—",IF(K211="","",IF(L211="E0","QM",INDEX(10_ASIL_Matrix!$D$4:$F$15,MATCH(J211&amp;"-"&amp;L211,10_ASIL_Matrix!$C$4:$C$15,0),MATCH(N211,10_ASIL_Matrix!$D$3:$F$3,0)))))</f>
        <v>A</v>
      </c>
      <c r="Q211" s="6" t="s">
        <v>779</v>
      </c>
    </row>
    <row r="212" customFormat="false" ht="68.65" hidden="false" customHeight="false" outlineLevel="0" collapsed="false">
      <c r="A212" s="5" t="s">
        <v>794</v>
      </c>
      <c r="B212" s="5" t="s">
        <v>116</v>
      </c>
      <c r="C212" s="5" t="s">
        <v>117</v>
      </c>
      <c r="D212" s="5" t="s">
        <v>135</v>
      </c>
      <c r="E212" s="5" t="s">
        <v>136</v>
      </c>
      <c r="F212" s="5" t="s">
        <v>187</v>
      </c>
      <c r="G212" s="5" t="s">
        <v>342</v>
      </c>
      <c r="H212" s="5" t="s">
        <v>205</v>
      </c>
      <c r="I212" s="5" t="s">
        <v>795</v>
      </c>
      <c r="J212" s="5" t="s">
        <v>222</v>
      </c>
      <c r="K212" s="5" t="s">
        <v>354</v>
      </c>
      <c r="L212" s="5" t="s">
        <v>206</v>
      </c>
      <c r="M212" s="5" t="s">
        <v>355</v>
      </c>
      <c r="N212" s="5" t="s">
        <v>261</v>
      </c>
      <c r="O212" s="5" t="s">
        <v>327</v>
      </c>
      <c r="P212" s="5" t="str">
        <f aca="false">IF(J212="S0","—",IF(K212="","",IF(L212="E0","QM",INDEX(10_ASIL_Matrix!$D$4:$F$15,MATCH(J212&amp;"-"&amp;L212,10_ASIL_Matrix!$C$4:$C$15,0),MATCH(N212,10_ASIL_Matrix!$D$3:$F$3,0)))))</f>
        <v>QM</v>
      </c>
      <c r="Q212" s="5" t="s">
        <v>779</v>
      </c>
    </row>
    <row r="213" customFormat="false" ht="68.65" hidden="false" customHeight="false" outlineLevel="0" collapsed="false">
      <c r="A213" s="6" t="s">
        <v>796</v>
      </c>
      <c r="B213" s="6" t="s">
        <v>116</v>
      </c>
      <c r="C213" s="6" t="s">
        <v>117</v>
      </c>
      <c r="D213" s="6" t="s">
        <v>135</v>
      </c>
      <c r="E213" s="6" t="s">
        <v>136</v>
      </c>
      <c r="F213" s="6" t="s">
        <v>187</v>
      </c>
      <c r="G213" s="6" t="s">
        <v>342</v>
      </c>
      <c r="H213" s="6" t="s">
        <v>208</v>
      </c>
      <c r="I213" s="6" t="s">
        <v>797</v>
      </c>
      <c r="J213" s="6" t="s">
        <v>222</v>
      </c>
      <c r="K213" s="6" t="s">
        <v>354</v>
      </c>
      <c r="L213" s="6" t="s">
        <v>209</v>
      </c>
      <c r="M213" s="6" t="s">
        <v>358</v>
      </c>
      <c r="N213" s="6" t="s">
        <v>261</v>
      </c>
      <c r="O213" s="6" t="s">
        <v>327</v>
      </c>
      <c r="P213" s="6" t="str">
        <f aca="false">IF(J213="S0","—",IF(K213="","",IF(L213="E0","QM",INDEX(10_ASIL_Matrix!$D$4:$F$15,MATCH(J213&amp;"-"&amp;L213,10_ASIL_Matrix!$C$4:$C$15,0),MATCH(N213,10_ASIL_Matrix!$D$3:$F$3,0)))))</f>
        <v>QM</v>
      </c>
      <c r="Q213" s="6" t="s">
        <v>779</v>
      </c>
    </row>
    <row r="214" customFormat="false" ht="68.65" hidden="false" customHeight="false" outlineLevel="0" collapsed="false">
      <c r="A214" s="5" t="s">
        <v>798</v>
      </c>
      <c r="B214" s="5" t="s">
        <v>116</v>
      </c>
      <c r="C214" s="5" t="s">
        <v>117</v>
      </c>
      <c r="D214" s="5" t="s">
        <v>135</v>
      </c>
      <c r="E214" s="5" t="s">
        <v>136</v>
      </c>
      <c r="F214" s="5" t="s">
        <v>190</v>
      </c>
      <c r="G214" s="5" t="s">
        <v>360</v>
      </c>
      <c r="H214" s="5" t="s">
        <v>199</v>
      </c>
      <c r="I214" s="5" t="s">
        <v>799</v>
      </c>
      <c r="J214" s="5" t="s">
        <v>222</v>
      </c>
      <c r="K214" s="5" t="s">
        <v>362</v>
      </c>
      <c r="L214" s="5" t="s">
        <v>188</v>
      </c>
      <c r="M214" s="5" t="s">
        <v>363</v>
      </c>
      <c r="N214" s="5" t="s">
        <v>261</v>
      </c>
      <c r="O214" s="5" t="s">
        <v>327</v>
      </c>
      <c r="P214" s="15" t="str">
        <f aca="false">IF(J214="S0","—",IF(K214="","",IF(L214="E0","QM",INDEX(10_ASIL_Matrix!$D$4:$F$15,MATCH(J214&amp;"-"&amp;L214,10_ASIL_Matrix!$C$4:$C$15,0),MATCH(N214,10_ASIL_Matrix!$D$3:$F$3,0)))))</f>
        <v>B</v>
      </c>
      <c r="Q214" s="5" t="s">
        <v>779</v>
      </c>
    </row>
    <row r="215" customFormat="false" ht="68.65" hidden="false" customHeight="false" outlineLevel="0" collapsed="false">
      <c r="A215" s="6" t="s">
        <v>800</v>
      </c>
      <c r="B215" s="6" t="s">
        <v>116</v>
      </c>
      <c r="C215" s="6" t="s">
        <v>117</v>
      </c>
      <c r="D215" s="6" t="s">
        <v>135</v>
      </c>
      <c r="E215" s="6" t="s">
        <v>136</v>
      </c>
      <c r="F215" s="6" t="s">
        <v>190</v>
      </c>
      <c r="G215" s="6" t="s">
        <v>360</v>
      </c>
      <c r="H215" s="6" t="s">
        <v>201</v>
      </c>
      <c r="I215" s="6" t="s">
        <v>801</v>
      </c>
      <c r="J215" s="6" t="s">
        <v>222</v>
      </c>
      <c r="K215" s="6" t="s">
        <v>362</v>
      </c>
      <c r="L215" s="6" t="s">
        <v>185</v>
      </c>
      <c r="M215" s="6" t="s">
        <v>366</v>
      </c>
      <c r="N215" s="6" t="s">
        <v>261</v>
      </c>
      <c r="O215" s="6" t="s">
        <v>327</v>
      </c>
      <c r="P215" s="16" t="str">
        <f aca="false">IF(J215="S0","—",IF(K215="","",IF(L215="E0","QM",INDEX(10_ASIL_Matrix!$D$4:$F$15,MATCH(J215&amp;"-"&amp;L215,10_ASIL_Matrix!$C$4:$C$15,0),MATCH(N215,10_ASIL_Matrix!$D$3:$F$3,0)))))</f>
        <v>A</v>
      </c>
      <c r="Q215" s="6" t="s">
        <v>779</v>
      </c>
    </row>
    <row r="216" customFormat="false" ht="68.65" hidden="false" customHeight="false" outlineLevel="0" collapsed="false">
      <c r="A216" s="5" t="s">
        <v>802</v>
      </c>
      <c r="B216" s="5" t="s">
        <v>116</v>
      </c>
      <c r="C216" s="5" t="s">
        <v>117</v>
      </c>
      <c r="D216" s="5" t="s">
        <v>135</v>
      </c>
      <c r="E216" s="5" t="s">
        <v>136</v>
      </c>
      <c r="F216" s="5" t="s">
        <v>190</v>
      </c>
      <c r="G216" s="5" t="s">
        <v>360</v>
      </c>
      <c r="H216" s="5" t="s">
        <v>203</v>
      </c>
      <c r="I216" s="5" t="s">
        <v>803</v>
      </c>
      <c r="J216" s="5" t="s">
        <v>222</v>
      </c>
      <c r="K216" s="5" t="s">
        <v>362</v>
      </c>
      <c r="L216" s="5" t="s">
        <v>185</v>
      </c>
      <c r="M216" s="5" t="s">
        <v>369</v>
      </c>
      <c r="N216" s="5" t="s">
        <v>261</v>
      </c>
      <c r="O216" s="5" t="s">
        <v>327</v>
      </c>
      <c r="P216" s="16" t="str">
        <f aca="false">IF(J216="S0","—",IF(K216="","",IF(L216="E0","QM",INDEX(10_ASIL_Matrix!$D$4:$F$15,MATCH(J216&amp;"-"&amp;L216,10_ASIL_Matrix!$C$4:$C$15,0),MATCH(N216,10_ASIL_Matrix!$D$3:$F$3,0)))))</f>
        <v>A</v>
      </c>
      <c r="Q216" s="5" t="s">
        <v>779</v>
      </c>
    </row>
    <row r="217" customFormat="false" ht="68.65" hidden="false" customHeight="false" outlineLevel="0" collapsed="false">
      <c r="A217" s="6" t="s">
        <v>804</v>
      </c>
      <c r="B217" s="6" t="s">
        <v>116</v>
      </c>
      <c r="C217" s="6" t="s">
        <v>117</v>
      </c>
      <c r="D217" s="6" t="s">
        <v>135</v>
      </c>
      <c r="E217" s="6" t="s">
        <v>136</v>
      </c>
      <c r="F217" s="6" t="s">
        <v>190</v>
      </c>
      <c r="G217" s="6" t="s">
        <v>360</v>
      </c>
      <c r="H217" s="6" t="s">
        <v>205</v>
      </c>
      <c r="I217" s="6" t="s">
        <v>805</v>
      </c>
      <c r="J217" s="6" t="s">
        <v>222</v>
      </c>
      <c r="K217" s="6" t="s">
        <v>372</v>
      </c>
      <c r="L217" s="6" t="s">
        <v>206</v>
      </c>
      <c r="M217" s="6" t="s">
        <v>373</v>
      </c>
      <c r="N217" s="6" t="s">
        <v>261</v>
      </c>
      <c r="O217" s="6" t="s">
        <v>327</v>
      </c>
      <c r="P217" s="6" t="str">
        <f aca="false">IF(J217="S0","—",IF(K217="","",IF(L217="E0","QM",INDEX(10_ASIL_Matrix!$D$4:$F$15,MATCH(J217&amp;"-"&amp;L217,10_ASIL_Matrix!$C$4:$C$15,0),MATCH(N217,10_ASIL_Matrix!$D$3:$F$3,0)))))</f>
        <v>QM</v>
      </c>
      <c r="Q217" s="6" t="s">
        <v>779</v>
      </c>
    </row>
    <row r="218" customFormat="false" ht="68.65" hidden="false" customHeight="false" outlineLevel="0" collapsed="false">
      <c r="A218" s="5" t="s">
        <v>806</v>
      </c>
      <c r="B218" s="5" t="s">
        <v>116</v>
      </c>
      <c r="C218" s="5" t="s">
        <v>117</v>
      </c>
      <c r="D218" s="5" t="s">
        <v>135</v>
      </c>
      <c r="E218" s="5" t="s">
        <v>136</v>
      </c>
      <c r="F218" s="5" t="s">
        <v>190</v>
      </c>
      <c r="G218" s="5" t="s">
        <v>360</v>
      </c>
      <c r="H218" s="5" t="s">
        <v>208</v>
      </c>
      <c r="I218" s="5" t="s">
        <v>807</v>
      </c>
      <c r="J218" s="5" t="s">
        <v>222</v>
      </c>
      <c r="K218" s="5" t="s">
        <v>372</v>
      </c>
      <c r="L218" s="5" t="s">
        <v>209</v>
      </c>
      <c r="M218" s="5" t="s">
        <v>376</v>
      </c>
      <c r="N218" s="5" t="s">
        <v>261</v>
      </c>
      <c r="O218" s="5" t="s">
        <v>327</v>
      </c>
      <c r="P218" s="5" t="str">
        <f aca="false">IF(J218="S0","—",IF(K218="","",IF(L218="E0","QM",INDEX(10_ASIL_Matrix!$D$4:$F$15,MATCH(J218&amp;"-"&amp;L218,10_ASIL_Matrix!$C$4:$C$15,0),MATCH(N218,10_ASIL_Matrix!$D$3:$F$3,0)))))</f>
        <v>QM</v>
      </c>
      <c r="Q218" s="5" t="s">
        <v>779</v>
      </c>
    </row>
    <row r="219" customFormat="false" ht="68.65" hidden="false" customHeight="false" outlineLevel="0" collapsed="false">
      <c r="A219" s="6" t="s">
        <v>808</v>
      </c>
      <c r="B219" s="6" t="s">
        <v>116</v>
      </c>
      <c r="C219" s="6" t="s">
        <v>117</v>
      </c>
      <c r="D219" s="6" t="s">
        <v>135</v>
      </c>
      <c r="E219" s="6" t="s">
        <v>136</v>
      </c>
      <c r="F219" s="6" t="s">
        <v>192</v>
      </c>
      <c r="G219" s="6" t="s">
        <v>378</v>
      </c>
      <c r="H219" s="6" t="s">
        <v>199</v>
      </c>
      <c r="I219" s="6" t="s">
        <v>809</v>
      </c>
      <c r="J219" s="6" t="s">
        <v>226</v>
      </c>
      <c r="K219" s="6" t="s">
        <v>380</v>
      </c>
      <c r="L219" s="6" t="s">
        <v>185</v>
      </c>
      <c r="M219" s="6" t="s">
        <v>381</v>
      </c>
      <c r="N219" s="6" t="s">
        <v>261</v>
      </c>
      <c r="O219" s="6" t="s">
        <v>327</v>
      </c>
      <c r="P219" s="15" t="str">
        <f aca="false">IF(J219="S0","—",IF(K219="","",IF(L219="E0","QM",INDEX(10_ASIL_Matrix!$D$4:$F$15,MATCH(J219&amp;"-"&amp;L219,10_ASIL_Matrix!$C$4:$C$15,0),MATCH(N219,10_ASIL_Matrix!$D$3:$F$3,0)))))</f>
        <v>B</v>
      </c>
      <c r="Q219" s="6" t="s">
        <v>779</v>
      </c>
    </row>
    <row r="220" customFormat="false" ht="68.65" hidden="false" customHeight="false" outlineLevel="0" collapsed="false">
      <c r="A220" s="5" t="s">
        <v>810</v>
      </c>
      <c r="B220" s="5" t="s">
        <v>116</v>
      </c>
      <c r="C220" s="5" t="s">
        <v>117</v>
      </c>
      <c r="D220" s="5" t="s">
        <v>135</v>
      </c>
      <c r="E220" s="5" t="s">
        <v>136</v>
      </c>
      <c r="F220" s="5" t="s">
        <v>192</v>
      </c>
      <c r="G220" s="5" t="s">
        <v>378</v>
      </c>
      <c r="H220" s="5" t="s">
        <v>201</v>
      </c>
      <c r="I220" s="5" t="s">
        <v>811</v>
      </c>
      <c r="J220" s="5" t="s">
        <v>226</v>
      </c>
      <c r="K220" s="5" t="s">
        <v>380</v>
      </c>
      <c r="L220" s="5" t="s">
        <v>185</v>
      </c>
      <c r="M220" s="5" t="s">
        <v>384</v>
      </c>
      <c r="N220" s="5" t="s">
        <v>261</v>
      </c>
      <c r="O220" s="5" t="s">
        <v>327</v>
      </c>
      <c r="P220" s="15" t="str">
        <f aca="false">IF(J220="S0","—",IF(K220="","",IF(L220="E0","QM",INDEX(10_ASIL_Matrix!$D$4:$F$15,MATCH(J220&amp;"-"&amp;L220,10_ASIL_Matrix!$C$4:$C$15,0),MATCH(N220,10_ASIL_Matrix!$D$3:$F$3,0)))))</f>
        <v>B</v>
      </c>
      <c r="Q220" s="5" t="s">
        <v>779</v>
      </c>
    </row>
    <row r="221" customFormat="false" ht="68.65" hidden="false" customHeight="false" outlineLevel="0" collapsed="false">
      <c r="A221" s="6" t="s">
        <v>812</v>
      </c>
      <c r="B221" s="6" t="s">
        <v>116</v>
      </c>
      <c r="C221" s="6" t="s">
        <v>117</v>
      </c>
      <c r="D221" s="6" t="s">
        <v>135</v>
      </c>
      <c r="E221" s="6" t="s">
        <v>136</v>
      </c>
      <c r="F221" s="6" t="s">
        <v>192</v>
      </c>
      <c r="G221" s="6" t="s">
        <v>378</v>
      </c>
      <c r="H221" s="6" t="s">
        <v>203</v>
      </c>
      <c r="I221" s="6" t="s">
        <v>813</v>
      </c>
      <c r="J221" s="6" t="s">
        <v>226</v>
      </c>
      <c r="K221" s="6" t="s">
        <v>380</v>
      </c>
      <c r="L221" s="6" t="s">
        <v>185</v>
      </c>
      <c r="M221" s="6" t="s">
        <v>387</v>
      </c>
      <c r="N221" s="6" t="s">
        <v>261</v>
      </c>
      <c r="O221" s="6" t="s">
        <v>327</v>
      </c>
      <c r="P221" s="15" t="str">
        <f aca="false">IF(J221="S0","—",IF(K221="","",IF(L221="E0","QM",INDEX(10_ASIL_Matrix!$D$4:$F$15,MATCH(J221&amp;"-"&amp;L221,10_ASIL_Matrix!$C$4:$C$15,0),MATCH(N221,10_ASIL_Matrix!$D$3:$F$3,0)))))</f>
        <v>B</v>
      </c>
      <c r="Q221" s="6" t="s">
        <v>779</v>
      </c>
    </row>
    <row r="222" customFormat="false" ht="68.65" hidden="false" customHeight="false" outlineLevel="0" collapsed="false">
      <c r="A222" s="5" t="s">
        <v>814</v>
      </c>
      <c r="B222" s="5" t="s">
        <v>116</v>
      </c>
      <c r="C222" s="5" t="s">
        <v>117</v>
      </c>
      <c r="D222" s="5" t="s">
        <v>135</v>
      </c>
      <c r="E222" s="5" t="s">
        <v>136</v>
      </c>
      <c r="F222" s="5" t="s">
        <v>192</v>
      </c>
      <c r="G222" s="5" t="s">
        <v>378</v>
      </c>
      <c r="H222" s="5" t="s">
        <v>205</v>
      </c>
      <c r="I222" s="5" t="s">
        <v>815</v>
      </c>
      <c r="J222" s="5" t="s">
        <v>226</v>
      </c>
      <c r="K222" s="5" t="s">
        <v>390</v>
      </c>
      <c r="L222" s="5" t="s">
        <v>206</v>
      </c>
      <c r="M222" s="5" t="s">
        <v>391</v>
      </c>
      <c r="N222" s="5" t="s">
        <v>261</v>
      </c>
      <c r="O222" s="5" t="s">
        <v>327</v>
      </c>
      <c r="P222" s="16" t="str">
        <f aca="false">IF(J222="S0","—",IF(K222="","",IF(L222="E0","QM",INDEX(10_ASIL_Matrix!$D$4:$F$15,MATCH(J222&amp;"-"&amp;L222,10_ASIL_Matrix!$C$4:$C$15,0),MATCH(N222,10_ASIL_Matrix!$D$3:$F$3,0)))))</f>
        <v>A</v>
      </c>
      <c r="Q222" s="5" t="s">
        <v>779</v>
      </c>
    </row>
    <row r="223" customFormat="false" ht="68.65" hidden="false" customHeight="false" outlineLevel="0" collapsed="false">
      <c r="A223" s="6" t="s">
        <v>816</v>
      </c>
      <c r="B223" s="6" t="s">
        <v>116</v>
      </c>
      <c r="C223" s="6" t="s">
        <v>117</v>
      </c>
      <c r="D223" s="6" t="s">
        <v>135</v>
      </c>
      <c r="E223" s="6" t="s">
        <v>136</v>
      </c>
      <c r="F223" s="6" t="s">
        <v>192</v>
      </c>
      <c r="G223" s="6" t="s">
        <v>378</v>
      </c>
      <c r="H223" s="6" t="s">
        <v>208</v>
      </c>
      <c r="I223" s="6" t="s">
        <v>817</v>
      </c>
      <c r="J223" s="6" t="s">
        <v>226</v>
      </c>
      <c r="K223" s="6" t="s">
        <v>390</v>
      </c>
      <c r="L223" s="6" t="s">
        <v>209</v>
      </c>
      <c r="M223" s="6" t="s">
        <v>394</v>
      </c>
      <c r="N223" s="6" t="s">
        <v>261</v>
      </c>
      <c r="O223" s="6" t="s">
        <v>327</v>
      </c>
      <c r="P223" s="6" t="str">
        <f aca="false">IF(J223="S0","—",IF(K223="","",IF(L223="E0","QM",INDEX(10_ASIL_Matrix!$D$4:$F$15,MATCH(J223&amp;"-"&amp;L223,10_ASIL_Matrix!$C$4:$C$15,0),MATCH(N223,10_ASIL_Matrix!$D$3:$F$3,0)))))</f>
        <v>QM</v>
      </c>
      <c r="Q223" s="6" t="s">
        <v>779</v>
      </c>
    </row>
    <row r="224" customFormat="false" ht="68.65" hidden="false" customHeight="false" outlineLevel="0" collapsed="false">
      <c r="A224" s="5" t="s">
        <v>818</v>
      </c>
      <c r="B224" s="5" t="s">
        <v>116</v>
      </c>
      <c r="C224" s="5" t="s">
        <v>117</v>
      </c>
      <c r="D224" s="5" t="s">
        <v>135</v>
      </c>
      <c r="E224" s="5" t="s">
        <v>136</v>
      </c>
      <c r="F224" s="5" t="s">
        <v>194</v>
      </c>
      <c r="G224" s="5" t="s">
        <v>396</v>
      </c>
      <c r="H224" s="5" t="s">
        <v>199</v>
      </c>
      <c r="I224" s="5" t="s">
        <v>819</v>
      </c>
      <c r="J224" s="5" t="s">
        <v>226</v>
      </c>
      <c r="K224" s="5" t="s">
        <v>398</v>
      </c>
      <c r="L224" s="5" t="s">
        <v>188</v>
      </c>
      <c r="M224" s="5" t="s">
        <v>399</v>
      </c>
      <c r="N224" s="5" t="s">
        <v>261</v>
      </c>
      <c r="O224" s="5" t="s">
        <v>327</v>
      </c>
      <c r="P224" s="17" t="str">
        <f aca="false">IF(J224="S0","—",IF(K224="","",IF(L224="E0","QM",INDEX(10_ASIL_Matrix!$D$4:$F$15,MATCH(J224&amp;"-"&amp;L224,10_ASIL_Matrix!$C$4:$C$15,0),MATCH(N224,10_ASIL_Matrix!$D$3:$F$3,0)))))</f>
        <v>C</v>
      </c>
      <c r="Q224" s="5" t="s">
        <v>779</v>
      </c>
    </row>
    <row r="225" customFormat="false" ht="68.65" hidden="false" customHeight="false" outlineLevel="0" collapsed="false">
      <c r="A225" s="6" t="s">
        <v>820</v>
      </c>
      <c r="B225" s="6" t="s">
        <v>116</v>
      </c>
      <c r="C225" s="6" t="s">
        <v>117</v>
      </c>
      <c r="D225" s="6" t="s">
        <v>135</v>
      </c>
      <c r="E225" s="6" t="s">
        <v>136</v>
      </c>
      <c r="F225" s="6" t="s">
        <v>194</v>
      </c>
      <c r="G225" s="6" t="s">
        <v>396</v>
      </c>
      <c r="H225" s="6" t="s">
        <v>201</v>
      </c>
      <c r="I225" s="6" t="s">
        <v>821</v>
      </c>
      <c r="J225" s="6" t="s">
        <v>226</v>
      </c>
      <c r="K225" s="6" t="s">
        <v>398</v>
      </c>
      <c r="L225" s="6" t="s">
        <v>185</v>
      </c>
      <c r="M225" s="6" t="s">
        <v>402</v>
      </c>
      <c r="N225" s="6" t="s">
        <v>261</v>
      </c>
      <c r="O225" s="6" t="s">
        <v>327</v>
      </c>
      <c r="P225" s="15" t="str">
        <f aca="false">IF(J225="S0","—",IF(K225="","",IF(L225="E0","QM",INDEX(10_ASIL_Matrix!$D$4:$F$15,MATCH(J225&amp;"-"&amp;L225,10_ASIL_Matrix!$C$4:$C$15,0),MATCH(N225,10_ASIL_Matrix!$D$3:$F$3,0)))))</f>
        <v>B</v>
      </c>
      <c r="Q225" s="6" t="s">
        <v>779</v>
      </c>
    </row>
    <row r="226" customFormat="false" ht="68.65" hidden="false" customHeight="false" outlineLevel="0" collapsed="false">
      <c r="A226" s="5" t="s">
        <v>822</v>
      </c>
      <c r="B226" s="5" t="s">
        <v>116</v>
      </c>
      <c r="C226" s="5" t="s">
        <v>117</v>
      </c>
      <c r="D226" s="5" t="s">
        <v>135</v>
      </c>
      <c r="E226" s="5" t="s">
        <v>136</v>
      </c>
      <c r="F226" s="5" t="s">
        <v>194</v>
      </c>
      <c r="G226" s="5" t="s">
        <v>396</v>
      </c>
      <c r="H226" s="5" t="s">
        <v>203</v>
      </c>
      <c r="I226" s="5" t="s">
        <v>823</v>
      </c>
      <c r="J226" s="5" t="s">
        <v>226</v>
      </c>
      <c r="K226" s="5" t="s">
        <v>398</v>
      </c>
      <c r="L226" s="5" t="s">
        <v>185</v>
      </c>
      <c r="M226" s="5" t="s">
        <v>405</v>
      </c>
      <c r="N226" s="5" t="s">
        <v>261</v>
      </c>
      <c r="O226" s="5" t="s">
        <v>327</v>
      </c>
      <c r="P226" s="15" t="str">
        <f aca="false">IF(J226="S0","—",IF(K226="","",IF(L226="E0","QM",INDEX(10_ASIL_Matrix!$D$4:$F$15,MATCH(J226&amp;"-"&amp;L226,10_ASIL_Matrix!$C$4:$C$15,0),MATCH(N226,10_ASIL_Matrix!$D$3:$F$3,0)))))</f>
        <v>B</v>
      </c>
      <c r="Q226" s="5" t="s">
        <v>779</v>
      </c>
    </row>
    <row r="227" customFormat="false" ht="68.65" hidden="false" customHeight="false" outlineLevel="0" collapsed="false">
      <c r="A227" s="6" t="s">
        <v>824</v>
      </c>
      <c r="B227" s="6" t="s">
        <v>116</v>
      </c>
      <c r="C227" s="6" t="s">
        <v>117</v>
      </c>
      <c r="D227" s="6" t="s">
        <v>135</v>
      </c>
      <c r="E227" s="6" t="s">
        <v>136</v>
      </c>
      <c r="F227" s="6" t="s">
        <v>194</v>
      </c>
      <c r="G227" s="6" t="s">
        <v>396</v>
      </c>
      <c r="H227" s="6" t="s">
        <v>205</v>
      </c>
      <c r="I227" s="6" t="s">
        <v>825</v>
      </c>
      <c r="J227" s="6" t="s">
        <v>226</v>
      </c>
      <c r="K227" s="6" t="s">
        <v>408</v>
      </c>
      <c r="L227" s="6" t="s">
        <v>206</v>
      </c>
      <c r="M227" s="6" t="s">
        <v>409</v>
      </c>
      <c r="N227" s="6" t="s">
        <v>261</v>
      </c>
      <c r="O227" s="6" t="s">
        <v>327</v>
      </c>
      <c r="P227" s="16" t="str">
        <f aca="false">IF(J227="S0","—",IF(K227="","",IF(L227="E0","QM",INDEX(10_ASIL_Matrix!$D$4:$F$15,MATCH(J227&amp;"-"&amp;L227,10_ASIL_Matrix!$C$4:$C$15,0),MATCH(N227,10_ASIL_Matrix!$D$3:$F$3,0)))))</f>
        <v>A</v>
      </c>
      <c r="Q227" s="6" t="s">
        <v>779</v>
      </c>
    </row>
    <row r="228" customFormat="false" ht="68.65" hidden="false" customHeight="false" outlineLevel="0" collapsed="false">
      <c r="A228" s="5" t="s">
        <v>826</v>
      </c>
      <c r="B228" s="5" t="s">
        <v>116</v>
      </c>
      <c r="C228" s="5" t="s">
        <v>117</v>
      </c>
      <c r="D228" s="5" t="s">
        <v>135</v>
      </c>
      <c r="E228" s="5" t="s">
        <v>136</v>
      </c>
      <c r="F228" s="5" t="s">
        <v>194</v>
      </c>
      <c r="G228" s="5" t="s">
        <v>396</v>
      </c>
      <c r="H228" s="5" t="s">
        <v>208</v>
      </c>
      <c r="I228" s="5" t="s">
        <v>827</v>
      </c>
      <c r="J228" s="5" t="s">
        <v>226</v>
      </c>
      <c r="K228" s="5" t="s">
        <v>408</v>
      </c>
      <c r="L228" s="5" t="s">
        <v>209</v>
      </c>
      <c r="M228" s="5" t="s">
        <v>412</v>
      </c>
      <c r="N228" s="5" t="s">
        <v>261</v>
      </c>
      <c r="O228" s="5" t="s">
        <v>327</v>
      </c>
      <c r="P228" s="5" t="str">
        <f aca="false">IF(J228="S0","—",IF(K228="","",IF(L228="E0","QM",INDEX(10_ASIL_Matrix!$D$4:$F$15,MATCH(J228&amp;"-"&amp;L228,10_ASIL_Matrix!$C$4:$C$15,0),MATCH(N228,10_ASIL_Matrix!$D$3:$F$3,0)))))</f>
        <v>QM</v>
      </c>
      <c r="Q228" s="5" t="s">
        <v>779</v>
      </c>
    </row>
    <row r="229" customFormat="false" ht="68.65" hidden="false" customHeight="false" outlineLevel="0" collapsed="false">
      <c r="A229" s="6" t="s">
        <v>828</v>
      </c>
      <c r="B229" s="6" t="s">
        <v>116</v>
      </c>
      <c r="C229" s="6" t="s">
        <v>117</v>
      </c>
      <c r="D229" s="6" t="s">
        <v>138</v>
      </c>
      <c r="E229" s="6" t="s">
        <v>139</v>
      </c>
      <c r="F229" s="6" t="s">
        <v>184</v>
      </c>
      <c r="G229" s="6" t="s">
        <v>323</v>
      </c>
      <c r="H229" s="6" t="s">
        <v>199</v>
      </c>
      <c r="I229" s="6" t="s">
        <v>829</v>
      </c>
      <c r="J229" s="6" t="s">
        <v>218</v>
      </c>
      <c r="K229" s="6" t="s">
        <v>325</v>
      </c>
      <c r="L229" s="6" t="s">
        <v>185</v>
      </c>
      <c r="M229" s="6" t="s">
        <v>326</v>
      </c>
      <c r="N229" s="6" t="s">
        <v>261</v>
      </c>
      <c r="O229" s="6" t="s">
        <v>327</v>
      </c>
      <c r="P229" s="6" t="str">
        <f aca="false">IF(J229="S0","—",IF(K229="","",IF(L229="E0","QM",INDEX(10_ASIL_Matrix!$D$4:$F$15,MATCH(J229&amp;"-"&amp;L229,10_ASIL_Matrix!$C$4:$C$15,0),MATCH(N229,10_ASIL_Matrix!$D$3:$F$3,0)))))</f>
        <v>QM</v>
      </c>
      <c r="Q229" s="6" t="s">
        <v>779</v>
      </c>
    </row>
    <row r="230" customFormat="false" ht="68.65" hidden="false" customHeight="false" outlineLevel="0" collapsed="false">
      <c r="A230" s="5" t="s">
        <v>830</v>
      </c>
      <c r="B230" s="5" t="s">
        <v>116</v>
      </c>
      <c r="C230" s="5" t="s">
        <v>117</v>
      </c>
      <c r="D230" s="5" t="s">
        <v>138</v>
      </c>
      <c r="E230" s="5" t="s">
        <v>139</v>
      </c>
      <c r="F230" s="5" t="s">
        <v>184</v>
      </c>
      <c r="G230" s="5" t="s">
        <v>323</v>
      </c>
      <c r="H230" s="5" t="s">
        <v>201</v>
      </c>
      <c r="I230" s="5" t="s">
        <v>831</v>
      </c>
      <c r="J230" s="5" t="s">
        <v>218</v>
      </c>
      <c r="K230" s="5" t="s">
        <v>325</v>
      </c>
      <c r="L230" s="5" t="s">
        <v>185</v>
      </c>
      <c r="M230" s="5" t="s">
        <v>331</v>
      </c>
      <c r="N230" s="5" t="s">
        <v>261</v>
      </c>
      <c r="O230" s="5" t="s">
        <v>327</v>
      </c>
      <c r="P230" s="5" t="str">
        <f aca="false">IF(J230="S0","—",IF(K230="","",IF(L230="E0","QM",INDEX(10_ASIL_Matrix!$D$4:$F$15,MATCH(J230&amp;"-"&amp;L230,10_ASIL_Matrix!$C$4:$C$15,0),MATCH(N230,10_ASIL_Matrix!$D$3:$F$3,0)))))</f>
        <v>QM</v>
      </c>
      <c r="Q230" s="5" t="s">
        <v>779</v>
      </c>
    </row>
    <row r="231" customFormat="false" ht="68.65" hidden="false" customHeight="false" outlineLevel="0" collapsed="false">
      <c r="A231" s="6" t="s">
        <v>832</v>
      </c>
      <c r="B231" s="6" t="s">
        <v>116</v>
      </c>
      <c r="C231" s="6" t="s">
        <v>117</v>
      </c>
      <c r="D231" s="6" t="s">
        <v>138</v>
      </c>
      <c r="E231" s="6" t="s">
        <v>139</v>
      </c>
      <c r="F231" s="6" t="s">
        <v>184</v>
      </c>
      <c r="G231" s="6" t="s">
        <v>323</v>
      </c>
      <c r="H231" s="6" t="s">
        <v>203</v>
      </c>
      <c r="I231" s="6" t="s">
        <v>833</v>
      </c>
      <c r="J231" s="6" t="s">
        <v>218</v>
      </c>
      <c r="K231" s="6" t="s">
        <v>325</v>
      </c>
      <c r="L231" s="6" t="s">
        <v>185</v>
      </c>
      <c r="M231" s="6" t="s">
        <v>334</v>
      </c>
      <c r="N231" s="6" t="s">
        <v>261</v>
      </c>
      <c r="O231" s="6" t="s">
        <v>327</v>
      </c>
      <c r="P231" s="6" t="str">
        <f aca="false">IF(J231="S0","—",IF(K231="","",IF(L231="E0","QM",INDEX(10_ASIL_Matrix!$D$4:$F$15,MATCH(J231&amp;"-"&amp;L231,10_ASIL_Matrix!$C$4:$C$15,0),MATCH(N231,10_ASIL_Matrix!$D$3:$F$3,0)))))</f>
        <v>QM</v>
      </c>
      <c r="Q231" s="6" t="s">
        <v>779</v>
      </c>
    </row>
    <row r="232" customFormat="false" ht="68.65" hidden="false" customHeight="false" outlineLevel="0" collapsed="false">
      <c r="A232" s="5" t="s">
        <v>834</v>
      </c>
      <c r="B232" s="5" t="s">
        <v>116</v>
      </c>
      <c r="C232" s="5" t="s">
        <v>117</v>
      </c>
      <c r="D232" s="5" t="s">
        <v>138</v>
      </c>
      <c r="E232" s="5" t="s">
        <v>139</v>
      </c>
      <c r="F232" s="5" t="s">
        <v>184</v>
      </c>
      <c r="G232" s="5" t="s">
        <v>323</v>
      </c>
      <c r="H232" s="5" t="s">
        <v>205</v>
      </c>
      <c r="I232" s="5" t="s">
        <v>835</v>
      </c>
      <c r="J232" s="5" t="s">
        <v>218</v>
      </c>
      <c r="K232" s="5" t="s">
        <v>325</v>
      </c>
      <c r="L232" s="5" t="s">
        <v>206</v>
      </c>
      <c r="M232" s="5" t="s">
        <v>337</v>
      </c>
      <c r="N232" s="5" t="s">
        <v>261</v>
      </c>
      <c r="O232" s="5" t="s">
        <v>327</v>
      </c>
      <c r="P232" s="5" t="str">
        <f aca="false">IF(J232="S0","—",IF(K232="","",IF(L232="E0","QM",INDEX(10_ASIL_Matrix!$D$4:$F$15,MATCH(J232&amp;"-"&amp;L232,10_ASIL_Matrix!$C$4:$C$15,0),MATCH(N232,10_ASIL_Matrix!$D$3:$F$3,0)))))</f>
        <v>QM</v>
      </c>
      <c r="Q232" s="5" t="s">
        <v>779</v>
      </c>
    </row>
    <row r="233" customFormat="false" ht="68.65" hidden="false" customHeight="false" outlineLevel="0" collapsed="false">
      <c r="A233" s="6" t="s">
        <v>836</v>
      </c>
      <c r="B233" s="6" t="s">
        <v>116</v>
      </c>
      <c r="C233" s="6" t="s">
        <v>117</v>
      </c>
      <c r="D233" s="6" t="s">
        <v>138</v>
      </c>
      <c r="E233" s="6" t="s">
        <v>139</v>
      </c>
      <c r="F233" s="6" t="s">
        <v>184</v>
      </c>
      <c r="G233" s="6" t="s">
        <v>323</v>
      </c>
      <c r="H233" s="6" t="s">
        <v>208</v>
      </c>
      <c r="I233" s="6" t="s">
        <v>837</v>
      </c>
      <c r="J233" s="6" t="s">
        <v>218</v>
      </c>
      <c r="K233" s="6" t="s">
        <v>325</v>
      </c>
      <c r="L233" s="6" t="s">
        <v>209</v>
      </c>
      <c r="M233" s="6" t="s">
        <v>340</v>
      </c>
      <c r="N233" s="6" t="s">
        <v>261</v>
      </c>
      <c r="O233" s="6" t="s">
        <v>327</v>
      </c>
      <c r="P233" s="6" t="str">
        <f aca="false">IF(J233="S0","—",IF(K233="","",IF(L233="E0","QM",INDEX(10_ASIL_Matrix!$D$4:$F$15,MATCH(J233&amp;"-"&amp;L233,10_ASIL_Matrix!$C$4:$C$15,0),MATCH(N233,10_ASIL_Matrix!$D$3:$F$3,0)))))</f>
        <v>QM</v>
      </c>
      <c r="Q233" s="6" t="s">
        <v>779</v>
      </c>
    </row>
    <row r="234" customFormat="false" ht="68.65" hidden="false" customHeight="false" outlineLevel="0" collapsed="false">
      <c r="A234" s="5" t="s">
        <v>838</v>
      </c>
      <c r="B234" s="5" t="s">
        <v>116</v>
      </c>
      <c r="C234" s="5" t="s">
        <v>117</v>
      </c>
      <c r="D234" s="5" t="s">
        <v>138</v>
      </c>
      <c r="E234" s="5" t="s">
        <v>139</v>
      </c>
      <c r="F234" s="5" t="s">
        <v>187</v>
      </c>
      <c r="G234" s="5" t="s">
        <v>342</v>
      </c>
      <c r="H234" s="5" t="s">
        <v>199</v>
      </c>
      <c r="I234" s="5" t="s">
        <v>839</v>
      </c>
      <c r="J234" s="5" t="s">
        <v>222</v>
      </c>
      <c r="K234" s="5" t="s">
        <v>344</v>
      </c>
      <c r="L234" s="5" t="s">
        <v>188</v>
      </c>
      <c r="M234" s="5" t="s">
        <v>345</v>
      </c>
      <c r="N234" s="5" t="s">
        <v>261</v>
      </c>
      <c r="O234" s="5" t="s">
        <v>327</v>
      </c>
      <c r="P234" s="15" t="str">
        <f aca="false">IF(J234="S0","—",IF(K234="","",IF(L234="E0","QM",INDEX(10_ASIL_Matrix!$D$4:$F$15,MATCH(J234&amp;"-"&amp;L234,10_ASIL_Matrix!$C$4:$C$15,0),MATCH(N234,10_ASIL_Matrix!$D$3:$F$3,0)))))</f>
        <v>B</v>
      </c>
      <c r="Q234" s="5" t="s">
        <v>779</v>
      </c>
    </row>
    <row r="235" customFormat="false" ht="68.65" hidden="false" customHeight="false" outlineLevel="0" collapsed="false">
      <c r="A235" s="6" t="s">
        <v>840</v>
      </c>
      <c r="B235" s="6" t="s">
        <v>116</v>
      </c>
      <c r="C235" s="6" t="s">
        <v>117</v>
      </c>
      <c r="D235" s="6" t="s">
        <v>138</v>
      </c>
      <c r="E235" s="6" t="s">
        <v>139</v>
      </c>
      <c r="F235" s="6" t="s">
        <v>187</v>
      </c>
      <c r="G235" s="6" t="s">
        <v>342</v>
      </c>
      <c r="H235" s="6" t="s">
        <v>201</v>
      </c>
      <c r="I235" s="6" t="s">
        <v>841</v>
      </c>
      <c r="J235" s="6" t="s">
        <v>222</v>
      </c>
      <c r="K235" s="6" t="s">
        <v>344</v>
      </c>
      <c r="L235" s="6" t="s">
        <v>185</v>
      </c>
      <c r="M235" s="6" t="s">
        <v>348</v>
      </c>
      <c r="N235" s="6" t="s">
        <v>261</v>
      </c>
      <c r="O235" s="6" t="s">
        <v>327</v>
      </c>
      <c r="P235" s="16" t="str">
        <f aca="false">IF(J235="S0","—",IF(K235="","",IF(L235="E0","QM",INDEX(10_ASIL_Matrix!$D$4:$F$15,MATCH(J235&amp;"-"&amp;L235,10_ASIL_Matrix!$C$4:$C$15,0),MATCH(N235,10_ASIL_Matrix!$D$3:$F$3,0)))))</f>
        <v>A</v>
      </c>
      <c r="Q235" s="6" t="s">
        <v>779</v>
      </c>
    </row>
    <row r="236" customFormat="false" ht="68.65" hidden="false" customHeight="false" outlineLevel="0" collapsed="false">
      <c r="A236" s="5" t="s">
        <v>842</v>
      </c>
      <c r="B236" s="5" t="s">
        <v>116</v>
      </c>
      <c r="C236" s="5" t="s">
        <v>117</v>
      </c>
      <c r="D236" s="5" t="s">
        <v>138</v>
      </c>
      <c r="E236" s="5" t="s">
        <v>139</v>
      </c>
      <c r="F236" s="5" t="s">
        <v>187</v>
      </c>
      <c r="G236" s="5" t="s">
        <v>342</v>
      </c>
      <c r="H236" s="5" t="s">
        <v>203</v>
      </c>
      <c r="I236" s="5" t="s">
        <v>843</v>
      </c>
      <c r="J236" s="5" t="s">
        <v>222</v>
      </c>
      <c r="K236" s="5" t="s">
        <v>344</v>
      </c>
      <c r="L236" s="5" t="s">
        <v>185</v>
      </c>
      <c r="M236" s="5" t="s">
        <v>351</v>
      </c>
      <c r="N236" s="5" t="s">
        <v>261</v>
      </c>
      <c r="O236" s="5" t="s">
        <v>327</v>
      </c>
      <c r="P236" s="16" t="str">
        <f aca="false">IF(J236="S0","—",IF(K236="","",IF(L236="E0","QM",INDEX(10_ASIL_Matrix!$D$4:$F$15,MATCH(J236&amp;"-"&amp;L236,10_ASIL_Matrix!$C$4:$C$15,0),MATCH(N236,10_ASIL_Matrix!$D$3:$F$3,0)))))</f>
        <v>A</v>
      </c>
      <c r="Q236" s="5" t="s">
        <v>779</v>
      </c>
    </row>
    <row r="237" customFormat="false" ht="68.65" hidden="false" customHeight="false" outlineLevel="0" collapsed="false">
      <c r="A237" s="6" t="s">
        <v>844</v>
      </c>
      <c r="B237" s="6" t="s">
        <v>116</v>
      </c>
      <c r="C237" s="6" t="s">
        <v>117</v>
      </c>
      <c r="D237" s="6" t="s">
        <v>138</v>
      </c>
      <c r="E237" s="6" t="s">
        <v>139</v>
      </c>
      <c r="F237" s="6" t="s">
        <v>187</v>
      </c>
      <c r="G237" s="6" t="s">
        <v>342</v>
      </c>
      <c r="H237" s="6" t="s">
        <v>205</v>
      </c>
      <c r="I237" s="6" t="s">
        <v>845</v>
      </c>
      <c r="J237" s="6" t="s">
        <v>222</v>
      </c>
      <c r="K237" s="6" t="s">
        <v>354</v>
      </c>
      <c r="L237" s="6" t="s">
        <v>206</v>
      </c>
      <c r="M237" s="6" t="s">
        <v>355</v>
      </c>
      <c r="N237" s="6" t="s">
        <v>261</v>
      </c>
      <c r="O237" s="6" t="s">
        <v>327</v>
      </c>
      <c r="P237" s="6" t="str">
        <f aca="false">IF(J237="S0","—",IF(K237="","",IF(L237="E0","QM",INDEX(10_ASIL_Matrix!$D$4:$F$15,MATCH(J237&amp;"-"&amp;L237,10_ASIL_Matrix!$C$4:$C$15,0),MATCH(N237,10_ASIL_Matrix!$D$3:$F$3,0)))))</f>
        <v>QM</v>
      </c>
      <c r="Q237" s="6" t="s">
        <v>779</v>
      </c>
    </row>
    <row r="238" customFormat="false" ht="68.65" hidden="false" customHeight="false" outlineLevel="0" collapsed="false">
      <c r="A238" s="5" t="s">
        <v>846</v>
      </c>
      <c r="B238" s="5" t="s">
        <v>116</v>
      </c>
      <c r="C238" s="5" t="s">
        <v>117</v>
      </c>
      <c r="D238" s="5" t="s">
        <v>138</v>
      </c>
      <c r="E238" s="5" t="s">
        <v>139</v>
      </c>
      <c r="F238" s="5" t="s">
        <v>187</v>
      </c>
      <c r="G238" s="5" t="s">
        <v>342</v>
      </c>
      <c r="H238" s="5" t="s">
        <v>208</v>
      </c>
      <c r="I238" s="5" t="s">
        <v>847</v>
      </c>
      <c r="J238" s="5" t="s">
        <v>222</v>
      </c>
      <c r="K238" s="5" t="s">
        <v>354</v>
      </c>
      <c r="L238" s="5" t="s">
        <v>209</v>
      </c>
      <c r="M238" s="5" t="s">
        <v>358</v>
      </c>
      <c r="N238" s="5" t="s">
        <v>261</v>
      </c>
      <c r="O238" s="5" t="s">
        <v>327</v>
      </c>
      <c r="P238" s="5" t="str">
        <f aca="false">IF(J238="S0","—",IF(K238="","",IF(L238="E0","QM",INDEX(10_ASIL_Matrix!$D$4:$F$15,MATCH(J238&amp;"-"&amp;L238,10_ASIL_Matrix!$C$4:$C$15,0),MATCH(N238,10_ASIL_Matrix!$D$3:$F$3,0)))))</f>
        <v>QM</v>
      </c>
      <c r="Q238" s="5" t="s">
        <v>779</v>
      </c>
    </row>
    <row r="239" customFormat="false" ht="68.65" hidden="false" customHeight="false" outlineLevel="0" collapsed="false">
      <c r="A239" s="6" t="s">
        <v>848</v>
      </c>
      <c r="B239" s="6" t="s">
        <v>116</v>
      </c>
      <c r="C239" s="6" t="s">
        <v>117</v>
      </c>
      <c r="D239" s="6" t="s">
        <v>138</v>
      </c>
      <c r="E239" s="6" t="s">
        <v>139</v>
      </c>
      <c r="F239" s="6" t="s">
        <v>190</v>
      </c>
      <c r="G239" s="6" t="s">
        <v>360</v>
      </c>
      <c r="H239" s="6" t="s">
        <v>199</v>
      </c>
      <c r="I239" s="6" t="s">
        <v>849</v>
      </c>
      <c r="J239" s="6" t="s">
        <v>222</v>
      </c>
      <c r="K239" s="6" t="s">
        <v>362</v>
      </c>
      <c r="L239" s="6" t="s">
        <v>188</v>
      </c>
      <c r="M239" s="6" t="s">
        <v>363</v>
      </c>
      <c r="N239" s="6" t="s">
        <v>261</v>
      </c>
      <c r="O239" s="6" t="s">
        <v>327</v>
      </c>
      <c r="P239" s="15" t="str">
        <f aca="false">IF(J239="S0","—",IF(K239="","",IF(L239="E0","QM",INDEX(10_ASIL_Matrix!$D$4:$F$15,MATCH(J239&amp;"-"&amp;L239,10_ASIL_Matrix!$C$4:$C$15,0),MATCH(N239,10_ASIL_Matrix!$D$3:$F$3,0)))))</f>
        <v>B</v>
      </c>
      <c r="Q239" s="6" t="s">
        <v>779</v>
      </c>
    </row>
    <row r="240" customFormat="false" ht="68.65" hidden="false" customHeight="false" outlineLevel="0" collapsed="false">
      <c r="A240" s="5" t="s">
        <v>850</v>
      </c>
      <c r="B240" s="5" t="s">
        <v>116</v>
      </c>
      <c r="C240" s="5" t="s">
        <v>117</v>
      </c>
      <c r="D240" s="5" t="s">
        <v>138</v>
      </c>
      <c r="E240" s="5" t="s">
        <v>139</v>
      </c>
      <c r="F240" s="5" t="s">
        <v>190</v>
      </c>
      <c r="G240" s="5" t="s">
        <v>360</v>
      </c>
      <c r="H240" s="5" t="s">
        <v>201</v>
      </c>
      <c r="I240" s="5" t="s">
        <v>851</v>
      </c>
      <c r="J240" s="5" t="s">
        <v>222</v>
      </c>
      <c r="K240" s="5" t="s">
        <v>362</v>
      </c>
      <c r="L240" s="5" t="s">
        <v>185</v>
      </c>
      <c r="M240" s="5" t="s">
        <v>366</v>
      </c>
      <c r="N240" s="5" t="s">
        <v>261</v>
      </c>
      <c r="O240" s="5" t="s">
        <v>327</v>
      </c>
      <c r="P240" s="16" t="str">
        <f aca="false">IF(J240="S0","—",IF(K240="","",IF(L240="E0","QM",INDEX(10_ASIL_Matrix!$D$4:$F$15,MATCH(J240&amp;"-"&amp;L240,10_ASIL_Matrix!$C$4:$C$15,0),MATCH(N240,10_ASIL_Matrix!$D$3:$F$3,0)))))</f>
        <v>A</v>
      </c>
      <c r="Q240" s="5" t="s">
        <v>779</v>
      </c>
    </row>
    <row r="241" customFormat="false" ht="68.65" hidden="false" customHeight="false" outlineLevel="0" collapsed="false">
      <c r="A241" s="6" t="s">
        <v>852</v>
      </c>
      <c r="B241" s="6" t="s">
        <v>116</v>
      </c>
      <c r="C241" s="6" t="s">
        <v>117</v>
      </c>
      <c r="D241" s="6" t="s">
        <v>138</v>
      </c>
      <c r="E241" s="6" t="s">
        <v>139</v>
      </c>
      <c r="F241" s="6" t="s">
        <v>190</v>
      </c>
      <c r="G241" s="6" t="s">
        <v>360</v>
      </c>
      <c r="H241" s="6" t="s">
        <v>203</v>
      </c>
      <c r="I241" s="6" t="s">
        <v>853</v>
      </c>
      <c r="J241" s="6" t="s">
        <v>222</v>
      </c>
      <c r="K241" s="6" t="s">
        <v>362</v>
      </c>
      <c r="L241" s="6" t="s">
        <v>185</v>
      </c>
      <c r="M241" s="6" t="s">
        <v>369</v>
      </c>
      <c r="N241" s="6" t="s">
        <v>261</v>
      </c>
      <c r="O241" s="6" t="s">
        <v>327</v>
      </c>
      <c r="P241" s="16" t="str">
        <f aca="false">IF(J241="S0","—",IF(K241="","",IF(L241="E0","QM",INDEX(10_ASIL_Matrix!$D$4:$F$15,MATCH(J241&amp;"-"&amp;L241,10_ASIL_Matrix!$C$4:$C$15,0),MATCH(N241,10_ASIL_Matrix!$D$3:$F$3,0)))))</f>
        <v>A</v>
      </c>
      <c r="Q241" s="6" t="s">
        <v>779</v>
      </c>
    </row>
    <row r="242" customFormat="false" ht="68.65" hidden="false" customHeight="false" outlineLevel="0" collapsed="false">
      <c r="A242" s="5" t="s">
        <v>854</v>
      </c>
      <c r="B242" s="5" t="s">
        <v>116</v>
      </c>
      <c r="C242" s="5" t="s">
        <v>117</v>
      </c>
      <c r="D242" s="5" t="s">
        <v>138</v>
      </c>
      <c r="E242" s="5" t="s">
        <v>139</v>
      </c>
      <c r="F242" s="5" t="s">
        <v>190</v>
      </c>
      <c r="G242" s="5" t="s">
        <v>360</v>
      </c>
      <c r="H242" s="5" t="s">
        <v>205</v>
      </c>
      <c r="I242" s="5" t="s">
        <v>855</v>
      </c>
      <c r="J242" s="5" t="s">
        <v>222</v>
      </c>
      <c r="K242" s="5" t="s">
        <v>372</v>
      </c>
      <c r="L242" s="5" t="s">
        <v>206</v>
      </c>
      <c r="M242" s="5" t="s">
        <v>373</v>
      </c>
      <c r="N242" s="5" t="s">
        <v>261</v>
      </c>
      <c r="O242" s="5" t="s">
        <v>327</v>
      </c>
      <c r="P242" s="5" t="str">
        <f aca="false">IF(J242="S0","—",IF(K242="","",IF(L242="E0","QM",INDEX(10_ASIL_Matrix!$D$4:$F$15,MATCH(J242&amp;"-"&amp;L242,10_ASIL_Matrix!$C$4:$C$15,0),MATCH(N242,10_ASIL_Matrix!$D$3:$F$3,0)))))</f>
        <v>QM</v>
      </c>
      <c r="Q242" s="5" t="s">
        <v>779</v>
      </c>
    </row>
    <row r="243" customFormat="false" ht="68.65" hidden="false" customHeight="false" outlineLevel="0" collapsed="false">
      <c r="A243" s="6" t="s">
        <v>856</v>
      </c>
      <c r="B243" s="6" t="s">
        <v>116</v>
      </c>
      <c r="C243" s="6" t="s">
        <v>117</v>
      </c>
      <c r="D243" s="6" t="s">
        <v>138</v>
      </c>
      <c r="E243" s="6" t="s">
        <v>139</v>
      </c>
      <c r="F243" s="6" t="s">
        <v>190</v>
      </c>
      <c r="G243" s="6" t="s">
        <v>360</v>
      </c>
      <c r="H243" s="6" t="s">
        <v>208</v>
      </c>
      <c r="I243" s="6" t="s">
        <v>857</v>
      </c>
      <c r="J243" s="6" t="s">
        <v>222</v>
      </c>
      <c r="K243" s="6" t="s">
        <v>372</v>
      </c>
      <c r="L243" s="6" t="s">
        <v>209</v>
      </c>
      <c r="M243" s="6" t="s">
        <v>376</v>
      </c>
      <c r="N243" s="6" t="s">
        <v>261</v>
      </c>
      <c r="O243" s="6" t="s">
        <v>327</v>
      </c>
      <c r="P243" s="6" t="str">
        <f aca="false">IF(J243="S0","—",IF(K243="","",IF(L243="E0","QM",INDEX(10_ASIL_Matrix!$D$4:$F$15,MATCH(J243&amp;"-"&amp;L243,10_ASIL_Matrix!$C$4:$C$15,0),MATCH(N243,10_ASIL_Matrix!$D$3:$F$3,0)))))</f>
        <v>QM</v>
      </c>
      <c r="Q243" s="6" t="s">
        <v>779</v>
      </c>
    </row>
    <row r="244" customFormat="false" ht="68.65" hidden="false" customHeight="false" outlineLevel="0" collapsed="false">
      <c r="A244" s="5" t="s">
        <v>858</v>
      </c>
      <c r="B244" s="5" t="s">
        <v>116</v>
      </c>
      <c r="C244" s="5" t="s">
        <v>117</v>
      </c>
      <c r="D244" s="5" t="s">
        <v>138</v>
      </c>
      <c r="E244" s="5" t="s">
        <v>139</v>
      </c>
      <c r="F244" s="5" t="s">
        <v>192</v>
      </c>
      <c r="G244" s="5" t="s">
        <v>378</v>
      </c>
      <c r="H244" s="5" t="s">
        <v>199</v>
      </c>
      <c r="I244" s="5" t="s">
        <v>859</v>
      </c>
      <c r="J244" s="5" t="s">
        <v>226</v>
      </c>
      <c r="K244" s="5" t="s">
        <v>380</v>
      </c>
      <c r="L244" s="5" t="s">
        <v>185</v>
      </c>
      <c r="M244" s="5" t="s">
        <v>381</v>
      </c>
      <c r="N244" s="5" t="s">
        <v>261</v>
      </c>
      <c r="O244" s="5" t="s">
        <v>327</v>
      </c>
      <c r="P244" s="15" t="str">
        <f aca="false">IF(J244="S0","—",IF(K244="","",IF(L244="E0","QM",INDEX(10_ASIL_Matrix!$D$4:$F$15,MATCH(J244&amp;"-"&amp;L244,10_ASIL_Matrix!$C$4:$C$15,0),MATCH(N244,10_ASIL_Matrix!$D$3:$F$3,0)))))</f>
        <v>B</v>
      </c>
      <c r="Q244" s="5" t="s">
        <v>779</v>
      </c>
    </row>
    <row r="245" customFormat="false" ht="68.65" hidden="false" customHeight="false" outlineLevel="0" collapsed="false">
      <c r="A245" s="6" t="s">
        <v>860</v>
      </c>
      <c r="B245" s="6" t="s">
        <v>116</v>
      </c>
      <c r="C245" s="6" t="s">
        <v>117</v>
      </c>
      <c r="D245" s="6" t="s">
        <v>138</v>
      </c>
      <c r="E245" s="6" t="s">
        <v>139</v>
      </c>
      <c r="F245" s="6" t="s">
        <v>192</v>
      </c>
      <c r="G245" s="6" t="s">
        <v>378</v>
      </c>
      <c r="H245" s="6" t="s">
        <v>201</v>
      </c>
      <c r="I245" s="6" t="s">
        <v>861</v>
      </c>
      <c r="J245" s="6" t="s">
        <v>226</v>
      </c>
      <c r="K245" s="6" t="s">
        <v>380</v>
      </c>
      <c r="L245" s="6" t="s">
        <v>185</v>
      </c>
      <c r="M245" s="6" t="s">
        <v>384</v>
      </c>
      <c r="N245" s="6" t="s">
        <v>261</v>
      </c>
      <c r="O245" s="6" t="s">
        <v>327</v>
      </c>
      <c r="P245" s="15" t="str">
        <f aca="false">IF(J245="S0","—",IF(K245="","",IF(L245="E0","QM",INDEX(10_ASIL_Matrix!$D$4:$F$15,MATCH(J245&amp;"-"&amp;L245,10_ASIL_Matrix!$C$4:$C$15,0),MATCH(N245,10_ASIL_Matrix!$D$3:$F$3,0)))))</f>
        <v>B</v>
      </c>
      <c r="Q245" s="6" t="s">
        <v>779</v>
      </c>
    </row>
    <row r="246" customFormat="false" ht="68.65" hidden="false" customHeight="false" outlineLevel="0" collapsed="false">
      <c r="A246" s="5" t="s">
        <v>862</v>
      </c>
      <c r="B246" s="5" t="s">
        <v>116</v>
      </c>
      <c r="C246" s="5" t="s">
        <v>117</v>
      </c>
      <c r="D246" s="5" t="s">
        <v>138</v>
      </c>
      <c r="E246" s="5" t="s">
        <v>139</v>
      </c>
      <c r="F246" s="5" t="s">
        <v>192</v>
      </c>
      <c r="G246" s="5" t="s">
        <v>378</v>
      </c>
      <c r="H246" s="5" t="s">
        <v>203</v>
      </c>
      <c r="I246" s="5" t="s">
        <v>863</v>
      </c>
      <c r="J246" s="5" t="s">
        <v>226</v>
      </c>
      <c r="K246" s="5" t="s">
        <v>380</v>
      </c>
      <c r="L246" s="5" t="s">
        <v>185</v>
      </c>
      <c r="M246" s="5" t="s">
        <v>387</v>
      </c>
      <c r="N246" s="5" t="s">
        <v>261</v>
      </c>
      <c r="O246" s="5" t="s">
        <v>327</v>
      </c>
      <c r="P246" s="15" t="str">
        <f aca="false">IF(J246="S0","—",IF(K246="","",IF(L246="E0","QM",INDEX(10_ASIL_Matrix!$D$4:$F$15,MATCH(J246&amp;"-"&amp;L246,10_ASIL_Matrix!$C$4:$C$15,0),MATCH(N246,10_ASIL_Matrix!$D$3:$F$3,0)))))</f>
        <v>B</v>
      </c>
      <c r="Q246" s="5" t="s">
        <v>779</v>
      </c>
    </row>
    <row r="247" customFormat="false" ht="68.65" hidden="false" customHeight="false" outlineLevel="0" collapsed="false">
      <c r="A247" s="6" t="s">
        <v>864</v>
      </c>
      <c r="B247" s="6" t="s">
        <v>116</v>
      </c>
      <c r="C247" s="6" t="s">
        <v>117</v>
      </c>
      <c r="D247" s="6" t="s">
        <v>138</v>
      </c>
      <c r="E247" s="6" t="s">
        <v>139</v>
      </c>
      <c r="F247" s="6" t="s">
        <v>192</v>
      </c>
      <c r="G247" s="6" t="s">
        <v>378</v>
      </c>
      <c r="H247" s="6" t="s">
        <v>205</v>
      </c>
      <c r="I247" s="6" t="s">
        <v>865</v>
      </c>
      <c r="J247" s="6" t="s">
        <v>226</v>
      </c>
      <c r="K247" s="6" t="s">
        <v>390</v>
      </c>
      <c r="L247" s="6" t="s">
        <v>206</v>
      </c>
      <c r="M247" s="6" t="s">
        <v>391</v>
      </c>
      <c r="N247" s="6" t="s">
        <v>261</v>
      </c>
      <c r="O247" s="6" t="s">
        <v>327</v>
      </c>
      <c r="P247" s="16" t="str">
        <f aca="false">IF(J247="S0","—",IF(K247="","",IF(L247="E0","QM",INDEX(10_ASIL_Matrix!$D$4:$F$15,MATCH(J247&amp;"-"&amp;L247,10_ASIL_Matrix!$C$4:$C$15,0),MATCH(N247,10_ASIL_Matrix!$D$3:$F$3,0)))))</f>
        <v>A</v>
      </c>
      <c r="Q247" s="6" t="s">
        <v>779</v>
      </c>
    </row>
    <row r="248" customFormat="false" ht="68.65" hidden="false" customHeight="false" outlineLevel="0" collapsed="false">
      <c r="A248" s="5" t="s">
        <v>866</v>
      </c>
      <c r="B248" s="5" t="s">
        <v>116</v>
      </c>
      <c r="C248" s="5" t="s">
        <v>117</v>
      </c>
      <c r="D248" s="5" t="s">
        <v>138</v>
      </c>
      <c r="E248" s="5" t="s">
        <v>139</v>
      </c>
      <c r="F248" s="5" t="s">
        <v>192</v>
      </c>
      <c r="G248" s="5" t="s">
        <v>378</v>
      </c>
      <c r="H248" s="5" t="s">
        <v>208</v>
      </c>
      <c r="I248" s="5" t="s">
        <v>867</v>
      </c>
      <c r="J248" s="5" t="s">
        <v>226</v>
      </c>
      <c r="K248" s="5" t="s">
        <v>390</v>
      </c>
      <c r="L248" s="5" t="s">
        <v>209</v>
      </c>
      <c r="M248" s="5" t="s">
        <v>394</v>
      </c>
      <c r="N248" s="5" t="s">
        <v>261</v>
      </c>
      <c r="O248" s="5" t="s">
        <v>327</v>
      </c>
      <c r="P248" s="5" t="str">
        <f aca="false">IF(J248="S0","—",IF(K248="","",IF(L248="E0","QM",INDEX(10_ASIL_Matrix!$D$4:$F$15,MATCH(J248&amp;"-"&amp;L248,10_ASIL_Matrix!$C$4:$C$15,0),MATCH(N248,10_ASIL_Matrix!$D$3:$F$3,0)))))</f>
        <v>QM</v>
      </c>
      <c r="Q248" s="5" t="s">
        <v>779</v>
      </c>
    </row>
    <row r="249" customFormat="false" ht="68.65" hidden="false" customHeight="false" outlineLevel="0" collapsed="false">
      <c r="A249" s="6" t="s">
        <v>868</v>
      </c>
      <c r="B249" s="6" t="s">
        <v>116</v>
      </c>
      <c r="C249" s="6" t="s">
        <v>117</v>
      </c>
      <c r="D249" s="6" t="s">
        <v>138</v>
      </c>
      <c r="E249" s="6" t="s">
        <v>139</v>
      </c>
      <c r="F249" s="6" t="s">
        <v>194</v>
      </c>
      <c r="G249" s="6" t="s">
        <v>396</v>
      </c>
      <c r="H249" s="6" t="s">
        <v>199</v>
      </c>
      <c r="I249" s="6" t="s">
        <v>869</v>
      </c>
      <c r="J249" s="6" t="s">
        <v>226</v>
      </c>
      <c r="K249" s="6" t="s">
        <v>398</v>
      </c>
      <c r="L249" s="6" t="s">
        <v>188</v>
      </c>
      <c r="M249" s="6" t="s">
        <v>399</v>
      </c>
      <c r="N249" s="6" t="s">
        <v>261</v>
      </c>
      <c r="O249" s="6" t="s">
        <v>327</v>
      </c>
      <c r="P249" s="17" t="str">
        <f aca="false">IF(J249="S0","—",IF(K249="","",IF(L249="E0","QM",INDEX(10_ASIL_Matrix!$D$4:$F$15,MATCH(J249&amp;"-"&amp;L249,10_ASIL_Matrix!$C$4:$C$15,0),MATCH(N249,10_ASIL_Matrix!$D$3:$F$3,0)))))</f>
        <v>C</v>
      </c>
      <c r="Q249" s="6" t="s">
        <v>779</v>
      </c>
    </row>
    <row r="250" customFormat="false" ht="68.65" hidden="false" customHeight="false" outlineLevel="0" collapsed="false">
      <c r="A250" s="5" t="s">
        <v>870</v>
      </c>
      <c r="B250" s="5" t="s">
        <v>116</v>
      </c>
      <c r="C250" s="5" t="s">
        <v>117</v>
      </c>
      <c r="D250" s="5" t="s">
        <v>138</v>
      </c>
      <c r="E250" s="5" t="s">
        <v>139</v>
      </c>
      <c r="F250" s="5" t="s">
        <v>194</v>
      </c>
      <c r="G250" s="5" t="s">
        <v>396</v>
      </c>
      <c r="H250" s="5" t="s">
        <v>201</v>
      </c>
      <c r="I250" s="5" t="s">
        <v>871</v>
      </c>
      <c r="J250" s="5" t="s">
        <v>226</v>
      </c>
      <c r="K250" s="5" t="s">
        <v>398</v>
      </c>
      <c r="L250" s="5" t="s">
        <v>185</v>
      </c>
      <c r="M250" s="5" t="s">
        <v>402</v>
      </c>
      <c r="N250" s="5" t="s">
        <v>261</v>
      </c>
      <c r="O250" s="5" t="s">
        <v>327</v>
      </c>
      <c r="P250" s="15" t="str">
        <f aca="false">IF(J250="S0","—",IF(K250="","",IF(L250="E0","QM",INDEX(10_ASIL_Matrix!$D$4:$F$15,MATCH(J250&amp;"-"&amp;L250,10_ASIL_Matrix!$C$4:$C$15,0),MATCH(N250,10_ASIL_Matrix!$D$3:$F$3,0)))))</f>
        <v>B</v>
      </c>
      <c r="Q250" s="5" t="s">
        <v>779</v>
      </c>
    </row>
    <row r="251" customFormat="false" ht="68.65" hidden="false" customHeight="false" outlineLevel="0" collapsed="false">
      <c r="A251" s="6" t="s">
        <v>872</v>
      </c>
      <c r="B251" s="6" t="s">
        <v>116</v>
      </c>
      <c r="C251" s="6" t="s">
        <v>117</v>
      </c>
      <c r="D251" s="6" t="s">
        <v>138</v>
      </c>
      <c r="E251" s="6" t="s">
        <v>139</v>
      </c>
      <c r="F251" s="6" t="s">
        <v>194</v>
      </c>
      <c r="G251" s="6" t="s">
        <v>396</v>
      </c>
      <c r="H251" s="6" t="s">
        <v>203</v>
      </c>
      <c r="I251" s="6" t="s">
        <v>873</v>
      </c>
      <c r="J251" s="6" t="s">
        <v>226</v>
      </c>
      <c r="K251" s="6" t="s">
        <v>398</v>
      </c>
      <c r="L251" s="6" t="s">
        <v>185</v>
      </c>
      <c r="M251" s="6" t="s">
        <v>405</v>
      </c>
      <c r="N251" s="6" t="s">
        <v>261</v>
      </c>
      <c r="O251" s="6" t="s">
        <v>327</v>
      </c>
      <c r="P251" s="15" t="str">
        <f aca="false">IF(J251="S0","—",IF(K251="","",IF(L251="E0","QM",INDEX(10_ASIL_Matrix!$D$4:$F$15,MATCH(J251&amp;"-"&amp;L251,10_ASIL_Matrix!$C$4:$C$15,0),MATCH(N251,10_ASIL_Matrix!$D$3:$F$3,0)))))</f>
        <v>B</v>
      </c>
      <c r="Q251" s="6" t="s">
        <v>779</v>
      </c>
    </row>
    <row r="252" customFormat="false" ht="68.65" hidden="false" customHeight="false" outlineLevel="0" collapsed="false">
      <c r="A252" s="5" t="s">
        <v>874</v>
      </c>
      <c r="B252" s="5" t="s">
        <v>116</v>
      </c>
      <c r="C252" s="5" t="s">
        <v>117</v>
      </c>
      <c r="D252" s="5" t="s">
        <v>138</v>
      </c>
      <c r="E252" s="5" t="s">
        <v>139</v>
      </c>
      <c r="F252" s="5" t="s">
        <v>194</v>
      </c>
      <c r="G252" s="5" t="s">
        <v>396</v>
      </c>
      <c r="H252" s="5" t="s">
        <v>205</v>
      </c>
      <c r="I252" s="5" t="s">
        <v>875</v>
      </c>
      <c r="J252" s="5" t="s">
        <v>226</v>
      </c>
      <c r="K252" s="5" t="s">
        <v>408</v>
      </c>
      <c r="L252" s="5" t="s">
        <v>206</v>
      </c>
      <c r="M252" s="5" t="s">
        <v>409</v>
      </c>
      <c r="N252" s="5" t="s">
        <v>261</v>
      </c>
      <c r="O252" s="5" t="s">
        <v>327</v>
      </c>
      <c r="P252" s="16" t="str">
        <f aca="false">IF(J252="S0","—",IF(K252="","",IF(L252="E0","QM",INDEX(10_ASIL_Matrix!$D$4:$F$15,MATCH(J252&amp;"-"&amp;L252,10_ASIL_Matrix!$C$4:$C$15,0),MATCH(N252,10_ASIL_Matrix!$D$3:$F$3,0)))))</f>
        <v>A</v>
      </c>
      <c r="Q252" s="5" t="s">
        <v>779</v>
      </c>
    </row>
    <row r="253" customFormat="false" ht="68.65" hidden="false" customHeight="false" outlineLevel="0" collapsed="false">
      <c r="A253" s="6" t="s">
        <v>876</v>
      </c>
      <c r="B253" s="6" t="s">
        <v>116</v>
      </c>
      <c r="C253" s="6" t="s">
        <v>117</v>
      </c>
      <c r="D253" s="6" t="s">
        <v>138</v>
      </c>
      <c r="E253" s="6" t="s">
        <v>139</v>
      </c>
      <c r="F253" s="6" t="s">
        <v>194</v>
      </c>
      <c r="G253" s="6" t="s">
        <v>396</v>
      </c>
      <c r="H253" s="6" t="s">
        <v>208</v>
      </c>
      <c r="I253" s="6" t="s">
        <v>877</v>
      </c>
      <c r="J253" s="6" t="s">
        <v>226</v>
      </c>
      <c r="K253" s="6" t="s">
        <v>408</v>
      </c>
      <c r="L253" s="6" t="s">
        <v>209</v>
      </c>
      <c r="M253" s="6" t="s">
        <v>412</v>
      </c>
      <c r="N253" s="6" t="s">
        <v>261</v>
      </c>
      <c r="O253" s="6" t="s">
        <v>327</v>
      </c>
      <c r="P253" s="6" t="str">
        <f aca="false">IF(J253="S0","—",IF(K253="","",IF(L253="E0","QM",INDEX(10_ASIL_Matrix!$D$4:$F$15,MATCH(J253&amp;"-"&amp;L253,10_ASIL_Matrix!$C$4:$C$15,0),MATCH(N253,10_ASIL_Matrix!$D$3:$F$3,0)))))</f>
        <v>QM</v>
      </c>
      <c r="Q253" s="6" t="s">
        <v>779</v>
      </c>
    </row>
    <row r="254" customFormat="false" ht="35.05" hidden="false" customHeight="false" outlineLevel="0" collapsed="false">
      <c r="A254" s="5" t="s">
        <v>878</v>
      </c>
      <c r="B254" s="5" t="s">
        <v>116</v>
      </c>
      <c r="C254" s="5" t="s">
        <v>117</v>
      </c>
      <c r="D254" s="5" t="s">
        <v>141</v>
      </c>
      <c r="E254" s="5" t="s">
        <v>142</v>
      </c>
      <c r="F254" s="5" t="s">
        <v>184</v>
      </c>
      <c r="G254" s="5" t="s">
        <v>323</v>
      </c>
      <c r="H254" s="5" t="s">
        <v>199</v>
      </c>
      <c r="I254" s="5" t="s">
        <v>879</v>
      </c>
      <c r="J254" s="5" t="s">
        <v>218</v>
      </c>
      <c r="K254" s="5" t="s">
        <v>325</v>
      </c>
      <c r="L254" s="5" t="s">
        <v>185</v>
      </c>
      <c r="M254" s="5" t="s">
        <v>326</v>
      </c>
      <c r="N254" s="5" t="s">
        <v>261</v>
      </c>
      <c r="O254" s="5" t="s">
        <v>465</v>
      </c>
      <c r="P254" s="5" t="str">
        <f aca="false">IF(J254="S0","—",IF(K254="","",IF(L254="E0","QM",INDEX(10_ASIL_Matrix!$D$4:$F$15,MATCH(J254&amp;"-"&amp;L254,10_ASIL_Matrix!$C$4:$C$15,0),MATCH(N254,10_ASIL_Matrix!$D$3:$F$3,0)))))</f>
        <v>QM</v>
      </c>
      <c r="Q254" s="5" t="s">
        <v>779</v>
      </c>
    </row>
    <row r="255" customFormat="false" ht="35.05" hidden="false" customHeight="false" outlineLevel="0" collapsed="false">
      <c r="A255" s="6" t="s">
        <v>880</v>
      </c>
      <c r="B255" s="6" t="s">
        <v>116</v>
      </c>
      <c r="C255" s="6" t="s">
        <v>117</v>
      </c>
      <c r="D255" s="6" t="s">
        <v>141</v>
      </c>
      <c r="E255" s="6" t="s">
        <v>142</v>
      </c>
      <c r="F255" s="6" t="s">
        <v>184</v>
      </c>
      <c r="G255" s="6" t="s">
        <v>323</v>
      </c>
      <c r="H255" s="6" t="s">
        <v>201</v>
      </c>
      <c r="I255" s="6" t="s">
        <v>881</v>
      </c>
      <c r="J255" s="6" t="s">
        <v>218</v>
      </c>
      <c r="K255" s="6" t="s">
        <v>325</v>
      </c>
      <c r="L255" s="6" t="s">
        <v>185</v>
      </c>
      <c r="M255" s="6" t="s">
        <v>331</v>
      </c>
      <c r="N255" s="6" t="s">
        <v>261</v>
      </c>
      <c r="O255" s="6" t="s">
        <v>465</v>
      </c>
      <c r="P255" s="6" t="str">
        <f aca="false">IF(J255="S0","—",IF(K255="","",IF(L255="E0","QM",INDEX(10_ASIL_Matrix!$D$4:$F$15,MATCH(J255&amp;"-"&amp;L255,10_ASIL_Matrix!$C$4:$C$15,0),MATCH(N255,10_ASIL_Matrix!$D$3:$F$3,0)))))</f>
        <v>QM</v>
      </c>
      <c r="Q255" s="6" t="s">
        <v>779</v>
      </c>
    </row>
    <row r="256" customFormat="false" ht="35.05" hidden="false" customHeight="false" outlineLevel="0" collapsed="false">
      <c r="A256" s="5" t="s">
        <v>882</v>
      </c>
      <c r="B256" s="5" t="s">
        <v>116</v>
      </c>
      <c r="C256" s="5" t="s">
        <v>117</v>
      </c>
      <c r="D256" s="5" t="s">
        <v>141</v>
      </c>
      <c r="E256" s="5" t="s">
        <v>142</v>
      </c>
      <c r="F256" s="5" t="s">
        <v>184</v>
      </c>
      <c r="G256" s="5" t="s">
        <v>323</v>
      </c>
      <c r="H256" s="5" t="s">
        <v>203</v>
      </c>
      <c r="I256" s="5" t="s">
        <v>883</v>
      </c>
      <c r="J256" s="5" t="s">
        <v>218</v>
      </c>
      <c r="K256" s="5" t="s">
        <v>325</v>
      </c>
      <c r="L256" s="5" t="s">
        <v>185</v>
      </c>
      <c r="M256" s="5" t="s">
        <v>334</v>
      </c>
      <c r="N256" s="5" t="s">
        <v>261</v>
      </c>
      <c r="O256" s="5" t="s">
        <v>465</v>
      </c>
      <c r="P256" s="5" t="str">
        <f aca="false">IF(J256="S0","—",IF(K256="","",IF(L256="E0","QM",INDEX(10_ASIL_Matrix!$D$4:$F$15,MATCH(J256&amp;"-"&amp;L256,10_ASIL_Matrix!$C$4:$C$15,0),MATCH(N256,10_ASIL_Matrix!$D$3:$F$3,0)))))</f>
        <v>QM</v>
      </c>
      <c r="Q256" s="5" t="s">
        <v>779</v>
      </c>
    </row>
    <row r="257" customFormat="false" ht="35.05" hidden="false" customHeight="false" outlineLevel="0" collapsed="false">
      <c r="A257" s="6" t="s">
        <v>884</v>
      </c>
      <c r="B257" s="6" t="s">
        <v>116</v>
      </c>
      <c r="C257" s="6" t="s">
        <v>117</v>
      </c>
      <c r="D257" s="6" t="s">
        <v>141</v>
      </c>
      <c r="E257" s="6" t="s">
        <v>142</v>
      </c>
      <c r="F257" s="6" t="s">
        <v>184</v>
      </c>
      <c r="G257" s="6" t="s">
        <v>323</v>
      </c>
      <c r="H257" s="6" t="s">
        <v>205</v>
      </c>
      <c r="I257" s="6" t="s">
        <v>885</v>
      </c>
      <c r="J257" s="6" t="s">
        <v>218</v>
      </c>
      <c r="K257" s="6" t="s">
        <v>325</v>
      </c>
      <c r="L257" s="6" t="s">
        <v>206</v>
      </c>
      <c r="M257" s="6" t="s">
        <v>337</v>
      </c>
      <c r="N257" s="6" t="s">
        <v>261</v>
      </c>
      <c r="O257" s="6" t="s">
        <v>465</v>
      </c>
      <c r="P257" s="6" t="str">
        <f aca="false">IF(J257="S0","—",IF(K257="","",IF(L257="E0","QM",INDEX(10_ASIL_Matrix!$D$4:$F$15,MATCH(J257&amp;"-"&amp;L257,10_ASIL_Matrix!$C$4:$C$15,0),MATCH(N257,10_ASIL_Matrix!$D$3:$F$3,0)))))</f>
        <v>QM</v>
      </c>
      <c r="Q257" s="6" t="s">
        <v>779</v>
      </c>
    </row>
    <row r="258" customFormat="false" ht="35.05" hidden="false" customHeight="false" outlineLevel="0" collapsed="false">
      <c r="A258" s="5" t="s">
        <v>886</v>
      </c>
      <c r="B258" s="5" t="s">
        <v>116</v>
      </c>
      <c r="C258" s="5" t="s">
        <v>117</v>
      </c>
      <c r="D258" s="5" t="s">
        <v>141</v>
      </c>
      <c r="E258" s="5" t="s">
        <v>142</v>
      </c>
      <c r="F258" s="5" t="s">
        <v>184</v>
      </c>
      <c r="G258" s="5" t="s">
        <v>323</v>
      </c>
      <c r="H258" s="5" t="s">
        <v>208</v>
      </c>
      <c r="I258" s="5" t="s">
        <v>887</v>
      </c>
      <c r="J258" s="5" t="s">
        <v>218</v>
      </c>
      <c r="K258" s="5" t="s">
        <v>325</v>
      </c>
      <c r="L258" s="5" t="s">
        <v>209</v>
      </c>
      <c r="M258" s="5" t="s">
        <v>340</v>
      </c>
      <c r="N258" s="5" t="s">
        <v>261</v>
      </c>
      <c r="O258" s="5" t="s">
        <v>465</v>
      </c>
      <c r="P258" s="5" t="str">
        <f aca="false">IF(J258="S0","—",IF(K258="","",IF(L258="E0","QM",INDEX(10_ASIL_Matrix!$D$4:$F$15,MATCH(J258&amp;"-"&amp;L258,10_ASIL_Matrix!$C$4:$C$15,0),MATCH(N258,10_ASIL_Matrix!$D$3:$F$3,0)))))</f>
        <v>QM</v>
      </c>
      <c r="Q258" s="5" t="s">
        <v>779</v>
      </c>
    </row>
    <row r="259" customFormat="false" ht="35.05" hidden="false" customHeight="false" outlineLevel="0" collapsed="false">
      <c r="A259" s="6" t="s">
        <v>888</v>
      </c>
      <c r="B259" s="6" t="s">
        <v>116</v>
      </c>
      <c r="C259" s="6" t="s">
        <v>117</v>
      </c>
      <c r="D259" s="6" t="s">
        <v>141</v>
      </c>
      <c r="E259" s="6" t="s">
        <v>142</v>
      </c>
      <c r="F259" s="6" t="s">
        <v>187</v>
      </c>
      <c r="G259" s="6" t="s">
        <v>342</v>
      </c>
      <c r="H259" s="6" t="s">
        <v>199</v>
      </c>
      <c r="I259" s="6" t="s">
        <v>889</v>
      </c>
      <c r="J259" s="6" t="s">
        <v>222</v>
      </c>
      <c r="K259" s="6" t="s">
        <v>344</v>
      </c>
      <c r="L259" s="6" t="s">
        <v>188</v>
      </c>
      <c r="M259" s="6" t="s">
        <v>345</v>
      </c>
      <c r="N259" s="6" t="s">
        <v>261</v>
      </c>
      <c r="O259" s="6" t="s">
        <v>476</v>
      </c>
      <c r="P259" s="15" t="str">
        <f aca="false">IF(J259="S0","—",IF(K259="","",IF(L259="E0","QM",INDEX(10_ASIL_Matrix!$D$4:$F$15,MATCH(J259&amp;"-"&amp;L259,10_ASIL_Matrix!$C$4:$C$15,0),MATCH(N259,10_ASIL_Matrix!$D$3:$F$3,0)))))</f>
        <v>B</v>
      </c>
      <c r="Q259" s="6" t="s">
        <v>779</v>
      </c>
    </row>
    <row r="260" customFormat="false" ht="35.05" hidden="false" customHeight="false" outlineLevel="0" collapsed="false">
      <c r="A260" s="5" t="s">
        <v>890</v>
      </c>
      <c r="B260" s="5" t="s">
        <v>116</v>
      </c>
      <c r="C260" s="5" t="s">
        <v>117</v>
      </c>
      <c r="D260" s="5" t="s">
        <v>141</v>
      </c>
      <c r="E260" s="5" t="s">
        <v>142</v>
      </c>
      <c r="F260" s="5" t="s">
        <v>187</v>
      </c>
      <c r="G260" s="5" t="s">
        <v>342</v>
      </c>
      <c r="H260" s="5" t="s">
        <v>201</v>
      </c>
      <c r="I260" s="5" t="s">
        <v>891</v>
      </c>
      <c r="J260" s="5" t="s">
        <v>222</v>
      </c>
      <c r="K260" s="5" t="s">
        <v>344</v>
      </c>
      <c r="L260" s="5" t="s">
        <v>185</v>
      </c>
      <c r="M260" s="5" t="s">
        <v>348</v>
      </c>
      <c r="N260" s="5" t="s">
        <v>261</v>
      </c>
      <c r="O260" s="5" t="s">
        <v>476</v>
      </c>
      <c r="P260" s="16" t="str">
        <f aca="false">IF(J260="S0","—",IF(K260="","",IF(L260="E0","QM",INDEX(10_ASIL_Matrix!$D$4:$F$15,MATCH(J260&amp;"-"&amp;L260,10_ASIL_Matrix!$C$4:$C$15,0),MATCH(N260,10_ASIL_Matrix!$D$3:$F$3,0)))))</f>
        <v>A</v>
      </c>
      <c r="Q260" s="5" t="s">
        <v>779</v>
      </c>
    </row>
    <row r="261" customFormat="false" ht="35.05" hidden="false" customHeight="false" outlineLevel="0" collapsed="false">
      <c r="A261" s="6" t="s">
        <v>892</v>
      </c>
      <c r="B261" s="6" t="s">
        <v>116</v>
      </c>
      <c r="C261" s="6" t="s">
        <v>117</v>
      </c>
      <c r="D261" s="6" t="s">
        <v>141</v>
      </c>
      <c r="E261" s="6" t="s">
        <v>142</v>
      </c>
      <c r="F261" s="6" t="s">
        <v>187</v>
      </c>
      <c r="G261" s="6" t="s">
        <v>342</v>
      </c>
      <c r="H261" s="6" t="s">
        <v>203</v>
      </c>
      <c r="I261" s="6" t="s">
        <v>893</v>
      </c>
      <c r="J261" s="6" t="s">
        <v>222</v>
      </c>
      <c r="K261" s="6" t="s">
        <v>344</v>
      </c>
      <c r="L261" s="6" t="s">
        <v>185</v>
      </c>
      <c r="M261" s="6" t="s">
        <v>351</v>
      </c>
      <c r="N261" s="6" t="s">
        <v>261</v>
      </c>
      <c r="O261" s="6" t="s">
        <v>476</v>
      </c>
      <c r="P261" s="16" t="str">
        <f aca="false">IF(J261="S0","—",IF(K261="","",IF(L261="E0","QM",INDEX(10_ASIL_Matrix!$D$4:$F$15,MATCH(J261&amp;"-"&amp;L261,10_ASIL_Matrix!$C$4:$C$15,0),MATCH(N261,10_ASIL_Matrix!$D$3:$F$3,0)))))</f>
        <v>A</v>
      </c>
      <c r="Q261" s="6" t="s">
        <v>779</v>
      </c>
    </row>
    <row r="262" customFormat="false" ht="35.05" hidden="false" customHeight="false" outlineLevel="0" collapsed="false">
      <c r="A262" s="5" t="s">
        <v>894</v>
      </c>
      <c r="B262" s="5" t="s">
        <v>116</v>
      </c>
      <c r="C262" s="5" t="s">
        <v>117</v>
      </c>
      <c r="D262" s="5" t="s">
        <v>141</v>
      </c>
      <c r="E262" s="5" t="s">
        <v>142</v>
      </c>
      <c r="F262" s="5" t="s">
        <v>187</v>
      </c>
      <c r="G262" s="5" t="s">
        <v>342</v>
      </c>
      <c r="H262" s="5" t="s">
        <v>205</v>
      </c>
      <c r="I262" s="5" t="s">
        <v>895</v>
      </c>
      <c r="J262" s="5" t="s">
        <v>222</v>
      </c>
      <c r="K262" s="5" t="s">
        <v>354</v>
      </c>
      <c r="L262" s="5" t="s">
        <v>206</v>
      </c>
      <c r="M262" s="5" t="s">
        <v>355</v>
      </c>
      <c r="N262" s="5" t="s">
        <v>261</v>
      </c>
      <c r="O262" s="5" t="s">
        <v>476</v>
      </c>
      <c r="P262" s="5" t="str">
        <f aca="false">IF(J262="S0","—",IF(K262="","",IF(L262="E0","QM",INDEX(10_ASIL_Matrix!$D$4:$F$15,MATCH(J262&amp;"-"&amp;L262,10_ASIL_Matrix!$C$4:$C$15,0),MATCH(N262,10_ASIL_Matrix!$D$3:$F$3,0)))))</f>
        <v>QM</v>
      </c>
      <c r="Q262" s="5" t="s">
        <v>779</v>
      </c>
    </row>
    <row r="263" customFormat="false" ht="35.05" hidden="false" customHeight="false" outlineLevel="0" collapsed="false">
      <c r="A263" s="6" t="s">
        <v>896</v>
      </c>
      <c r="B263" s="6" t="s">
        <v>116</v>
      </c>
      <c r="C263" s="6" t="s">
        <v>117</v>
      </c>
      <c r="D263" s="6" t="s">
        <v>141</v>
      </c>
      <c r="E263" s="6" t="s">
        <v>142</v>
      </c>
      <c r="F263" s="6" t="s">
        <v>187</v>
      </c>
      <c r="G263" s="6" t="s">
        <v>342</v>
      </c>
      <c r="H263" s="6" t="s">
        <v>208</v>
      </c>
      <c r="I263" s="6" t="s">
        <v>897</v>
      </c>
      <c r="J263" s="6" t="s">
        <v>222</v>
      </c>
      <c r="K263" s="6" t="s">
        <v>354</v>
      </c>
      <c r="L263" s="6" t="s">
        <v>209</v>
      </c>
      <c r="M263" s="6" t="s">
        <v>358</v>
      </c>
      <c r="N263" s="6" t="s">
        <v>261</v>
      </c>
      <c r="O263" s="6" t="s">
        <v>476</v>
      </c>
      <c r="P263" s="6" t="str">
        <f aca="false">IF(J263="S0","—",IF(K263="","",IF(L263="E0","QM",INDEX(10_ASIL_Matrix!$D$4:$F$15,MATCH(J263&amp;"-"&amp;L263,10_ASIL_Matrix!$C$4:$C$15,0),MATCH(N263,10_ASIL_Matrix!$D$3:$F$3,0)))))</f>
        <v>QM</v>
      </c>
      <c r="Q263" s="6" t="s">
        <v>779</v>
      </c>
    </row>
    <row r="264" customFormat="false" ht="35.05" hidden="false" customHeight="false" outlineLevel="0" collapsed="false">
      <c r="A264" s="5" t="s">
        <v>898</v>
      </c>
      <c r="B264" s="5" t="s">
        <v>116</v>
      </c>
      <c r="C264" s="5" t="s">
        <v>117</v>
      </c>
      <c r="D264" s="5" t="s">
        <v>141</v>
      </c>
      <c r="E264" s="5" t="s">
        <v>142</v>
      </c>
      <c r="F264" s="5" t="s">
        <v>190</v>
      </c>
      <c r="G264" s="5" t="s">
        <v>360</v>
      </c>
      <c r="H264" s="5" t="s">
        <v>199</v>
      </c>
      <c r="I264" s="5" t="s">
        <v>899</v>
      </c>
      <c r="J264" s="5" t="s">
        <v>222</v>
      </c>
      <c r="K264" s="5" t="s">
        <v>362</v>
      </c>
      <c r="L264" s="5" t="s">
        <v>188</v>
      </c>
      <c r="M264" s="5" t="s">
        <v>363</v>
      </c>
      <c r="N264" s="5" t="s">
        <v>265</v>
      </c>
      <c r="O264" s="5" t="s">
        <v>487</v>
      </c>
      <c r="P264" s="17" t="str">
        <f aca="false">IF(J264="S0","—",IF(K264="","",IF(L264="E0","QM",INDEX(10_ASIL_Matrix!$D$4:$F$15,MATCH(J264&amp;"-"&amp;L264,10_ASIL_Matrix!$C$4:$C$15,0),MATCH(N264,10_ASIL_Matrix!$D$3:$F$3,0)))))</f>
        <v>C</v>
      </c>
      <c r="Q264" s="5" t="s">
        <v>779</v>
      </c>
    </row>
    <row r="265" customFormat="false" ht="35.05" hidden="false" customHeight="false" outlineLevel="0" collapsed="false">
      <c r="A265" s="6" t="s">
        <v>900</v>
      </c>
      <c r="B265" s="6" t="s">
        <v>116</v>
      </c>
      <c r="C265" s="6" t="s">
        <v>117</v>
      </c>
      <c r="D265" s="6" t="s">
        <v>141</v>
      </c>
      <c r="E265" s="6" t="s">
        <v>142</v>
      </c>
      <c r="F265" s="6" t="s">
        <v>190</v>
      </c>
      <c r="G265" s="6" t="s">
        <v>360</v>
      </c>
      <c r="H265" s="6" t="s">
        <v>201</v>
      </c>
      <c r="I265" s="6" t="s">
        <v>901</v>
      </c>
      <c r="J265" s="6" t="s">
        <v>222</v>
      </c>
      <c r="K265" s="6" t="s">
        <v>362</v>
      </c>
      <c r="L265" s="6" t="s">
        <v>185</v>
      </c>
      <c r="M265" s="6" t="s">
        <v>366</v>
      </c>
      <c r="N265" s="6" t="s">
        <v>265</v>
      </c>
      <c r="O265" s="6" t="s">
        <v>487</v>
      </c>
      <c r="P265" s="15" t="str">
        <f aca="false">IF(J265="S0","—",IF(K265="","",IF(L265="E0","QM",INDEX(10_ASIL_Matrix!$D$4:$F$15,MATCH(J265&amp;"-"&amp;L265,10_ASIL_Matrix!$C$4:$C$15,0),MATCH(N265,10_ASIL_Matrix!$D$3:$F$3,0)))))</f>
        <v>B</v>
      </c>
      <c r="Q265" s="6" t="s">
        <v>779</v>
      </c>
    </row>
    <row r="266" customFormat="false" ht="35.05" hidden="false" customHeight="false" outlineLevel="0" collapsed="false">
      <c r="A266" s="5" t="s">
        <v>902</v>
      </c>
      <c r="B266" s="5" t="s">
        <v>116</v>
      </c>
      <c r="C266" s="5" t="s">
        <v>117</v>
      </c>
      <c r="D266" s="5" t="s">
        <v>141</v>
      </c>
      <c r="E266" s="5" t="s">
        <v>142</v>
      </c>
      <c r="F266" s="5" t="s">
        <v>190</v>
      </c>
      <c r="G266" s="5" t="s">
        <v>360</v>
      </c>
      <c r="H266" s="5" t="s">
        <v>203</v>
      </c>
      <c r="I266" s="5" t="s">
        <v>903</v>
      </c>
      <c r="J266" s="5" t="s">
        <v>222</v>
      </c>
      <c r="K266" s="5" t="s">
        <v>362</v>
      </c>
      <c r="L266" s="5" t="s">
        <v>185</v>
      </c>
      <c r="M266" s="5" t="s">
        <v>369</v>
      </c>
      <c r="N266" s="5" t="s">
        <v>265</v>
      </c>
      <c r="O266" s="5" t="s">
        <v>487</v>
      </c>
      <c r="P266" s="15" t="str">
        <f aca="false">IF(J266="S0","—",IF(K266="","",IF(L266="E0","QM",INDEX(10_ASIL_Matrix!$D$4:$F$15,MATCH(J266&amp;"-"&amp;L266,10_ASIL_Matrix!$C$4:$C$15,0),MATCH(N266,10_ASIL_Matrix!$D$3:$F$3,0)))))</f>
        <v>B</v>
      </c>
      <c r="Q266" s="5" t="s">
        <v>779</v>
      </c>
    </row>
    <row r="267" customFormat="false" ht="35.05" hidden="false" customHeight="false" outlineLevel="0" collapsed="false">
      <c r="A267" s="6" t="s">
        <v>904</v>
      </c>
      <c r="B267" s="6" t="s">
        <v>116</v>
      </c>
      <c r="C267" s="6" t="s">
        <v>117</v>
      </c>
      <c r="D267" s="6" t="s">
        <v>141</v>
      </c>
      <c r="E267" s="6" t="s">
        <v>142</v>
      </c>
      <c r="F267" s="6" t="s">
        <v>190</v>
      </c>
      <c r="G267" s="6" t="s">
        <v>360</v>
      </c>
      <c r="H267" s="6" t="s">
        <v>205</v>
      </c>
      <c r="I267" s="6" t="s">
        <v>905</v>
      </c>
      <c r="J267" s="6" t="s">
        <v>222</v>
      </c>
      <c r="K267" s="6" t="s">
        <v>372</v>
      </c>
      <c r="L267" s="6" t="s">
        <v>206</v>
      </c>
      <c r="M267" s="6" t="s">
        <v>373</v>
      </c>
      <c r="N267" s="6" t="s">
        <v>265</v>
      </c>
      <c r="O267" s="6" t="s">
        <v>487</v>
      </c>
      <c r="P267" s="16" t="str">
        <f aca="false">IF(J267="S0","—",IF(K267="","",IF(L267="E0","QM",INDEX(10_ASIL_Matrix!$D$4:$F$15,MATCH(J267&amp;"-"&amp;L267,10_ASIL_Matrix!$C$4:$C$15,0),MATCH(N267,10_ASIL_Matrix!$D$3:$F$3,0)))))</f>
        <v>A</v>
      </c>
      <c r="Q267" s="6" t="s">
        <v>779</v>
      </c>
    </row>
    <row r="268" customFormat="false" ht="35.05" hidden="false" customHeight="false" outlineLevel="0" collapsed="false">
      <c r="A268" s="5" t="s">
        <v>906</v>
      </c>
      <c r="B268" s="5" t="s">
        <v>116</v>
      </c>
      <c r="C268" s="5" t="s">
        <v>117</v>
      </c>
      <c r="D268" s="5" t="s">
        <v>141</v>
      </c>
      <c r="E268" s="5" t="s">
        <v>142</v>
      </c>
      <c r="F268" s="5" t="s">
        <v>190</v>
      </c>
      <c r="G268" s="5" t="s">
        <v>360</v>
      </c>
      <c r="H268" s="5" t="s">
        <v>208</v>
      </c>
      <c r="I268" s="5" t="s">
        <v>907</v>
      </c>
      <c r="J268" s="5" t="s">
        <v>222</v>
      </c>
      <c r="K268" s="5" t="s">
        <v>372</v>
      </c>
      <c r="L268" s="5" t="s">
        <v>209</v>
      </c>
      <c r="M268" s="5" t="s">
        <v>376</v>
      </c>
      <c r="N268" s="5" t="s">
        <v>265</v>
      </c>
      <c r="O268" s="5" t="s">
        <v>487</v>
      </c>
      <c r="P268" s="5" t="str">
        <f aca="false">IF(J268="S0","—",IF(K268="","",IF(L268="E0","QM",INDEX(10_ASIL_Matrix!$D$4:$F$15,MATCH(J268&amp;"-"&amp;L268,10_ASIL_Matrix!$C$4:$C$15,0),MATCH(N268,10_ASIL_Matrix!$D$3:$F$3,0)))))</f>
        <v>QM</v>
      </c>
      <c r="Q268" s="5" t="s">
        <v>779</v>
      </c>
    </row>
    <row r="269" customFormat="false" ht="35.05" hidden="false" customHeight="false" outlineLevel="0" collapsed="false">
      <c r="A269" s="6" t="s">
        <v>908</v>
      </c>
      <c r="B269" s="6" t="s">
        <v>116</v>
      </c>
      <c r="C269" s="6" t="s">
        <v>117</v>
      </c>
      <c r="D269" s="6" t="s">
        <v>141</v>
      </c>
      <c r="E269" s="6" t="s">
        <v>142</v>
      </c>
      <c r="F269" s="6" t="s">
        <v>192</v>
      </c>
      <c r="G269" s="6" t="s">
        <v>378</v>
      </c>
      <c r="H269" s="6" t="s">
        <v>199</v>
      </c>
      <c r="I269" s="6" t="s">
        <v>909</v>
      </c>
      <c r="J269" s="6" t="s">
        <v>226</v>
      </c>
      <c r="K269" s="6" t="s">
        <v>380</v>
      </c>
      <c r="L269" s="6" t="s">
        <v>185</v>
      </c>
      <c r="M269" s="6" t="s">
        <v>381</v>
      </c>
      <c r="N269" s="6" t="s">
        <v>265</v>
      </c>
      <c r="O269" s="6" t="s">
        <v>498</v>
      </c>
      <c r="P269" s="17" t="str">
        <f aca="false">IF(J269="S0","—",IF(K269="","",IF(L269="E0","QM",INDEX(10_ASIL_Matrix!$D$4:$F$15,MATCH(J269&amp;"-"&amp;L269,10_ASIL_Matrix!$C$4:$C$15,0),MATCH(N269,10_ASIL_Matrix!$D$3:$F$3,0)))))</f>
        <v>C</v>
      </c>
      <c r="Q269" s="6" t="s">
        <v>779</v>
      </c>
    </row>
    <row r="270" customFormat="false" ht="35.05" hidden="false" customHeight="false" outlineLevel="0" collapsed="false">
      <c r="A270" s="5" t="s">
        <v>910</v>
      </c>
      <c r="B270" s="5" t="s">
        <v>116</v>
      </c>
      <c r="C270" s="5" t="s">
        <v>117</v>
      </c>
      <c r="D270" s="5" t="s">
        <v>141</v>
      </c>
      <c r="E270" s="5" t="s">
        <v>142</v>
      </c>
      <c r="F270" s="5" t="s">
        <v>192</v>
      </c>
      <c r="G270" s="5" t="s">
        <v>378</v>
      </c>
      <c r="H270" s="5" t="s">
        <v>201</v>
      </c>
      <c r="I270" s="5" t="s">
        <v>911</v>
      </c>
      <c r="J270" s="5" t="s">
        <v>226</v>
      </c>
      <c r="K270" s="5" t="s">
        <v>380</v>
      </c>
      <c r="L270" s="5" t="s">
        <v>185</v>
      </c>
      <c r="M270" s="5" t="s">
        <v>384</v>
      </c>
      <c r="N270" s="5" t="s">
        <v>265</v>
      </c>
      <c r="O270" s="5" t="s">
        <v>498</v>
      </c>
      <c r="P270" s="17" t="str">
        <f aca="false">IF(J270="S0","—",IF(K270="","",IF(L270="E0","QM",INDEX(10_ASIL_Matrix!$D$4:$F$15,MATCH(J270&amp;"-"&amp;L270,10_ASIL_Matrix!$C$4:$C$15,0),MATCH(N270,10_ASIL_Matrix!$D$3:$F$3,0)))))</f>
        <v>C</v>
      </c>
      <c r="Q270" s="5" t="s">
        <v>779</v>
      </c>
    </row>
    <row r="271" customFormat="false" ht="35.05" hidden="false" customHeight="false" outlineLevel="0" collapsed="false">
      <c r="A271" s="6" t="s">
        <v>912</v>
      </c>
      <c r="B271" s="6" t="s">
        <v>116</v>
      </c>
      <c r="C271" s="6" t="s">
        <v>117</v>
      </c>
      <c r="D271" s="6" t="s">
        <v>141</v>
      </c>
      <c r="E271" s="6" t="s">
        <v>142</v>
      </c>
      <c r="F271" s="6" t="s">
        <v>192</v>
      </c>
      <c r="G271" s="6" t="s">
        <v>378</v>
      </c>
      <c r="H271" s="6" t="s">
        <v>203</v>
      </c>
      <c r="I271" s="6" t="s">
        <v>913</v>
      </c>
      <c r="J271" s="6" t="s">
        <v>226</v>
      </c>
      <c r="K271" s="6" t="s">
        <v>380</v>
      </c>
      <c r="L271" s="6" t="s">
        <v>185</v>
      </c>
      <c r="M271" s="6" t="s">
        <v>387</v>
      </c>
      <c r="N271" s="6" t="s">
        <v>265</v>
      </c>
      <c r="O271" s="6" t="s">
        <v>498</v>
      </c>
      <c r="P271" s="17" t="str">
        <f aca="false">IF(J271="S0","—",IF(K271="","",IF(L271="E0","QM",INDEX(10_ASIL_Matrix!$D$4:$F$15,MATCH(J271&amp;"-"&amp;L271,10_ASIL_Matrix!$C$4:$C$15,0),MATCH(N271,10_ASIL_Matrix!$D$3:$F$3,0)))))</f>
        <v>C</v>
      </c>
      <c r="Q271" s="6" t="s">
        <v>779</v>
      </c>
    </row>
    <row r="272" customFormat="false" ht="35.05" hidden="false" customHeight="false" outlineLevel="0" collapsed="false">
      <c r="A272" s="5" t="s">
        <v>914</v>
      </c>
      <c r="B272" s="5" t="s">
        <v>116</v>
      </c>
      <c r="C272" s="5" t="s">
        <v>117</v>
      </c>
      <c r="D272" s="5" t="s">
        <v>141</v>
      </c>
      <c r="E272" s="5" t="s">
        <v>142</v>
      </c>
      <c r="F272" s="5" t="s">
        <v>192</v>
      </c>
      <c r="G272" s="5" t="s">
        <v>378</v>
      </c>
      <c r="H272" s="5" t="s">
        <v>205</v>
      </c>
      <c r="I272" s="5" t="s">
        <v>915</v>
      </c>
      <c r="J272" s="5" t="s">
        <v>226</v>
      </c>
      <c r="K272" s="5" t="s">
        <v>390</v>
      </c>
      <c r="L272" s="5" t="s">
        <v>206</v>
      </c>
      <c r="M272" s="5" t="s">
        <v>391</v>
      </c>
      <c r="N272" s="5" t="s">
        <v>265</v>
      </c>
      <c r="O272" s="5" t="s">
        <v>498</v>
      </c>
      <c r="P272" s="15" t="str">
        <f aca="false">IF(J272="S0","—",IF(K272="","",IF(L272="E0","QM",INDEX(10_ASIL_Matrix!$D$4:$F$15,MATCH(J272&amp;"-"&amp;L272,10_ASIL_Matrix!$C$4:$C$15,0),MATCH(N272,10_ASIL_Matrix!$D$3:$F$3,0)))))</f>
        <v>B</v>
      </c>
      <c r="Q272" s="5" t="s">
        <v>779</v>
      </c>
    </row>
    <row r="273" customFormat="false" ht="35.05" hidden="false" customHeight="false" outlineLevel="0" collapsed="false">
      <c r="A273" s="6" t="s">
        <v>916</v>
      </c>
      <c r="B273" s="6" t="s">
        <v>116</v>
      </c>
      <c r="C273" s="6" t="s">
        <v>117</v>
      </c>
      <c r="D273" s="6" t="s">
        <v>141</v>
      </c>
      <c r="E273" s="6" t="s">
        <v>142</v>
      </c>
      <c r="F273" s="6" t="s">
        <v>192</v>
      </c>
      <c r="G273" s="6" t="s">
        <v>378</v>
      </c>
      <c r="H273" s="6" t="s">
        <v>208</v>
      </c>
      <c r="I273" s="6" t="s">
        <v>917</v>
      </c>
      <c r="J273" s="6" t="s">
        <v>226</v>
      </c>
      <c r="K273" s="6" t="s">
        <v>390</v>
      </c>
      <c r="L273" s="6" t="s">
        <v>209</v>
      </c>
      <c r="M273" s="6" t="s">
        <v>394</v>
      </c>
      <c r="N273" s="6" t="s">
        <v>265</v>
      </c>
      <c r="O273" s="6" t="s">
        <v>498</v>
      </c>
      <c r="P273" s="16" t="str">
        <f aca="false">IF(J273="S0","—",IF(K273="","",IF(L273="E0","QM",INDEX(10_ASIL_Matrix!$D$4:$F$15,MATCH(J273&amp;"-"&amp;L273,10_ASIL_Matrix!$C$4:$C$15,0),MATCH(N273,10_ASIL_Matrix!$D$3:$F$3,0)))))</f>
        <v>A</v>
      </c>
      <c r="Q273" s="6" t="s">
        <v>779</v>
      </c>
    </row>
    <row r="274" customFormat="false" ht="35.05" hidden="false" customHeight="false" outlineLevel="0" collapsed="false">
      <c r="A274" s="5" t="s">
        <v>918</v>
      </c>
      <c r="B274" s="5" t="s">
        <v>116</v>
      </c>
      <c r="C274" s="5" t="s">
        <v>117</v>
      </c>
      <c r="D274" s="5" t="s">
        <v>141</v>
      </c>
      <c r="E274" s="5" t="s">
        <v>142</v>
      </c>
      <c r="F274" s="5" t="s">
        <v>194</v>
      </c>
      <c r="G274" s="5" t="s">
        <v>396</v>
      </c>
      <c r="H274" s="5" t="s">
        <v>199</v>
      </c>
      <c r="I274" s="5" t="s">
        <v>919</v>
      </c>
      <c r="J274" s="5" t="s">
        <v>226</v>
      </c>
      <c r="K274" s="5" t="s">
        <v>398</v>
      </c>
      <c r="L274" s="5" t="s">
        <v>188</v>
      </c>
      <c r="M274" s="5" t="s">
        <v>399</v>
      </c>
      <c r="N274" s="5" t="s">
        <v>265</v>
      </c>
      <c r="O274" s="5" t="s">
        <v>509</v>
      </c>
      <c r="P274" s="18" t="str">
        <f aca="false">IF(J274="S0","—",IF(K274="","",IF(L274="E0","QM",INDEX(10_ASIL_Matrix!$D$4:$F$15,MATCH(J274&amp;"-"&amp;L274,10_ASIL_Matrix!$C$4:$C$15,0),MATCH(N274,10_ASIL_Matrix!$D$3:$F$3,0)))))</f>
        <v>D</v>
      </c>
      <c r="Q274" s="5" t="s">
        <v>779</v>
      </c>
    </row>
    <row r="275" customFormat="false" ht="35.05" hidden="false" customHeight="false" outlineLevel="0" collapsed="false">
      <c r="A275" s="6" t="s">
        <v>920</v>
      </c>
      <c r="B275" s="6" t="s">
        <v>116</v>
      </c>
      <c r="C275" s="6" t="s">
        <v>117</v>
      </c>
      <c r="D275" s="6" t="s">
        <v>141</v>
      </c>
      <c r="E275" s="6" t="s">
        <v>142</v>
      </c>
      <c r="F275" s="6" t="s">
        <v>194</v>
      </c>
      <c r="G275" s="6" t="s">
        <v>396</v>
      </c>
      <c r="H275" s="6" t="s">
        <v>201</v>
      </c>
      <c r="I275" s="6" t="s">
        <v>921</v>
      </c>
      <c r="J275" s="6" t="s">
        <v>226</v>
      </c>
      <c r="K275" s="6" t="s">
        <v>398</v>
      </c>
      <c r="L275" s="6" t="s">
        <v>185</v>
      </c>
      <c r="M275" s="6" t="s">
        <v>402</v>
      </c>
      <c r="N275" s="6" t="s">
        <v>265</v>
      </c>
      <c r="O275" s="6" t="s">
        <v>509</v>
      </c>
      <c r="P275" s="17" t="str">
        <f aca="false">IF(J275="S0","—",IF(K275="","",IF(L275="E0","QM",INDEX(10_ASIL_Matrix!$D$4:$F$15,MATCH(J275&amp;"-"&amp;L275,10_ASIL_Matrix!$C$4:$C$15,0),MATCH(N275,10_ASIL_Matrix!$D$3:$F$3,0)))))</f>
        <v>C</v>
      </c>
      <c r="Q275" s="6" t="s">
        <v>779</v>
      </c>
    </row>
    <row r="276" customFormat="false" ht="35.05" hidden="false" customHeight="false" outlineLevel="0" collapsed="false">
      <c r="A276" s="5" t="s">
        <v>922</v>
      </c>
      <c r="B276" s="5" t="s">
        <v>116</v>
      </c>
      <c r="C276" s="5" t="s">
        <v>117</v>
      </c>
      <c r="D276" s="5" t="s">
        <v>141</v>
      </c>
      <c r="E276" s="5" t="s">
        <v>142</v>
      </c>
      <c r="F276" s="5" t="s">
        <v>194</v>
      </c>
      <c r="G276" s="5" t="s">
        <v>396</v>
      </c>
      <c r="H276" s="5" t="s">
        <v>203</v>
      </c>
      <c r="I276" s="5" t="s">
        <v>923</v>
      </c>
      <c r="J276" s="5" t="s">
        <v>226</v>
      </c>
      <c r="K276" s="5" t="s">
        <v>398</v>
      </c>
      <c r="L276" s="5" t="s">
        <v>185</v>
      </c>
      <c r="M276" s="5" t="s">
        <v>405</v>
      </c>
      <c r="N276" s="5" t="s">
        <v>265</v>
      </c>
      <c r="O276" s="5" t="s">
        <v>509</v>
      </c>
      <c r="P276" s="17" t="str">
        <f aca="false">IF(J276="S0","—",IF(K276="","",IF(L276="E0","QM",INDEX(10_ASIL_Matrix!$D$4:$F$15,MATCH(J276&amp;"-"&amp;L276,10_ASIL_Matrix!$C$4:$C$15,0),MATCH(N276,10_ASIL_Matrix!$D$3:$F$3,0)))))</f>
        <v>C</v>
      </c>
      <c r="Q276" s="5" t="s">
        <v>779</v>
      </c>
    </row>
    <row r="277" customFormat="false" ht="35.05" hidden="false" customHeight="false" outlineLevel="0" collapsed="false">
      <c r="A277" s="6" t="s">
        <v>924</v>
      </c>
      <c r="B277" s="6" t="s">
        <v>116</v>
      </c>
      <c r="C277" s="6" t="s">
        <v>117</v>
      </c>
      <c r="D277" s="6" t="s">
        <v>141</v>
      </c>
      <c r="E277" s="6" t="s">
        <v>142</v>
      </c>
      <c r="F277" s="6" t="s">
        <v>194</v>
      </c>
      <c r="G277" s="6" t="s">
        <v>396</v>
      </c>
      <c r="H277" s="6" t="s">
        <v>205</v>
      </c>
      <c r="I277" s="6" t="s">
        <v>925</v>
      </c>
      <c r="J277" s="6" t="s">
        <v>226</v>
      </c>
      <c r="K277" s="6" t="s">
        <v>408</v>
      </c>
      <c r="L277" s="6" t="s">
        <v>206</v>
      </c>
      <c r="M277" s="6" t="s">
        <v>409</v>
      </c>
      <c r="N277" s="6" t="s">
        <v>265</v>
      </c>
      <c r="O277" s="6" t="s">
        <v>509</v>
      </c>
      <c r="P277" s="15" t="str">
        <f aca="false">IF(J277="S0","—",IF(K277="","",IF(L277="E0","QM",INDEX(10_ASIL_Matrix!$D$4:$F$15,MATCH(J277&amp;"-"&amp;L277,10_ASIL_Matrix!$C$4:$C$15,0),MATCH(N277,10_ASIL_Matrix!$D$3:$F$3,0)))))</f>
        <v>B</v>
      </c>
      <c r="Q277" s="6" t="s">
        <v>779</v>
      </c>
    </row>
    <row r="278" customFormat="false" ht="35.05" hidden="false" customHeight="false" outlineLevel="0" collapsed="false">
      <c r="A278" s="5" t="s">
        <v>926</v>
      </c>
      <c r="B278" s="5" t="s">
        <v>116</v>
      </c>
      <c r="C278" s="5" t="s">
        <v>117</v>
      </c>
      <c r="D278" s="5" t="s">
        <v>141</v>
      </c>
      <c r="E278" s="5" t="s">
        <v>142</v>
      </c>
      <c r="F278" s="5" t="s">
        <v>194</v>
      </c>
      <c r="G278" s="5" t="s">
        <v>396</v>
      </c>
      <c r="H278" s="5" t="s">
        <v>208</v>
      </c>
      <c r="I278" s="5" t="s">
        <v>927</v>
      </c>
      <c r="J278" s="5" t="s">
        <v>226</v>
      </c>
      <c r="K278" s="5" t="s">
        <v>408</v>
      </c>
      <c r="L278" s="5" t="s">
        <v>209</v>
      </c>
      <c r="M278" s="5" t="s">
        <v>412</v>
      </c>
      <c r="N278" s="5" t="s">
        <v>265</v>
      </c>
      <c r="O278" s="5" t="s">
        <v>509</v>
      </c>
      <c r="P278" s="16" t="str">
        <f aca="false">IF(J278="S0","—",IF(K278="","",IF(L278="E0","QM",INDEX(10_ASIL_Matrix!$D$4:$F$15,MATCH(J278&amp;"-"&amp;L278,10_ASIL_Matrix!$C$4:$C$15,0),MATCH(N278,10_ASIL_Matrix!$D$3:$F$3,0)))))</f>
        <v>A</v>
      </c>
      <c r="Q278" s="5" t="s">
        <v>779</v>
      </c>
    </row>
    <row r="279" customFormat="false" ht="35.05" hidden="false" customHeight="false" outlineLevel="0" collapsed="false">
      <c r="A279" s="6" t="s">
        <v>928</v>
      </c>
      <c r="B279" s="6" t="s">
        <v>116</v>
      </c>
      <c r="C279" s="6" t="s">
        <v>117</v>
      </c>
      <c r="D279" s="6" t="s">
        <v>144</v>
      </c>
      <c r="E279" s="6" t="s">
        <v>145</v>
      </c>
      <c r="F279" s="6" t="s">
        <v>184</v>
      </c>
      <c r="G279" s="6" t="s">
        <v>323</v>
      </c>
      <c r="H279" s="6" t="s">
        <v>199</v>
      </c>
      <c r="I279" s="6" t="s">
        <v>929</v>
      </c>
      <c r="J279" s="6" t="s">
        <v>218</v>
      </c>
      <c r="K279" s="6" t="s">
        <v>325</v>
      </c>
      <c r="L279" s="6" t="s">
        <v>185</v>
      </c>
      <c r="M279" s="6" t="s">
        <v>326</v>
      </c>
      <c r="N279" s="6" t="s">
        <v>261</v>
      </c>
      <c r="O279" s="6" t="s">
        <v>465</v>
      </c>
      <c r="P279" s="6" t="str">
        <f aca="false">IF(J279="S0","—",IF(K279="","",IF(L279="E0","QM",INDEX(10_ASIL_Matrix!$D$4:$F$15,MATCH(J279&amp;"-"&amp;L279,10_ASIL_Matrix!$C$4:$C$15,0),MATCH(N279,10_ASIL_Matrix!$D$3:$F$3,0)))))</f>
        <v>QM</v>
      </c>
      <c r="Q279" s="6" t="s">
        <v>779</v>
      </c>
    </row>
    <row r="280" customFormat="false" ht="35.05" hidden="false" customHeight="false" outlineLevel="0" collapsed="false">
      <c r="A280" s="5" t="s">
        <v>930</v>
      </c>
      <c r="B280" s="5" t="s">
        <v>116</v>
      </c>
      <c r="C280" s="5" t="s">
        <v>117</v>
      </c>
      <c r="D280" s="5" t="s">
        <v>144</v>
      </c>
      <c r="E280" s="5" t="s">
        <v>145</v>
      </c>
      <c r="F280" s="5" t="s">
        <v>184</v>
      </c>
      <c r="G280" s="5" t="s">
        <v>323</v>
      </c>
      <c r="H280" s="5" t="s">
        <v>201</v>
      </c>
      <c r="I280" s="5" t="s">
        <v>931</v>
      </c>
      <c r="J280" s="5" t="s">
        <v>218</v>
      </c>
      <c r="K280" s="5" t="s">
        <v>325</v>
      </c>
      <c r="L280" s="5" t="s">
        <v>185</v>
      </c>
      <c r="M280" s="5" t="s">
        <v>331</v>
      </c>
      <c r="N280" s="5" t="s">
        <v>261</v>
      </c>
      <c r="O280" s="5" t="s">
        <v>465</v>
      </c>
      <c r="P280" s="5" t="str">
        <f aca="false">IF(J280="S0","—",IF(K280="","",IF(L280="E0","QM",INDEX(10_ASIL_Matrix!$D$4:$F$15,MATCH(J280&amp;"-"&amp;L280,10_ASIL_Matrix!$C$4:$C$15,0),MATCH(N280,10_ASIL_Matrix!$D$3:$F$3,0)))))</f>
        <v>QM</v>
      </c>
      <c r="Q280" s="5" t="s">
        <v>779</v>
      </c>
    </row>
    <row r="281" customFormat="false" ht="35.05" hidden="false" customHeight="false" outlineLevel="0" collapsed="false">
      <c r="A281" s="6" t="s">
        <v>932</v>
      </c>
      <c r="B281" s="6" t="s">
        <v>116</v>
      </c>
      <c r="C281" s="6" t="s">
        <v>117</v>
      </c>
      <c r="D281" s="6" t="s">
        <v>144</v>
      </c>
      <c r="E281" s="6" t="s">
        <v>145</v>
      </c>
      <c r="F281" s="6" t="s">
        <v>184</v>
      </c>
      <c r="G281" s="6" t="s">
        <v>323</v>
      </c>
      <c r="H281" s="6" t="s">
        <v>203</v>
      </c>
      <c r="I281" s="6" t="s">
        <v>933</v>
      </c>
      <c r="J281" s="6" t="s">
        <v>218</v>
      </c>
      <c r="K281" s="6" t="s">
        <v>325</v>
      </c>
      <c r="L281" s="6" t="s">
        <v>185</v>
      </c>
      <c r="M281" s="6" t="s">
        <v>334</v>
      </c>
      <c r="N281" s="6" t="s">
        <v>261</v>
      </c>
      <c r="O281" s="6" t="s">
        <v>465</v>
      </c>
      <c r="P281" s="6" t="str">
        <f aca="false">IF(J281="S0","—",IF(K281="","",IF(L281="E0","QM",INDEX(10_ASIL_Matrix!$D$4:$F$15,MATCH(J281&amp;"-"&amp;L281,10_ASIL_Matrix!$C$4:$C$15,0),MATCH(N281,10_ASIL_Matrix!$D$3:$F$3,0)))))</f>
        <v>QM</v>
      </c>
      <c r="Q281" s="6" t="s">
        <v>779</v>
      </c>
    </row>
    <row r="282" customFormat="false" ht="35.05" hidden="false" customHeight="false" outlineLevel="0" collapsed="false">
      <c r="A282" s="5" t="s">
        <v>934</v>
      </c>
      <c r="B282" s="5" t="s">
        <v>116</v>
      </c>
      <c r="C282" s="5" t="s">
        <v>117</v>
      </c>
      <c r="D282" s="5" t="s">
        <v>144</v>
      </c>
      <c r="E282" s="5" t="s">
        <v>145</v>
      </c>
      <c r="F282" s="5" t="s">
        <v>184</v>
      </c>
      <c r="G282" s="5" t="s">
        <v>323</v>
      </c>
      <c r="H282" s="5" t="s">
        <v>205</v>
      </c>
      <c r="I282" s="5" t="s">
        <v>935</v>
      </c>
      <c r="J282" s="5" t="s">
        <v>218</v>
      </c>
      <c r="K282" s="5" t="s">
        <v>325</v>
      </c>
      <c r="L282" s="5" t="s">
        <v>206</v>
      </c>
      <c r="M282" s="5" t="s">
        <v>337</v>
      </c>
      <c r="N282" s="5" t="s">
        <v>261</v>
      </c>
      <c r="O282" s="5" t="s">
        <v>465</v>
      </c>
      <c r="P282" s="5" t="str">
        <f aca="false">IF(J282="S0","—",IF(K282="","",IF(L282="E0","QM",INDEX(10_ASIL_Matrix!$D$4:$F$15,MATCH(J282&amp;"-"&amp;L282,10_ASIL_Matrix!$C$4:$C$15,0),MATCH(N282,10_ASIL_Matrix!$D$3:$F$3,0)))))</f>
        <v>QM</v>
      </c>
      <c r="Q282" s="5" t="s">
        <v>779</v>
      </c>
    </row>
    <row r="283" customFormat="false" ht="35.05" hidden="false" customHeight="false" outlineLevel="0" collapsed="false">
      <c r="A283" s="6" t="s">
        <v>936</v>
      </c>
      <c r="B283" s="6" t="s">
        <v>116</v>
      </c>
      <c r="C283" s="6" t="s">
        <v>117</v>
      </c>
      <c r="D283" s="6" t="s">
        <v>144</v>
      </c>
      <c r="E283" s="6" t="s">
        <v>145</v>
      </c>
      <c r="F283" s="6" t="s">
        <v>184</v>
      </c>
      <c r="G283" s="6" t="s">
        <v>323</v>
      </c>
      <c r="H283" s="6" t="s">
        <v>208</v>
      </c>
      <c r="I283" s="6" t="s">
        <v>937</v>
      </c>
      <c r="J283" s="6" t="s">
        <v>218</v>
      </c>
      <c r="K283" s="6" t="s">
        <v>325</v>
      </c>
      <c r="L283" s="6" t="s">
        <v>209</v>
      </c>
      <c r="M283" s="6" t="s">
        <v>340</v>
      </c>
      <c r="N283" s="6" t="s">
        <v>261</v>
      </c>
      <c r="O283" s="6" t="s">
        <v>465</v>
      </c>
      <c r="P283" s="6" t="str">
        <f aca="false">IF(J283="S0","—",IF(K283="","",IF(L283="E0","QM",INDEX(10_ASIL_Matrix!$D$4:$F$15,MATCH(J283&amp;"-"&amp;L283,10_ASIL_Matrix!$C$4:$C$15,0),MATCH(N283,10_ASIL_Matrix!$D$3:$F$3,0)))))</f>
        <v>QM</v>
      </c>
      <c r="Q283" s="6" t="s">
        <v>779</v>
      </c>
    </row>
    <row r="284" customFormat="false" ht="35.05" hidden="false" customHeight="false" outlineLevel="0" collapsed="false">
      <c r="A284" s="5" t="s">
        <v>938</v>
      </c>
      <c r="B284" s="5" t="s">
        <v>116</v>
      </c>
      <c r="C284" s="5" t="s">
        <v>117</v>
      </c>
      <c r="D284" s="5" t="s">
        <v>144</v>
      </c>
      <c r="E284" s="5" t="s">
        <v>145</v>
      </c>
      <c r="F284" s="5" t="s">
        <v>187</v>
      </c>
      <c r="G284" s="5" t="s">
        <v>342</v>
      </c>
      <c r="H284" s="5" t="s">
        <v>199</v>
      </c>
      <c r="I284" s="5" t="s">
        <v>939</v>
      </c>
      <c r="J284" s="5" t="s">
        <v>222</v>
      </c>
      <c r="K284" s="5" t="s">
        <v>344</v>
      </c>
      <c r="L284" s="5" t="s">
        <v>188</v>
      </c>
      <c r="M284" s="5" t="s">
        <v>345</v>
      </c>
      <c r="N284" s="5" t="s">
        <v>261</v>
      </c>
      <c r="O284" s="5" t="s">
        <v>476</v>
      </c>
      <c r="P284" s="15" t="str">
        <f aca="false">IF(J284="S0","—",IF(K284="","",IF(L284="E0","QM",INDEX(10_ASIL_Matrix!$D$4:$F$15,MATCH(J284&amp;"-"&amp;L284,10_ASIL_Matrix!$C$4:$C$15,0),MATCH(N284,10_ASIL_Matrix!$D$3:$F$3,0)))))</f>
        <v>B</v>
      </c>
      <c r="Q284" s="5" t="s">
        <v>779</v>
      </c>
    </row>
    <row r="285" customFormat="false" ht="35.05" hidden="false" customHeight="false" outlineLevel="0" collapsed="false">
      <c r="A285" s="6" t="s">
        <v>940</v>
      </c>
      <c r="B285" s="6" t="s">
        <v>116</v>
      </c>
      <c r="C285" s="6" t="s">
        <v>117</v>
      </c>
      <c r="D285" s="6" t="s">
        <v>144</v>
      </c>
      <c r="E285" s="6" t="s">
        <v>145</v>
      </c>
      <c r="F285" s="6" t="s">
        <v>187</v>
      </c>
      <c r="G285" s="6" t="s">
        <v>342</v>
      </c>
      <c r="H285" s="6" t="s">
        <v>201</v>
      </c>
      <c r="I285" s="6" t="s">
        <v>941</v>
      </c>
      <c r="J285" s="6" t="s">
        <v>222</v>
      </c>
      <c r="K285" s="6" t="s">
        <v>344</v>
      </c>
      <c r="L285" s="6" t="s">
        <v>185</v>
      </c>
      <c r="M285" s="6" t="s">
        <v>348</v>
      </c>
      <c r="N285" s="6" t="s">
        <v>261</v>
      </c>
      <c r="O285" s="6" t="s">
        <v>476</v>
      </c>
      <c r="P285" s="16" t="str">
        <f aca="false">IF(J285="S0","—",IF(K285="","",IF(L285="E0","QM",INDEX(10_ASIL_Matrix!$D$4:$F$15,MATCH(J285&amp;"-"&amp;L285,10_ASIL_Matrix!$C$4:$C$15,0),MATCH(N285,10_ASIL_Matrix!$D$3:$F$3,0)))))</f>
        <v>A</v>
      </c>
      <c r="Q285" s="6" t="s">
        <v>779</v>
      </c>
    </row>
    <row r="286" customFormat="false" ht="35.05" hidden="false" customHeight="false" outlineLevel="0" collapsed="false">
      <c r="A286" s="5" t="s">
        <v>942</v>
      </c>
      <c r="B286" s="5" t="s">
        <v>116</v>
      </c>
      <c r="C286" s="5" t="s">
        <v>117</v>
      </c>
      <c r="D286" s="5" t="s">
        <v>144</v>
      </c>
      <c r="E286" s="5" t="s">
        <v>145</v>
      </c>
      <c r="F286" s="5" t="s">
        <v>187</v>
      </c>
      <c r="G286" s="5" t="s">
        <v>342</v>
      </c>
      <c r="H286" s="5" t="s">
        <v>203</v>
      </c>
      <c r="I286" s="5" t="s">
        <v>943</v>
      </c>
      <c r="J286" s="5" t="s">
        <v>222</v>
      </c>
      <c r="K286" s="5" t="s">
        <v>344</v>
      </c>
      <c r="L286" s="5" t="s">
        <v>185</v>
      </c>
      <c r="M286" s="5" t="s">
        <v>351</v>
      </c>
      <c r="N286" s="5" t="s">
        <v>261</v>
      </c>
      <c r="O286" s="5" t="s">
        <v>476</v>
      </c>
      <c r="P286" s="16" t="str">
        <f aca="false">IF(J286="S0","—",IF(K286="","",IF(L286="E0","QM",INDEX(10_ASIL_Matrix!$D$4:$F$15,MATCH(J286&amp;"-"&amp;L286,10_ASIL_Matrix!$C$4:$C$15,0),MATCH(N286,10_ASIL_Matrix!$D$3:$F$3,0)))))</f>
        <v>A</v>
      </c>
      <c r="Q286" s="5" t="s">
        <v>779</v>
      </c>
    </row>
    <row r="287" customFormat="false" ht="35.05" hidden="false" customHeight="false" outlineLevel="0" collapsed="false">
      <c r="A287" s="6" t="s">
        <v>944</v>
      </c>
      <c r="B287" s="6" t="s">
        <v>116</v>
      </c>
      <c r="C287" s="6" t="s">
        <v>117</v>
      </c>
      <c r="D287" s="6" t="s">
        <v>144</v>
      </c>
      <c r="E287" s="6" t="s">
        <v>145</v>
      </c>
      <c r="F287" s="6" t="s">
        <v>187</v>
      </c>
      <c r="G287" s="6" t="s">
        <v>342</v>
      </c>
      <c r="H287" s="6" t="s">
        <v>205</v>
      </c>
      <c r="I287" s="6" t="s">
        <v>945</v>
      </c>
      <c r="J287" s="6" t="s">
        <v>222</v>
      </c>
      <c r="K287" s="6" t="s">
        <v>354</v>
      </c>
      <c r="L287" s="6" t="s">
        <v>206</v>
      </c>
      <c r="M287" s="6" t="s">
        <v>355</v>
      </c>
      <c r="N287" s="6" t="s">
        <v>261</v>
      </c>
      <c r="O287" s="6" t="s">
        <v>476</v>
      </c>
      <c r="P287" s="6" t="str">
        <f aca="false">IF(J287="S0","—",IF(K287="","",IF(L287="E0","QM",INDEX(10_ASIL_Matrix!$D$4:$F$15,MATCH(J287&amp;"-"&amp;L287,10_ASIL_Matrix!$C$4:$C$15,0),MATCH(N287,10_ASIL_Matrix!$D$3:$F$3,0)))))</f>
        <v>QM</v>
      </c>
      <c r="Q287" s="6" t="s">
        <v>779</v>
      </c>
    </row>
    <row r="288" customFormat="false" ht="35.05" hidden="false" customHeight="false" outlineLevel="0" collapsed="false">
      <c r="A288" s="5" t="s">
        <v>946</v>
      </c>
      <c r="B288" s="5" t="s">
        <v>116</v>
      </c>
      <c r="C288" s="5" t="s">
        <v>117</v>
      </c>
      <c r="D288" s="5" t="s">
        <v>144</v>
      </c>
      <c r="E288" s="5" t="s">
        <v>145</v>
      </c>
      <c r="F288" s="5" t="s">
        <v>187</v>
      </c>
      <c r="G288" s="5" t="s">
        <v>342</v>
      </c>
      <c r="H288" s="5" t="s">
        <v>208</v>
      </c>
      <c r="I288" s="5" t="s">
        <v>947</v>
      </c>
      <c r="J288" s="5" t="s">
        <v>222</v>
      </c>
      <c r="K288" s="5" t="s">
        <v>354</v>
      </c>
      <c r="L288" s="5" t="s">
        <v>209</v>
      </c>
      <c r="M288" s="5" t="s">
        <v>358</v>
      </c>
      <c r="N288" s="5" t="s">
        <v>261</v>
      </c>
      <c r="O288" s="5" t="s">
        <v>476</v>
      </c>
      <c r="P288" s="5" t="str">
        <f aca="false">IF(J288="S0","—",IF(K288="","",IF(L288="E0","QM",INDEX(10_ASIL_Matrix!$D$4:$F$15,MATCH(J288&amp;"-"&amp;L288,10_ASIL_Matrix!$C$4:$C$15,0),MATCH(N288,10_ASIL_Matrix!$D$3:$F$3,0)))))</f>
        <v>QM</v>
      </c>
      <c r="Q288" s="5" t="s">
        <v>779</v>
      </c>
    </row>
    <row r="289" customFormat="false" ht="35.05" hidden="false" customHeight="false" outlineLevel="0" collapsed="false">
      <c r="A289" s="6" t="s">
        <v>948</v>
      </c>
      <c r="B289" s="6" t="s">
        <v>116</v>
      </c>
      <c r="C289" s="6" t="s">
        <v>117</v>
      </c>
      <c r="D289" s="6" t="s">
        <v>144</v>
      </c>
      <c r="E289" s="6" t="s">
        <v>145</v>
      </c>
      <c r="F289" s="6" t="s">
        <v>190</v>
      </c>
      <c r="G289" s="6" t="s">
        <v>360</v>
      </c>
      <c r="H289" s="6" t="s">
        <v>199</v>
      </c>
      <c r="I289" s="6" t="s">
        <v>949</v>
      </c>
      <c r="J289" s="6" t="s">
        <v>222</v>
      </c>
      <c r="K289" s="6" t="s">
        <v>362</v>
      </c>
      <c r="L289" s="6" t="s">
        <v>188</v>
      </c>
      <c r="M289" s="6" t="s">
        <v>363</v>
      </c>
      <c r="N289" s="6" t="s">
        <v>261</v>
      </c>
      <c r="O289" s="6" t="s">
        <v>540</v>
      </c>
      <c r="P289" s="15" t="str">
        <f aca="false">IF(J289="S0","—",IF(K289="","",IF(L289="E0","QM",INDEX(10_ASIL_Matrix!$D$4:$F$15,MATCH(J289&amp;"-"&amp;L289,10_ASIL_Matrix!$C$4:$C$15,0),MATCH(N289,10_ASIL_Matrix!$D$3:$F$3,0)))))</f>
        <v>B</v>
      </c>
      <c r="Q289" s="6" t="s">
        <v>779</v>
      </c>
    </row>
    <row r="290" customFormat="false" ht="35.05" hidden="false" customHeight="false" outlineLevel="0" collapsed="false">
      <c r="A290" s="5" t="s">
        <v>950</v>
      </c>
      <c r="B290" s="5" t="s">
        <v>116</v>
      </c>
      <c r="C290" s="5" t="s">
        <v>117</v>
      </c>
      <c r="D290" s="5" t="s">
        <v>144</v>
      </c>
      <c r="E290" s="5" t="s">
        <v>145</v>
      </c>
      <c r="F290" s="5" t="s">
        <v>190</v>
      </c>
      <c r="G290" s="5" t="s">
        <v>360</v>
      </c>
      <c r="H290" s="5" t="s">
        <v>201</v>
      </c>
      <c r="I290" s="5" t="s">
        <v>951</v>
      </c>
      <c r="J290" s="5" t="s">
        <v>222</v>
      </c>
      <c r="K290" s="5" t="s">
        <v>362</v>
      </c>
      <c r="L290" s="5" t="s">
        <v>185</v>
      </c>
      <c r="M290" s="5" t="s">
        <v>366</v>
      </c>
      <c r="N290" s="5" t="s">
        <v>261</v>
      </c>
      <c r="O290" s="5" t="s">
        <v>540</v>
      </c>
      <c r="P290" s="16" t="str">
        <f aca="false">IF(J290="S0","—",IF(K290="","",IF(L290="E0","QM",INDEX(10_ASIL_Matrix!$D$4:$F$15,MATCH(J290&amp;"-"&amp;L290,10_ASIL_Matrix!$C$4:$C$15,0),MATCH(N290,10_ASIL_Matrix!$D$3:$F$3,0)))))</f>
        <v>A</v>
      </c>
      <c r="Q290" s="5" t="s">
        <v>779</v>
      </c>
    </row>
    <row r="291" customFormat="false" ht="35.05" hidden="false" customHeight="false" outlineLevel="0" collapsed="false">
      <c r="A291" s="6" t="s">
        <v>952</v>
      </c>
      <c r="B291" s="6" t="s">
        <v>116</v>
      </c>
      <c r="C291" s="6" t="s">
        <v>117</v>
      </c>
      <c r="D291" s="6" t="s">
        <v>144</v>
      </c>
      <c r="E291" s="6" t="s">
        <v>145</v>
      </c>
      <c r="F291" s="6" t="s">
        <v>190</v>
      </c>
      <c r="G291" s="6" t="s">
        <v>360</v>
      </c>
      <c r="H291" s="6" t="s">
        <v>203</v>
      </c>
      <c r="I291" s="6" t="s">
        <v>953</v>
      </c>
      <c r="J291" s="6" t="s">
        <v>222</v>
      </c>
      <c r="K291" s="6" t="s">
        <v>362</v>
      </c>
      <c r="L291" s="6" t="s">
        <v>185</v>
      </c>
      <c r="M291" s="6" t="s">
        <v>369</v>
      </c>
      <c r="N291" s="6" t="s">
        <v>261</v>
      </c>
      <c r="O291" s="6" t="s">
        <v>540</v>
      </c>
      <c r="P291" s="16" t="str">
        <f aca="false">IF(J291="S0","—",IF(K291="","",IF(L291="E0","QM",INDEX(10_ASIL_Matrix!$D$4:$F$15,MATCH(J291&amp;"-"&amp;L291,10_ASIL_Matrix!$C$4:$C$15,0),MATCH(N291,10_ASIL_Matrix!$D$3:$F$3,0)))))</f>
        <v>A</v>
      </c>
      <c r="Q291" s="6" t="s">
        <v>779</v>
      </c>
    </row>
    <row r="292" customFormat="false" ht="35.05" hidden="false" customHeight="false" outlineLevel="0" collapsed="false">
      <c r="A292" s="5" t="s">
        <v>954</v>
      </c>
      <c r="B292" s="5" t="s">
        <v>116</v>
      </c>
      <c r="C292" s="5" t="s">
        <v>117</v>
      </c>
      <c r="D292" s="5" t="s">
        <v>144</v>
      </c>
      <c r="E292" s="5" t="s">
        <v>145</v>
      </c>
      <c r="F292" s="5" t="s">
        <v>190</v>
      </c>
      <c r="G292" s="5" t="s">
        <v>360</v>
      </c>
      <c r="H292" s="5" t="s">
        <v>205</v>
      </c>
      <c r="I292" s="5" t="s">
        <v>955</v>
      </c>
      <c r="J292" s="5" t="s">
        <v>222</v>
      </c>
      <c r="K292" s="5" t="s">
        <v>372</v>
      </c>
      <c r="L292" s="5" t="s">
        <v>206</v>
      </c>
      <c r="M292" s="5" t="s">
        <v>373</v>
      </c>
      <c r="N292" s="5" t="s">
        <v>261</v>
      </c>
      <c r="O292" s="5" t="s">
        <v>540</v>
      </c>
      <c r="P292" s="5" t="str">
        <f aca="false">IF(J292="S0","—",IF(K292="","",IF(L292="E0","QM",INDEX(10_ASIL_Matrix!$D$4:$F$15,MATCH(J292&amp;"-"&amp;L292,10_ASIL_Matrix!$C$4:$C$15,0),MATCH(N292,10_ASIL_Matrix!$D$3:$F$3,0)))))</f>
        <v>QM</v>
      </c>
      <c r="Q292" s="5" t="s">
        <v>779</v>
      </c>
    </row>
    <row r="293" customFormat="false" ht="35.05" hidden="false" customHeight="false" outlineLevel="0" collapsed="false">
      <c r="A293" s="6" t="s">
        <v>956</v>
      </c>
      <c r="B293" s="6" t="s">
        <v>116</v>
      </c>
      <c r="C293" s="6" t="s">
        <v>117</v>
      </c>
      <c r="D293" s="6" t="s">
        <v>144</v>
      </c>
      <c r="E293" s="6" t="s">
        <v>145</v>
      </c>
      <c r="F293" s="6" t="s">
        <v>190</v>
      </c>
      <c r="G293" s="6" t="s">
        <v>360</v>
      </c>
      <c r="H293" s="6" t="s">
        <v>208</v>
      </c>
      <c r="I293" s="6" t="s">
        <v>957</v>
      </c>
      <c r="J293" s="6" t="s">
        <v>222</v>
      </c>
      <c r="K293" s="6" t="s">
        <v>372</v>
      </c>
      <c r="L293" s="6" t="s">
        <v>209</v>
      </c>
      <c r="M293" s="6" t="s">
        <v>376</v>
      </c>
      <c r="N293" s="6" t="s">
        <v>261</v>
      </c>
      <c r="O293" s="6" t="s">
        <v>540</v>
      </c>
      <c r="P293" s="6" t="str">
        <f aca="false">IF(J293="S0","—",IF(K293="","",IF(L293="E0","QM",INDEX(10_ASIL_Matrix!$D$4:$F$15,MATCH(J293&amp;"-"&amp;L293,10_ASIL_Matrix!$C$4:$C$15,0),MATCH(N293,10_ASIL_Matrix!$D$3:$F$3,0)))))</f>
        <v>QM</v>
      </c>
      <c r="Q293" s="6" t="s">
        <v>779</v>
      </c>
    </row>
    <row r="294" customFormat="false" ht="35.05" hidden="false" customHeight="false" outlineLevel="0" collapsed="false">
      <c r="A294" s="5" t="s">
        <v>958</v>
      </c>
      <c r="B294" s="5" t="s">
        <v>116</v>
      </c>
      <c r="C294" s="5" t="s">
        <v>117</v>
      </c>
      <c r="D294" s="5" t="s">
        <v>144</v>
      </c>
      <c r="E294" s="5" t="s">
        <v>145</v>
      </c>
      <c r="F294" s="5" t="s">
        <v>192</v>
      </c>
      <c r="G294" s="5" t="s">
        <v>378</v>
      </c>
      <c r="H294" s="5" t="s">
        <v>199</v>
      </c>
      <c r="I294" s="5" t="s">
        <v>959</v>
      </c>
      <c r="J294" s="5" t="s">
        <v>226</v>
      </c>
      <c r="K294" s="5" t="s">
        <v>380</v>
      </c>
      <c r="L294" s="5" t="s">
        <v>185</v>
      </c>
      <c r="M294" s="5" t="s">
        <v>381</v>
      </c>
      <c r="N294" s="5" t="s">
        <v>265</v>
      </c>
      <c r="O294" s="5" t="s">
        <v>551</v>
      </c>
      <c r="P294" s="17" t="str">
        <f aca="false">IF(J294="S0","—",IF(K294="","",IF(L294="E0","QM",INDEX(10_ASIL_Matrix!$D$4:$F$15,MATCH(J294&amp;"-"&amp;L294,10_ASIL_Matrix!$C$4:$C$15,0),MATCH(N294,10_ASIL_Matrix!$D$3:$F$3,0)))))</f>
        <v>C</v>
      </c>
      <c r="Q294" s="5" t="s">
        <v>779</v>
      </c>
    </row>
    <row r="295" customFormat="false" ht="35.05" hidden="false" customHeight="false" outlineLevel="0" collapsed="false">
      <c r="A295" s="6" t="s">
        <v>960</v>
      </c>
      <c r="B295" s="6" t="s">
        <v>116</v>
      </c>
      <c r="C295" s="6" t="s">
        <v>117</v>
      </c>
      <c r="D295" s="6" t="s">
        <v>144</v>
      </c>
      <c r="E295" s="6" t="s">
        <v>145</v>
      </c>
      <c r="F295" s="6" t="s">
        <v>192</v>
      </c>
      <c r="G295" s="6" t="s">
        <v>378</v>
      </c>
      <c r="H295" s="6" t="s">
        <v>201</v>
      </c>
      <c r="I295" s="6" t="s">
        <v>961</v>
      </c>
      <c r="J295" s="6" t="s">
        <v>226</v>
      </c>
      <c r="K295" s="6" t="s">
        <v>380</v>
      </c>
      <c r="L295" s="6" t="s">
        <v>185</v>
      </c>
      <c r="M295" s="6" t="s">
        <v>384</v>
      </c>
      <c r="N295" s="6" t="s">
        <v>265</v>
      </c>
      <c r="O295" s="6" t="s">
        <v>551</v>
      </c>
      <c r="P295" s="17" t="str">
        <f aca="false">IF(J295="S0","—",IF(K295="","",IF(L295="E0","QM",INDEX(10_ASIL_Matrix!$D$4:$F$15,MATCH(J295&amp;"-"&amp;L295,10_ASIL_Matrix!$C$4:$C$15,0),MATCH(N295,10_ASIL_Matrix!$D$3:$F$3,0)))))</f>
        <v>C</v>
      </c>
      <c r="Q295" s="6" t="s">
        <v>779</v>
      </c>
    </row>
    <row r="296" customFormat="false" ht="35.05" hidden="false" customHeight="false" outlineLevel="0" collapsed="false">
      <c r="A296" s="5" t="s">
        <v>962</v>
      </c>
      <c r="B296" s="5" t="s">
        <v>116</v>
      </c>
      <c r="C296" s="5" t="s">
        <v>117</v>
      </c>
      <c r="D296" s="5" t="s">
        <v>144</v>
      </c>
      <c r="E296" s="5" t="s">
        <v>145</v>
      </c>
      <c r="F296" s="5" t="s">
        <v>192</v>
      </c>
      <c r="G296" s="5" t="s">
        <v>378</v>
      </c>
      <c r="H296" s="5" t="s">
        <v>203</v>
      </c>
      <c r="I296" s="5" t="s">
        <v>963</v>
      </c>
      <c r="J296" s="5" t="s">
        <v>226</v>
      </c>
      <c r="K296" s="5" t="s">
        <v>380</v>
      </c>
      <c r="L296" s="5" t="s">
        <v>185</v>
      </c>
      <c r="M296" s="5" t="s">
        <v>387</v>
      </c>
      <c r="N296" s="5" t="s">
        <v>265</v>
      </c>
      <c r="O296" s="5" t="s">
        <v>551</v>
      </c>
      <c r="P296" s="17" t="str">
        <f aca="false">IF(J296="S0","—",IF(K296="","",IF(L296="E0","QM",INDEX(10_ASIL_Matrix!$D$4:$F$15,MATCH(J296&amp;"-"&amp;L296,10_ASIL_Matrix!$C$4:$C$15,0),MATCH(N296,10_ASIL_Matrix!$D$3:$F$3,0)))))</f>
        <v>C</v>
      </c>
      <c r="Q296" s="5" t="s">
        <v>779</v>
      </c>
    </row>
    <row r="297" customFormat="false" ht="35.05" hidden="false" customHeight="false" outlineLevel="0" collapsed="false">
      <c r="A297" s="6" t="s">
        <v>964</v>
      </c>
      <c r="B297" s="6" t="s">
        <v>116</v>
      </c>
      <c r="C297" s="6" t="s">
        <v>117</v>
      </c>
      <c r="D297" s="6" t="s">
        <v>144</v>
      </c>
      <c r="E297" s="6" t="s">
        <v>145</v>
      </c>
      <c r="F297" s="6" t="s">
        <v>192</v>
      </c>
      <c r="G297" s="6" t="s">
        <v>378</v>
      </c>
      <c r="H297" s="6" t="s">
        <v>205</v>
      </c>
      <c r="I297" s="6" t="s">
        <v>965</v>
      </c>
      <c r="J297" s="6" t="s">
        <v>226</v>
      </c>
      <c r="K297" s="6" t="s">
        <v>390</v>
      </c>
      <c r="L297" s="6" t="s">
        <v>206</v>
      </c>
      <c r="M297" s="6" t="s">
        <v>391</v>
      </c>
      <c r="N297" s="6" t="s">
        <v>265</v>
      </c>
      <c r="O297" s="6" t="s">
        <v>551</v>
      </c>
      <c r="P297" s="15" t="str">
        <f aca="false">IF(J297="S0","—",IF(K297="","",IF(L297="E0","QM",INDEX(10_ASIL_Matrix!$D$4:$F$15,MATCH(J297&amp;"-"&amp;L297,10_ASIL_Matrix!$C$4:$C$15,0),MATCH(N297,10_ASIL_Matrix!$D$3:$F$3,0)))))</f>
        <v>B</v>
      </c>
      <c r="Q297" s="6" t="s">
        <v>779</v>
      </c>
    </row>
    <row r="298" customFormat="false" ht="35.05" hidden="false" customHeight="false" outlineLevel="0" collapsed="false">
      <c r="A298" s="5" t="s">
        <v>966</v>
      </c>
      <c r="B298" s="5" t="s">
        <v>116</v>
      </c>
      <c r="C298" s="5" t="s">
        <v>117</v>
      </c>
      <c r="D298" s="5" t="s">
        <v>144</v>
      </c>
      <c r="E298" s="5" t="s">
        <v>145</v>
      </c>
      <c r="F298" s="5" t="s">
        <v>192</v>
      </c>
      <c r="G298" s="5" t="s">
        <v>378</v>
      </c>
      <c r="H298" s="5" t="s">
        <v>208</v>
      </c>
      <c r="I298" s="5" t="s">
        <v>967</v>
      </c>
      <c r="J298" s="5" t="s">
        <v>226</v>
      </c>
      <c r="K298" s="5" t="s">
        <v>390</v>
      </c>
      <c r="L298" s="5" t="s">
        <v>209</v>
      </c>
      <c r="M298" s="5" t="s">
        <v>394</v>
      </c>
      <c r="N298" s="5" t="s">
        <v>265</v>
      </c>
      <c r="O298" s="5" t="s">
        <v>551</v>
      </c>
      <c r="P298" s="16" t="str">
        <f aca="false">IF(J298="S0","—",IF(K298="","",IF(L298="E0","QM",INDEX(10_ASIL_Matrix!$D$4:$F$15,MATCH(J298&amp;"-"&amp;L298,10_ASIL_Matrix!$C$4:$C$15,0),MATCH(N298,10_ASIL_Matrix!$D$3:$F$3,0)))))</f>
        <v>A</v>
      </c>
      <c r="Q298" s="5" t="s">
        <v>779</v>
      </c>
    </row>
    <row r="299" customFormat="false" ht="35.05" hidden="false" customHeight="false" outlineLevel="0" collapsed="false">
      <c r="A299" s="6" t="s">
        <v>968</v>
      </c>
      <c r="B299" s="6" t="s">
        <v>116</v>
      </c>
      <c r="C299" s="6" t="s">
        <v>117</v>
      </c>
      <c r="D299" s="6" t="s">
        <v>144</v>
      </c>
      <c r="E299" s="6" t="s">
        <v>145</v>
      </c>
      <c r="F299" s="6" t="s">
        <v>194</v>
      </c>
      <c r="G299" s="6" t="s">
        <v>396</v>
      </c>
      <c r="H299" s="6" t="s">
        <v>199</v>
      </c>
      <c r="I299" s="6" t="s">
        <v>969</v>
      </c>
      <c r="J299" s="6" t="s">
        <v>226</v>
      </c>
      <c r="K299" s="6" t="s">
        <v>398</v>
      </c>
      <c r="L299" s="6" t="s">
        <v>188</v>
      </c>
      <c r="M299" s="6" t="s">
        <v>399</v>
      </c>
      <c r="N299" s="6" t="s">
        <v>265</v>
      </c>
      <c r="O299" s="6" t="s">
        <v>562</v>
      </c>
      <c r="P299" s="18" t="str">
        <f aca="false">IF(J299="S0","—",IF(K299="","",IF(L299="E0","QM",INDEX(10_ASIL_Matrix!$D$4:$F$15,MATCH(J299&amp;"-"&amp;L299,10_ASIL_Matrix!$C$4:$C$15,0),MATCH(N299,10_ASIL_Matrix!$D$3:$F$3,0)))))</f>
        <v>D</v>
      </c>
      <c r="Q299" s="6" t="s">
        <v>779</v>
      </c>
    </row>
    <row r="300" customFormat="false" ht="35.05" hidden="false" customHeight="false" outlineLevel="0" collapsed="false">
      <c r="A300" s="5" t="s">
        <v>970</v>
      </c>
      <c r="B300" s="5" t="s">
        <v>116</v>
      </c>
      <c r="C300" s="5" t="s">
        <v>117</v>
      </c>
      <c r="D300" s="5" t="s">
        <v>144</v>
      </c>
      <c r="E300" s="5" t="s">
        <v>145</v>
      </c>
      <c r="F300" s="5" t="s">
        <v>194</v>
      </c>
      <c r="G300" s="5" t="s">
        <v>396</v>
      </c>
      <c r="H300" s="5" t="s">
        <v>201</v>
      </c>
      <c r="I300" s="5" t="s">
        <v>971</v>
      </c>
      <c r="J300" s="5" t="s">
        <v>226</v>
      </c>
      <c r="K300" s="5" t="s">
        <v>398</v>
      </c>
      <c r="L300" s="5" t="s">
        <v>185</v>
      </c>
      <c r="M300" s="5" t="s">
        <v>402</v>
      </c>
      <c r="N300" s="5" t="s">
        <v>265</v>
      </c>
      <c r="O300" s="5" t="s">
        <v>562</v>
      </c>
      <c r="P300" s="17" t="str">
        <f aca="false">IF(J300="S0","—",IF(K300="","",IF(L300="E0","QM",INDEX(10_ASIL_Matrix!$D$4:$F$15,MATCH(J300&amp;"-"&amp;L300,10_ASIL_Matrix!$C$4:$C$15,0),MATCH(N300,10_ASIL_Matrix!$D$3:$F$3,0)))))</f>
        <v>C</v>
      </c>
      <c r="Q300" s="5" t="s">
        <v>779</v>
      </c>
    </row>
    <row r="301" customFormat="false" ht="35.05" hidden="false" customHeight="false" outlineLevel="0" collapsed="false">
      <c r="A301" s="6" t="s">
        <v>972</v>
      </c>
      <c r="B301" s="6" t="s">
        <v>116</v>
      </c>
      <c r="C301" s="6" t="s">
        <v>117</v>
      </c>
      <c r="D301" s="6" t="s">
        <v>144</v>
      </c>
      <c r="E301" s="6" t="s">
        <v>145</v>
      </c>
      <c r="F301" s="6" t="s">
        <v>194</v>
      </c>
      <c r="G301" s="6" t="s">
        <v>396</v>
      </c>
      <c r="H301" s="6" t="s">
        <v>203</v>
      </c>
      <c r="I301" s="6" t="s">
        <v>973</v>
      </c>
      <c r="J301" s="6" t="s">
        <v>226</v>
      </c>
      <c r="K301" s="6" t="s">
        <v>398</v>
      </c>
      <c r="L301" s="6" t="s">
        <v>185</v>
      </c>
      <c r="M301" s="6" t="s">
        <v>405</v>
      </c>
      <c r="N301" s="6" t="s">
        <v>265</v>
      </c>
      <c r="O301" s="6" t="s">
        <v>562</v>
      </c>
      <c r="P301" s="17" t="str">
        <f aca="false">IF(J301="S0","—",IF(K301="","",IF(L301="E0","QM",INDEX(10_ASIL_Matrix!$D$4:$F$15,MATCH(J301&amp;"-"&amp;L301,10_ASIL_Matrix!$C$4:$C$15,0),MATCH(N301,10_ASIL_Matrix!$D$3:$F$3,0)))))</f>
        <v>C</v>
      </c>
      <c r="Q301" s="6" t="s">
        <v>779</v>
      </c>
    </row>
    <row r="302" customFormat="false" ht="35.05" hidden="false" customHeight="false" outlineLevel="0" collapsed="false">
      <c r="A302" s="5" t="s">
        <v>974</v>
      </c>
      <c r="B302" s="5" t="s">
        <v>116</v>
      </c>
      <c r="C302" s="5" t="s">
        <v>117</v>
      </c>
      <c r="D302" s="5" t="s">
        <v>144</v>
      </c>
      <c r="E302" s="5" t="s">
        <v>145</v>
      </c>
      <c r="F302" s="5" t="s">
        <v>194</v>
      </c>
      <c r="G302" s="5" t="s">
        <v>396</v>
      </c>
      <c r="H302" s="5" t="s">
        <v>205</v>
      </c>
      <c r="I302" s="5" t="s">
        <v>975</v>
      </c>
      <c r="J302" s="5" t="s">
        <v>226</v>
      </c>
      <c r="K302" s="5" t="s">
        <v>408</v>
      </c>
      <c r="L302" s="5" t="s">
        <v>206</v>
      </c>
      <c r="M302" s="5" t="s">
        <v>409</v>
      </c>
      <c r="N302" s="5" t="s">
        <v>265</v>
      </c>
      <c r="O302" s="5" t="s">
        <v>562</v>
      </c>
      <c r="P302" s="15" t="str">
        <f aca="false">IF(J302="S0","—",IF(K302="","",IF(L302="E0","QM",INDEX(10_ASIL_Matrix!$D$4:$F$15,MATCH(J302&amp;"-"&amp;L302,10_ASIL_Matrix!$C$4:$C$15,0),MATCH(N302,10_ASIL_Matrix!$D$3:$F$3,0)))))</f>
        <v>B</v>
      </c>
      <c r="Q302" s="5" t="s">
        <v>779</v>
      </c>
    </row>
    <row r="303" customFormat="false" ht="35.05" hidden="false" customHeight="false" outlineLevel="0" collapsed="false">
      <c r="A303" s="6" t="s">
        <v>976</v>
      </c>
      <c r="B303" s="6" t="s">
        <v>116</v>
      </c>
      <c r="C303" s="6" t="s">
        <v>117</v>
      </c>
      <c r="D303" s="6" t="s">
        <v>144</v>
      </c>
      <c r="E303" s="6" t="s">
        <v>145</v>
      </c>
      <c r="F303" s="6" t="s">
        <v>194</v>
      </c>
      <c r="G303" s="6" t="s">
        <v>396</v>
      </c>
      <c r="H303" s="6" t="s">
        <v>208</v>
      </c>
      <c r="I303" s="6" t="s">
        <v>977</v>
      </c>
      <c r="J303" s="6" t="s">
        <v>226</v>
      </c>
      <c r="K303" s="6" t="s">
        <v>408</v>
      </c>
      <c r="L303" s="6" t="s">
        <v>209</v>
      </c>
      <c r="M303" s="6" t="s">
        <v>412</v>
      </c>
      <c r="N303" s="6" t="s">
        <v>265</v>
      </c>
      <c r="O303" s="6" t="s">
        <v>562</v>
      </c>
      <c r="P303" s="16" t="str">
        <f aca="false">IF(J303="S0","—",IF(K303="","",IF(L303="E0","QM",INDEX(10_ASIL_Matrix!$D$4:$F$15,MATCH(J303&amp;"-"&amp;L303,10_ASIL_Matrix!$C$4:$C$15,0),MATCH(N303,10_ASIL_Matrix!$D$3:$F$3,0)))))</f>
        <v>A</v>
      </c>
      <c r="Q303" s="6" t="s">
        <v>779</v>
      </c>
    </row>
    <row r="304" customFormat="false" ht="35.05" hidden="false" customHeight="false" outlineLevel="0" collapsed="false">
      <c r="A304" s="5" t="s">
        <v>978</v>
      </c>
      <c r="B304" s="5" t="s">
        <v>116</v>
      </c>
      <c r="C304" s="5" t="s">
        <v>117</v>
      </c>
      <c r="D304" s="5" t="s">
        <v>147</v>
      </c>
      <c r="E304" s="5" t="s">
        <v>148</v>
      </c>
      <c r="F304" s="5" t="s">
        <v>184</v>
      </c>
      <c r="G304" s="5" t="s">
        <v>323</v>
      </c>
      <c r="H304" s="5" t="s">
        <v>199</v>
      </c>
      <c r="I304" s="5" t="s">
        <v>979</v>
      </c>
      <c r="J304" s="5" t="s">
        <v>218</v>
      </c>
      <c r="K304" s="5" t="s">
        <v>325</v>
      </c>
      <c r="L304" s="5" t="s">
        <v>185</v>
      </c>
      <c r="M304" s="5" t="s">
        <v>326</v>
      </c>
      <c r="N304" s="5" t="s">
        <v>261</v>
      </c>
      <c r="O304" s="5" t="s">
        <v>465</v>
      </c>
      <c r="P304" s="5" t="str">
        <f aca="false">IF(J304="S0","—",IF(K304="","",IF(L304="E0","QM",INDEX(10_ASIL_Matrix!$D$4:$F$15,MATCH(J304&amp;"-"&amp;L304,10_ASIL_Matrix!$C$4:$C$15,0),MATCH(N304,10_ASIL_Matrix!$D$3:$F$3,0)))))</f>
        <v>QM</v>
      </c>
      <c r="Q304" s="5" t="s">
        <v>779</v>
      </c>
    </row>
    <row r="305" customFormat="false" ht="35.05" hidden="false" customHeight="false" outlineLevel="0" collapsed="false">
      <c r="A305" s="6" t="s">
        <v>980</v>
      </c>
      <c r="B305" s="6" t="s">
        <v>116</v>
      </c>
      <c r="C305" s="6" t="s">
        <v>117</v>
      </c>
      <c r="D305" s="6" t="s">
        <v>147</v>
      </c>
      <c r="E305" s="6" t="s">
        <v>148</v>
      </c>
      <c r="F305" s="6" t="s">
        <v>184</v>
      </c>
      <c r="G305" s="6" t="s">
        <v>323</v>
      </c>
      <c r="H305" s="6" t="s">
        <v>201</v>
      </c>
      <c r="I305" s="6" t="s">
        <v>981</v>
      </c>
      <c r="J305" s="6" t="s">
        <v>218</v>
      </c>
      <c r="K305" s="6" t="s">
        <v>325</v>
      </c>
      <c r="L305" s="6" t="s">
        <v>185</v>
      </c>
      <c r="M305" s="6" t="s">
        <v>331</v>
      </c>
      <c r="N305" s="6" t="s">
        <v>261</v>
      </c>
      <c r="O305" s="6" t="s">
        <v>465</v>
      </c>
      <c r="P305" s="6" t="str">
        <f aca="false">IF(J305="S0","—",IF(K305="","",IF(L305="E0","QM",INDEX(10_ASIL_Matrix!$D$4:$F$15,MATCH(J305&amp;"-"&amp;L305,10_ASIL_Matrix!$C$4:$C$15,0),MATCH(N305,10_ASIL_Matrix!$D$3:$F$3,0)))))</f>
        <v>QM</v>
      </c>
      <c r="Q305" s="6" t="s">
        <v>779</v>
      </c>
    </row>
    <row r="306" customFormat="false" ht="35.05" hidden="false" customHeight="false" outlineLevel="0" collapsed="false">
      <c r="A306" s="5" t="s">
        <v>982</v>
      </c>
      <c r="B306" s="5" t="s">
        <v>116</v>
      </c>
      <c r="C306" s="5" t="s">
        <v>117</v>
      </c>
      <c r="D306" s="5" t="s">
        <v>147</v>
      </c>
      <c r="E306" s="5" t="s">
        <v>148</v>
      </c>
      <c r="F306" s="5" t="s">
        <v>184</v>
      </c>
      <c r="G306" s="5" t="s">
        <v>323</v>
      </c>
      <c r="H306" s="5" t="s">
        <v>203</v>
      </c>
      <c r="I306" s="5" t="s">
        <v>983</v>
      </c>
      <c r="J306" s="5" t="s">
        <v>218</v>
      </c>
      <c r="K306" s="5" t="s">
        <v>325</v>
      </c>
      <c r="L306" s="5" t="s">
        <v>185</v>
      </c>
      <c r="M306" s="5" t="s">
        <v>334</v>
      </c>
      <c r="N306" s="5" t="s">
        <v>261</v>
      </c>
      <c r="O306" s="5" t="s">
        <v>465</v>
      </c>
      <c r="P306" s="5" t="str">
        <f aca="false">IF(J306="S0","—",IF(K306="","",IF(L306="E0","QM",INDEX(10_ASIL_Matrix!$D$4:$F$15,MATCH(J306&amp;"-"&amp;L306,10_ASIL_Matrix!$C$4:$C$15,0),MATCH(N306,10_ASIL_Matrix!$D$3:$F$3,0)))))</f>
        <v>QM</v>
      </c>
      <c r="Q306" s="5" t="s">
        <v>779</v>
      </c>
    </row>
    <row r="307" customFormat="false" ht="35.05" hidden="false" customHeight="false" outlineLevel="0" collapsed="false">
      <c r="A307" s="6" t="s">
        <v>984</v>
      </c>
      <c r="B307" s="6" t="s">
        <v>116</v>
      </c>
      <c r="C307" s="6" t="s">
        <v>117</v>
      </c>
      <c r="D307" s="6" t="s">
        <v>147</v>
      </c>
      <c r="E307" s="6" t="s">
        <v>148</v>
      </c>
      <c r="F307" s="6" t="s">
        <v>184</v>
      </c>
      <c r="G307" s="6" t="s">
        <v>323</v>
      </c>
      <c r="H307" s="6" t="s">
        <v>205</v>
      </c>
      <c r="I307" s="6" t="s">
        <v>985</v>
      </c>
      <c r="J307" s="6" t="s">
        <v>218</v>
      </c>
      <c r="K307" s="6" t="s">
        <v>325</v>
      </c>
      <c r="L307" s="6" t="s">
        <v>206</v>
      </c>
      <c r="M307" s="6" t="s">
        <v>337</v>
      </c>
      <c r="N307" s="6" t="s">
        <v>261</v>
      </c>
      <c r="O307" s="6" t="s">
        <v>465</v>
      </c>
      <c r="P307" s="6" t="str">
        <f aca="false">IF(J307="S0","—",IF(K307="","",IF(L307="E0","QM",INDEX(10_ASIL_Matrix!$D$4:$F$15,MATCH(J307&amp;"-"&amp;L307,10_ASIL_Matrix!$C$4:$C$15,0),MATCH(N307,10_ASIL_Matrix!$D$3:$F$3,0)))))</f>
        <v>QM</v>
      </c>
      <c r="Q307" s="6" t="s">
        <v>779</v>
      </c>
    </row>
    <row r="308" customFormat="false" ht="35.05" hidden="false" customHeight="false" outlineLevel="0" collapsed="false">
      <c r="A308" s="5" t="s">
        <v>986</v>
      </c>
      <c r="B308" s="5" t="s">
        <v>116</v>
      </c>
      <c r="C308" s="5" t="s">
        <v>117</v>
      </c>
      <c r="D308" s="5" t="s">
        <v>147</v>
      </c>
      <c r="E308" s="5" t="s">
        <v>148</v>
      </c>
      <c r="F308" s="5" t="s">
        <v>184</v>
      </c>
      <c r="G308" s="5" t="s">
        <v>323</v>
      </c>
      <c r="H308" s="5" t="s">
        <v>208</v>
      </c>
      <c r="I308" s="5" t="s">
        <v>987</v>
      </c>
      <c r="J308" s="5" t="s">
        <v>218</v>
      </c>
      <c r="K308" s="5" t="s">
        <v>325</v>
      </c>
      <c r="L308" s="5" t="s">
        <v>209</v>
      </c>
      <c r="M308" s="5" t="s">
        <v>340</v>
      </c>
      <c r="N308" s="5" t="s">
        <v>261</v>
      </c>
      <c r="O308" s="5" t="s">
        <v>465</v>
      </c>
      <c r="P308" s="5" t="str">
        <f aca="false">IF(J308="S0","—",IF(K308="","",IF(L308="E0","QM",INDEX(10_ASIL_Matrix!$D$4:$F$15,MATCH(J308&amp;"-"&amp;L308,10_ASIL_Matrix!$C$4:$C$15,0),MATCH(N308,10_ASIL_Matrix!$D$3:$F$3,0)))))</f>
        <v>QM</v>
      </c>
      <c r="Q308" s="5" t="s">
        <v>779</v>
      </c>
    </row>
    <row r="309" customFormat="false" ht="35.05" hidden="false" customHeight="false" outlineLevel="0" collapsed="false">
      <c r="A309" s="6" t="s">
        <v>988</v>
      </c>
      <c r="B309" s="6" t="s">
        <v>116</v>
      </c>
      <c r="C309" s="6" t="s">
        <v>117</v>
      </c>
      <c r="D309" s="6" t="s">
        <v>147</v>
      </c>
      <c r="E309" s="6" t="s">
        <v>148</v>
      </c>
      <c r="F309" s="6" t="s">
        <v>187</v>
      </c>
      <c r="G309" s="6" t="s">
        <v>342</v>
      </c>
      <c r="H309" s="6" t="s">
        <v>199</v>
      </c>
      <c r="I309" s="6" t="s">
        <v>989</v>
      </c>
      <c r="J309" s="6" t="s">
        <v>222</v>
      </c>
      <c r="K309" s="6" t="s">
        <v>344</v>
      </c>
      <c r="L309" s="6" t="s">
        <v>188</v>
      </c>
      <c r="M309" s="6" t="s">
        <v>345</v>
      </c>
      <c r="N309" s="6" t="s">
        <v>261</v>
      </c>
      <c r="O309" s="6" t="s">
        <v>476</v>
      </c>
      <c r="P309" s="15" t="str">
        <f aca="false">IF(J309="S0","—",IF(K309="","",IF(L309="E0","QM",INDEX(10_ASIL_Matrix!$D$4:$F$15,MATCH(J309&amp;"-"&amp;L309,10_ASIL_Matrix!$C$4:$C$15,0),MATCH(N309,10_ASIL_Matrix!$D$3:$F$3,0)))))</f>
        <v>B</v>
      </c>
      <c r="Q309" s="6" t="s">
        <v>779</v>
      </c>
    </row>
    <row r="310" customFormat="false" ht="35.05" hidden="false" customHeight="false" outlineLevel="0" collapsed="false">
      <c r="A310" s="5" t="s">
        <v>990</v>
      </c>
      <c r="B310" s="5" t="s">
        <v>116</v>
      </c>
      <c r="C310" s="5" t="s">
        <v>117</v>
      </c>
      <c r="D310" s="5" t="s">
        <v>147</v>
      </c>
      <c r="E310" s="5" t="s">
        <v>148</v>
      </c>
      <c r="F310" s="5" t="s">
        <v>187</v>
      </c>
      <c r="G310" s="5" t="s">
        <v>342</v>
      </c>
      <c r="H310" s="5" t="s">
        <v>201</v>
      </c>
      <c r="I310" s="5" t="s">
        <v>991</v>
      </c>
      <c r="J310" s="5" t="s">
        <v>222</v>
      </c>
      <c r="K310" s="5" t="s">
        <v>344</v>
      </c>
      <c r="L310" s="5" t="s">
        <v>185</v>
      </c>
      <c r="M310" s="5" t="s">
        <v>348</v>
      </c>
      <c r="N310" s="5" t="s">
        <v>261</v>
      </c>
      <c r="O310" s="5" t="s">
        <v>476</v>
      </c>
      <c r="P310" s="16" t="str">
        <f aca="false">IF(J310="S0","—",IF(K310="","",IF(L310="E0","QM",INDEX(10_ASIL_Matrix!$D$4:$F$15,MATCH(J310&amp;"-"&amp;L310,10_ASIL_Matrix!$C$4:$C$15,0),MATCH(N310,10_ASIL_Matrix!$D$3:$F$3,0)))))</f>
        <v>A</v>
      </c>
      <c r="Q310" s="5" t="s">
        <v>779</v>
      </c>
    </row>
    <row r="311" customFormat="false" ht="35.05" hidden="false" customHeight="false" outlineLevel="0" collapsed="false">
      <c r="A311" s="6" t="s">
        <v>992</v>
      </c>
      <c r="B311" s="6" t="s">
        <v>116</v>
      </c>
      <c r="C311" s="6" t="s">
        <v>117</v>
      </c>
      <c r="D311" s="6" t="s">
        <v>147</v>
      </c>
      <c r="E311" s="6" t="s">
        <v>148</v>
      </c>
      <c r="F311" s="6" t="s">
        <v>187</v>
      </c>
      <c r="G311" s="6" t="s">
        <v>342</v>
      </c>
      <c r="H311" s="6" t="s">
        <v>203</v>
      </c>
      <c r="I311" s="6" t="s">
        <v>993</v>
      </c>
      <c r="J311" s="6" t="s">
        <v>222</v>
      </c>
      <c r="K311" s="6" t="s">
        <v>344</v>
      </c>
      <c r="L311" s="6" t="s">
        <v>185</v>
      </c>
      <c r="M311" s="6" t="s">
        <v>351</v>
      </c>
      <c r="N311" s="6" t="s">
        <v>261</v>
      </c>
      <c r="O311" s="6" t="s">
        <v>476</v>
      </c>
      <c r="P311" s="16" t="str">
        <f aca="false">IF(J311="S0","—",IF(K311="","",IF(L311="E0","QM",INDEX(10_ASIL_Matrix!$D$4:$F$15,MATCH(J311&amp;"-"&amp;L311,10_ASIL_Matrix!$C$4:$C$15,0),MATCH(N311,10_ASIL_Matrix!$D$3:$F$3,0)))))</f>
        <v>A</v>
      </c>
      <c r="Q311" s="6" t="s">
        <v>779</v>
      </c>
    </row>
    <row r="312" customFormat="false" ht="35.05" hidden="false" customHeight="false" outlineLevel="0" collapsed="false">
      <c r="A312" s="5" t="s">
        <v>994</v>
      </c>
      <c r="B312" s="5" t="s">
        <v>116</v>
      </c>
      <c r="C312" s="5" t="s">
        <v>117</v>
      </c>
      <c r="D312" s="5" t="s">
        <v>147</v>
      </c>
      <c r="E312" s="5" t="s">
        <v>148</v>
      </c>
      <c r="F312" s="5" t="s">
        <v>187</v>
      </c>
      <c r="G312" s="5" t="s">
        <v>342</v>
      </c>
      <c r="H312" s="5" t="s">
        <v>205</v>
      </c>
      <c r="I312" s="5" t="s">
        <v>995</v>
      </c>
      <c r="J312" s="5" t="s">
        <v>222</v>
      </c>
      <c r="K312" s="5" t="s">
        <v>354</v>
      </c>
      <c r="L312" s="5" t="s">
        <v>206</v>
      </c>
      <c r="M312" s="5" t="s">
        <v>355</v>
      </c>
      <c r="N312" s="5" t="s">
        <v>261</v>
      </c>
      <c r="O312" s="5" t="s">
        <v>476</v>
      </c>
      <c r="P312" s="5" t="str">
        <f aca="false">IF(J312="S0","—",IF(K312="","",IF(L312="E0","QM",INDEX(10_ASIL_Matrix!$D$4:$F$15,MATCH(J312&amp;"-"&amp;L312,10_ASIL_Matrix!$C$4:$C$15,0),MATCH(N312,10_ASIL_Matrix!$D$3:$F$3,0)))))</f>
        <v>QM</v>
      </c>
      <c r="Q312" s="5" t="s">
        <v>779</v>
      </c>
    </row>
    <row r="313" customFormat="false" ht="35.05" hidden="false" customHeight="false" outlineLevel="0" collapsed="false">
      <c r="A313" s="6" t="s">
        <v>996</v>
      </c>
      <c r="B313" s="6" t="s">
        <v>116</v>
      </c>
      <c r="C313" s="6" t="s">
        <v>117</v>
      </c>
      <c r="D313" s="6" t="s">
        <v>147</v>
      </c>
      <c r="E313" s="6" t="s">
        <v>148</v>
      </c>
      <c r="F313" s="6" t="s">
        <v>187</v>
      </c>
      <c r="G313" s="6" t="s">
        <v>342</v>
      </c>
      <c r="H313" s="6" t="s">
        <v>208</v>
      </c>
      <c r="I313" s="6" t="s">
        <v>997</v>
      </c>
      <c r="J313" s="6" t="s">
        <v>222</v>
      </c>
      <c r="K313" s="6" t="s">
        <v>354</v>
      </c>
      <c r="L313" s="6" t="s">
        <v>209</v>
      </c>
      <c r="M313" s="6" t="s">
        <v>358</v>
      </c>
      <c r="N313" s="6" t="s">
        <v>261</v>
      </c>
      <c r="O313" s="6" t="s">
        <v>476</v>
      </c>
      <c r="P313" s="6" t="str">
        <f aca="false">IF(J313="S0","—",IF(K313="","",IF(L313="E0","QM",INDEX(10_ASIL_Matrix!$D$4:$F$15,MATCH(J313&amp;"-"&amp;L313,10_ASIL_Matrix!$C$4:$C$15,0),MATCH(N313,10_ASIL_Matrix!$D$3:$F$3,0)))))</f>
        <v>QM</v>
      </c>
      <c r="Q313" s="6" t="s">
        <v>779</v>
      </c>
    </row>
    <row r="314" customFormat="false" ht="35.05" hidden="false" customHeight="false" outlineLevel="0" collapsed="false">
      <c r="A314" s="5" t="s">
        <v>998</v>
      </c>
      <c r="B314" s="5" t="s">
        <v>116</v>
      </c>
      <c r="C314" s="5" t="s">
        <v>117</v>
      </c>
      <c r="D314" s="5" t="s">
        <v>147</v>
      </c>
      <c r="E314" s="5" t="s">
        <v>148</v>
      </c>
      <c r="F314" s="5" t="s">
        <v>190</v>
      </c>
      <c r="G314" s="5" t="s">
        <v>360</v>
      </c>
      <c r="H314" s="5" t="s">
        <v>199</v>
      </c>
      <c r="I314" s="5" t="s">
        <v>999</v>
      </c>
      <c r="J314" s="5" t="s">
        <v>222</v>
      </c>
      <c r="K314" s="5" t="s">
        <v>362</v>
      </c>
      <c r="L314" s="5" t="s">
        <v>188</v>
      </c>
      <c r="M314" s="5" t="s">
        <v>363</v>
      </c>
      <c r="N314" s="5" t="s">
        <v>265</v>
      </c>
      <c r="O314" s="5" t="s">
        <v>593</v>
      </c>
      <c r="P314" s="17" t="str">
        <f aca="false">IF(J314="S0","—",IF(K314="","",IF(L314="E0","QM",INDEX(10_ASIL_Matrix!$D$4:$F$15,MATCH(J314&amp;"-"&amp;L314,10_ASIL_Matrix!$C$4:$C$15,0),MATCH(N314,10_ASIL_Matrix!$D$3:$F$3,0)))))</f>
        <v>C</v>
      </c>
      <c r="Q314" s="5" t="s">
        <v>779</v>
      </c>
    </row>
    <row r="315" customFormat="false" ht="35.05" hidden="false" customHeight="false" outlineLevel="0" collapsed="false">
      <c r="A315" s="6" t="s">
        <v>1000</v>
      </c>
      <c r="B315" s="6" t="s">
        <v>116</v>
      </c>
      <c r="C315" s="6" t="s">
        <v>117</v>
      </c>
      <c r="D315" s="6" t="s">
        <v>147</v>
      </c>
      <c r="E315" s="6" t="s">
        <v>148</v>
      </c>
      <c r="F315" s="6" t="s">
        <v>190</v>
      </c>
      <c r="G315" s="6" t="s">
        <v>360</v>
      </c>
      <c r="H315" s="6" t="s">
        <v>201</v>
      </c>
      <c r="I315" s="6" t="s">
        <v>1001</v>
      </c>
      <c r="J315" s="6" t="s">
        <v>222</v>
      </c>
      <c r="K315" s="6" t="s">
        <v>362</v>
      </c>
      <c r="L315" s="6" t="s">
        <v>185</v>
      </c>
      <c r="M315" s="6" t="s">
        <v>366</v>
      </c>
      <c r="N315" s="6" t="s">
        <v>265</v>
      </c>
      <c r="O315" s="6" t="s">
        <v>593</v>
      </c>
      <c r="P315" s="15" t="str">
        <f aca="false">IF(J315="S0","—",IF(K315="","",IF(L315="E0","QM",INDEX(10_ASIL_Matrix!$D$4:$F$15,MATCH(J315&amp;"-"&amp;L315,10_ASIL_Matrix!$C$4:$C$15,0),MATCH(N315,10_ASIL_Matrix!$D$3:$F$3,0)))))</f>
        <v>B</v>
      </c>
      <c r="Q315" s="6" t="s">
        <v>779</v>
      </c>
    </row>
    <row r="316" customFormat="false" ht="35.05" hidden="false" customHeight="false" outlineLevel="0" collapsed="false">
      <c r="A316" s="5" t="s">
        <v>1002</v>
      </c>
      <c r="B316" s="5" t="s">
        <v>116</v>
      </c>
      <c r="C316" s="5" t="s">
        <v>117</v>
      </c>
      <c r="D316" s="5" t="s">
        <v>147</v>
      </c>
      <c r="E316" s="5" t="s">
        <v>148</v>
      </c>
      <c r="F316" s="5" t="s">
        <v>190</v>
      </c>
      <c r="G316" s="5" t="s">
        <v>360</v>
      </c>
      <c r="H316" s="5" t="s">
        <v>203</v>
      </c>
      <c r="I316" s="5" t="s">
        <v>1003</v>
      </c>
      <c r="J316" s="5" t="s">
        <v>222</v>
      </c>
      <c r="K316" s="5" t="s">
        <v>362</v>
      </c>
      <c r="L316" s="5" t="s">
        <v>185</v>
      </c>
      <c r="M316" s="5" t="s">
        <v>369</v>
      </c>
      <c r="N316" s="5" t="s">
        <v>265</v>
      </c>
      <c r="O316" s="5" t="s">
        <v>593</v>
      </c>
      <c r="P316" s="15" t="str">
        <f aca="false">IF(J316="S0","—",IF(K316="","",IF(L316="E0","QM",INDEX(10_ASIL_Matrix!$D$4:$F$15,MATCH(J316&amp;"-"&amp;L316,10_ASIL_Matrix!$C$4:$C$15,0),MATCH(N316,10_ASIL_Matrix!$D$3:$F$3,0)))))</f>
        <v>B</v>
      </c>
      <c r="Q316" s="5" t="s">
        <v>779</v>
      </c>
    </row>
    <row r="317" customFormat="false" ht="35.05" hidden="false" customHeight="false" outlineLevel="0" collapsed="false">
      <c r="A317" s="6" t="s">
        <v>1004</v>
      </c>
      <c r="B317" s="6" t="s">
        <v>116</v>
      </c>
      <c r="C317" s="6" t="s">
        <v>117</v>
      </c>
      <c r="D317" s="6" t="s">
        <v>147</v>
      </c>
      <c r="E317" s="6" t="s">
        <v>148</v>
      </c>
      <c r="F317" s="6" t="s">
        <v>190</v>
      </c>
      <c r="G317" s="6" t="s">
        <v>360</v>
      </c>
      <c r="H317" s="6" t="s">
        <v>205</v>
      </c>
      <c r="I317" s="6" t="s">
        <v>1005</v>
      </c>
      <c r="J317" s="6" t="s">
        <v>222</v>
      </c>
      <c r="K317" s="6" t="s">
        <v>372</v>
      </c>
      <c r="L317" s="6" t="s">
        <v>206</v>
      </c>
      <c r="M317" s="6" t="s">
        <v>373</v>
      </c>
      <c r="N317" s="6" t="s">
        <v>265</v>
      </c>
      <c r="O317" s="6" t="s">
        <v>593</v>
      </c>
      <c r="P317" s="16" t="str">
        <f aca="false">IF(J317="S0","—",IF(K317="","",IF(L317="E0","QM",INDEX(10_ASIL_Matrix!$D$4:$F$15,MATCH(J317&amp;"-"&amp;L317,10_ASIL_Matrix!$C$4:$C$15,0),MATCH(N317,10_ASIL_Matrix!$D$3:$F$3,0)))))</f>
        <v>A</v>
      </c>
      <c r="Q317" s="6" t="s">
        <v>779</v>
      </c>
    </row>
    <row r="318" customFormat="false" ht="35.05" hidden="false" customHeight="false" outlineLevel="0" collapsed="false">
      <c r="A318" s="5" t="s">
        <v>1006</v>
      </c>
      <c r="B318" s="5" t="s">
        <v>116</v>
      </c>
      <c r="C318" s="5" t="s">
        <v>117</v>
      </c>
      <c r="D318" s="5" t="s">
        <v>147</v>
      </c>
      <c r="E318" s="5" t="s">
        <v>148</v>
      </c>
      <c r="F318" s="5" t="s">
        <v>190</v>
      </c>
      <c r="G318" s="5" t="s">
        <v>360</v>
      </c>
      <c r="H318" s="5" t="s">
        <v>208</v>
      </c>
      <c r="I318" s="5" t="s">
        <v>1007</v>
      </c>
      <c r="J318" s="5" t="s">
        <v>222</v>
      </c>
      <c r="K318" s="5" t="s">
        <v>372</v>
      </c>
      <c r="L318" s="5" t="s">
        <v>209</v>
      </c>
      <c r="M318" s="5" t="s">
        <v>376</v>
      </c>
      <c r="N318" s="5" t="s">
        <v>265</v>
      </c>
      <c r="O318" s="5" t="s">
        <v>593</v>
      </c>
      <c r="P318" s="5" t="str">
        <f aca="false">IF(J318="S0","—",IF(K318="","",IF(L318="E0","QM",INDEX(10_ASIL_Matrix!$D$4:$F$15,MATCH(J318&amp;"-"&amp;L318,10_ASIL_Matrix!$C$4:$C$15,0),MATCH(N318,10_ASIL_Matrix!$D$3:$F$3,0)))))</f>
        <v>QM</v>
      </c>
      <c r="Q318" s="5" t="s">
        <v>779</v>
      </c>
    </row>
    <row r="319" customFormat="false" ht="35.05" hidden="false" customHeight="false" outlineLevel="0" collapsed="false">
      <c r="A319" s="6" t="s">
        <v>1008</v>
      </c>
      <c r="B319" s="6" t="s">
        <v>116</v>
      </c>
      <c r="C319" s="6" t="s">
        <v>117</v>
      </c>
      <c r="D319" s="6" t="s">
        <v>147</v>
      </c>
      <c r="E319" s="6" t="s">
        <v>148</v>
      </c>
      <c r="F319" s="6" t="s">
        <v>192</v>
      </c>
      <c r="G319" s="6" t="s">
        <v>378</v>
      </c>
      <c r="H319" s="6" t="s">
        <v>199</v>
      </c>
      <c r="I319" s="6" t="s">
        <v>1009</v>
      </c>
      <c r="J319" s="6" t="s">
        <v>226</v>
      </c>
      <c r="K319" s="6" t="s">
        <v>380</v>
      </c>
      <c r="L319" s="6" t="s">
        <v>185</v>
      </c>
      <c r="M319" s="6" t="s">
        <v>381</v>
      </c>
      <c r="N319" s="6" t="s">
        <v>265</v>
      </c>
      <c r="O319" s="6" t="s">
        <v>604</v>
      </c>
      <c r="P319" s="17" t="str">
        <f aca="false">IF(J319="S0","—",IF(K319="","",IF(L319="E0","QM",INDEX(10_ASIL_Matrix!$D$4:$F$15,MATCH(J319&amp;"-"&amp;L319,10_ASIL_Matrix!$C$4:$C$15,0),MATCH(N319,10_ASIL_Matrix!$D$3:$F$3,0)))))</f>
        <v>C</v>
      </c>
      <c r="Q319" s="6" t="s">
        <v>779</v>
      </c>
    </row>
    <row r="320" customFormat="false" ht="35.05" hidden="false" customHeight="false" outlineLevel="0" collapsed="false">
      <c r="A320" s="5" t="s">
        <v>1010</v>
      </c>
      <c r="B320" s="5" t="s">
        <v>116</v>
      </c>
      <c r="C320" s="5" t="s">
        <v>117</v>
      </c>
      <c r="D320" s="5" t="s">
        <v>147</v>
      </c>
      <c r="E320" s="5" t="s">
        <v>148</v>
      </c>
      <c r="F320" s="5" t="s">
        <v>192</v>
      </c>
      <c r="G320" s="5" t="s">
        <v>378</v>
      </c>
      <c r="H320" s="5" t="s">
        <v>201</v>
      </c>
      <c r="I320" s="5" t="s">
        <v>1011</v>
      </c>
      <c r="J320" s="5" t="s">
        <v>226</v>
      </c>
      <c r="K320" s="5" t="s">
        <v>380</v>
      </c>
      <c r="L320" s="5" t="s">
        <v>185</v>
      </c>
      <c r="M320" s="5" t="s">
        <v>384</v>
      </c>
      <c r="N320" s="5" t="s">
        <v>265</v>
      </c>
      <c r="O320" s="5" t="s">
        <v>604</v>
      </c>
      <c r="P320" s="17" t="str">
        <f aca="false">IF(J320="S0","—",IF(K320="","",IF(L320="E0","QM",INDEX(10_ASIL_Matrix!$D$4:$F$15,MATCH(J320&amp;"-"&amp;L320,10_ASIL_Matrix!$C$4:$C$15,0),MATCH(N320,10_ASIL_Matrix!$D$3:$F$3,0)))))</f>
        <v>C</v>
      </c>
      <c r="Q320" s="5" t="s">
        <v>779</v>
      </c>
    </row>
    <row r="321" customFormat="false" ht="35.05" hidden="false" customHeight="false" outlineLevel="0" collapsed="false">
      <c r="A321" s="6" t="s">
        <v>1012</v>
      </c>
      <c r="B321" s="6" t="s">
        <v>116</v>
      </c>
      <c r="C321" s="6" t="s">
        <v>117</v>
      </c>
      <c r="D321" s="6" t="s">
        <v>147</v>
      </c>
      <c r="E321" s="6" t="s">
        <v>148</v>
      </c>
      <c r="F321" s="6" t="s">
        <v>192</v>
      </c>
      <c r="G321" s="6" t="s">
        <v>378</v>
      </c>
      <c r="H321" s="6" t="s">
        <v>203</v>
      </c>
      <c r="I321" s="6" t="s">
        <v>1013</v>
      </c>
      <c r="J321" s="6" t="s">
        <v>226</v>
      </c>
      <c r="K321" s="6" t="s">
        <v>380</v>
      </c>
      <c r="L321" s="6" t="s">
        <v>185</v>
      </c>
      <c r="M321" s="6" t="s">
        <v>387</v>
      </c>
      <c r="N321" s="6" t="s">
        <v>265</v>
      </c>
      <c r="O321" s="6" t="s">
        <v>604</v>
      </c>
      <c r="P321" s="17" t="str">
        <f aca="false">IF(J321="S0","—",IF(K321="","",IF(L321="E0","QM",INDEX(10_ASIL_Matrix!$D$4:$F$15,MATCH(J321&amp;"-"&amp;L321,10_ASIL_Matrix!$C$4:$C$15,0),MATCH(N321,10_ASIL_Matrix!$D$3:$F$3,0)))))</f>
        <v>C</v>
      </c>
      <c r="Q321" s="6" t="s">
        <v>779</v>
      </c>
    </row>
    <row r="322" customFormat="false" ht="35.05" hidden="false" customHeight="false" outlineLevel="0" collapsed="false">
      <c r="A322" s="5" t="s">
        <v>1014</v>
      </c>
      <c r="B322" s="5" t="s">
        <v>116</v>
      </c>
      <c r="C322" s="5" t="s">
        <v>117</v>
      </c>
      <c r="D322" s="5" t="s">
        <v>147</v>
      </c>
      <c r="E322" s="5" t="s">
        <v>148</v>
      </c>
      <c r="F322" s="5" t="s">
        <v>192</v>
      </c>
      <c r="G322" s="5" t="s">
        <v>378</v>
      </c>
      <c r="H322" s="5" t="s">
        <v>205</v>
      </c>
      <c r="I322" s="5" t="s">
        <v>1015</v>
      </c>
      <c r="J322" s="5" t="s">
        <v>226</v>
      </c>
      <c r="K322" s="5" t="s">
        <v>390</v>
      </c>
      <c r="L322" s="5" t="s">
        <v>206</v>
      </c>
      <c r="M322" s="5" t="s">
        <v>391</v>
      </c>
      <c r="N322" s="5" t="s">
        <v>265</v>
      </c>
      <c r="O322" s="5" t="s">
        <v>604</v>
      </c>
      <c r="P322" s="15" t="str">
        <f aca="false">IF(J322="S0","—",IF(K322="","",IF(L322="E0","QM",INDEX(10_ASIL_Matrix!$D$4:$F$15,MATCH(J322&amp;"-"&amp;L322,10_ASIL_Matrix!$C$4:$C$15,0),MATCH(N322,10_ASIL_Matrix!$D$3:$F$3,0)))))</f>
        <v>B</v>
      </c>
      <c r="Q322" s="5" t="s">
        <v>779</v>
      </c>
    </row>
    <row r="323" customFormat="false" ht="35.05" hidden="false" customHeight="false" outlineLevel="0" collapsed="false">
      <c r="A323" s="6" t="s">
        <v>1016</v>
      </c>
      <c r="B323" s="6" t="s">
        <v>116</v>
      </c>
      <c r="C323" s="6" t="s">
        <v>117</v>
      </c>
      <c r="D323" s="6" t="s">
        <v>147</v>
      </c>
      <c r="E323" s="6" t="s">
        <v>148</v>
      </c>
      <c r="F323" s="6" t="s">
        <v>192</v>
      </c>
      <c r="G323" s="6" t="s">
        <v>378</v>
      </c>
      <c r="H323" s="6" t="s">
        <v>208</v>
      </c>
      <c r="I323" s="6" t="s">
        <v>1017</v>
      </c>
      <c r="J323" s="6" t="s">
        <v>226</v>
      </c>
      <c r="K323" s="6" t="s">
        <v>390</v>
      </c>
      <c r="L323" s="6" t="s">
        <v>209</v>
      </c>
      <c r="M323" s="6" t="s">
        <v>394</v>
      </c>
      <c r="N323" s="6" t="s">
        <v>265</v>
      </c>
      <c r="O323" s="6" t="s">
        <v>604</v>
      </c>
      <c r="P323" s="16" t="str">
        <f aca="false">IF(J323="S0","—",IF(K323="","",IF(L323="E0","QM",INDEX(10_ASIL_Matrix!$D$4:$F$15,MATCH(J323&amp;"-"&amp;L323,10_ASIL_Matrix!$C$4:$C$15,0),MATCH(N323,10_ASIL_Matrix!$D$3:$F$3,0)))))</f>
        <v>A</v>
      </c>
      <c r="Q323" s="6" t="s">
        <v>779</v>
      </c>
    </row>
    <row r="324" customFormat="false" ht="35.05" hidden="false" customHeight="false" outlineLevel="0" collapsed="false">
      <c r="A324" s="5" t="s">
        <v>1018</v>
      </c>
      <c r="B324" s="5" t="s">
        <v>116</v>
      </c>
      <c r="C324" s="5" t="s">
        <v>117</v>
      </c>
      <c r="D324" s="5" t="s">
        <v>147</v>
      </c>
      <c r="E324" s="5" t="s">
        <v>148</v>
      </c>
      <c r="F324" s="5" t="s">
        <v>194</v>
      </c>
      <c r="G324" s="5" t="s">
        <v>396</v>
      </c>
      <c r="H324" s="5" t="s">
        <v>199</v>
      </c>
      <c r="I324" s="5" t="s">
        <v>1019</v>
      </c>
      <c r="J324" s="5" t="s">
        <v>226</v>
      </c>
      <c r="K324" s="5" t="s">
        <v>398</v>
      </c>
      <c r="L324" s="5" t="s">
        <v>188</v>
      </c>
      <c r="M324" s="5" t="s">
        <v>399</v>
      </c>
      <c r="N324" s="5" t="s">
        <v>265</v>
      </c>
      <c r="O324" s="5" t="s">
        <v>615</v>
      </c>
      <c r="P324" s="18" t="str">
        <f aca="false">IF(J324="S0","—",IF(K324="","",IF(L324="E0","QM",INDEX(10_ASIL_Matrix!$D$4:$F$15,MATCH(J324&amp;"-"&amp;L324,10_ASIL_Matrix!$C$4:$C$15,0),MATCH(N324,10_ASIL_Matrix!$D$3:$F$3,0)))))</f>
        <v>D</v>
      </c>
      <c r="Q324" s="5" t="s">
        <v>779</v>
      </c>
    </row>
    <row r="325" customFormat="false" ht="35.05" hidden="false" customHeight="false" outlineLevel="0" collapsed="false">
      <c r="A325" s="6" t="s">
        <v>1020</v>
      </c>
      <c r="B325" s="6" t="s">
        <v>116</v>
      </c>
      <c r="C325" s="6" t="s">
        <v>117</v>
      </c>
      <c r="D325" s="6" t="s">
        <v>147</v>
      </c>
      <c r="E325" s="6" t="s">
        <v>148</v>
      </c>
      <c r="F325" s="6" t="s">
        <v>194</v>
      </c>
      <c r="G325" s="6" t="s">
        <v>396</v>
      </c>
      <c r="H325" s="6" t="s">
        <v>201</v>
      </c>
      <c r="I325" s="6" t="s">
        <v>1021</v>
      </c>
      <c r="J325" s="6" t="s">
        <v>226</v>
      </c>
      <c r="K325" s="6" t="s">
        <v>398</v>
      </c>
      <c r="L325" s="6" t="s">
        <v>185</v>
      </c>
      <c r="M325" s="6" t="s">
        <v>402</v>
      </c>
      <c r="N325" s="6" t="s">
        <v>265</v>
      </c>
      <c r="O325" s="6" t="s">
        <v>615</v>
      </c>
      <c r="P325" s="17" t="str">
        <f aca="false">IF(J325="S0","—",IF(K325="","",IF(L325="E0","QM",INDEX(10_ASIL_Matrix!$D$4:$F$15,MATCH(J325&amp;"-"&amp;L325,10_ASIL_Matrix!$C$4:$C$15,0),MATCH(N325,10_ASIL_Matrix!$D$3:$F$3,0)))))</f>
        <v>C</v>
      </c>
      <c r="Q325" s="6" t="s">
        <v>779</v>
      </c>
    </row>
    <row r="326" customFormat="false" ht="35.05" hidden="false" customHeight="false" outlineLevel="0" collapsed="false">
      <c r="A326" s="5" t="s">
        <v>1022</v>
      </c>
      <c r="B326" s="5" t="s">
        <v>116</v>
      </c>
      <c r="C326" s="5" t="s">
        <v>117</v>
      </c>
      <c r="D326" s="5" t="s">
        <v>147</v>
      </c>
      <c r="E326" s="5" t="s">
        <v>148</v>
      </c>
      <c r="F326" s="5" t="s">
        <v>194</v>
      </c>
      <c r="G326" s="5" t="s">
        <v>396</v>
      </c>
      <c r="H326" s="5" t="s">
        <v>203</v>
      </c>
      <c r="I326" s="5" t="s">
        <v>1023</v>
      </c>
      <c r="J326" s="5" t="s">
        <v>226</v>
      </c>
      <c r="K326" s="5" t="s">
        <v>398</v>
      </c>
      <c r="L326" s="5" t="s">
        <v>185</v>
      </c>
      <c r="M326" s="5" t="s">
        <v>405</v>
      </c>
      <c r="N326" s="5" t="s">
        <v>265</v>
      </c>
      <c r="O326" s="5" t="s">
        <v>615</v>
      </c>
      <c r="P326" s="17" t="str">
        <f aca="false">IF(J326="S0","—",IF(K326="","",IF(L326="E0","QM",INDEX(10_ASIL_Matrix!$D$4:$F$15,MATCH(J326&amp;"-"&amp;L326,10_ASIL_Matrix!$C$4:$C$15,0),MATCH(N326,10_ASIL_Matrix!$D$3:$F$3,0)))))</f>
        <v>C</v>
      </c>
      <c r="Q326" s="5" t="s">
        <v>779</v>
      </c>
    </row>
    <row r="327" customFormat="false" ht="35.05" hidden="false" customHeight="false" outlineLevel="0" collapsed="false">
      <c r="A327" s="6" t="s">
        <v>1024</v>
      </c>
      <c r="B327" s="6" t="s">
        <v>116</v>
      </c>
      <c r="C327" s="6" t="s">
        <v>117</v>
      </c>
      <c r="D327" s="6" t="s">
        <v>147</v>
      </c>
      <c r="E327" s="6" t="s">
        <v>148</v>
      </c>
      <c r="F327" s="6" t="s">
        <v>194</v>
      </c>
      <c r="G327" s="6" t="s">
        <v>396</v>
      </c>
      <c r="H327" s="6" t="s">
        <v>205</v>
      </c>
      <c r="I327" s="6" t="s">
        <v>1025</v>
      </c>
      <c r="J327" s="6" t="s">
        <v>226</v>
      </c>
      <c r="K327" s="6" t="s">
        <v>408</v>
      </c>
      <c r="L327" s="6" t="s">
        <v>206</v>
      </c>
      <c r="M327" s="6" t="s">
        <v>409</v>
      </c>
      <c r="N327" s="6" t="s">
        <v>265</v>
      </c>
      <c r="O327" s="6" t="s">
        <v>615</v>
      </c>
      <c r="P327" s="15" t="str">
        <f aca="false">IF(J327="S0","—",IF(K327="","",IF(L327="E0","QM",INDEX(10_ASIL_Matrix!$D$4:$F$15,MATCH(J327&amp;"-"&amp;L327,10_ASIL_Matrix!$C$4:$C$15,0),MATCH(N327,10_ASIL_Matrix!$D$3:$F$3,0)))))</f>
        <v>B</v>
      </c>
      <c r="Q327" s="6" t="s">
        <v>779</v>
      </c>
    </row>
    <row r="328" customFormat="false" ht="35.05" hidden="false" customHeight="false" outlineLevel="0" collapsed="false">
      <c r="A328" s="5" t="s">
        <v>1026</v>
      </c>
      <c r="B328" s="5" t="s">
        <v>116</v>
      </c>
      <c r="C328" s="5" t="s">
        <v>117</v>
      </c>
      <c r="D328" s="5" t="s">
        <v>147</v>
      </c>
      <c r="E328" s="5" t="s">
        <v>148</v>
      </c>
      <c r="F328" s="5" t="s">
        <v>194</v>
      </c>
      <c r="G328" s="5" t="s">
        <v>396</v>
      </c>
      <c r="H328" s="5" t="s">
        <v>208</v>
      </c>
      <c r="I328" s="5" t="s">
        <v>1027</v>
      </c>
      <c r="J328" s="5" t="s">
        <v>226</v>
      </c>
      <c r="K328" s="5" t="s">
        <v>408</v>
      </c>
      <c r="L328" s="5" t="s">
        <v>209</v>
      </c>
      <c r="M328" s="5" t="s">
        <v>412</v>
      </c>
      <c r="N328" s="5" t="s">
        <v>265</v>
      </c>
      <c r="O328" s="5" t="s">
        <v>615</v>
      </c>
      <c r="P328" s="16" t="str">
        <f aca="false">IF(J328="S0","—",IF(K328="","",IF(L328="E0","QM",INDEX(10_ASIL_Matrix!$D$4:$F$15,MATCH(J328&amp;"-"&amp;L328,10_ASIL_Matrix!$C$4:$C$15,0),MATCH(N328,10_ASIL_Matrix!$D$3:$F$3,0)))))</f>
        <v>A</v>
      </c>
      <c r="Q328" s="5" t="s">
        <v>779</v>
      </c>
    </row>
    <row r="329" customFormat="false" ht="68.65" hidden="false" customHeight="false" outlineLevel="0" collapsed="false">
      <c r="A329" s="6" t="s">
        <v>1028</v>
      </c>
      <c r="B329" s="6" t="s">
        <v>116</v>
      </c>
      <c r="C329" s="6" t="s">
        <v>117</v>
      </c>
      <c r="D329" s="6" t="s">
        <v>150</v>
      </c>
      <c r="E329" s="6" t="s">
        <v>151</v>
      </c>
      <c r="F329" s="6" t="s">
        <v>184</v>
      </c>
      <c r="G329" s="6" t="s">
        <v>323</v>
      </c>
      <c r="H329" s="6" t="s">
        <v>199</v>
      </c>
      <c r="I329" s="6" t="s">
        <v>1029</v>
      </c>
      <c r="J329" s="6" t="s">
        <v>218</v>
      </c>
      <c r="K329" s="6" t="s">
        <v>325</v>
      </c>
      <c r="L329" s="6" t="s">
        <v>185</v>
      </c>
      <c r="M329" s="6" t="s">
        <v>326</v>
      </c>
      <c r="N329" s="6" t="s">
        <v>261</v>
      </c>
      <c r="O329" s="6" t="s">
        <v>327</v>
      </c>
      <c r="P329" s="6" t="str">
        <f aca="false">IF(J329="S0","—",IF(K329="","",IF(L329="E0","QM",INDEX(10_ASIL_Matrix!$D$4:$F$15,MATCH(J329&amp;"-"&amp;L329,10_ASIL_Matrix!$C$4:$C$15,0),MATCH(N329,10_ASIL_Matrix!$D$3:$F$3,0)))))</f>
        <v>QM</v>
      </c>
      <c r="Q329" s="6" t="s">
        <v>779</v>
      </c>
    </row>
    <row r="330" customFormat="false" ht="68.65" hidden="false" customHeight="false" outlineLevel="0" collapsed="false">
      <c r="A330" s="5" t="s">
        <v>1030</v>
      </c>
      <c r="B330" s="5" t="s">
        <v>116</v>
      </c>
      <c r="C330" s="5" t="s">
        <v>117</v>
      </c>
      <c r="D330" s="5" t="s">
        <v>150</v>
      </c>
      <c r="E330" s="5" t="s">
        <v>151</v>
      </c>
      <c r="F330" s="5" t="s">
        <v>184</v>
      </c>
      <c r="G330" s="5" t="s">
        <v>323</v>
      </c>
      <c r="H330" s="5" t="s">
        <v>201</v>
      </c>
      <c r="I330" s="5" t="s">
        <v>1031</v>
      </c>
      <c r="J330" s="5" t="s">
        <v>218</v>
      </c>
      <c r="K330" s="5" t="s">
        <v>325</v>
      </c>
      <c r="L330" s="5" t="s">
        <v>185</v>
      </c>
      <c r="M330" s="5" t="s">
        <v>331</v>
      </c>
      <c r="N330" s="5" t="s">
        <v>261</v>
      </c>
      <c r="O330" s="5" t="s">
        <v>327</v>
      </c>
      <c r="P330" s="5" t="str">
        <f aca="false">IF(J330="S0","—",IF(K330="","",IF(L330="E0","QM",INDEX(10_ASIL_Matrix!$D$4:$F$15,MATCH(J330&amp;"-"&amp;L330,10_ASIL_Matrix!$C$4:$C$15,0),MATCH(N330,10_ASIL_Matrix!$D$3:$F$3,0)))))</f>
        <v>QM</v>
      </c>
      <c r="Q330" s="5" t="s">
        <v>779</v>
      </c>
    </row>
    <row r="331" customFormat="false" ht="68.65" hidden="false" customHeight="false" outlineLevel="0" collapsed="false">
      <c r="A331" s="6" t="s">
        <v>1032</v>
      </c>
      <c r="B331" s="6" t="s">
        <v>116</v>
      </c>
      <c r="C331" s="6" t="s">
        <v>117</v>
      </c>
      <c r="D331" s="6" t="s">
        <v>150</v>
      </c>
      <c r="E331" s="6" t="s">
        <v>151</v>
      </c>
      <c r="F331" s="6" t="s">
        <v>184</v>
      </c>
      <c r="G331" s="6" t="s">
        <v>323</v>
      </c>
      <c r="H331" s="6" t="s">
        <v>203</v>
      </c>
      <c r="I331" s="6" t="s">
        <v>1033</v>
      </c>
      <c r="J331" s="6" t="s">
        <v>218</v>
      </c>
      <c r="K331" s="6" t="s">
        <v>325</v>
      </c>
      <c r="L331" s="6" t="s">
        <v>185</v>
      </c>
      <c r="M331" s="6" t="s">
        <v>334</v>
      </c>
      <c r="N331" s="6" t="s">
        <v>261</v>
      </c>
      <c r="O331" s="6" t="s">
        <v>327</v>
      </c>
      <c r="P331" s="6" t="str">
        <f aca="false">IF(J331="S0","—",IF(K331="","",IF(L331="E0","QM",INDEX(10_ASIL_Matrix!$D$4:$F$15,MATCH(J331&amp;"-"&amp;L331,10_ASIL_Matrix!$C$4:$C$15,0),MATCH(N331,10_ASIL_Matrix!$D$3:$F$3,0)))))</f>
        <v>QM</v>
      </c>
      <c r="Q331" s="6" t="s">
        <v>779</v>
      </c>
    </row>
    <row r="332" customFormat="false" ht="68.65" hidden="false" customHeight="false" outlineLevel="0" collapsed="false">
      <c r="A332" s="5" t="s">
        <v>1034</v>
      </c>
      <c r="B332" s="5" t="s">
        <v>116</v>
      </c>
      <c r="C332" s="5" t="s">
        <v>117</v>
      </c>
      <c r="D332" s="5" t="s">
        <v>150</v>
      </c>
      <c r="E332" s="5" t="s">
        <v>151</v>
      </c>
      <c r="F332" s="5" t="s">
        <v>184</v>
      </c>
      <c r="G332" s="5" t="s">
        <v>323</v>
      </c>
      <c r="H332" s="5" t="s">
        <v>205</v>
      </c>
      <c r="I332" s="5" t="s">
        <v>1035</v>
      </c>
      <c r="J332" s="5" t="s">
        <v>218</v>
      </c>
      <c r="K332" s="5" t="s">
        <v>325</v>
      </c>
      <c r="L332" s="5" t="s">
        <v>206</v>
      </c>
      <c r="M332" s="5" t="s">
        <v>337</v>
      </c>
      <c r="N332" s="5" t="s">
        <v>261</v>
      </c>
      <c r="O332" s="5" t="s">
        <v>327</v>
      </c>
      <c r="P332" s="5" t="str">
        <f aca="false">IF(J332="S0","—",IF(K332="","",IF(L332="E0","QM",INDEX(10_ASIL_Matrix!$D$4:$F$15,MATCH(J332&amp;"-"&amp;L332,10_ASIL_Matrix!$C$4:$C$15,0),MATCH(N332,10_ASIL_Matrix!$D$3:$F$3,0)))))</f>
        <v>QM</v>
      </c>
      <c r="Q332" s="5" t="s">
        <v>779</v>
      </c>
    </row>
    <row r="333" customFormat="false" ht="68.65" hidden="false" customHeight="false" outlineLevel="0" collapsed="false">
      <c r="A333" s="6" t="s">
        <v>1036</v>
      </c>
      <c r="B333" s="6" t="s">
        <v>116</v>
      </c>
      <c r="C333" s="6" t="s">
        <v>117</v>
      </c>
      <c r="D333" s="6" t="s">
        <v>150</v>
      </c>
      <c r="E333" s="6" t="s">
        <v>151</v>
      </c>
      <c r="F333" s="6" t="s">
        <v>184</v>
      </c>
      <c r="G333" s="6" t="s">
        <v>323</v>
      </c>
      <c r="H333" s="6" t="s">
        <v>208</v>
      </c>
      <c r="I333" s="6" t="s">
        <v>1037</v>
      </c>
      <c r="J333" s="6" t="s">
        <v>218</v>
      </c>
      <c r="K333" s="6" t="s">
        <v>325</v>
      </c>
      <c r="L333" s="6" t="s">
        <v>209</v>
      </c>
      <c r="M333" s="6" t="s">
        <v>340</v>
      </c>
      <c r="N333" s="6" t="s">
        <v>261</v>
      </c>
      <c r="O333" s="6" t="s">
        <v>327</v>
      </c>
      <c r="P333" s="6" t="str">
        <f aca="false">IF(J333="S0","—",IF(K333="","",IF(L333="E0","QM",INDEX(10_ASIL_Matrix!$D$4:$F$15,MATCH(J333&amp;"-"&amp;L333,10_ASIL_Matrix!$C$4:$C$15,0),MATCH(N333,10_ASIL_Matrix!$D$3:$F$3,0)))))</f>
        <v>QM</v>
      </c>
      <c r="Q333" s="6" t="s">
        <v>779</v>
      </c>
    </row>
    <row r="334" customFormat="false" ht="68.65" hidden="false" customHeight="false" outlineLevel="0" collapsed="false">
      <c r="A334" s="5" t="s">
        <v>1038</v>
      </c>
      <c r="B334" s="5" t="s">
        <v>116</v>
      </c>
      <c r="C334" s="5" t="s">
        <v>117</v>
      </c>
      <c r="D334" s="5" t="s">
        <v>150</v>
      </c>
      <c r="E334" s="5" t="s">
        <v>151</v>
      </c>
      <c r="F334" s="5" t="s">
        <v>187</v>
      </c>
      <c r="G334" s="5" t="s">
        <v>342</v>
      </c>
      <c r="H334" s="5" t="s">
        <v>199</v>
      </c>
      <c r="I334" s="5" t="s">
        <v>1039</v>
      </c>
      <c r="J334" s="5" t="s">
        <v>222</v>
      </c>
      <c r="K334" s="5" t="s">
        <v>344</v>
      </c>
      <c r="L334" s="5" t="s">
        <v>188</v>
      </c>
      <c r="M334" s="5" t="s">
        <v>345</v>
      </c>
      <c r="N334" s="5" t="s">
        <v>261</v>
      </c>
      <c r="O334" s="5" t="s">
        <v>327</v>
      </c>
      <c r="P334" s="15" t="str">
        <f aca="false">IF(J334="S0","—",IF(K334="","",IF(L334="E0","QM",INDEX(10_ASIL_Matrix!$D$4:$F$15,MATCH(J334&amp;"-"&amp;L334,10_ASIL_Matrix!$C$4:$C$15,0),MATCH(N334,10_ASIL_Matrix!$D$3:$F$3,0)))))</f>
        <v>B</v>
      </c>
      <c r="Q334" s="5" t="s">
        <v>779</v>
      </c>
    </row>
    <row r="335" customFormat="false" ht="68.65" hidden="false" customHeight="false" outlineLevel="0" collapsed="false">
      <c r="A335" s="6" t="s">
        <v>1040</v>
      </c>
      <c r="B335" s="6" t="s">
        <v>116</v>
      </c>
      <c r="C335" s="6" t="s">
        <v>117</v>
      </c>
      <c r="D335" s="6" t="s">
        <v>150</v>
      </c>
      <c r="E335" s="6" t="s">
        <v>151</v>
      </c>
      <c r="F335" s="6" t="s">
        <v>187</v>
      </c>
      <c r="G335" s="6" t="s">
        <v>342</v>
      </c>
      <c r="H335" s="6" t="s">
        <v>201</v>
      </c>
      <c r="I335" s="6" t="s">
        <v>1041</v>
      </c>
      <c r="J335" s="6" t="s">
        <v>222</v>
      </c>
      <c r="K335" s="6" t="s">
        <v>344</v>
      </c>
      <c r="L335" s="6" t="s">
        <v>185</v>
      </c>
      <c r="M335" s="6" t="s">
        <v>348</v>
      </c>
      <c r="N335" s="6" t="s">
        <v>261</v>
      </c>
      <c r="O335" s="6" t="s">
        <v>327</v>
      </c>
      <c r="P335" s="16" t="str">
        <f aca="false">IF(J335="S0","—",IF(K335="","",IF(L335="E0","QM",INDEX(10_ASIL_Matrix!$D$4:$F$15,MATCH(J335&amp;"-"&amp;L335,10_ASIL_Matrix!$C$4:$C$15,0),MATCH(N335,10_ASIL_Matrix!$D$3:$F$3,0)))))</f>
        <v>A</v>
      </c>
      <c r="Q335" s="6" t="s">
        <v>779</v>
      </c>
    </row>
    <row r="336" customFormat="false" ht="68.65" hidden="false" customHeight="false" outlineLevel="0" collapsed="false">
      <c r="A336" s="5" t="s">
        <v>1042</v>
      </c>
      <c r="B336" s="5" t="s">
        <v>116</v>
      </c>
      <c r="C336" s="5" t="s">
        <v>117</v>
      </c>
      <c r="D336" s="5" t="s">
        <v>150</v>
      </c>
      <c r="E336" s="5" t="s">
        <v>151</v>
      </c>
      <c r="F336" s="5" t="s">
        <v>187</v>
      </c>
      <c r="G336" s="5" t="s">
        <v>342</v>
      </c>
      <c r="H336" s="5" t="s">
        <v>203</v>
      </c>
      <c r="I336" s="5" t="s">
        <v>1043</v>
      </c>
      <c r="J336" s="5" t="s">
        <v>222</v>
      </c>
      <c r="K336" s="5" t="s">
        <v>344</v>
      </c>
      <c r="L336" s="5" t="s">
        <v>185</v>
      </c>
      <c r="M336" s="5" t="s">
        <v>351</v>
      </c>
      <c r="N336" s="5" t="s">
        <v>261</v>
      </c>
      <c r="O336" s="5" t="s">
        <v>327</v>
      </c>
      <c r="P336" s="16" t="str">
        <f aca="false">IF(J336="S0","—",IF(K336="","",IF(L336="E0","QM",INDEX(10_ASIL_Matrix!$D$4:$F$15,MATCH(J336&amp;"-"&amp;L336,10_ASIL_Matrix!$C$4:$C$15,0),MATCH(N336,10_ASIL_Matrix!$D$3:$F$3,0)))))</f>
        <v>A</v>
      </c>
      <c r="Q336" s="5" t="s">
        <v>779</v>
      </c>
    </row>
    <row r="337" customFormat="false" ht="68.65" hidden="false" customHeight="false" outlineLevel="0" collapsed="false">
      <c r="A337" s="6" t="s">
        <v>1044</v>
      </c>
      <c r="B337" s="6" t="s">
        <v>116</v>
      </c>
      <c r="C337" s="6" t="s">
        <v>117</v>
      </c>
      <c r="D337" s="6" t="s">
        <v>150</v>
      </c>
      <c r="E337" s="6" t="s">
        <v>151</v>
      </c>
      <c r="F337" s="6" t="s">
        <v>187</v>
      </c>
      <c r="G337" s="6" t="s">
        <v>342</v>
      </c>
      <c r="H337" s="6" t="s">
        <v>205</v>
      </c>
      <c r="I337" s="6" t="s">
        <v>1045</v>
      </c>
      <c r="J337" s="6" t="s">
        <v>222</v>
      </c>
      <c r="K337" s="6" t="s">
        <v>354</v>
      </c>
      <c r="L337" s="6" t="s">
        <v>206</v>
      </c>
      <c r="M337" s="6" t="s">
        <v>355</v>
      </c>
      <c r="N337" s="6" t="s">
        <v>261</v>
      </c>
      <c r="O337" s="6" t="s">
        <v>327</v>
      </c>
      <c r="P337" s="6" t="str">
        <f aca="false">IF(J337="S0","—",IF(K337="","",IF(L337="E0","QM",INDEX(10_ASIL_Matrix!$D$4:$F$15,MATCH(J337&amp;"-"&amp;L337,10_ASIL_Matrix!$C$4:$C$15,0),MATCH(N337,10_ASIL_Matrix!$D$3:$F$3,0)))))</f>
        <v>QM</v>
      </c>
      <c r="Q337" s="6" t="s">
        <v>779</v>
      </c>
    </row>
    <row r="338" customFormat="false" ht="68.65" hidden="false" customHeight="false" outlineLevel="0" collapsed="false">
      <c r="A338" s="5" t="s">
        <v>1046</v>
      </c>
      <c r="B338" s="5" t="s">
        <v>116</v>
      </c>
      <c r="C338" s="5" t="s">
        <v>117</v>
      </c>
      <c r="D338" s="5" t="s">
        <v>150</v>
      </c>
      <c r="E338" s="5" t="s">
        <v>151</v>
      </c>
      <c r="F338" s="5" t="s">
        <v>187</v>
      </c>
      <c r="G338" s="5" t="s">
        <v>342</v>
      </c>
      <c r="H338" s="5" t="s">
        <v>208</v>
      </c>
      <c r="I338" s="5" t="s">
        <v>1047</v>
      </c>
      <c r="J338" s="5" t="s">
        <v>222</v>
      </c>
      <c r="K338" s="5" t="s">
        <v>354</v>
      </c>
      <c r="L338" s="5" t="s">
        <v>209</v>
      </c>
      <c r="M338" s="5" t="s">
        <v>358</v>
      </c>
      <c r="N338" s="5" t="s">
        <v>261</v>
      </c>
      <c r="O338" s="5" t="s">
        <v>327</v>
      </c>
      <c r="P338" s="5" t="str">
        <f aca="false">IF(J338="S0","—",IF(K338="","",IF(L338="E0","QM",INDEX(10_ASIL_Matrix!$D$4:$F$15,MATCH(J338&amp;"-"&amp;L338,10_ASIL_Matrix!$C$4:$C$15,0),MATCH(N338,10_ASIL_Matrix!$D$3:$F$3,0)))))</f>
        <v>QM</v>
      </c>
      <c r="Q338" s="5" t="s">
        <v>779</v>
      </c>
    </row>
    <row r="339" customFormat="false" ht="68.65" hidden="false" customHeight="false" outlineLevel="0" collapsed="false">
      <c r="A339" s="6" t="s">
        <v>1048</v>
      </c>
      <c r="B339" s="6" t="s">
        <v>116</v>
      </c>
      <c r="C339" s="6" t="s">
        <v>117</v>
      </c>
      <c r="D339" s="6" t="s">
        <v>150</v>
      </c>
      <c r="E339" s="6" t="s">
        <v>151</v>
      </c>
      <c r="F339" s="6" t="s">
        <v>190</v>
      </c>
      <c r="G339" s="6" t="s">
        <v>360</v>
      </c>
      <c r="H339" s="6" t="s">
        <v>199</v>
      </c>
      <c r="I339" s="6" t="s">
        <v>1049</v>
      </c>
      <c r="J339" s="6" t="s">
        <v>222</v>
      </c>
      <c r="K339" s="6" t="s">
        <v>362</v>
      </c>
      <c r="L339" s="6" t="s">
        <v>188</v>
      </c>
      <c r="M339" s="6" t="s">
        <v>363</v>
      </c>
      <c r="N339" s="6" t="s">
        <v>261</v>
      </c>
      <c r="O339" s="6" t="s">
        <v>327</v>
      </c>
      <c r="P339" s="15" t="str">
        <f aca="false">IF(J339="S0","—",IF(K339="","",IF(L339="E0","QM",INDEX(10_ASIL_Matrix!$D$4:$F$15,MATCH(J339&amp;"-"&amp;L339,10_ASIL_Matrix!$C$4:$C$15,0),MATCH(N339,10_ASIL_Matrix!$D$3:$F$3,0)))))</f>
        <v>B</v>
      </c>
      <c r="Q339" s="6" t="s">
        <v>779</v>
      </c>
    </row>
    <row r="340" customFormat="false" ht="68.65" hidden="false" customHeight="false" outlineLevel="0" collapsed="false">
      <c r="A340" s="5" t="s">
        <v>1050</v>
      </c>
      <c r="B340" s="5" t="s">
        <v>116</v>
      </c>
      <c r="C340" s="5" t="s">
        <v>117</v>
      </c>
      <c r="D340" s="5" t="s">
        <v>150</v>
      </c>
      <c r="E340" s="5" t="s">
        <v>151</v>
      </c>
      <c r="F340" s="5" t="s">
        <v>190</v>
      </c>
      <c r="G340" s="5" t="s">
        <v>360</v>
      </c>
      <c r="H340" s="5" t="s">
        <v>201</v>
      </c>
      <c r="I340" s="5" t="s">
        <v>1051</v>
      </c>
      <c r="J340" s="5" t="s">
        <v>222</v>
      </c>
      <c r="K340" s="5" t="s">
        <v>362</v>
      </c>
      <c r="L340" s="5" t="s">
        <v>185</v>
      </c>
      <c r="M340" s="5" t="s">
        <v>366</v>
      </c>
      <c r="N340" s="5" t="s">
        <v>261</v>
      </c>
      <c r="O340" s="5" t="s">
        <v>327</v>
      </c>
      <c r="P340" s="16" t="str">
        <f aca="false">IF(J340="S0","—",IF(K340="","",IF(L340="E0","QM",INDEX(10_ASIL_Matrix!$D$4:$F$15,MATCH(J340&amp;"-"&amp;L340,10_ASIL_Matrix!$C$4:$C$15,0),MATCH(N340,10_ASIL_Matrix!$D$3:$F$3,0)))))</f>
        <v>A</v>
      </c>
      <c r="Q340" s="5" t="s">
        <v>779</v>
      </c>
    </row>
    <row r="341" customFormat="false" ht="68.65" hidden="false" customHeight="false" outlineLevel="0" collapsed="false">
      <c r="A341" s="6" t="s">
        <v>1052</v>
      </c>
      <c r="B341" s="6" t="s">
        <v>116</v>
      </c>
      <c r="C341" s="6" t="s">
        <v>117</v>
      </c>
      <c r="D341" s="6" t="s">
        <v>150</v>
      </c>
      <c r="E341" s="6" t="s">
        <v>151</v>
      </c>
      <c r="F341" s="6" t="s">
        <v>190</v>
      </c>
      <c r="G341" s="6" t="s">
        <v>360</v>
      </c>
      <c r="H341" s="6" t="s">
        <v>203</v>
      </c>
      <c r="I341" s="6" t="s">
        <v>1053</v>
      </c>
      <c r="J341" s="6" t="s">
        <v>222</v>
      </c>
      <c r="K341" s="6" t="s">
        <v>362</v>
      </c>
      <c r="L341" s="6" t="s">
        <v>185</v>
      </c>
      <c r="M341" s="6" t="s">
        <v>369</v>
      </c>
      <c r="N341" s="6" t="s">
        <v>261</v>
      </c>
      <c r="O341" s="6" t="s">
        <v>327</v>
      </c>
      <c r="P341" s="16" t="str">
        <f aca="false">IF(J341="S0","—",IF(K341="","",IF(L341="E0","QM",INDEX(10_ASIL_Matrix!$D$4:$F$15,MATCH(J341&amp;"-"&amp;L341,10_ASIL_Matrix!$C$4:$C$15,0),MATCH(N341,10_ASIL_Matrix!$D$3:$F$3,0)))))</f>
        <v>A</v>
      </c>
      <c r="Q341" s="6" t="s">
        <v>779</v>
      </c>
    </row>
    <row r="342" customFormat="false" ht="68.65" hidden="false" customHeight="false" outlineLevel="0" collapsed="false">
      <c r="A342" s="5" t="s">
        <v>1054</v>
      </c>
      <c r="B342" s="5" t="s">
        <v>116</v>
      </c>
      <c r="C342" s="5" t="s">
        <v>117</v>
      </c>
      <c r="D342" s="5" t="s">
        <v>150</v>
      </c>
      <c r="E342" s="5" t="s">
        <v>151</v>
      </c>
      <c r="F342" s="5" t="s">
        <v>190</v>
      </c>
      <c r="G342" s="5" t="s">
        <v>360</v>
      </c>
      <c r="H342" s="5" t="s">
        <v>205</v>
      </c>
      <c r="I342" s="5" t="s">
        <v>1055</v>
      </c>
      <c r="J342" s="5" t="s">
        <v>222</v>
      </c>
      <c r="K342" s="5" t="s">
        <v>372</v>
      </c>
      <c r="L342" s="5" t="s">
        <v>206</v>
      </c>
      <c r="M342" s="5" t="s">
        <v>373</v>
      </c>
      <c r="N342" s="5" t="s">
        <v>261</v>
      </c>
      <c r="O342" s="5" t="s">
        <v>327</v>
      </c>
      <c r="P342" s="5" t="str">
        <f aca="false">IF(J342="S0","—",IF(K342="","",IF(L342="E0","QM",INDEX(10_ASIL_Matrix!$D$4:$F$15,MATCH(J342&amp;"-"&amp;L342,10_ASIL_Matrix!$C$4:$C$15,0),MATCH(N342,10_ASIL_Matrix!$D$3:$F$3,0)))))</f>
        <v>QM</v>
      </c>
      <c r="Q342" s="5" t="s">
        <v>779</v>
      </c>
    </row>
    <row r="343" customFormat="false" ht="68.65" hidden="false" customHeight="false" outlineLevel="0" collapsed="false">
      <c r="A343" s="6" t="s">
        <v>1056</v>
      </c>
      <c r="B343" s="6" t="s">
        <v>116</v>
      </c>
      <c r="C343" s="6" t="s">
        <v>117</v>
      </c>
      <c r="D343" s="6" t="s">
        <v>150</v>
      </c>
      <c r="E343" s="6" t="s">
        <v>151</v>
      </c>
      <c r="F343" s="6" t="s">
        <v>190</v>
      </c>
      <c r="G343" s="6" t="s">
        <v>360</v>
      </c>
      <c r="H343" s="6" t="s">
        <v>208</v>
      </c>
      <c r="I343" s="6" t="s">
        <v>1057</v>
      </c>
      <c r="J343" s="6" t="s">
        <v>222</v>
      </c>
      <c r="K343" s="6" t="s">
        <v>372</v>
      </c>
      <c r="L343" s="6" t="s">
        <v>209</v>
      </c>
      <c r="M343" s="6" t="s">
        <v>376</v>
      </c>
      <c r="N343" s="6" t="s">
        <v>261</v>
      </c>
      <c r="O343" s="6" t="s">
        <v>327</v>
      </c>
      <c r="P343" s="6" t="str">
        <f aca="false">IF(J343="S0","—",IF(K343="","",IF(L343="E0","QM",INDEX(10_ASIL_Matrix!$D$4:$F$15,MATCH(J343&amp;"-"&amp;L343,10_ASIL_Matrix!$C$4:$C$15,0),MATCH(N343,10_ASIL_Matrix!$D$3:$F$3,0)))))</f>
        <v>QM</v>
      </c>
      <c r="Q343" s="6" t="s">
        <v>779</v>
      </c>
    </row>
    <row r="344" customFormat="false" ht="68.65" hidden="false" customHeight="false" outlineLevel="0" collapsed="false">
      <c r="A344" s="5" t="s">
        <v>1058</v>
      </c>
      <c r="B344" s="5" t="s">
        <v>116</v>
      </c>
      <c r="C344" s="5" t="s">
        <v>117</v>
      </c>
      <c r="D344" s="5" t="s">
        <v>150</v>
      </c>
      <c r="E344" s="5" t="s">
        <v>151</v>
      </c>
      <c r="F344" s="5" t="s">
        <v>192</v>
      </c>
      <c r="G344" s="5" t="s">
        <v>378</v>
      </c>
      <c r="H344" s="5" t="s">
        <v>199</v>
      </c>
      <c r="I344" s="5" t="s">
        <v>1059</v>
      </c>
      <c r="J344" s="5" t="s">
        <v>226</v>
      </c>
      <c r="K344" s="5" t="s">
        <v>380</v>
      </c>
      <c r="L344" s="5" t="s">
        <v>185</v>
      </c>
      <c r="M344" s="5" t="s">
        <v>381</v>
      </c>
      <c r="N344" s="5" t="s">
        <v>261</v>
      </c>
      <c r="O344" s="5" t="s">
        <v>327</v>
      </c>
      <c r="P344" s="15" t="str">
        <f aca="false">IF(J344="S0","—",IF(K344="","",IF(L344="E0","QM",INDEX(10_ASIL_Matrix!$D$4:$F$15,MATCH(J344&amp;"-"&amp;L344,10_ASIL_Matrix!$C$4:$C$15,0),MATCH(N344,10_ASIL_Matrix!$D$3:$F$3,0)))))</f>
        <v>B</v>
      </c>
      <c r="Q344" s="5" t="s">
        <v>779</v>
      </c>
    </row>
    <row r="345" customFormat="false" ht="68.65" hidden="false" customHeight="false" outlineLevel="0" collapsed="false">
      <c r="A345" s="6" t="s">
        <v>1060</v>
      </c>
      <c r="B345" s="6" t="s">
        <v>116</v>
      </c>
      <c r="C345" s="6" t="s">
        <v>117</v>
      </c>
      <c r="D345" s="6" t="s">
        <v>150</v>
      </c>
      <c r="E345" s="6" t="s">
        <v>151</v>
      </c>
      <c r="F345" s="6" t="s">
        <v>192</v>
      </c>
      <c r="G345" s="6" t="s">
        <v>378</v>
      </c>
      <c r="H345" s="6" t="s">
        <v>201</v>
      </c>
      <c r="I345" s="6" t="s">
        <v>1061</v>
      </c>
      <c r="J345" s="6" t="s">
        <v>226</v>
      </c>
      <c r="K345" s="6" t="s">
        <v>380</v>
      </c>
      <c r="L345" s="6" t="s">
        <v>185</v>
      </c>
      <c r="M345" s="6" t="s">
        <v>384</v>
      </c>
      <c r="N345" s="6" t="s">
        <v>261</v>
      </c>
      <c r="O345" s="6" t="s">
        <v>327</v>
      </c>
      <c r="P345" s="15" t="str">
        <f aca="false">IF(J345="S0","—",IF(K345="","",IF(L345="E0","QM",INDEX(10_ASIL_Matrix!$D$4:$F$15,MATCH(J345&amp;"-"&amp;L345,10_ASIL_Matrix!$C$4:$C$15,0),MATCH(N345,10_ASIL_Matrix!$D$3:$F$3,0)))))</f>
        <v>B</v>
      </c>
      <c r="Q345" s="6" t="s">
        <v>779</v>
      </c>
    </row>
    <row r="346" customFormat="false" ht="68.65" hidden="false" customHeight="false" outlineLevel="0" collapsed="false">
      <c r="A346" s="5" t="s">
        <v>1062</v>
      </c>
      <c r="B346" s="5" t="s">
        <v>116</v>
      </c>
      <c r="C346" s="5" t="s">
        <v>117</v>
      </c>
      <c r="D346" s="5" t="s">
        <v>150</v>
      </c>
      <c r="E346" s="5" t="s">
        <v>151</v>
      </c>
      <c r="F346" s="5" t="s">
        <v>192</v>
      </c>
      <c r="G346" s="5" t="s">
        <v>378</v>
      </c>
      <c r="H346" s="5" t="s">
        <v>203</v>
      </c>
      <c r="I346" s="5" t="s">
        <v>1063</v>
      </c>
      <c r="J346" s="5" t="s">
        <v>226</v>
      </c>
      <c r="K346" s="5" t="s">
        <v>380</v>
      </c>
      <c r="L346" s="5" t="s">
        <v>185</v>
      </c>
      <c r="M346" s="5" t="s">
        <v>387</v>
      </c>
      <c r="N346" s="5" t="s">
        <v>261</v>
      </c>
      <c r="O346" s="5" t="s">
        <v>327</v>
      </c>
      <c r="P346" s="15" t="str">
        <f aca="false">IF(J346="S0","—",IF(K346="","",IF(L346="E0","QM",INDEX(10_ASIL_Matrix!$D$4:$F$15,MATCH(J346&amp;"-"&amp;L346,10_ASIL_Matrix!$C$4:$C$15,0),MATCH(N346,10_ASIL_Matrix!$D$3:$F$3,0)))))</f>
        <v>B</v>
      </c>
      <c r="Q346" s="5" t="s">
        <v>779</v>
      </c>
    </row>
    <row r="347" customFormat="false" ht="68.65" hidden="false" customHeight="false" outlineLevel="0" collapsed="false">
      <c r="A347" s="6" t="s">
        <v>1064</v>
      </c>
      <c r="B347" s="6" t="s">
        <v>116</v>
      </c>
      <c r="C347" s="6" t="s">
        <v>117</v>
      </c>
      <c r="D347" s="6" t="s">
        <v>150</v>
      </c>
      <c r="E347" s="6" t="s">
        <v>151</v>
      </c>
      <c r="F347" s="6" t="s">
        <v>192</v>
      </c>
      <c r="G347" s="6" t="s">
        <v>378</v>
      </c>
      <c r="H347" s="6" t="s">
        <v>205</v>
      </c>
      <c r="I347" s="6" t="s">
        <v>1065</v>
      </c>
      <c r="J347" s="6" t="s">
        <v>226</v>
      </c>
      <c r="K347" s="6" t="s">
        <v>390</v>
      </c>
      <c r="L347" s="6" t="s">
        <v>206</v>
      </c>
      <c r="M347" s="6" t="s">
        <v>391</v>
      </c>
      <c r="N347" s="6" t="s">
        <v>261</v>
      </c>
      <c r="O347" s="6" t="s">
        <v>327</v>
      </c>
      <c r="P347" s="16" t="str">
        <f aca="false">IF(J347="S0","—",IF(K347="","",IF(L347="E0","QM",INDEX(10_ASIL_Matrix!$D$4:$F$15,MATCH(J347&amp;"-"&amp;L347,10_ASIL_Matrix!$C$4:$C$15,0),MATCH(N347,10_ASIL_Matrix!$D$3:$F$3,0)))))</f>
        <v>A</v>
      </c>
      <c r="Q347" s="6" t="s">
        <v>779</v>
      </c>
    </row>
    <row r="348" customFormat="false" ht="68.65" hidden="false" customHeight="false" outlineLevel="0" collapsed="false">
      <c r="A348" s="5" t="s">
        <v>1066</v>
      </c>
      <c r="B348" s="5" t="s">
        <v>116</v>
      </c>
      <c r="C348" s="5" t="s">
        <v>117</v>
      </c>
      <c r="D348" s="5" t="s">
        <v>150</v>
      </c>
      <c r="E348" s="5" t="s">
        <v>151</v>
      </c>
      <c r="F348" s="5" t="s">
        <v>192</v>
      </c>
      <c r="G348" s="5" t="s">
        <v>378</v>
      </c>
      <c r="H348" s="5" t="s">
        <v>208</v>
      </c>
      <c r="I348" s="5" t="s">
        <v>1067</v>
      </c>
      <c r="J348" s="5" t="s">
        <v>226</v>
      </c>
      <c r="K348" s="5" t="s">
        <v>390</v>
      </c>
      <c r="L348" s="5" t="s">
        <v>209</v>
      </c>
      <c r="M348" s="5" t="s">
        <v>394</v>
      </c>
      <c r="N348" s="5" t="s">
        <v>261</v>
      </c>
      <c r="O348" s="5" t="s">
        <v>327</v>
      </c>
      <c r="P348" s="5" t="str">
        <f aca="false">IF(J348="S0","—",IF(K348="","",IF(L348="E0","QM",INDEX(10_ASIL_Matrix!$D$4:$F$15,MATCH(J348&amp;"-"&amp;L348,10_ASIL_Matrix!$C$4:$C$15,0),MATCH(N348,10_ASIL_Matrix!$D$3:$F$3,0)))))</f>
        <v>QM</v>
      </c>
      <c r="Q348" s="5" t="s">
        <v>779</v>
      </c>
    </row>
    <row r="349" customFormat="false" ht="68.65" hidden="false" customHeight="false" outlineLevel="0" collapsed="false">
      <c r="A349" s="6" t="s">
        <v>1068</v>
      </c>
      <c r="B349" s="6" t="s">
        <v>116</v>
      </c>
      <c r="C349" s="6" t="s">
        <v>117</v>
      </c>
      <c r="D349" s="6" t="s">
        <v>150</v>
      </c>
      <c r="E349" s="6" t="s">
        <v>151</v>
      </c>
      <c r="F349" s="6" t="s">
        <v>194</v>
      </c>
      <c r="G349" s="6" t="s">
        <v>396</v>
      </c>
      <c r="H349" s="6" t="s">
        <v>199</v>
      </c>
      <c r="I349" s="6" t="s">
        <v>1069</v>
      </c>
      <c r="J349" s="6" t="s">
        <v>226</v>
      </c>
      <c r="K349" s="6" t="s">
        <v>398</v>
      </c>
      <c r="L349" s="6" t="s">
        <v>188</v>
      </c>
      <c r="M349" s="6" t="s">
        <v>399</v>
      </c>
      <c r="N349" s="6" t="s">
        <v>261</v>
      </c>
      <c r="O349" s="6" t="s">
        <v>327</v>
      </c>
      <c r="P349" s="17" t="str">
        <f aca="false">IF(J349="S0","—",IF(K349="","",IF(L349="E0","QM",INDEX(10_ASIL_Matrix!$D$4:$F$15,MATCH(J349&amp;"-"&amp;L349,10_ASIL_Matrix!$C$4:$C$15,0),MATCH(N349,10_ASIL_Matrix!$D$3:$F$3,0)))))</f>
        <v>C</v>
      </c>
      <c r="Q349" s="6" t="s">
        <v>779</v>
      </c>
    </row>
    <row r="350" customFormat="false" ht="68.65" hidden="false" customHeight="false" outlineLevel="0" collapsed="false">
      <c r="A350" s="5" t="s">
        <v>1070</v>
      </c>
      <c r="B350" s="5" t="s">
        <v>116</v>
      </c>
      <c r="C350" s="5" t="s">
        <v>117</v>
      </c>
      <c r="D350" s="5" t="s">
        <v>150</v>
      </c>
      <c r="E350" s="5" t="s">
        <v>151</v>
      </c>
      <c r="F350" s="5" t="s">
        <v>194</v>
      </c>
      <c r="G350" s="5" t="s">
        <v>396</v>
      </c>
      <c r="H350" s="5" t="s">
        <v>201</v>
      </c>
      <c r="I350" s="5" t="s">
        <v>1071</v>
      </c>
      <c r="J350" s="5" t="s">
        <v>226</v>
      </c>
      <c r="K350" s="5" t="s">
        <v>398</v>
      </c>
      <c r="L350" s="5" t="s">
        <v>185</v>
      </c>
      <c r="M350" s="5" t="s">
        <v>402</v>
      </c>
      <c r="N350" s="5" t="s">
        <v>261</v>
      </c>
      <c r="O350" s="5" t="s">
        <v>327</v>
      </c>
      <c r="P350" s="15" t="str">
        <f aca="false">IF(J350="S0","—",IF(K350="","",IF(L350="E0","QM",INDEX(10_ASIL_Matrix!$D$4:$F$15,MATCH(J350&amp;"-"&amp;L350,10_ASIL_Matrix!$C$4:$C$15,0),MATCH(N350,10_ASIL_Matrix!$D$3:$F$3,0)))))</f>
        <v>B</v>
      </c>
      <c r="Q350" s="5" t="s">
        <v>779</v>
      </c>
    </row>
    <row r="351" customFormat="false" ht="68.65" hidden="false" customHeight="false" outlineLevel="0" collapsed="false">
      <c r="A351" s="6" t="s">
        <v>1072</v>
      </c>
      <c r="B351" s="6" t="s">
        <v>116</v>
      </c>
      <c r="C351" s="6" t="s">
        <v>117</v>
      </c>
      <c r="D351" s="6" t="s">
        <v>150</v>
      </c>
      <c r="E351" s="6" t="s">
        <v>151</v>
      </c>
      <c r="F351" s="6" t="s">
        <v>194</v>
      </c>
      <c r="G351" s="6" t="s">
        <v>396</v>
      </c>
      <c r="H351" s="6" t="s">
        <v>203</v>
      </c>
      <c r="I351" s="6" t="s">
        <v>1073</v>
      </c>
      <c r="J351" s="6" t="s">
        <v>226</v>
      </c>
      <c r="K351" s="6" t="s">
        <v>398</v>
      </c>
      <c r="L351" s="6" t="s">
        <v>185</v>
      </c>
      <c r="M351" s="6" t="s">
        <v>405</v>
      </c>
      <c r="N351" s="6" t="s">
        <v>261</v>
      </c>
      <c r="O351" s="6" t="s">
        <v>327</v>
      </c>
      <c r="P351" s="15" t="str">
        <f aca="false">IF(J351="S0","—",IF(K351="","",IF(L351="E0","QM",INDEX(10_ASIL_Matrix!$D$4:$F$15,MATCH(J351&amp;"-"&amp;L351,10_ASIL_Matrix!$C$4:$C$15,0),MATCH(N351,10_ASIL_Matrix!$D$3:$F$3,0)))))</f>
        <v>B</v>
      </c>
      <c r="Q351" s="6" t="s">
        <v>779</v>
      </c>
    </row>
    <row r="352" customFormat="false" ht="68.65" hidden="false" customHeight="false" outlineLevel="0" collapsed="false">
      <c r="A352" s="5" t="s">
        <v>1074</v>
      </c>
      <c r="B352" s="5" t="s">
        <v>116</v>
      </c>
      <c r="C352" s="5" t="s">
        <v>117</v>
      </c>
      <c r="D352" s="5" t="s">
        <v>150</v>
      </c>
      <c r="E352" s="5" t="s">
        <v>151</v>
      </c>
      <c r="F352" s="5" t="s">
        <v>194</v>
      </c>
      <c r="G352" s="5" t="s">
        <v>396</v>
      </c>
      <c r="H352" s="5" t="s">
        <v>205</v>
      </c>
      <c r="I352" s="5" t="s">
        <v>1075</v>
      </c>
      <c r="J352" s="5" t="s">
        <v>226</v>
      </c>
      <c r="K352" s="5" t="s">
        <v>408</v>
      </c>
      <c r="L352" s="5" t="s">
        <v>206</v>
      </c>
      <c r="M352" s="5" t="s">
        <v>409</v>
      </c>
      <c r="N352" s="5" t="s">
        <v>261</v>
      </c>
      <c r="O352" s="5" t="s">
        <v>327</v>
      </c>
      <c r="P352" s="16" t="str">
        <f aca="false">IF(J352="S0","—",IF(K352="","",IF(L352="E0","QM",INDEX(10_ASIL_Matrix!$D$4:$F$15,MATCH(J352&amp;"-"&amp;L352,10_ASIL_Matrix!$C$4:$C$15,0),MATCH(N352,10_ASIL_Matrix!$D$3:$F$3,0)))))</f>
        <v>A</v>
      </c>
      <c r="Q352" s="5" t="s">
        <v>779</v>
      </c>
    </row>
    <row r="353" customFormat="false" ht="68.65" hidden="false" customHeight="false" outlineLevel="0" collapsed="false">
      <c r="A353" s="6" t="s">
        <v>1076</v>
      </c>
      <c r="B353" s="6" t="s">
        <v>116</v>
      </c>
      <c r="C353" s="6" t="s">
        <v>117</v>
      </c>
      <c r="D353" s="6" t="s">
        <v>150</v>
      </c>
      <c r="E353" s="6" t="s">
        <v>151</v>
      </c>
      <c r="F353" s="6" t="s">
        <v>194</v>
      </c>
      <c r="G353" s="6" t="s">
        <v>396</v>
      </c>
      <c r="H353" s="6" t="s">
        <v>208</v>
      </c>
      <c r="I353" s="6" t="s">
        <v>1077</v>
      </c>
      <c r="J353" s="6" t="s">
        <v>226</v>
      </c>
      <c r="K353" s="6" t="s">
        <v>408</v>
      </c>
      <c r="L353" s="6" t="s">
        <v>209</v>
      </c>
      <c r="M353" s="6" t="s">
        <v>412</v>
      </c>
      <c r="N353" s="6" t="s">
        <v>261</v>
      </c>
      <c r="O353" s="6" t="s">
        <v>327</v>
      </c>
      <c r="P353" s="6" t="str">
        <f aca="false">IF(J353="S0","—",IF(K353="","",IF(L353="E0","QM",INDEX(10_ASIL_Matrix!$D$4:$F$15,MATCH(J353&amp;"-"&amp;L353,10_ASIL_Matrix!$C$4:$C$15,0),MATCH(N353,10_ASIL_Matrix!$D$3:$F$3,0)))))</f>
        <v>QM</v>
      </c>
      <c r="Q353" s="6" t="s">
        <v>779</v>
      </c>
    </row>
    <row r="354" customFormat="false" ht="35.05" hidden="false" customHeight="false" outlineLevel="0" collapsed="false">
      <c r="A354" s="5" t="s">
        <v>1078</v>
      </c>
      <c r="B354" s="5" t="s">
        <v>116</v>
      </c>
      <c r="C354" s="5" t="s">
        <v>117</v>
      </c>
      <c r="D354" s="5" t="s">
        <v>153</v>
      </c>
      <c r="E354" s="5" t="s">
        <v>154</v>
      </c>
      <c r="F354" s="5" t="s">
        <v>184</v>
      </c>
      <c r="G354" s="5" t="s">
        <v>323</v>
      </c>
      <c r="H354" s="5" t="s">
        <v>199</v>
      </c>
      <c r="I354" s="5" t="s">
        <v>1079</v>
      </c>
      <c r="J354" s="5" t="s">
        <v>218</v>
      </c>
      <c r="K354" s="5" t="s">
        <v>325</v>
      </c>
      <c r="L354" s="5" t="s">
        <v>185</v>
      </c>
      <c r="M354" s="5" t="s">
        <v>326</v>
      </c>
      <c r="N354" s="5" t="s">
        <v>261</v>
      </c>
      <c r="O354" s="5" t="s">
        <v>465</v>
      </c>
      <c r="P354" s="5" t="str">
        <f aca="false">IF(J354="S0","—",IF(K354="","",IF(L354="E0","QM",INDEX(10_ASIL_Matrix!$D$4:$F$15,MATCH(J354&amp;"-"&amp;L354,10_ASIL_Matrix!$C$4:$C$15,0),MATCH(N354,10_ASIL_Matrix!$D$3:$F$3,0)))))</f>
        <v>QM</v>
      </c>
      <c r="Q354" s="5" t="s">
        <v>779</v>
      </c>
    </row>
    <row r="355" customFormat="false" ht="35.05" hidden="false" customHeight="false" outlineLevel="0" collapsed="false">
      <c r="A355" s="6" t="s">
        <v>1080</v>
      </c>
      <c r="B355" s="6" t="s">
        <v>116</v>
      </c>
      <c r="C355" s="6" t="s">
        <v>117</v>
      </c>
      <c r="D355" s="6" t="s">
        <v>153</v>
      </c>
      <c r="E355" s="6" t="s">
        <v>154</v>
      </c>
      <c r="F355" s="6" t="s">
        <v>184</v>
      </c>
      <c r="G355" s="6" t="s">
        <v>323</v>
      </c>
      <c r="H355" s="6" t="s">
        <v>201</v>
      </c>
      <c r="I355" s="6" t="s">
        <v>1081</v>
      </c>
      <c r="J355" s="6" t="s">
        <v>218</v>
      </c>
      <c r="K355" s="6" t="s">
        <v>325</v>
      </c>
      <c r="L355" s="6" t="s">
        <v>185</v>
      </c>
      <c r="M355" s="6" t="s">
        <v>331</v>
      </c>
      <c r="N355" s="6" t="s">
        <v>261</v>
      </c>
      <c r="O355" s="6" t="s">
        <v>465</v>
      </c>
      <c r="P355" s="6" t="str">
        <f aca="false">IF(J355="S0","—",IF(K355="","",IF(L355="E0","QM",INDEX(10_ASIL_Matrix!$D$4:$F$15,MATCH(J355&amp;"-"&amp;L355,10_ASIL_Matrix!$C$4:$C$15,0),MATCH(N355,10_ASIL_Matrix!$D$3:$F$3,0)))))</f>
        <v>QM</v>
      </c>
      <c r="Q355" s="6" t="s">
        <v>779</v>
      </c>
    </row>
    <row r="356" customFormat="false" ht="35.05" hidden="false" customHeight="false" outlineLevel="0" collapsed="false">
      <c r="A356" s="5" t="s">
        <v>1082</v>
      </c>
      <c r="B356" s="5" t="s">
        <v>116</v>
      </c>
      <c r="C356" s="5" t="s">
        <v>117</v>
      </c>
      <c r="D356" s="5" t="s">
        <v>153</v>
      </c>
      <c r="E356" s="5" t="s">
        <v>154</v>
      </c>
      <c r="F356" s="5" t="s">
        <v>184</v>
      </c>
      <c r="G356" s="5" t="s">
        <v>323</v>
      </c>
      <c r="H356" s="5" t="s">
        <v>203</v>
      </c>
      <c r="I356" s="5" t="s">
        <v>1083</v>
      </c>
      <c r="J356" s="5" t="s">
        <v>218</v>
      </c>
      <c r="K356" s="5" t="s">
        <v>325</v>
      </c>
      <c r="L356" s="5" t="s">
        <v>185</v>
      </c>
      <c r="M356" s="5" t="s">
        <v>334</v>
      </c>
      <c r="N356" s="5" t="s">
        <v>261</v>
      </c>
      <c r="O356" s="5" t="s">
        <v>465</v>
      </c>
      <c r="P356" s="5" t="str">
        <f aca="false">IF(J356="S0","—",IF(K356="","",IF(L356="E0","QM",INDEX(10_ASIL_Matrix!$D$4:$F$15,MATCH(J356&amp;"-"&amp;L356,10_ASIL_Matrix!$C$4:$C$15,0),MATCH(N356,10_ASIL_Matrix!$D$3:$F$3,0)))))</f>
        <v>QM</v>
      </c>
      <c r="Q356" s="5" t="s">
        <v>779</v>
      </c>
    </row>
    <row r="357" customFormat="false" ht="35.05" hidden="false" customHeight="false" outlineLevel="0" collapsed="false">
      <c r="A357" s="6" t="s">
        <v>1084</v>
      </c>
      <c r="B357" s="6" t="s">
        <v>116</v>
      </c>
      <c r="C357" s="6" t="s">
        <v>117</v>
      </c>
      <c r="D357" s="6" t="s">
        <v>153</v>
      </c>
      <c r="E357" s="6" t="s">
        <v>154</v>
      </c>
      <c r="F357" s="6" t="s">
        <v>184</v>
      </c>
      <c r="G357" s="6" t="s">
        <v>323</v>
      </c>
      <c r="H357" s="6" t="s">
        <v>205</v>
      </c>
      <c r="I357" s="6" t="s">
        <v>1085</v>
      </c>
      <c r="J357" s="6" t="s">
        <v>218</v>
      </c>
      <c r="K357" s="6" t="s">
        <v>325</v>
      </c>
      <c r="L357" s="6" t="s">
        <v>206</v>
      </c>
      <c r="M357" s="6" t="s">
        <v>337</v>
      </c>
      <c r="N357" s="6" t="s">
        <v>261</v>
      </c>
      <c r="O357" s="6" t="s">
        <v>465</v>
      </c>
      <c r="P357" s="6" t="str">
        <f aca="false">IF(J357="S0","—",IF(K357="","",IF(L357="E0","QM",INDEX(10_ASIL_Matrix!$D$4:$F$15,MATCH(J357&amp;"-"&amp;L357,10_ASIL_Matrix!$C$4:$C$15,0),MATCH(N357,10_ASIL_Matrix!$D$3:$F$3,0)))))</f>
        <v>QM</v>
      </c>
      <c r="Q357" s="6" t="s">
        <v>779</v>
      </c>
    </row>
    <row r="358" customFormat="false" ht="35.05" hidden="false" customHeight="false" outlineLevel="0" collapsed="false">
      <c r="A358" s="5" t="s">
        <v>1086</v>
      </c>
      <c r="B358" s="5" t="s">
        <v>116</v>
      </c>
      <c r="C358" s="5" t="s">
        <v>117</v>
      </c>
      <c r="D358" s="5" t="s">
        <v>153</v>
      </c>
      <c r="E358" s="5" t="s">
        <v>154</v>
      </c>
      <c r="F358" s="5" t="s">
        <v>184</v>
      </c>
      <c r="G358" s="5" t="s">
        <v>323</v>
      </c>
      <c r="H358" s="5" t="s">
        <v>208</v>
      </c>
      <c r="I358" s="5" t="s">
        <v>1087</v>
      </c>
      <c r="J358" s="5" t="s">
        <v>218</v>
      </c>
      <c r="K358" s="5" t="s">
        <v>325</v>
      </c>
      <c r="L358" s="5" t="s">
        <v>209</v>
      </c>
      <c r="M358" s="5" t="s">
        <v>340</v>
      </c>
      <c r="N358" s="5" t="s">
        <v>261</v>
      </c>
      <c r="O358" s="5" t="s">
        <v>465</v>
      </c>
      <c r="P358" s="5" t="str">
        <f aca="false">IF(J358="S0","—",IF(K358="","",IF(L358="E0","QM",INDEX(10_ASIL_Matrix!$D$4:$F$15,MATCH(J358&amp;"-"&amp;L358,10_ASIL_Matrix!$C$4:$C$15,0),MATCH(N358,10_ASIL_Matrix!$D$3:$F$3,0)))))</f>
        <v>QM</v>
      </c>
      <c r="Q358" s="5" t="s">
        <v>779</v>
      </c>
    </row>
    <row r="359" customFormat="false" ht="35.05" hidden="false" customHeight="false" outlineLevel="0" collapsed="false">
      <c r="A359" s="6" t="s">
        <v>1088</v>
      </c>
      <c r="B359" s="6" t="s">
        <v>116</v>
      </c>
      <c r="C359" s="6" t="s">
        <v>117</v>
      </c>
      <c r="D359" s="6" t="s">
        <v>153</v>
      </c>
      <c r="E359" s="6" t="s">
        <v>154</v>
      </c>
      <c r="F359" s="6" t="s">
        <v>187</v>
      </c>
      <c r="G359" s="6" t="s">
        <v>342</v>
      </c>
      <c r="H359" s="6" t="s">
        <v>199</v>
      </c>
      <c r="I359" s="6" t="s">
        <v>1089</v>
      </c>
      <c r="J359" s="6" t="s">
        <v>222</v>
      </c>
      <c r="K359" s="6" t="s">
        <v>344</v>
      </c>
      <c r="L359" s="6" t="s">
        <v>188</v>
      </c>
      <c r="M359" s="6" t="s">
        <v>345</v>
      </c>
      <c r="N359" s="6" t="s">
        <v>261</v>
      </c>
      <c r="O359" s="6" t="s">
        <v>476</v>
      </c>
      <c r="P359" s="15" t="str">
        <f aca="false">IF(J359="S0","—",IF(K359="","",IF(L359="E0","QM",INDEX(10_ASIL_Matrix!$D$4:$F$15,MATCH(J359&amp;"-"&amp;L359,10_ASIL_Matrix!$C$4:$C$15,0),MATCH(N359,10_ASIL_Matrix!$D$3:$F$3,0)))))</f>
        <v>B</v>
      </c>
      <c r="Q359" s="6" t="s">
        <v>779</v>
      </c>
    </row>
    <row r="360" customFormat="false" ht="35.05" hidden="false" customHeight="false" outlineLevel="0" collapsed="false">
      <c r="A360" s="5" t="s">
        <v>1090</v>
      </c>
      <c r="B360" s="5" t="s">
        <v>116</v>
      </c>
      <c r="C360" s="5" t="s">
        <v>117</v>
      </c>
      <c r="D360" s="5" t="s">
        <v>153</v>
      </c>
      <c r="E360" s="5" t="s">
        <v>154</v>
      </c>
      <c r="F360" s="5" t="s">
        <v>187</v>
      </c>
      <c r="G360" s="5" t="s">
        <v>342</v>
      </c>
      <c r="H360" s="5" t="s">
        <v>201</v>
      </c>
      <c r="I360" s="5" t="s">
        <v>1091</v>
      </c>
      <c r="J360" s="5" t="s">
        <v>222</v>
      </c>
      <c r="K360" s="5" t="s">
        <v>344</v>
      </c>
      <c r="L360" s="5" t="s">
        <v>185</v>
      </c>
      <c r="M360" s="5" t="s">
        <v>348</v>
      </c>
      <c r="N360" s="5" t="s">
        <v>261</v>
      </c>
      <c r="O360" s="5" t="s">
        <v>476</v>
      </c>
      <c r="P360" s="16" t="str">
        <f aca="false">IF(J360="S0","—",IF(K360="","",IF(L360="E0","QM",INDEX(10_ASIL_Matrix!$D$4:$F$15,MATCH(J360&amp;"-"&amp;L360,10_ASIL_Matrix!$C$4:$C$15,0),MATCH(N360,10_ASIL_Matrix!$D$3:$F$3,0)))))</f>
        <v>A</v>
      </c>
      <c r="Q360" s="5" t="s">
        <v>779</v>
      </c>
    </row>
    <row r="361" customFormat="false" ht="35.05" hidden="false" customHeight="false" outlineLevel="0" collapsed="false">
      <c r="A361" s="6" t="s">
        <v>1092</v>
      </c>
      <c r="B361" s="6" t="s">
        <v>116</v>
      </c>
      <c r="C361" s="6" t="s">
        <v>117</v>
      </c>
      <c r="D361" s="6" t="s">
        <v>153</v>
      </c>
      <c r="E361" s="6" t="s">
        <v>154</v>
      </c>
      <c r="F361" s="6" t="s">
        <v>187</v>
      </c>
      <c r="G361" s="6" t="s">
        <v>342</v>
      </c>
      <c r="H361" s="6" t="s">
        <v>203</v>
      </c>
      <c r="I361" s="6" t="s">
        <v>1093</v>
      </c>
      <c r="J361" s="6" t="s">
        <v>222</v>
      </c>
      <c r="K361" s="6" t="s">
        <v>344</v>
      </c>
      <c r="L361" s="6" t="s">
        <v>185</v>
      </c>
      <c r="M361" s="6" t="s">
        <v>351</v>
      </c>
      <c r="N361" s="6" t="s">
        <v>261</v>
      </c>
      <c r="O361" s="6" t="s">
        <v>476</v>
      </c>
      <c r="P361" s="16" t="str">
        <f aca="false">IF(J361="S0","—",IF(K361="","",IF(L361="E0","QM",INDEX(10_ASIL_Matrix!$D$4:$F$15,MATCH(J361&amp;"-"&amp;L361,10_ASIL_Matrix!$C$4:$C$15,0),MATCH(N361,10_ASIL_Matrix!$D$3:$F$3,0)))))</f>
        <v>A</v>
      </c>
      <c r="Q361" s="6" t="s">
        <v>779</v>
      </c>
    </row>
    <row r="362" customFormat="false" ht="35.05" hidden="false" customHeight="false" outlineLevel="0" collapsed="false">
      <c r="A362" s="5" t="s">
        <v>1094</v>
      </c>
      <c r="B362" s="5" t="s">
        <v>116</v>
      </c>
      <c r="C362" s="5" t="s">
        <v>117</v>
      </c>
      <c r="D362" s="5" t="s">
        <v>153</v>
      </c>
      <c r="E362" s="5" t="s">
        <v>154</v>
      </c>
      <c r="F362" s="5" t="s">
        <v>187</v>
      </c>
      <c r="G362" s="5" t="s">
        <v>342</v>
      </c>
      <c r="H362" s="5" t="s">
        <v>205</v>
      </c>
      <c r="I362" s="5" t="s">
        <v>1095</v>
      </c>
      <c r="J362" s="5" t="s">
        <v>222</v>
      </c>
      <c r="K362" s="5" t="s">
        <v>354</v>
      </c>
      <c r="L362" s="5" t="s">
        <v>206</v>
      </c>
      <c r="M362" s="5" t="s">
        <v>355</v>
      </c>
      <c r="N362" s="5" t="s">
        <v>261</v>
      </c>
      <c r="O362" s="5" t="s">
        <v>476</v>
      </c>
      <c r="P362" s="5" t="str">
        <f aca="false">IF(J362="S0","—",IF(K362="","",IF(L362="E0","QM",INDEX(10_ASIL_Matrix!$D$4:$F$15,MATCH(J362&amp;"-"&amp;L362,10_ASIL_Matrix!$C$4:$C$15,0),MATCH(N362,10_ASIL_Matrix!$D$3:$F$3,0)))))</f>
        <v>QM</v>
      </c>
      <c r="Q362" s="5" t="s">
        <v>779</v>
      </c>
    </row>
    <row r="363" customFormat="false" ht="35.05" hidden="false" customHeight="false" outlineLevel="0" collapsed="false">
      <c r="A363" s="6" t="s">
        <v>1096</v>
      </c>
      <c r="B363" s="6" t="s">
        <v>116</v>
      </c>
      <c r="C363" s="6" t="s">
        <v>117</v>
      </c>
      <c r="D363" s="6" t="s">
        <v>153</v>
      </c>
      <c r="E363" s="6" t="s">
        <v>154</v>
      </c>
      <c r="F363" s="6" t="s">
        <v>187</v>
      </c>
      <c r="G363" s="6" t="s">
        <v>342</v>
      </c>
      <c r="H363" s="6" t="s">
        <v>208</v>
      </c>
      <c r="I363" s="6" t="s">
        <v>1097</v>
      </c>
      <c r="J363" s="6" t="s">
        <v>222</v>
      </c>
      <c r="K363" s="6" t="s">
        <v>354</v>
      </c>
      <c r="L363" s="6" t="s">
        <v>209</v>
      </c>
      <c r="M363" s="6" t="s">
        <v>358</v>
      </c>
      <c r="N363" s="6" t="s">
        <v>261</v>
      </c>
      <c r="O363" s="6" t="s">
        <v>476</v>
      </c>
      <c r="P363" s="6" t="str">
        <f aca="false">IF(J363="S0","—",IF(K363="","",IF(L363="E0","QM",INDEX(10_ASIL_Matrix!$D$4:$F$15,MATCH(J363&amp;"-"&amp;L363,10_ASIL_Matrix!$C$4:$C$15,0),MATCH(N363,10_ASIL_Matrix!$D$3:$F$3,0)))))</f>
        <v>QM</v>
      </c>
      <c r="Q363" s="6" t="s">
        <v>779</v>
      </c>
    </row>
    <row r="364" customFormat="false" ht="35.05" hidden="false" customHeight="false" outlineLevel="0" collapsed="false">
      <c r="A364" s="5" t="s">
        <v>1098</v>
      </c>
      <c r="B364" s="5" t="s">
        <v>116</v>
      </c>
      <c r="C364" s="5" t="s">
        <v>117</v>
      </c>
      <c r="D364" s="5" t="s">
        <v>153</v>
      </c>
      <c r="E364" s="5" t="s">
        <v>154</v>
      </c>
      <c r="F364" s="5" t="s">
        <v>190</v>
      </c>
      <c r="G364" s="5" t="s">
        <v>360</v>
      </c>
      <c r="H364" s="5" t="s">
        <v>199</v>
      </c>
      <c r="I364" s="5" t="s">
        <v>1099</v>
      </c>
      <c r="J364" s="5" t="s">
        <v>222</v>
      </c>
      <c r="K364" s="5" t="s">
        <v>362</v>
      </c>
      <c r="L364" s="5" t="s">
        <v>188</v>
      </c>
      <c r="M364" s="5" t="s">
        <v>363</v>
      </c>
      <c r="N364" s="5" t="s">
        <v>265</v>
      </c>
      <c r="O364" s="5" t="s">
        <v>1100</v>
      </c>
      <c r="P364" s="17" t="str">
        <f aca="false">IF(J364="S0","—",IF(K364="","",IF(L364="E0","QM",INDEX(10_ASIL_Matrix!$D$4:$F$15,MATCH(J364&amp;"-"&amp;L364,10_ASIL_Matrix!$C$4:$C$15,0),MATCH(N364,10_ASIL_Matrix!$D$3:$F$3,0)))))</f>
        <v>C</v>
      </c>
      <c r="Q364" s="5" t="s">
        <v>779</v>
      </c>
    </row>
    <row r="365" customFormat="false" ht="35.05" hidden="false" customHeight="false" outlineLevel="0" collapsed="false">
      <c r="A365" s="6" t="s">
        <v>1101</v>
      </c>
      <c r="B365" s="6" t="s">
        <v>116</v>
      </c>
      <c r="C365" s="6" t="s">
        <v>117</v>
      </c>
      <c r="D365" s="6" t="s">
        <v>153</v>
      </c>
      <c r="E365" s="6" t="s">
        <v>154</v>
      </c>
      <c r="F365" s="6" t="s">
        <v>190</v>
      </c>
      <c r="G365" s="6" t="s">
        <v>360</v>
      </c>
      <c r="H365" s="6" t="s">
        <v>201</v>
      </c>
      <c r="I365" s="6" t="s">
        <v>1102</v>
      </c>
      <c r="J365" s="6" t="s">
        <v>222</v>
      </c>
      <c r="K365" s="6" t="s">
        <v>362</v>
      </c>
      <c r="L365" s="6" t="s">
        <v>185</v>
      </c>
      <c r="M365" s="6" t="s">
        <v>366</v>
      </c>
      <c r="N365" s="6" t="s">
        <v>265</v>
      </c>
      <c r="O365" s="6" t="s">
        <v>1100</v>
      </c>
      <c r="P365" s="15" t="str">
        <f aca="false">IF(J365="S0","—",IF(K365="","",IF(L365="E0","QM",INDEX(10_ASIL_Matrix!$D$4:$F$15,MATCH(J365&amp;"-"&amp;L365,10_ASIL_Matrix!$C$4:$C$15,0),MATCH(N365,10_ASIL_Matrix!$D$3:$F$3,0)))))</f>
        <v>B</v>
      </c>
      <c r="Q365" s="6" t="s">
        <v>779</v>
      </c>
    </row>
    <row r="366" customFormat="false" ht="35.05" hidden="false" customHeight="false" outlineLevel="0" collapsed="false">
      <c r="A366" s="5" t="s">
        <v>1103</v>
      </c>
      <c r="B366" s="5" t="s">
        <v>116</v>
      </c>
      <c r="C366" s="5" t="s">
        <v>117</v>
      </c>
      <c r="D366" s="5" t="s">
        <v>153</v>
      </c>
      <c r="E366" s="5" t="s">
        <v>154</v>
      </c>
      <c r="F366" s="5" t="s">
        <v>190</v>
      </c>
      <c r="G366" s="5" t="s">
        <v>360</v>
      </c>
      <c r="H366" s="5" t="s">
        <v>203</v>
      </c>
      <c r="I366" s="5" t="s">
        <v>1104</v>
      </c>
      <c r="J366" s="5" t="s">
        <v>222</v>
      </c>
      <c r="K366" s="5" t="s">
        <v>362</v>
      </c>
      <c r="L366" s="5" t="s">
        <v>185</v>
      </c>
      <c r="M366" s="5" t="s">
        <v>369</v>
      </c>
      <c r="N366" s="5" t="s">
        <v>265</v>
      </c>
      <c r="O366" s="5" t="s">
        <v>1100</v>
      </c>
      <c r="P366" s="15" t="str">
        <f aca="false">IF(J366="S0","—",IF(K366="","",IF(L366="E0","QM",INDEX(10_ASIL_Matrix!$D$4:$F$15,MATCH(J366&amp;"-"&amp;L366,10_ASIL_Matrix!$C$4:$C$15,0),MATCH(N366,10_ASIL_Matrix!$D$3:$F$3,0)))))</f>
        <v>B</v>
      </c>
      <c r="Q366" s="5" t="s">
        <v>779</v>
      </c>
    </row>
    <row r="367" customFormat="false" ht="35.05" hidden="false" customHeight="false" outlineLevel="0" collapsed="false">
      <c r="A367" s="6" t="s">
        <v>1105</v>
      </c>
      <c r="B367" s="6" t="s">
        <v>116</v>
      </c>
      <c r="C367" s="6" t="s">
        <v>117</v>
      </c>
      <c r="D367" s="6" t="s">
        <v>153</v>
      </c>
      <c r="E367" s="6" t="s">
        <v>154</v>
      </c>
      <c r="F367" s="6" t="s">
        <v>190</v>
      </c>
      <c r="G367" s="6" t="s">
        <v>360</v>
      </c>
      <c r="H367" s="6" t="s">
        <v>205</v>
      </c>
      <c r="I367" s="6" t="s">
        <v>1106</v>
      </c>
      <c r="J367" s="6" t="s">
        <v>222</v>
      </c>
      <c r="K367" s="6" t="s">
        <v>372</v>
      </c>
      <c r="L367" s="6" t="s">
        <v>206</v>
      </c>
      <c r="M367" s="6" t="s">
        <v>373</v>
      </c>
      <c r="N367" s="6" t="s">
        <v>265</v>
      </c>
      <c r="O367" s="6" t="s">
        <v>1100</v>
      </c>
      <c r="P367" s="16" t="str">
        <f aca="false">IF(J367="S0","—",IF(K367="","",IF(L367="E0","QM",INDEX(10_ASIL_Matrix!$D$4:$F$15,MATCH(J367&amp;"-"&amp;L367,10_ASIL_Matrix!$C$4:$C$15,0),MATCH(N367,10_ASIL_Matrix!$D$3:$F$3,0)))))</f>
        <v>A</v>
      </c>
      <c r="Q367" s="6" t="s">
        <v>779</v>
      </c>
    </row>
    <row r="368" customFormat="false" ht="35.05" hidden="false" customHeight="false" outlineLevel="0" collapsed="false">
      <c r="A368" s="5" t="s">
        <v>1107</v>
      </c>
      <c r="B368" s="5" t="s">
        <v>116</v>
      </c>
      <c r="C368" s="5" t="s">
        <v>117</v>
      </c>
      <c r="D368" s="5" t="s">
        <v>153</v>
      </c>
      <c r="E368" s="5" t="s">
        <v>154</v>
      </c>
      <c r="F368" s="5" t="s">
        <v>190</v>
      </c>
      <c r="G368" s="5" t="s">
        <v>360</v>
      </c>
      <c r="H368" s="5" t="s">
        <v>208</v>
      </c>
      <c r="I368" s="5" t="s">
        <v>1108</v>
      </c>
      <c r="J368" s="5" t="s">
        <v>222</v>
      </c>
      <c r="K368" s="5" t="s">
        <v>372</v>
      </c>
      <c r="L368" s="5" t="s">
        <v>209</v>
      </c>
      <c r="M368" s="5" t="s">
        <v>376</v>
      </c>
      <c r="N368" s="5" t="s">
        <v>265</v>
      </c>
      <c r="O368" s="5" t="s">
        <v>1100</v>
      </c>
      <c r="P368" s="5" t="str">
        <f aca="false">IF(J368="S0","—",IF(K368="","",IF(L368="E0","QM",INDEX(10_ASIL_Matrix!$D$4:$F$15,MATCH(J368&amp;"-"&amp;L368,10_ASIL_Matrix!$C$4:$C$15,0),MATCH(N368,10_ASIL_Matrix!$D$3:$F$3,0)))))</f>
        <v>QM</v>
      </c>
      <c r="Q368" s="5" t="s">
        <v>779</v>
      </c>
    </row>
    <row r="369" customFormat="false" ht="35.05" hidden="false" customHeight="false" outlineLevel="0" collapsed="false">
      <c r="A369" s="6" t="s">
        <v>1109</v>
      </c>
      <c r="B369" s="6" t="s">
        <v>116</v>
      </c>
      <c r="C369" s="6" t="s">
        <v>117</v>
      </c>
      <c r="D369" s="6" t="s">
        <v>153</v>
      </c>
      <c r="E369" s="6" t="s">
        <v>154</v>
      </c>
      <c r="F369" s="6" t="s">
        <v>192</v>
      </c>
      <c r="G369" s="6" t="s">
        <v>378</v>
      </c>
      <c r="H369" s="6" t="s">
        <v>199</v>
      </c>
      <c r="I369" s="6" t="s">
        <v>1110</v>
      </c>
      <c r="J369" s="6" t="s">
        <v>226</v>
      </c>
      <c r="K369" s="6" t="s">
        <v>380</v>
      </c>
      <c r="L369" s="6" t="s">
        <v>185</v>
      </c>
      <c r="M369" s="6" t="s">
        <v>381</v>
      </c>
      <c r="N369" s="6" t="s">
        <v>265</v>
      </c>
      <c r="O369" s="6" t="s">
        <v>1111</v>
      </c>
      <c r="P369" s="17" t="str">
        <f aca="false">IF(J369="S0","—",IF(K369="","",IF(L369="E0","QM",INDEX(10_ASIL_Matrix!$D$4:$F$15,MATCH(J369&amp;"-"&amp;L369,10_ASIL_Matrix!$C$4:$C$15,0),MATCH(N369,10_ASIL_Matrix!$D$3:$F$3,0)))))</f>
        <v>C</v>
      </c>
      <c r="Q369" s="6" t="s">
        <v>779</v>
      </c>
    </row>
    <row r="370" customFormat="false" ht="35.05" hidden="false" customHeight="false" outlineLevel="0" collapsed="false">
      <c r="A370" s="5" t="s">
        <v>1112</v>
      </c>
      <c r="B370" s="5" t="s">
        <v>116</v>
      </c>
      <c r="C370" s="5" t="s">
        <v>117</v>
      </c>
      <c r="D370" s="5" t="s">
        <v>153</v>
      </c>
      <c r="E370" s="5" t="s">
        <v>154</v>
      </c>
      <c r="F370" s="5" t="s">
        <v>192</v>
      </c>
      <c r="G370" s="5" t="s">
        <v>378</v>
      </c>
      <c r="H370" s="5" t="s">
        <v>201</v>
      </c>
      <c r="I370" s="5" t="s">
        <v>1113</v>
      </c>
      <c r="J370" s="5" t="s">
        <v>226</v>
      </c>
      <c r="K370" s="5" t="s">
        <v>380</v>
      </c>
      <c r="L370" s="5" t="s">
        <v>185</v>
      </c>
      <c r="M370" s="5" t="s">
        <v>384</v>
      </c>
      <c r="N370" s="5" t="s">
        <v>265</v>
      </c>
      <c r="O370" s="5" t="s">
        <v>1111</v>
      </c>
      <c r="P370" s="17" t="str">
        <f aca="false">IF(J370="S0","—",IF(K370="","",IF(L370="E0","QM",INDEX(10_ASIL_Matrix!$D$4:$F$15,MATCH(J370&amp;"-"&amp;L370,10_ASIL_Matrix!$C$4:$C$15,0),MATCH(N370,10_ASIL_Matrix!$D$3:$F$3,0)))))</f>
        <v>C</v>
      </c>
      <c r="Q370" s="5" t="s">
        <v>779</v>
      </c>
    </row>
    <row r="371" customFormat="false" ht="35.05" hidden="false" customHeight="false" outlineLevel="0" collapsed="false">
      <c r="A371" s="6" t="s">
        <v>1114</v>
      </c>
      <c r="B371" s="6" t="s">
        <v>116</v>
      </c>
      <c r="C371" s="6" t="s">
        <v>117</v>
      </c>
      <c r="D371" s="6" t="s">
        <v>153</v>
      </c>
      <c r="E371" s="6" t="s">
        <v>154</v>
      </c>
      <c r="F371" s="6" t="s">
        <v>192</v>
      </c>
      <c r="G371" s="6" t="s">
        <v>378</v>
      </c>
      <c r="H371" s="6" t="s">
        <v>203</v>
      </c>
      <c r="I371" s="6" t="s">
        <v>1115</v>
      </c>
      <c r="J371" s="6" t="s">
        <v>226</v>
      </c>
      <c r="K371" s="6" t="s">
        <v>380</v>
      </c>
      <c r="L371" s="6" t="s">
        <v>185</v>
      </c>
      <c r="M371" s="6" t="s">
        <v>387</v>
      </c>
      <c r="N371" s="6" t="s">
        <v>265</v>
      </c>
      <c r="O371" s="6" t="s">
        <v>1111</v>
      </c>
      <c r="P371" s="17" t="str">
        <f aca="false">IF(J371="S0","—",IF(K371="","",IF(L371="E0","QM",INDEX(10_ASIL_Matrix!$D$4:$F$15,MATCH(J371&amp;"-"&amp;L371,10_ASIL_Matrix!$C$4:$C$15,0),MATCH(N371,10_ASIL_Matrix!$D$3:$F$3,0)))))</f>
        <v>C</v>
      </c>
      <c r="Q371" s="6" t="s">
        <v>779</v>
      </c>
    </row>
    <row r="372" customFormat="false" ht="35.05" hidden="false" customHeight="false" outlineLevel="0" collapsed="false">
      <c r="A372" s="5" t="s">
        <v>1116</v>
      </c>
      <c r="B372" s="5" t="s">
        <v>116</v>
      </c>
      <c r="C372" s="5" t="s">
        <v>117</v>
      </c>
      <c r="D372" s="5" t="s">
        <v>153</v>
      </c>
      <c r="E372" s="5" t="s">
        <v>154</v>
      </c>
      <c r="F372" s="5" t="s">
        <v>192</v>
      </c>
      <c r="G372" s="5" t="s">
        <v>378</v>
      </c>
      <c r="H372" s="5" t="s">
        <v>205</v>
      </c>
      <c r="I372" s="5" t="s">
        <v>1117</v>
      </c>
      <c r="J372" s="5" t="s">
        <v>226</v>
      </c>
      <c r="K372" s="5" t="s">
        <v>390</v>
      </c>
      <c r="L372" s="5" t="s">
        <v>206</v>
      </c>
      <c r="M372" s="5" t="s">
        <v>391</v>
      </c>
      <c r="N372" s="5" t="s">
        <v>265</v>
      </c>
      <c r="O372" s="5" t="s">
        <v>1111</v>
      </c>
      <c r="P372" s="15" t="str">
        <f aca="false">IF(J372="S0","—",IF(K372="","",IF(L372="E0","QM",INDEX(10_ASIL_Matrix!$D$4:$F$15,MATCH(J372&amp;"-"&amp;L372,10_ASIL_Matrix!$C$4:$C$15,0),MATCH(N372,10_ASIL_Matrix!$D$3:$F$3,0)))))</f>
        <v>B</v>
      </c>
      <c r="Q372" s="5" t="s">
        <v>779</v>
      </c>
    </row>
    <row r="373" customFormat="false" ht="35.05" hidden="false" customHeight="false" outlineLevel="0" collapsed="false">
      <c r="A373" s="6" t="s">
        <v>1118</v>
      </c>
      <c r="B373" s="6" t="s">
        <v>116</v>
      </c>
      <c r="C373" s="6" t="s">
        <v>117</v>
      </c>
      <c r="D373" s="6" t="s">
        <v>153</v>
      </c>
      <c r="E373" s="6" t="s">
        <v>154</v>
      </c>
      <c r="F373" s="6" t="s">
        <v>192</v>
      </c>
      <c r="G373" s="6" t="s">
        <v>378</v>
      </c>
      <c r="H373" s="6" t="s">
        <v>208</v>
      </c>
      <c r="I373" s="6" t="s">
        <v>1119</v>
      </c>
      <c r="J373" s="6" t="s">
        <v>226</v>
      </c>
      <c r="K373" s="6" t="s">
        <v>390</v>
      </c>
      <c r="L373" s="6" t="s">
        <v>209</v>
      </c>
      <c r="M373" s="6" t="s">
        <v>394</v>
      </c>
      <c r="N373" s="6" t="s">
        <v>265</v>
      </c>
      <c r="O373" s="6" t="s">
        <v>1111</v>
      </c>
      <c r="P373" s="16" t="str">
        <f aca="false">IF(J373="S0","—",IF(K373="","",IF(L373="E0","QM",INDEX(10_ASIL_Matrix!$D$4:$F$15,MATCH(J373&amp;"-"&amp;L373,10_ASIL_Matrix!$C$4:$C$15,0),MATCH(N373,10_ASIL_Matrix!$D$3:$F$3,0)))))</f>
        <v>A</v>
      </c>
      <c r="Q373" s="6" t="s">
        <v>779</v>
      </c>
    </row>
    <row r="374" customFormat="false" ht="35.05" hidden="false" customHeight="false" outlineLevel="0" collapsed="false">
      <c r="A374" s="5" t="s">
        <v>1120</v>
      </c>
      <c r="B374" s="5" t="s">
        <v>116</v>
      </c>
      <c r="C374" s="5" t="s">
        <v>117</v>
      </c>
      <c r="D374" s="5" t="s">
        <v>153</v>
      </c>
      <c r="E374" s="5" t="s">
        <v>154</v>
      </c>
      <c r="F374" s="5" t="s">
        <v>194</v>
      </c>
      <c r="G374" s="5" t="s">
        <v>396</v>
      </c>
      <c r="H374" s="5" t="s">
        <v>199</v>
      </c>
      <c r="I374" s="5" t="s">
        <v>1121</v>
      </c>
      <c r="J374" s="5" t="s">
        <v>226</v>
      </c>
      <c r="K374" s="5" t="s">
        <v>398</v>
      </c>
      <c r="L374" s="5" t="s">
        <v>188</v>
      </c>
      <c r="M374" s="5" t="s">
        <v>399</v>
      </c>
      <c r="N374" s="5" t="s">
        <v>265</v>
      </c>
      <c r="O374" s="5" t="s">
        <v>1122</v>
      </c>
      <c r="P374" s="18" t="str">
        <f aca="false">IF(J374="S0","—",IF(K374="","",IF(L374="E0","QM",INDEX(10_ASIL_Matrix!$D$4:$F$15,MATCH(J374&amp;"-"&amp;L374,10_ASIL_Matrix!$C$4:$C$15,0),MATCH(N374,10_ASIL_Matrix!$D$3:$F$3,0)))))</f>
        <v>D</v>
      </c>
      <c r="Q374" s="5" t="s">
        <v>779</v>
      </c>
    </row>
    <row r="375" customFormat="false" ht="35.05" hidden="false" customHeight="false" outlineLevel="0" collapsed="false">
      <c r="A375" s="6" t="s">
        <v>1123</v>
      </c>
      <c r="B375" s="6" t="s">
        <v>116</v>
      </c>
      <c r="C375" s="6" t="s">
        <v>117</v>
      </c>
      <c r="D375" s="6" t="s">
        <v>153</v>
      </c>
      <c r="E375" s="6" t="s">
        <v>154</v>
      </c>
      <c r="F375" s="6" t="s">
        <v>194</v>
      </c>
      <c r="G375" s="6" t="s">
        <v>396</v>
      </c>
      <c r="H375" s="6" t="s">
        <v>201</v>
      </c>
      <c r="I375" s="6" t="s">
        <v>1124</v>
      </c>
      <c r="J375" s="6" t="s">
        <v>226</v>
      </c>
      <c r="K375" s="6" t="s">
        <v>398</v>
      </c>
      <c r="L375" s="6" t="s">
        <v>185</v>
      </c>
      <c r="M375" s="6" t="s">
        <v>402</v>
      </c>
      <c r="N375" s="6" t="s">
        <v>265</v>
      </c>
      <c r="O375" s="6" t="s">
        <v>1122</v>
      </c>
      <c r="P375" s="17" t="str">
        <f aca="false">IF(J375="S0","—",IF(K375="","",IF(L375="E0","QM",INDEX(10_ASIL_Matrix!$D$4:$F$15,MATCH(J375&amp;"-"&amp;L375,10_ASIL_Matrix!$C$4:$C$15,0),MATCH(N375,10_ASIL_Matrix!$D$3:$F$3,0)))))</f>
        <v>C</v>
      </c>
      <c r="Q375" s="6" t="s">
        <v>779</v>
      </c>
    </row>
    <row r="376" customFormat="false" ht="35.05" hidden="false" customHeight="false" outlineLevel="0" collapsed="false">
      <c r="A376" s="5" t="s">
        <v>1125</v>
      </c>
      <c r="B376" s="5" t="s">
        <v>116</v>
      </c>
      <c r="C376" s="5" t="s">
        <v>117</v>
      </c>
      <c r="D376" s="5" t="s">
        <v>153</v>
      </c>
      <c r="E376" s="5" t="s">
        <v>154</v>
      </c>
      <c r="F376" s="5" t="s">
        <v>194</v>
      </c>
      <c r="G376" s="5" t="s">
        <v>396</v>
      </c>
      <c r="H376" s="5" t="s">
        <v>203</v>
      </c>
      <c r="I376" s="5" t="s">
        <v>1126</v>
      </c>
      <c r="J376" s="5" t="s">
        <v>226</v>
      </c>
      <c r="K376" s="5" t="s">
        <v>398</v>
      </c>
      <c r="L376" s="5" t="s">
        <v>185</v>
      </c>
      <c r="M376" s="5" t="s">
        <v>405</v>
      </c>
      <c r="N376" s="5" t="s">
        <v>265</v>
      </c>
      <c r="O376" s="5" t="s">
        <v>1122</v>
      </c>
      <c r="P376" s="17" t="str">
        <f aca="false">IF(J376="S0","—",IF(K376="","",IF(L376="E0","QM",INDEX(10_ASIL_Matrix!$D$4:$F$15,MATCH(J376&amp;"-"&amp;L376,10_ASIL_Matrix!$C$4:$C$15,0),MATCH(N376,10_ASIL_Matrix!$D$3:$F$3,0)))))</f>
        <v>C</v>
      </c>
      <c r="Q376" s="5" t="s">
        <v>779</v>
      </c>
    </row>
    <row r="377" customFormat="false" ht="35.05" hidden="false" customHeight="false" outlineLevel="0" collapsed="false">
      <c r="A377" s="6" t="s">
        <v>1127</v>
      </c>
      <c r="B377" s="6" t="s">
        <v>116</v>
      </c>
      <c r="C377" s="6" t="s">
        <v>117</v>
      </c>
      <c r="D377" s="6" t="s">
        <v>153</v>
      </c>
      <c r="E377" s="6" t="s">
        <v>154</v>
      </c>
      <c r="F377" s="6" t="s">
        <v>194</v>
      </c>
      <c r="G377" s="6" t="s">
        <v>396</v>
      </c>
      <c r="H377" s="6" t="s">
        <v>205</v>
      </c>
      <c r="I377" s="6" t="s">
        <v>1128</v>
      </c>
      <c r="J377" s="6" t="s">
        <v>226</v>
      </c>
      <c r="K377" s="6" t="s">
        <v>408</v>
      </c>
      <c r="L377" s="6" t="s">
        <v>206</v>
      </c>
      <c r="M377" s="6" t="s">
        <v>409</v>
      </c>
      <c r="N377" s="6" t="s">
        <v>265</v>
      </c>
      <c r="O377" s="6" t="s">
        <v>1122</v>
      </c>
      <c r="P377" s="15" t="str">
        <f aca="false">IF(J377="S0","—",IF(K377="","",IF(L377="E0","QM",INDEX(10_ASIL_Matrix!$D$4:$F$15,MATCH(J377&amp;"-"&amp;L377,10_ASIL_Matrix!$C$4:$C$15,0),MATCH(N377,10_ASIL_Matrix!$D$3:$F$3,0)))))</f>
        <v>B</v>
      </c>
      <c r="Q377" s="6" t="s">
        <v>779</v>
      </c>
    </row>
    <row r="378" customFormat="false" ht="35.05" hidden="false" customHeight="false" outlineLevel="0" collapsed="false">
      <c r="A378" s="5" t="s">
        <v>1129</v>
      </c>
      <c r="B378" s="5" t="s">
        <v>116</v>
      </c>
      <c r="C378" s="5" t="s">
        <v>117</v>
      </c>
      <c r="D378" s="5" t="s">
        <v>153</v>
      </c>
      <c r="E378" s="5" t="s">
        <v>154</v>
      </c>
      <c r="F378" s="5" t="s">
        <v>194</v>
      </c>
      <c r="G378" s="5" t="s">
        <v>396</v>
      </c>
      <c r="H378" s="5" t="s">
        <v>208</v>
      </c>
      <c r="I378" s="5" t="s">
        <v>1130</v>
      </c>
      <c r="J378" s="5" t="s">
        <v>226</v>
      </c>
      <c r="K378" s="5" t="s">
        <v>408</v>
      </c>
      <c r="L378" s="5" t="s">
        <v>209</v>
      </c>
      <c r="M378" s="5" t="s">
        <v>412</v>
      </c>
      <c r="N378" s="5" t="s">
        <v>265</v>
      </c>
      <c r="O378" s="5" t="s">
        <v>1122</v>
      </c>
      <c r="P378" s="16" t="str">
        <f aca="false">IF(J378="S0","—",IF(K378="","",IF(L378="E0","QM",INDEX(10_ASIL_Matrix!$D$4:$F$15,MATCH(J378&amp;"-"&amp;L378,10_ASIL_Matrix!$C$4:$C$15,0),MATCH(N378,10_ASIL_Matrix!$D$3:$F$3,0)))))</f>
        <v>A</v>
      </c>
      <c r="Q378" s="5" t="s">
        <v>779</v>
      </c>
    </row>
    <row r="379" customFormat="false" ht="35.05" hidden="false" customHeight="false" outlineLevel="0" collapsed="false">
      <c r="A379" s="6" t="s">
        <v>1131</v>
      </c>
      <c r="B379" s="6" t="s">
        <v>116</v>
      </c>
      <c r="C379" s="6" t="s">
        <v>117</v>
      </c>
      <c r="D379" s="6" t="s">
        <v>162</v>
      </c>
      <c r="E379" s="6" t="s">
        <v>163</v>
      </c>
      <c r="F379" s="6" t="s">
        <v>184</v>
      </c>
      <c r="G379" s="6" t="s">
        <v>323</v>
      </c>
      <c r="H379" s="6" t="s">
        <v>199</v>
      </c>
      <c r="I379" s="6" t="s">
        <v>1132</v>
      </c>
      <c r="J379" s="6" t="s">
        <v>218</v>
      </c>
      <c r="K379" s="6" t="s">
        <v>325</v>
      </c>
      <c r="L379" s="6" t="s">
        <v>185</v>
      </c>
      <c r="M379" s="6" t="s">
        <v>326</v>
      </c>
      <c r="N379" s="6" t="s">
        <v>261</v>
      </c>
      <c r="O379" s="6" t="s">
        <v>465</v>
      </c>
      <c r="P379" s="6" t="str">
        <f aca="false">IF(J379="S0","—",IF(K379="","",IF(L379="E0","QM",INDEX(10_ASIL_Matrix!$D$4:$F$15,MATCH(J379&amp;"-"&amp;L379,10_ASIL_Matrix!$C$4:$C$15,0),MATCH(N379,10_ASIL_Matrix!$D$3:$F$3,0)))))</f>
        <v>QM</v>
      </c>
      <c r="Q379" s="6" t="s">
        <v>779</v>
      </c>
    </row>
    <row r="380" customFormat="false" ht="35.05" hidden="false" customHeight="false" outlineLevel="0" collapsed="false">
      <c r="A380" s="5" t="s">
        <v>1133</v>
      </c>
      <c r="B380" s="5" t="s">
        <v>116</v>
      </c>
      <c r="C380" s="5" t="s">
        <v>117</v>
      </c>
      <c r="D380" s="5" t="s">
        <v>162</v>
      </c>
      <c r="E380" s="5" t="s">
        <v>163</v>
      </c>
      <c r="F380" s="5" t="s">
        <v>184</v>
      </c>
      <c r="G380" s="5" t="s">
        <v>323</v>
      </c>
      <c r="H380" s="5" t="s">
        <v>201</v>
      </c>
      <c r="I380" s="5" t="s">
        <v>1134</v>
      </c>
      <c r="J380" s="5" t="s">
        <v>218</v>
      </c>
      <c r="K380" s="5" t="s">
        <v>325</v>
      </c>
      <c r="L380" s="5" t="s">
        <v>185</v>
      </c>
      <c r="M380" s="5" t="s">
        <v>331</v>
      </c>
      <c r="N380" s="5" t="s">
        <v>261</v>
      </c>
      <c r="O380" s="5" t="s">
        <v>465</v>
      </c>
      <c r="P380" s="5" t="str">
        <f aca="false">IF(J380="S0","—",IF(K380="","",IF(L380="E0","QM",INDEX(10_ASIL_Matrix!$D$4:$F$15,MATCH(J380&amp;"-"&amp;L380,10_ASIL_Matrix!$C$4:$C$15,0),MATCH(N380,10_ASIL_Matrix!$D$3:$F$3,0)))))</f>
        <v>QM</v>
      </c>
      <c r="Q380" s="5" t="s">
        <v>779</v>
      </c>
    </row>
    <row r="381" customFormat="false" ht="35.05" hidden="false" customHeight="false" outlineLevel="0" collapsed="false">
      <c r="A381" s="6" t="s">
        <v>1135</v>
      </c>
      <c r="B381" s="6" t="s">
        <v>116</v>
      </c>
      <c r="C381" s="6" t="s">
        <v>117</v>
      </c>
      <c r="D381" s="6" t="s">
        <v>162</v>
      </c>
      <c r="E381" s="6" t="s">
        <v>163</v>
      </c>
      <c r="F381" s="6" t="s">
        <v>184</v>
      </c>
      <c r="G381" s="6" t="s">
        <v>323</v>
      </c>
      <c r="H381" s="6" t="s">
        <v>203</v>
      </c>
      <c r="I381" s="6" t="s">
        <v>1136</v>
      </c>
      <c r="J381" s="6" t="s">
        <v>218</v>
      </c>
      <c r="K381" s="6" t="s">
        <v>325</v>
      </c>
      <c r="L381" s="6" t="s">
        <v>185</v>
      </c>
      <c r="M381" s="6" t="s">
        <v>334</v>
      </c>
      <c r="N381" s="6" t="s">
        <v>261</v>
      </c>
      <c r="O381" s="6" t="s">
        <v>465</v>
      </c>
      <c r="P381" s="6" t="str">
        <f aca="false">IF(J381="S0","—",IF(K381="","",IF(L381="E0","QM",INDEX(10_ASIL_Matrix!$D$4:$F$15,MATCH(J381&amp;"-"&amp;L381,10_ASIL_Matrix!$C$4:$C$15,0),MATCH(N381,10_ASIL_Matrix!$D$3:$F$3,0)))))</f>
        <v>QM</v>
      </c>
      <c r="Q381" s="6" t="s">
        <v>779</v>
      </c>
    </row>
    <row r="382" customFormat="false" ht="35.05" hidden="false" customHeight="false" outlineLevel="0" collapsed="false">
      <c r="A382" s="5" t="s">
        <v>1137</v>
      </c>
      <c r="B382" s="5" t="s">
        <v>116</v>
      </c>
      <c r="C382" s="5" t="s">
        <v>117</v>
      </c>
      <c r="D382" s="5" t="s">
        <v>162</v>
      </c>
      <c r="E382" s="5" t="s">
        <v>163</v>
      </c>
      <c r="F382" s="5" t="s">
        <v>184</v>
      </c>
      <c r="G382" s="5" t="s">
        <v>323</v>
      </c>
      <c r="H382" s="5" t="s">
        <v>205</v>
      </c>
      <c r="I382" s="5" t="s">
        <v>1138</v>
      </c>
      <c r="J382" s="5" t="s">
        <v>218</v>
      </c>
      <c r="K382" s="5" t="s">
        <v>325</v>
      </c>
      <c r="L382" s="5" t="s">
        <v>206</v>
      </c>
      <c r="M382" s="5" t="s">
        <v>337</v>
      </c>
      <c r="N382" s="5" t="s">
        <v>261</v>
      </c>
      <c r="O382" s="5" t="s">
        <v>465</v>
      </c>
      <c r="P382" s="5" t="str">
        <f aca="false">IF(J382="S0","—",IF(K382="","",IF(L382="E0","QM",INDEX(10_ASIL_Matrix!$D$4:$F$15,MATCH(J382&amp;"-"&amp;L382,10_ASIL_Matrix!$C$4:$C$15,0),MATCH(N382,10_ASIL_Matrix!$D$3:$F$3,0)))))</f>
        <v>QM</v>
      </c>
      <c r="Q382" s="5" t="s">
        <v>779</v>
      </c>
    </row>
    <row r="383" customFormat="false" ht="35.05" hidden="false" customHeight="false" outlineLevel="0" collapsed="false">
      <c r="A383" s="6" t="s">
        <v>1139</v>
      </c>
      <c r="B383" s="6" t="s">
        <v>116</v>
      </c>
      <c r="C383" s="6" t="s">
        <v>117</v>
      </c>
      <c r="D383" s="6" t="s">
        <v>162</v>
      </c>
      <c r="E383" s="6" t="s">
        <v>163</v>
      </c>
      <c r="F383" s="6" t="s">
        <v>184</v>
      </c>
      <c r="G383" s="6" t="s">
        <v>323</v>
      </c>
      <c r="H383" s="6" t="s">
        <v>208</v>
      </c>
      <c r="I383" s="6" t="s">
        <v>1140</v>
      </c>
      <c r="J383" s="6" t="s">
        <v>218</v>
      </c>
      <c r="K383" s="6" t="s">
        <v>325</v>
      </c>
      <c r="L383" s="6" t="s">
        <v>209</v>
      </c>
      <c r="M383" s="6" t="s">
        <v>340</v>
      </c>
      <c r="N383" s="6" t="s">
        <v>261</v>
      </c>
      <c r="O383" s="6" t="s">
        <v>465</v>
      </c>
      <c r="P383" s="6" t="str">
        <f aca="false">IF(J383="S0","—",IF(K383="","",IF(L383="E0","QM",INDEX(10_ASIL_Matrix!$D$4:$F$15,MATCH(J383&amp;"-"&amp;L383,10_ASIL_Matrix!$C$4:$C$15,0),MATCH(N383,10_ASIL_Matrix!$D$3:$F$3,0)))))</f>
        <v>QM</v>
      </c>
      <c r="Q383" s="6" t="s">
        <v>779</v>
      </c>
    </row>
    <row r="384" customFormat="false" ht="35.05" hidden="false" customHeight="false" outlineLevel="0" collapsed="false">
      <c r="A384" s="5" t="s">
        <v>1141</v>
      </c>
      <c r="B384" s="5" t="s">
        <v>116</v>
      </c>
      <c r="C384" s="5" t="s">
        <v>117</v>
      </c>
      <c r="D384" s="5" t="s">
        <v>162</v>
      </c>
      <c r="E384" s="5" t="s">
        <v>163</v>
      </c>
      <c r="F384" s="5" t="s">
        <v>187</v>
      </c>
      <c r="G384" s="5" t="s">
        <v>342</v>
      </c>
      <c r="H384" s="5" t="s">
        <v>199</v>
      </c>
      <c r="I384" s="5" t="s">
        <v>1142</v>
      </c>
      <c r="J384" s="5" t="s">
        <v>222</v>
      </c>
      <c r="K384" s="5" t="s">
        <v>344</v>
      </c>
      <c r="L384" s="5" t="s">
        <v>188</v>
      </c>
      <c r="M384" s="5" t="s">
        <v>345</v>
      </c>
      <c r="N384" s="5" t="s">
        <v>261</v>
      </c>
      <c r="O384" s="5" t="s">
        <v>476</v>
      </c>
      <c r="P384" s="15" t="str">
        <f aca="false">IF(J384="S0","—",IF(K384="","",IF(L384="E0","QM",INDEX(10_ASIL_Matrix!$D$4:$F$15,MATCH(J384&amp;"-"&amp;L384,10_ASIL_Matrix!$C$4:$C$15,0),MATCH(N384,10_ASIL_Matrix!$D$3:$F$3,0)))))</f>
        <v>B</v>
      </c>
      <c r="Q384" s="5" t="s">
        <v>779</v>
      </c>
    </row>
    <row r="385" customFormat="false" ht="35.05" hidden="false" customHeight="false" outlineLevel="0" collapsed="false">
      <c r="A385" s="6" t="s">
        <v>1143</v>
      </c>
      <c r="B385" s="6" t="s">
        <v>116</v>
      </c>
      <c r="C385" s="6" t="s">
        <v>117</v>
      </c>
      <c r="D385" s="6" t="s">
        <v>162</v>
      </c>
      <c r="E385" s="6" t="s">
        <v>163</v>
      </c>
      <c r="F385" s="6" t="s">
        <v>187</v>
      </c>
      <c r="G385" s="6" t="s">
        <v>342</v>
      </c>
      <c r="H385" s="6" t="s">
        <v>201</v>
      </c>
      <c r="I385" s="6" t="s">
        <v>1144</v>
      </c>
      <c r="J385" s="6" t="s">
        <v>222</v>
      </c>
      <c r="K385" s="6" t="s">
        <v>344</v>
      </c>
      <c r="L385" s="6" t="s">
        <v>185</v>
      </c>
      <c r="M385" s="6" t="s">
        <v>348</v>
      </c>
      <c r="N385" s="6" t="s">
        <v>261</v>
      </c>
      <c r="O385" s="6" t="s">
        <v>476</v>
      </c>
      <c r="P385" s="16" t="str">
        <f aca="false">IF(J385="S0","—",IF(K385="","",IF(L385="E0","QM",INDEX(10_ASIL_Matrix!$D$4:$F$15,MATCH(J385&amp;"-"&amp;L385,10_ASIL_Matrix!$C$4:$C$15,0),MATCH(N385,10_ASIL_Matrix!$D$3:$F$3,0)))))</f>
        <v>A</v>
      </c>
      <c r="Q385" s="6" t="s">
        <v>779</v>
      </c>
    </row>
    <row r="386" customFormat="false" ht="35.05" hidden="false" customHeight="false" outlineLevel="0" collapsed="false">
      <c r="A386" s="5" t="s">
        <v>1145</v>
      </c>
      <c r="B386" s="5" t="s">
        <v>116</v>
      </c>
      <c r="C386" s="5" t="s">
        <v>117</v>
      </c>
      <c r="D386" s="5" t="s">
        <v>162</v>
      </c>
      <c r="E386" s="5" t="s">
        <v>163</v>
      </c>
      <c r="F386" s="5" t="s">
        <v>187</v>
      </c>
      <c r="G386" s="5" t="s">
        <v>342</v>
      </c>
      <c r="H386" s="5" t="s">
        <v>203</v>
      </c>
      <c r="I386" s="5" t="s">
        <v>1146</v>
      </c>
      <c r="J386" s="5" t="s">
        <v>222</v>
      </c>
      <c r="K386" s="5" t="s">
        <v>344</v>
      </c>
      <c r="L386" s="5" t="s">
        <v>185</v>
      </c>
      <c r="M386" s="5" t="s">
        <v>351</v>
      </c>
      <c r="N386" s="5" t="s">
        <v>261</v>
      </c>
      <c r="O386" s="5" t="s">
        <v>476</v>
      </c>
      <c r="P386" s="16" t="str">
        <f aca="false">IF(J386="S0","—",IF(K386="","",IF(L386="E0","QM",INDEX(10_ASIL_Matrix!$D$4:$F$15,MATCH(J386&amp;"-"&amp;L386,10_ASIL_Matrix!$C$4:$C$15,0),MATCH(N386,10_ASIL_Matrix!$D$3:$F$3,0)))))</f>
        <v>A</v>
      </c>
      <c r="Q386" s="5" t="s">
        <v>779</v>
      </c>
    </row>
    <row r="387" customFormat="false" ht="35.05" hidden="false" customHeight="false" outlineLevel="0" collapsed="false">
      <c r="A387" s="6" t="s">
        <v>1147</v>
      </c>
      <c r="B387" s="6" t="s">
        <v>116</v>
      </c>
      <c r="C387" s="6" t="s">
        <v>117</v>
      </c>
      <c r="D387" s="6" t="s">
        <v>162</v>
      </c>
      <c r="E387" s="6" t="s">
        <v>163</v>
      </c>
      <c r="F387" s="6" t="s">
        <v>187</v>
      </c>
      <c r="G387" s="6" t="s">
        <v>342</v>
      </c>
      <c r="H387" s="6" t="s">
        <v>205</v>
      </c>
      <c r="I387" s="6" t="s">
        <v>1148</v>
      </c>
      <c r="J387" s="6" t="s">
        <v>222</v>
      </c>
      <c r="K387" s="6" t="s">
        <v>354</v>
      </c>
      <c r="L387" s="6" t="s">
        <v>206</v>
      </c>
      <c r="M387" s="6" t="s">
        <v>355</v>
      </c>
      <c r="N387" s="6" t="s">
        <v>261</v>
      </c>
      <c r="O387" s="6" t="s">
        <v>476</v>
      </c>
      <c r="P387" s="6" t="str">
        <f aca="false">IF(J387="S0","—",IF(K387="","",IF(L387="E0","QM",INDEX(10_ASIL_Matrix!$D$4:$F$15,MATCH(J387&amp;"-"&amp;L387,10_ASIL_Matrix!$C$4:$C$15,0),MATCH(N387,10_ASIL_Matrix!$D$3:$F$3,0)))))</f>
        <v>QM</v>
      </c>
      <c r="Q387" s="6" t="s">
        <v>779</v>
      </c>
    </row>
    <row r="388" customFormat="false" ht="35.05" hidden="false" customHeight="false" outlineLevel="0" collapsed="false">
      <c r="A388" s="5" t="s">
        <v>1149</v>
      </c>
      <c r="B388" s="5" t="s">
        <v>116</v>
      </c>
      <c r="C388" s="5" t="s">
        <v>117</v>
      </c>
      <c r="D388" s="5" t="s">
        <v>162</v>
      </c>
      <c r="E388" s="5" t="s">
        <v>163</v>
      </c>
      <c r="F388" s="5" t="s">
        <v>187</v>
      </c>
      <c r="G388" s="5" t="s">
        <v>342</v>
      </c>
      <c r="H388" s="5" t="s">
        <v>208</v>
      </c>
      <c r="I388" s="5" t="s">
        <v>1150</v>
      </c>
      <c r="J388" s="5" t="s">
        <v>222</v>
      </c>
      <c r="K388" s="5" t="s">
        <v>354</v>
      </c>
      <c r="L388" s="5" t="s">
        <v>209</v>
      </c>
      <c r="M388" s="5" t="s">
        <v>358</v>
      </c>
      <c r="N388" s="5" t="s">
        <v>261</v>
      </c>
      <c r="O388" s="5" t="s">
        <v>476</v>
      </c>
      <c r="P388" s="5" t="str">
        <f aca="false">IF(J388="S0","—",IF(K388="","",IF(L388="E0","QM",INDEX(10_ASIL_Matrix!$D$4:$F$15,MATCH(J388&amp;"-"&amp;L388,10_ASIL_Matrix!$C$4:$C$15,0),MATCH(N388,10_ASIL_Matrix!$D$3:$F$3,0)))))</f>
        <v>QM</v>
      </c>
      <c r="Q388" s="5" t="s">
        <v>779</v>
      </c>
    </row>
    <row r="389" customFormat="false" ht="35.05" hidden="false" customHeight="false" outlineLevel="0" collapsed="false">
      <c r="A389" s="6" t="s">
        <v>1151</v>
      </c>
      <c r="B389" s="6" t="s">
        <v>116</v>
      </c>
      <c r="C389" s="6" t="s">
        <v>117</v>
      </c>
      <c r="D389" s="6" t="s">
        <v>162</v>
      </c>
      <c r="E389" s="6" t="s">
        <v>163</v>
      </c>
      <c r="F389" s="6" t="s">
        <v>190</v>
      </c>
      <c r="G389" s="6" t="s">
        <v>360</v>
      </c>
      <c r="H389" s="6" t="s">
        <v>199</v>
      </c>
      <c r="I389" s="6" t="s">
        <v>1152</v>
      </c>
      <c r="J389" s="6" t="s">
        <v>222</v>
      </c>
      <c r="K389" s="6" t="s">
        <v>362</v>
      </c>
      <c r="L389" s="6" t="s">
        <v>188</v>
      </c>
      <c r="M389" s="6" t="s">
        <v>363</v>
      </c>
      <c r="N389" s="6" t="s">
        <v>261</v>
      </c>
      <c r="O389" s="6" t="s">
        <v>540</v>
      </c>
      <c r="P389" s="15" t="str">
        <f aca="false">IF(J389="S0","—",IF(K389="","",IF(L389="E0","QM",INDEX(10_ASIL_Matrix!$D$4:$F$15,MATCH(J389&amp;"-"&amp;L389,10_ASIL_Matrix!$C$4:$C$15,0),MATCH(N389,10_ASIL_Matrix!$D$3:$F$3,0)))))</f>
        <v>B</v>
      </c>
      <c r="Q389" s="6" t="s">
        <v>779</v>
      </c>
    </row>
    <row r="390" customFormat="false" ht="35.05" hidden="false" customHeight="false" outlineLevel="0" collapsed="false">
      <c r="A390" s="5" t="s">
        <v>1153</v>
      </c>
      <c r="B390" s="5" t="s">
        <v>116</v>
      </c>
      <c r="C390" s="5" t="s">
        <v>117</v>
      </c>
      <c r="D390" s="5" t="s">
        <v>162</v>
      </c>
      <c r="E390" s="5" t="s">
        <v>163</v>
      </c>
      <c r="F390" s="5" t="s">
        <v>190</v>
      </c>
      <c r="G390" s="5" t="s">
        <v>360</v>
      </c>
      <c r="H390" s="5" t="s">
        <v>201</v>
      </c>
      <c r="I390" s="5" t="s">
        <v>1154</v>
      </c>
      <c r="J390" s="5" t="s">
        <v>222</v>
      </c>
      <c r="K390" s="5" t="s">
        <v>362</v>
      </c>
      <c r="L390" s="5" t="s">
        <v>185</v>
      </c>
      <c r="M390" s="5" t="s">
        <v>366</v>
      </c>
      <c r="N390" s="5" t="s">
        <v>261</v>
      </c>
      <c r="O390" s="5" t="s">
        <v>540</v>
      </c>
      <c r="P390" s="16" t="str">
        <f aca="false">IF(J390="S0","—",IF(K390="","",IF(L390="E0","QM",INDEX(10_ASIL_Matrix!$D$4:$F$15,MATCH(J390&amp;"-"&amp;L390,10_ASIL_Matrix!$C$4:$C$15,0),MATCH(N390,10_ASIL_Matrix!$D$3:$F$3,0)))))</f>
        <v>A</v>
      </c>
      <c r="Q390" s="5" t="s">
        <v>779</v>
      </c>
    </row>
    <row r="391" customFormat="false" ht="35.05" hidden="false" customHeight="false" outlineLevel="0" collapsed="false">
      <c r="A391" s="6" t="s">
        <v>1155</v>
      </c>
      <c r="B391" s="6" t="s">
        <v>116</v>
      </c>
      <c r="C391" s="6" t="s">
        <v>117</v>
      </c>
      <c r="D391" s="6" t="s">
        <v>162</v>
      </c>
      <c r="E391" s="6" t="s">
        <v>163</v>
      </c>
      <c r="F391" s="6" t="s">
        <v>190</v>
      </c>
      <c r="G391" s="6" t="s">
        <v>360</v>
      </c>
      <c r="H391" s="6" t="s">
        <v>203</v>
      </c>
      <c r="I391" s="6" t="s">
        <v>1156</v>
      </c>
      <c r="J391" s="6" t="s">
        <v>222</v>
      </c>
      <c r="K391" s="6" t="s">
        <v>362</v>
      </c>
      <c r="L391" s="6" t="s">
        <v>185</v>
      </c>
      <c r="M391" s="6" t="s">
        <v>369</v>
      </c>
      <c r="N391" s="6" t="s">
        <v>261</v>
      </c>
      <c r="O391" s="6" t="s">
        <v>540</v>
      </c>
      <c r="P391" s="16" t="str">
        <f aca="false">IF(J391="S0","—",IF(K391="","",IF(L391="E0","QM",INDEX(10_ASIL_Matrix!$D$4:$F$15,MATCH(J391&amp;"-"&amp;L391,10_ASIL_Matrix!$C$4:$C$15,0),MATCH(N391,10_ASIL_Matrix!$D$3:$F$3,0)))))</f>
        <v>A</v>
      </c>
      <c r="Q391" s="6" t="s">
        <v>779</v>
      </c>
    </row>
    <row r="392" customFormat="false" ht="35.05" hidden="false" customHeight="false" outlineLevel="0" collapsed="false">
      <c r="A392" s="5" t="s">
        <v>1157</v>
      </c>
      <c r="B392" s="5" t="s">
        <v>116</v>
      </c>
      <c r="C392" s="5" t="s">
        <v>117</v>
      </c>
      <c r="D392" s="5" t="s">
        <v>162</v>
      </c>
      <c r="E392" s="5" t="s">
        <v>163</v>
      </c>
      <c r="F392" s="5" t="s">
        <v>190</v>
      </c>
      <c r="G392" s="5" t="s">
        <v>360</v>
      </c>
      <c r="H392" s="5" t="s">
        <v>205</v>
      </c>
      <c r="I392" s="5" t="s">
        <v>1158</v>
      </c>
      <c r="J392" s="5" t="s">
        <v>222</v>
      </c>
      <c r="K392" s="5" t="s">
        <v>372</v>
      </c>
      <c r="L392" s="5" t="s">
        <v>206</v>
      </c>
      <c r="M392" s="5" t="s">
        <v>373</v>
      </c>
      <c r="N392" s="5" t="s">
        <v>261</v>
      </c>
      <c r="O392" s="5" t="s">
        <v>540</v>
      </c>
      <c r="P392" s="5" t="str">
        <f aca="false">IF(J392="S0","—",IF(K392="","",IF(L392="E0","QM",INDEX(10_ASIL_Matrix!$D$4:$F$15,MATCH(J392&amp;"-"&amp;L392,10_ASIL_Matrix!$C$4:$C$15,0),MATCH(N392,10_ASIL_Matrix!$D$3:$F$3,0)))))</f>
        <v>QM</v>
      </c>
      <c r="Q392" s="5" t="s">
        <v>779</v>
      </c>
    </row>
    <row r="393" customFormat="false" ht="35.05" hidden="false" customHeight="false" outlineLevel="0" collapsed="false">
      <c r="A393" s="6" t="s">
        <v>1159</v>
      </c>
      <c r="B393" s="6" t="s">
        <v>116</v>
      </c>
      <c r="C393" s="6" t="s">
        <v>117</v>
      </c>
      <c r="D393" s="6" t="s">
        <v>162</v>
      </c>
      <c r="E393" s="6" t="s">
        <v>163</v>
      </c>
      <c r="F393" s="6" t="s">
        <v>190</v>
      </c>
      <c r="G393" s="6" t="s">
        <v>360</v>
      </c>
      <c r="H393" s="6" t="s">
        <v>208</v>
      </c>
      <c r="I393" s="6" t="s">
        <v>1160</v>
      </c>
      <c r="J393" s="6" t="s">
        <v>222</v>
      </c>
      <c r="K393" s="6" t="s">
        <v>372</v>
      </c>
      <c r="L393" s="6" t="s">
        <v>209</v>
      </c>
      <c r="M393" s="6" t="s">
        <v>376</v>
      </c>
      <c r="N393" s="6" t="s">
        <v>261</v>
      </c>
      <c r="O393" s="6" t="s">
        <v>540</v>
      </c>
      <c r="P393" s="6" t="str">
        <f aca="false">IF(J393="S0","—",IF(K393="","",IF(L393="E0","QM",INDEX(10_ASIL_Matrix!$D$4:$F$15,MATCH(J393&amp;"-"&amp;L393,10_ASIL_Matrix!$C$4:$C$15,0),MATCH(N393,10_ASIL_Matrix!$D$3:$F$3,0)))))</f>
        <v>QM</v>
      </c>
      <c r="Q393" s="6" t="s">
        <v>779</v>
      </c>
    </row>
    <row r="394" customFormat="false" ht="35.05" hidden="false" customHeight="false" outlineLevel="0" collapsed="false">
      <c r="A394" s="5" t="s">
        <v>1161</v>
      </c>
      <c r="B394" s="5" t="s">
        <v>116</v>
      </c>
      <c r="C394" s="5" t="s">
        <v>117</v>
      </c>
      <c r="D394" s="5" t="s">
        <v>162</v>
      </c>
      <c r="E394" s="5" t="s">
        <v>163</v>
      </c>
      <c r="F394" s="5" t="s">
        <v>192</v>
      </c>
      <c r="G394" s="5" t="s">
        <v>378</v>
      </c>
      <c r="H394" s="5" t="s">
        <v>199</v>
      </c>
      <c r="I394" s="5" t="s">
        <v>1162</v>
      </c>
      <c r="J394" s="5" t="s">
        <v>226</v>
      </c>
      <c r="K394" s="5" t="s">
        <v>380</v>
      </c>
      <c r="L394" s="5" t="s">
        <v>185</v>
      </c>
      <c r="M394" s="5" t="s">
        <v>381</v>
      </c>
      <c r="N394" s="5" t="s">
        <v>265</v>
      </c>
      <c r="O394" s="5" t="s">
        <v>551</v>
      </c>
      <c r="P394" s="17" t="str">
        <f aca="false">IF(J394="S0","—",IF(K394="","",IF(L394="E0","QM",INDEX(10_ASIL_Matrix!$D$4:$F$15,MATCH(J394&amp;"-"&amp;L394,10_ASIL_Matrix!$C$4:$C$15,0),MATCH(N394,10_ASIL_Matrix!$D$3:$F$3,0)))))</f>
        <v>C</v>
      </c>
      <c r="Q394" s="5" t="s">
        <v>779</v>
      </c>
    </row>
    <row r="395" customFormat="false" ht="35.05" hidden="false" customHeight="false" outlineLevel="0" collapsed="false">
      <c r="A395" s="6" t="s">
        <v>1163</v>
      </c>
      <c r="B395" s="6" t="s">
        <v>116</v>
      </c>
      <c r="C395" s="6" t="s">
        <v>117</v>
      </c>
      <c r="D395" s="6" t="s">
        <v>162</v>
      </c>
      <c r="E395" s="6" t="s">
        <v>163</v>
      </c>
      <c r="F395" s="6" t="s">
        <v>192</v>
      </c>
      <c r="G395" s="6" t="s">
        <v>378</v>
      </c>
      <c r="H395" s="6" t="s">
        <v>201</v>
      </c>
      <c r="I395" s="6" t="s">
        <v>1164</v>
      </c>
      <c r="J395" s="6" t="s">
        <v>226</v>
      </c>
      <c r="K395" s="6" t="s">
        <v>380</v>
      </c>
      <c r="L395" s="6" t="s">
        <v>185</v>
      </c>
      <c r="M395" s="6" t="s">
        <v>384</v>
      </c>
      <c r="N395" s="6" t="s">
        <v>265</v>
      </c>
      <c r="O395" s="6" t="s">
        <v>551</v>
      </c>
      <c r="P395" s="17" t="str">
        <f aca="false">IF(J395="S0","—",IF(K395="","",IF(L395="E0","QM",INDEX(10_ASIL_Matrix!$D$4:$F$15,MATCH(J395&amp;"-"&amp;L395,10_ASIL_Matrix!$C$4:$C$15,0),MATCH(N395,10_ASIL_Matrix!$D$3:$F$3,0)))))</f>
        <v>C</v>
      </c>
      <c r="Q395" s="6" t="s">
        <v>779</v>
      </c>
    </row>
    <row r="396" customFormat="false" ht="35.05" hidden="false" customHeight="false" outlineLevel="0" collapsed="false">
      <c r="A396" s="5" t="s">
        <v>1165</v>
      </c>
      <c r="B396" s="5" t="s">
        <v>116</v>
      </c>
      <c r="C396" s="5" t="s">
        <v>117</v>
      </c>
      <c r="D396" s="5" t="s">
        <v>162</v>
      </c>
      <c r="E396" s="5" t="s">
        <v>163</v>
      </c>
      <c r="F396" s="5" t="s">
        <v>192</v>
      </c>
      <c r="G396" s="5" t="s">
        <v>378</v>
      </c>
      <c r="H396" s="5" t="s">
        <v>203</v>
      </c>
      <c r="I396" s="5" t="s">
        <v>1166</v>
      </c>
      <c r="J396" s="5" t="s">
        <v>226</v>
      </c>
      <c r="K396" s="5" t="s">
        <v>380</v>
      </c>
      <c r="L396" s="5" t="s">
        <v>185</v>
      </c>
      <c r="M396" s="5" t="s">
        <v>387</v>
      </c>
      <c r="N396" s="5" t="s">
        <v>265</v>
      </c>
      <c r="O396" s="5" t="s">
        <v>551</v>
      </c>
      <c r="P396" s="17" t="str">
        <f aca="false">IF(J396="S0","—",IF(K396="","",IF(L396="E0","QM",INDEX(10_ASIL_Matrix!$D$4:$F$15,MATCH(J396&amp;"-"&amp;L396,10_ASIL_Matrix!$C$4:$C$15,0),MATCH(N396,10_ASIL_Matrix!$D$3:$F$3,0)))))</f>
        <v>C</v>
      </c>
      <c r="Q396" s="5" t="s">
        <v>779</v>
      </c>
    </row>
    <row r="397" customFormat="false" ht="35.05" hidden="false" customHeight="false" outlineLevel="0" collapsed="false">
      <c r="A397" s="6" t="s">
        <v>1167</v>
      </c>
      <c r="B397" s="6" t="s">
        <v>116</v>
      </c>
      <c r="C397" s="6" t="s">
        <v>117</v>
      </c>
      <c r="D397" s="6" t="s">
        <v>162</v>
      </c>
      <c r="E397" s="6" t="s">
        <v>163</v>
      </c>
      <c r="F397" s="6" t="s">
        <v>192</v>
      </c>
      <c r="G397" s="6" t="s">
        <v>378</v>
      </c>
      <c r="H397" s="6" t="s">
        <v>205</v>
      </c>
      <c r="I397" s="6" t="s">
        <v>1168</v>
      </c>
      <c r="J397" s="6" t="s">
        <v>226</v>
      </c>
      <c r="K397" s="6" t="s">
        <v>390</v>
      </c>
      <c r="L397" s="6" t="s">
        <v>206</v>
      </c>
      <c r="M397" s="6" t="s">
        <v>391</v>
      </c>
      <c r="N397" s="6" t="s">
        <v>265</v>
      </c>
      <c r="O397" s="6" t="s">
        <v>551</v>
      </c>
      <c r="P397" s="15" t="str">
        <f aca="false">IF(J397="S0","—",IF(K397="","",IF(L397="E0","QM",INDEX(10_ASIL_Matrix!$D$4:$F$15,MATCH(J397&amp;"-"&amp;L397,10_ASIL_Matrix!$C$4:$C$15,0),MATCH(N397,10_ASIL_Matrix!$D$3:$F$3,0)))))</f>
        <v>B</v>
      </c>
      <c r="Q397" s="6" t="s">
        <v>779</v>
      </c>
    </row>
    <row r="398" customFormat="false" ht="35.05" hidden="false" customHeight="false" outlineLevel="0" collapsed="false">
      <c r="A398" s="5" t="s">
        <v>1169</v>
      </c>
      <c r="B398" s="5" t="s">
        <v>116</v>
      </c>
      <c r="C398" s="5" t="s">
        <v>117</v>
      </c>
      <c r="D398" s="5" t="s">
        <v>162</v>
      </c>
      <c r="E398" s="5" t="s">
        <v>163</v>
      </c>
      <c r="F398" s="5" t="s">
        <v>192</v>
      </c>
      <c r="G398" s="5" t="s">
        <v>378</v>
      </c>
      <c r="H398" s="5" t="s">
        <v>208</v>
      </c>
      <c r="I398" s="5" t="s">
        <v>1170</v>
      </c>
      <c r="J398" s="5" t="s">
        <v>226</v>
      </c>
      <c r="K398" s="5" t="s">
        <v>390</v>
      </c>
      <c r="L398" s="5" t="s">
        <v>209</v>
      </c>
      <c r="M398" s="5" t="s">
        <v>394</v>
      </c>
      <c r="N398" s="5" t="s">
        <v>265</v>
      </c>
      <c r="O398" s="5" t="s">
        <v>551</v>
      </c>
      <c r="P398" s="16" t="str">
        <f aca="false">IF(J398="S0","—",IF(K398="","",IF(L398="E0","QM",INDEX(10_ASIL_Matrix!$D$4:$F$15,MATCH(J398&amp;"-"&amp;L398,10_ASIL_Matrix!$C$4:$C$15,0),MATCH(N398,10_ASIL_Matrix!$D$3:$F$3,0)))))</f>
        <v>A</v>
      </c>
      <c r="Q398" s="5" t="s">
        <v>779</v>
      </c>
    </row>
    <row r="399" customFormat="false" ht="35.05" hidden="false" customHeight="false" outlineLevel="0" collapsed="false">
      <c r="A399" s="6" t="s">
        <v>1171</v>
      </c>
      <c r="B399" s="6" t="s">
        <v>116</v>
      </c>
      <c r="C399" s="6" t="s">
        <v>117</v>
      </c>
      <c r="D399" s="6" t="s">
        <v>162</v>
      </c>
      <c r="E399" s="6" t="s">
        <v>163</v>
      </c>
      <c r="F399" s="6" t="s">
        <v>194</v>
      </c>
      <c r="G399" s="6" t="s">
        <v>396</v>
      </c>
      <c r="H399" s="6" t="s">
        <v>199</v>
      </c>
      <c r="I399" s="6" t="s">
        <v>1172</v>
      </c>
      <c r="J399" s="6" t="s">
        <v>226</v>
      </c>
      <c r="K399" s="6" t="s">
        <v>398</v>
      </c>
      <c r="L399" s="6" t="s">
        <v>188</v>
      </c>
      <c r="M399" s="6" t="s">
        <v>399</v>
      </c>
      <c r="N399" s="6" t="s">
        <v>265</v>
      </c>
      <c r="O399" s="6" t="s">
        <v>562</v>
      </c>
      <c r="P399" s="18" t="str">
        <f aca="false">IF(J399="S0","—",IF(K399="","",IF(L399="E0","QM",INDEX(10_ASIL_Matrix!$D$4:$F$15,MATCH(J399&amp;"-"&amp;L399,10_ASIL_Matrix!$C$4:$C$15,0),MATCH(N399,10_ASIL_Matrix!$D$3:$F$3,0)))))</f>
        <v>D</v>
      </c>
      <c r="Q399" s="6" t="s">
        <v>779</v>
      </c>
    </row>
    <row r="400" customFormat="false" ht="35.05" hidden="false" customHeight="false" outlineLevel="0" collapsed="false">
      <c r="A400" s="5" t="s">
        <v>1173</v>
      </c>
      <c r="B400" s="5" t="s">
        <v>116</v>
      </c>
      <c r="C400" s="5" t="s">
        <v>117</v>
      </c>
      <c r="D400" s="5" t="s">
        <v>162</v>
      </c>
      <c r="E400" s="5" t="s">
        <v>163</v>
      </c>
      <c r="F400" s="5" t="s">
        <v>194</v>
      </c>
      <c r="G400" s="5" t="s">
        <v>396</v>
      </c>
      <c r="H400" s="5" t="s">
        <v>201</v>
      </c>
      <c r="I400" s="5" t="s">
        <v>1174</v>
      </c>
      <c r="J400" s="5" t="s">
        <v>226</v>
      </c>
      <c r="K400" s="5" t="s">
        <v>398</v>
      </c>
      <c r="L400" s="5" t="s">
        <v>185</v>
      </c>
      <c r="M400" s="5" t="s">
        <v>402</v>
      </c>
      <c r="N400" s="5" t="s">
        <v>265</v>
      </c>
      <c r="O400" s="5" t="s">
        <v>562</v>
      </c>
      <c r="P400" s="17" t="str">
        <f aca="false">IF(J400="S0","—",IF(K400="","",IF(L400="E0","QM",INDEX(10_ASIL_Matrix!$D$4:$F$15,MATCH(J400&amp;"-"&amp;L400,10_ASIL_Matrix!$C$4:$C$15,0),MATCH(N400,10_ASIL_Matrix!$D$3:$F$3,0)))))</f>
        <v>C</v>
      </c>
      <c r="Q400" s="5" t="s">
        <v>779</v>
      </c>
    </row>
    <row r="401" customFormat="false" ht="35.05" hidden="false" customHeight="false" outlineLevel="0" collapsed="false">
      <c r="A401" s="6" t="s">
        <v>1175</v>
      </c>
      <c r="B401" s="6" t="s">
        <v>116</v>
      </c>
      <c r="C401" s="6" t="s">
        <v>117</v>
      </c>
      <c r="D401" s="6" t="s">
        <v>162</v>
      </c>
      <c r="E401" s="6" t="s">
        <v>163</v>
      </c>
      <c r="F401" s="6" t="s">
        <v>194</v>
      </c>
      <c r="G401" s="6" t="s">
        <v>396</v>
      </c>
      <c r="H401" s="6" t="s">
        <v>203</v>
      </c>
      <c r="I401" s="6" t="s">
        <v>1176</v>
      </c>
      <c r="J401" s="6" t="s">
        <v>226</v>
      </c>
      <c r="K401" s="6" t="s">
        <v>398</v>
      </c>
      <c r="L401" s="6" t="s">
        <v>185</v>
      </c>
      <c r="M401" s="6" t="s">
        <v>405</v>
      </c>
      <c r="N401" s="6" t="s">
        <v>265</v>
      </c>
      <c r="O401" s="6" t="s">
        <v>562</v>
      </c>
      <c r="P401" s="17" t="str">
        <f aca="false">IF(J401="S0","—",IF(K401="","",IF(L401="E0","QM",INDEX(10_ASIL_Matrix!$D$4:$F$15,MATCH(J401&amp;"-"&amp;L401,10_ASIL_Matrix!$C$4:$C$15,0),MATCH(N401,10_ASIL_Matrix!$D$3:$F$3,0)))))</f>
        <v>C</v>
      </c>
      <c r="Q401" s="6" t="s">
        <v>779</v>
      </c>
    </row>
    <row r="402" customFormat="false" ht="35.05" hidden="false" customHeight="false" outlineLevel="0" collapsed="false">
      <c r="A402" s="5" t="s">
        <v>1177</v>
      </c>
      <c r="B402" s="5" t="s">
        <v>116</v>
      </c>
      <c r="C402" s="5" t="s">
        <v>117</v>
      </c>
      <c r="D402" s="5" t="s">
        <v>162</v>
      </c>
      <c r="E402" s="5" t="s">
        <v>163</v>
      </c>
      <c r="F402" s="5" t="s">
        <v>194</v>
      </c>
      <c r="G402" s="5" t="s">
        <v>396</v>
      </c>
      <c r="H402" s="5" t="s">
        <v>205</v>
      </c>
      <c r="I402" s="5" t="s">
        <v>1178</v>
      </c>
      <c r="J402" s="5" t="s">
        <v>226</v>
      </c>
      <c r="K402" s="5" t="s">
        <v>408</v>
      </c>
      <c r="L402" s="5" t="s">
        <v>206</v>
      </c>
      <c r="M402" s="5" t="s">
        <v>409</v>
      </c>
      <c r="N402" s="5" t="s">
        <v>265</v>
      </c>
      <c r="O402" s="5" t="s">
        <v>562</v>
      </c>
      <c r="P402" s="15" t="str">
        <f aca="false">IF(J402="S0","—",IF(K402="","",IF(L402="E0","QM",INDEX(10_ASIL_Matrix!$D$4:$F$15,MATCH(J402&amp;"-"&amp;L402,10_ASIL_Matrix!$C$4:$C$15,0),MATCH(N402,10_ASIL_Matrix!$D$3:$F$3,0)))))</f>
        <v>B</v>
      </c>
      <c r="Q402" s="5" t="s">
        <v>779</v>
      </c>
    </row>
    <row r="403" customFormat="false" ht="35.05" hidden="false" customHeight="false" outlineLevel="0" collapsed="false">
      <c r="A403" s="6" t="s">
        <v>1179</v>
      </c>
      <c r="B403" s="6" t="s">
        <v>116</v>
      </c>
      <c r="C403" s="6" t="s">
        <v>117</v>
      </c>
      <c r="D403" s="6" t="s">
        <v>162</v>
      </c>
      <c r="E403" s="6" t="s">
        <v>163</v>
      </c>
      <c r="F403" s="6" t="s">
        <v>194</v>
      </c>
      <c r="G403" s="6" t="s">
        <v>396</v>
      </c>
      <c r="H403" s="6" t="s">
        <v>208</v>
      </c>
      <c r="I403" s="6" t="s">
        <v>1180</v>
      </c>
      <c r="J403" s="6" t="s">
        <v>226</v>
      </c>
      <c r="K403" s="6" t="s">
        <v>408</v>
      </c>
      <c r="L403" s="6" t="s">
        <v>209</v>
      </c>
      <c r="M403" s="6" t="s">
        <v>412</v>
      </c>
      <c r="N403" s="6" t="s">
        <v>265</v>
      </c>
      <c r="O403" s="6" t="s">
        <v>562</v>
      </c>
      <c r="P403" s="16" t="str">
        <f aca="false">IF(J403="S0","—",IF(K403="","",IF(L403="E0","QM",INDEX(10_ASIL_Matrix!$D$4:$F$15,MATCH(J403&amp;"-"&amp;L403,10_ASIL_Matrix!$C$4:$C$15,0),MATCH(N403,10_ASIL_Matrix!$D$3:$F$3,0)))))</f>
        <v>A</v>
      </c>
      <c r="Q403" s="6" t="s">
        <v>779</v>
      </c>
    </row>
    <row r="404" customFormat="false" ht="35.05" hidden="false" customHeight="false" outlineLevel="0" collapsed="false">
      <c r="A404" s="5" t="s">
        <v>1181</v>
      </c>
      <c r="B404" s="5" t="s">
        <v>116</v>
      </c>
      <c r="C404" s="5" t="s">
        <v>117</v>
      </c>
      <c r="D404" s="5" t="s">
        <v>168</v>
      </c>
      <c r="E404" s="5" t="s">
        <v>169</v>
      </c>
      <c r="F404" s="5" t="s">
        <v>184</v>
      </c>
      <c r="G404" s="5" t="s">
        <v>323</v>
      </c>
      <c r="H404" s="5" t="s">
        <v>199</v>
      </c>
      <c r="I404" s="5" t="s">
        <v>1182</v>
      </c>
      <c r="J404" s="5" t="s">
        <v>218</v>
      </c>
      <c r="K404" s="5" t="s">
        <v>325</v>
      </c>
      <c r="L404" s="5" t="s">
        <v>185</v>
      </c>
      <c r="M404" s="5" t="s">
        <v>326</v>
      </c>
      <c r="N404" s="5" t="s">
        <v>261</v>
      </c>
      <c r="O404" s="5" t="s">
        <v>465</v>
      </c>
      <c r="P404" s="5" t="str">
        <f aca="false">IF(J404="S0","—",IF(K404="","",IF(L404="E0","QM",INDEX(10_ASIL_Matrix!$D$4:$F$15,MATCH(J404&amp;"-"&amp;L404,10_ASIL_Matrix!$C$4:$C$15,0),MATCH(N404,10_ASIL_Matrix!$D$3:$F$3,0)))))</f>
        <v>QM</v>
      </c>
      <c r="Q404" s="5" t="s">
        <v>779</v>
      </c>
    </row>
    <row r="405" customFormat="false" ht="35.05" hidden="false" customHeight="false" outlineLevel="0" collapsed="false">
      <c r="A405" s="6" t="s">
        <v>1183</v>
      </c>
      <c r="B405" s="6" t="s">
        <v>116</v>
      </c>
      <c r="C405" s="6" t="s">
        <v>117</v>
      </c>
      <c r="D405" s="6" t="s">
        <v>168</v>
      </c>
      <c r="E405" s="6" t="s">
        <v>169</v>
      </c>
      <c r="F405" s="6" t="s">
        <v>184</v>
      </c>
      <c r="G405" s="6" t="s">
        <v>323</v>
      </c>
      <c r="H405" s="6" t="s">
        <v>201</v>
      </c>
      <c r="I405" s="6" t="s">
        <v>1184</v>
      </c>
      <c r="J405" s="6" t="s">
        <v>218</v>
      </c>
      <c r="K405" s="6" t="s">
        <v>325</v>
      </c>
      <c r="L405" s="6" t="s">
        <v>185</v>
      </c>
      <c r="M405" s="6" t="s">
        <v>331</v>
      </c>
      <c r="N405" s="6" t="s">
        <v>261</v>
      </c>
      <c r="O405" s="6" t="s">
        <v>465</v>
      </c>
      <c r="P405" s="6" t="str">
        <f aca="false">IF(J405="S0","—",IF(K405="","",IF(L405="E0","QM",INDEX(10_ASIL_Matrix!$D$4:$F$15,MATCH(J405&amp;"-"&amp;L405,10_ASIL_Matrix!$C$4:$C$15,0),MATCH(N405,10_ASIL_Matrix!$D$3:$F$3,0)))))</f>
        <v>QM</v>
      </c>
      <c r="Q405" s="6" t="s">
        <v>779</v>
      </c>
    </row>
    <row r="406" customFormat="false" ht="35.05" hidden="false" customHeight="false" outlineLevel="0" collapsed="false">
      <c r="A406" s="5" t="s">
        <v>1185</v>
      </c>
      <c r="B406" s="5" t="s">
        <v>116</v>
      </c>
      <c r="C406" s="5" t="s">
        <v>117</v>
      </c>
      <c r="D406" s="5" t="s">
        <v>168</v>
      </c>
      <c r="E406" s="5" t="s">
        <v>169</v>
      </c>
      <c r="F406" s="5" t="s">
        <v>184</v>
      </c>
      <c r="G406" s="5" t="s">
        <v>323</v>
      </c>
      <c r="H406" s="5" t="s">
        <v>203</v>
      </c>
      <c r="I406" s="5" t="s">
        <v>1186</v>
      </c>
      <c r="J406" s="5" t="s">
        <v>218</v>
      </c>
      <c r="K406" s="5" t="s">
        <v>325</v>
      </c>
      <c r="L406" s="5" t="s">
        <v>185</v>
      </c>
      <c r="M406" s="5" t="s">
        <v>334</v>
      </c>
      <c r="N406" s="5" t="s">
        <v>261</v>
      </c>
      <c r="O406" s="5" t="s">
        <v>465</v>
      </c>
      <c r="P406" s="5" t="str">
        <f aca="false">IF(J406="S0","—",IF(K406="","",IF(L406="E0","QM",INDEX(10_ASIL_Matrix!$D$4:$F$15,MATCH(J406&amp;"-"&amp;L406,10_ASIL_Matrix!$C$4:$C$15,0),MATCH(N406,10_ASIL_Matrix!$D$3:$F$3,0)))))</f>
        <v>QM</v>
      </c>
      <c r="Q406" s="5" t="s">
        <v>779</v>
      </c>
    </row>
    <row r="407" customFormat="false" ht="35.05" hidden="false" customHeight="false" outlineLevel="0" collapsed="false">
      <c r="A407" s="6" t="s">
        <v>1187</v>
      </c>
      <c r="B407" s="6" t="s">
        <v>116</v>
      </c>
      <c r="C407" s="6" t="s">
        <v>117</v>
      </c>
      <c r="D407" s="6" t="s">
        <v>168</v>
      </c>
      <c r="E407" s="6" t="s">
        <v>169</v>
      </c>
      <c r="F407" s="6" t="s">
        <v>184</v>
      </c>
      <c r="G407" s="6" t="s">
        <v>323</v>
      </c>
      <c r="H407" s="6" t="s">
        <v>205</v>
      </c>
      <c r="I407" s="6" t="s">
        <v>1188</v>
      </c>
      <c r="J407" s="6" t="s">
        <v>218</v>
      </c>
      <c r="K407" s="6" t="s">
        <v>325</v>
      </c>
      <c r="L407" s="6" t="s">
        <v>206</v>
      </c>
      <c r="M407" s="6" t="s">
        <v>337</v>
      </c>
      <c r="N407" s="6" t="s">
        <v>261</v>
      </c>
      <c r="O407" s="6" t="s">
        <v>465</v>
      </c>
      <c r="P407" s="6" t="str">
        <f aca="false">IF(J407="S0","—",IF(K407="","",IF(L407="E0","QM",INDEX(10_ASIL_Matrix!$D$4:$F$15,MATCH(J407&amp;"-"&amp;L407,10_ASIL_Matrix!$C$4:$C$15,0),MATCH(N407,10_ASIL_Matrix!$D$3:$F$3,0)))))</f>
        <v>QM</v>
      </c>
      <c r="Q407" s="6" t="s">
        <v>779</v>
      </c>
    </row>
    <row r="408" customFormat="false" ht="35.05" hidden="false" customHeight="false" outlineLevel="0" collapsed="false">
      <c r="A408" s="5" t="s">
        <v>1189</v>
      </c>
      <c r="B408" s="5" t="s">
        <v>116</v>
      </c>
      <c r="C408" s="5" t="s">
        <v>117</v>
      </c>
      <c r="D408" s="5" t="s">
        <v>168</v>
      </c>
      <c r="E408" s="5" t="s">
        <v>169</v>
      </c>
      <c r="F408" s="5" t="s">
        <v>184</v>
      </c>
      <c r="G408" s="5" t="s">
        <v>323</v>
      </c>
      <c r="H408" s="5" t="s">
        <v>208</v>
      </c>
      <c r="I408" s="5" t="s">
        <v>1190</v>
      </c>
      <c r="J408" s="5" t="s">
        <v>218</v>
      </c>
      <c r="K408" s="5" t="s">
        <v>325</v>
      </c>
      <c r="L408" s="5" t="s">
        <v>209</v>
      </c>
      <c r="M408" s="5" t="s">
        <v>340</v>
      </c>
      <c r="N408" s="5" t="s">
        <v>261</v>
      </c>
      <c r="O408" s="5" t="s">
        <v>465</v>
      </c>
      <c r="P408" s="5" t="str">
        <f aca="false">IF(J408="S0","—",IF(K408="","",IF(L408="E0","QM",INDEX(10_ASIL_Matrix!$D$4:$F$15,MATCH(J408&amp;"-"&amp;L408,10_ASIL_Matrix!$C$4:$C$15,0),MATCH(N408,10_ASIL_Matrix!$D$3:$F$3,0)))))</f>
        <v>QM</v>
      </c>
      <c r="Q408" s="5" t="s">
        <v>779</v>
      </c>
    </row>
    <row r="409" customFormat="false" ht="35.05" hidden="false" customHeight="false" outlineLevel="0" collapsed="false">
      <c r="A409" s="6" t="s">
        <v>1191</v>
      </c>
      <c r="B409" s="6" t="s">
        <v>116</v>
      </c>
      <c r="C409" s="6" t="s">
        <v>117</v>
      </c>
      <c r="D409" s="6" t="s">
        <v>168</v>
      </c>
      <c r="E409" s="6" t="s">
        <v>169</v>
      </c>
      <c r="F409" s="6" t="s">
        <v>187</v>
      </c>
      <c r="G409" s="6" t="s">
        <v>342</v>
      </c>
      <c r="H409" s="6" t="s">
        <v>199</v>
      </c>
      <c r="I409" s="6" t="s">
        <v>1192</v>
      </c>
      <c r="J409" s="6" t="s">
        <v>222</v>
      </c>
      <c r="K409" s="6" t="s">
        <v>344</v>
      </c>
      <c r="L409" s="6" t="s">
        <v>188</v>
      </c>
      <c r="M409" s="6" t="s">
        <v>345</v>
      </c>
      <c r="N409" s="6" t="s">
        <v>261</v>
      </c>
      <c r="O409" s="6" t="s">
        <v>476</v>
      </c>
      <c r="P409" s="15" t="str">
        <f aca="false">IF(J409="S0","—",IF(K409="","",IF(L409="E0","QM",INDEX(10_ASIL_Matrix!$D$4:$F$15,MATCH(J409&amp;"-"&amp;L409,10_ASIL_Matrix!$C$4:$C$15,0),MATCH(N409,10_ASIL_Matrix!$D$3:$F$3,0)))))</f>
        <v>B</v>
      </c>
      <c r="Q409" s="6" t="s">
        <v>779</v>
      </c>
    </row>
    <row r="410" customFormat="false" ht="35.05" hidden="false" customHeight="false" outlineLevel="0" collapsed="false">
      <c r="A410" s="5" t="s">
        <v>1193</v>
      </c>
      <c r="B410" s="5" t="s">
        <v>116</v>
      </c>
      <c r="C410" s="5" t="s">
        <v>117</v>
      </c>
      <c r="D410" s="5" t="s">
        <v>168</v>
      </c>
      <c r="E410" s="5" t="s">
        <v>169</v>
      </c>
      <c r="F410" s="5" t="s">
        <v>187</v>
      </c>
      <c r="G410" s="5" t="s">
        <v>342</v>
      </c>
      <c r="H410" s="5" t="s">
        <v>201</v>
      </c>
      <c r="I410" s="5" t="s">
        <v>1194</v>
      </c>
      <c r="J410" s="5" t="s">
        <v>222</v>
      </c>
      <c r="K410" s="5" t="s">
        <v>344</v>
      </c>
      <c r="L410" s="5" t="s">
        <v>185</v>
      </c>
      <c r="M410" s="5" t="s">
        <v>348</v>
      </c>
      <c r="N410" s="5" t="s">
        <v>261</v>
      </c>
      <c r="O410" s="5" t="s">
        <v>476</v>
      </c>
      <c r="P410" s="16" t="str">
        <f aca="false">IF(J410="S0","—",IF(K410="","",IF(L410="E0","QM",INDEX(10_ASIL_Matrix!$D$4:$F$15,MATCH(J410&amp;"-"&amp;L410,10_ASIL_Matrix!$C$4:$C$15,0),MATCH(N410,10_ASIL_Matrix!$D$3:$F$3,0)))))</f>
        <v>A</v>
      </c>
      <c r="Q410" s="5" t="s">
        <v>779</v>
      </c>
    </row>
    <row r="411" customFormat="false" ht="35.05" hidden="false" customHeight="false" outlineLevel="0" collapsed="false">
      <c r="A411" s="6" t="s">
        <v>1195</v>
      </c>
      <c r="B411" s="6" t="s">
        <v>116</v>
      </c>
      <c r="C411" s="6" t="s">
        <v>117</v>
      </c>
      <c r="D411" s="6" t="s">
        <v>168</v>
      </c>
      <c r="E411" s="6" t="s">
        <v>169</v>
      </c>
      <c r="F411" s="6" t="s">
        <v>187</v>
      </c>
      <c r="G411" s="6" t="s">
        <v>342</v>
      </c>
      <c r="H411" s="6" t="s">
        <v>203</v>
      </c>
      <c r="I411" s="6" t="s">
        <v>1196</v>
      </c>
      <c r="J411" s="6" t="s">
        <v>222</v>
      </c>
      <c r="K411" s="6" t="s">
        <v>344</v>
      </c>
      <c r="L411" s="6" t="s">
        <v>185</v>
      </c>
      <c r="M411" s="6" t="s">
        <v>351</v>
      </c>
      <c r="N411" s="6" t="s">
        <v>261</v>
      </c>
      <c r="O411" s="6" t="s">
        <v>476</v>
      </c>
      <c r="P411" s="16" t="str">
        <f aca="false">IF(J411="S0","—",IF(K411="","",IF(L411="E0","QM",INDEX(10_ASIL_Matrix!$D$4:$F$15,MATCH(J411&amp;"-"&amp;L411,10_ASIL_Matrix!$C$4:$C$15,0),MATCH(N411,10_ASIL_Matrix!$D$3:$F$3,0)))))</f>
        <v>A</v>
      </c>
      <c r="Q411" s="6" t="s">
        <v>779</v>
      </c>
    </row>
    <row r="412" customFormat="false" ht="35.05" hidden="false" customHeight="false" outlineLevel="0" collapsed="false">
      <c r="A412" s="5" t="s">
        <v>1197</v>
      </c>
      <c r="B412" s="5" t="s">
        <v>116</v>
      </c>
      <c r="C412" s="5" t="s">
        <v>117</v>
      </c>
      <c r="D412" s="5" t="s">
        <v>168</v>
      </c>
      <c r="E412" s="5" t="s">
        <v>169</v>
      </c>
      <c r="F412" s="5" t="s">
        <v>187</v>
      </c>
      <c r="G412" s="5" t="s">
        <v>342</v>
      </c>
      <c r="H412" s="5" t="s">
        <v>205</v>
      </c>
      <c r="I412" s="5" t="s">
        <v>1198</v>
      </c>
      <c r="J412" s="5" t="s">
        <v>222</v>
      </c>
      <c r="K412" s="5" t="s">
        <v>354</v>
      </c>
      <c r="L412" s="5" t="s">
        <v>206</v>
      </c>
      <c r="M412" s="5" t="s">
        <v>355</v>
      </c>
      <c r="N412" s="5" t="s">
        <v>261</v>
      </c>
      <c r="O412" s="5" t="s">
        <v>476</v>
      </c>
      <c r="P412" s="5" t="str">
        <f aca="false">IF(J412="S0","—",IF(K412="","",IF(L412="E0","QM",INDEX(10_ASIL_Matrix!$D$4:$F$15,MATCH(J412&amp;"-"&amp;L412,10_ASIL_Matrix!$C$4:$C$15,0),MATCH(N412,10_ASIL_Matrix!$D$3:$F$3,0)))))</f>
        <v>QM</v>
      </c>
      <c r="Q412" s="5" t="s">
        <v>779</v>
      </c>
    </row>
    <row r="413" customFormat="false" ht="35.05" hidden="false" customHeight="false" outlineLevel="0" collapsed="false">
      <c r="A413" s="6" t="s">
        <v>1199</v>
      </c>
      <c r="B413" s="6" t="s">
        <v>116</v>
      </c>
      <c r="C413" s="6" t="s">
        <v>117</v>
      </c>
      <c r="D413" s="6" t="s">
        <v>168</v>
      </c>
      <c r="E413" s="6" t="s">
        <v>169</v>
      </c>
      <c r="F413" s="6" t="s">
        <v>187</v>
      </c>
      <c r="G413" s="6" t="s">
        <v>342</v>
      </c>
      <c r="H413" s="6" t="s">
        <v>208</v>
      </c>
      <c r="I413" s="6" t="s">
        <v>1200</v>
      </c>
      <c r="J413" s="6" t="s">
        <v>222</v>
      </c>
      <c r="K413" s="6" t="s">
        <v>354</v>
      </c>
      <c r="L413" s="6" t="s">
        <v>209</v>
      </c>
      <c r="M413" s="6" t="s">
        <v>358</v>
      </c>
      <c r="N413" s="6" t="s">
        <v>261</v>
      </c>
      <c r="O413" s="6" t="s">
        <v>476</v>
      </c>
      <c r="P413" s="6" t="str">
        <f aca="false">IF(J413="S0","—",IF(K413="","",IF(L413="E0","QM",INDEX(10_ASIL_Matrix!$D$4:$F$15,MATCH(J413&amp;"-"&amp;L413,10_ASIL_Matrix!$C$4:$C$15,0),MATCH(N413,10_ASIL_Matrix!$D$3:$F$3,0)))))</f>
        <v>QM</v>
      </c>
      <c r="Q413" s="6" t="s">
        <v>779</v>
      </c>
    </row>
    <row r="414" customFormat="false" ht="35.05" hidden="false" customHeight="false" outlineLevel="0" collapsed="false">
      <c r="A414" s="5" t="s">
        <v>1201</v>
      </c>
      <c r="B414" s="5" t="s">
        <v>116</v>
      </c>
      <c r="C414" s="5" t="s">
        <v>117</v>
      </c>
      <c r="D414" s="5" t="s">
        <v>168</v>
      </c>
      <c r="E414" s="5" t="s">
        <v>169</v>
      </c>
      <c r="F414" s="5" t="s">
        <v>190</v>
      </c>
      <c r="G414" s="5" t="s">
        <v>360</v>
      </c>
      <c r="H414" s="5" t="s">
        <v>199</v>
      </c>
      <c r="I414" s="5" t="s">
        <v>1202</v>
      </c>
      <c r="J414" s="5" t="s">
        <v>222</v>
      </c>
      <c r="K414" s="5" t="s">
        <v>362</v>
      </c>
      <c r="L414" s="5" t="s">
        <v>188</v>
      </c>
      <c r="M414" s="5" t="s">
        <v>363</v>
      </c>
      <c r="N414" s="5" t="s">
        <v>265</v>
      </c>
      <c r="O414" s="5" t="s">
        <v>696</v>
      </c>
      <c r="P414" s="17" t="str">
        <f aca="false">IF(J414="S0","—",IF(K414="","",IF(L414="E0","QM",INDEX(10_ASIL_Matrix!$D$4:$F$15,MATCH(J414&amp;"-"&amp;L414,10_ASIL_Matrix!$C$4:$C$15,0),MATCH(N414,10_ASIL_Matrix!$D$3:$F$3,0)))))</f>
        <v>C</v>
      </c>
      <c r="Q414" s="5" t="s">
        <v>779</v>
      </c>
    </row>
    <row r="415" customFormat="false" ht="35.05" hidden="false" customHeight="false" outlineLevel="0" collapsed="false">
      <c r="A415" s="6" t="s">
        <v>1203</v>
      </c>
      <c r="B415" s="6" t="s">
        <v>116</v>
      </c>
      <c r="C415" s="6" t="s">
        <v>117</v>
      </c>
      <c r="D415" s="6" t="s">
        <v>168</v>
      </c>
      <c r="E415" s="6" t="s">
        <v>169</v>
      </c>
      <c r="F415" s="6" t="s">
        <v>190</v>
      </c>
      <c r="G415" s="6" t="s">
        <v>360</v>
      </c>
      <c r="H415" s="6" t="s">
        <v>201</v>
      </c>
      <c r="I415" s="6" t="s">
        <v>1204</v>
      </c>
      <c r="J415" s="6" t="s">
        <v>222</v>
      </c>
      <c r="K415" s="6" t="s">
        <v>362</v>
      </c>
      <c r="L415" s="6" t="s">
        <v>185</v>
      </c>
      <c r="M415" s="6" t="s">
        <v>366</v>
      </c>
      <c r="N415" s="6" t="s">
        <v>265</v>
      </c>
      <c r="O415" s="6" t="s">
        <v>696</v>
      </c>
      <c r="P415" s="15" t="str">
        <f aca="false">IF(J415="S0","—",IF(K415="","",IF(L415="E0","QM",INDEX(10_ASIL_Matrix!$D$4:$F$15,MATCH(J415&amp;"-"&amp;L415,10_ASIL_Matrix!$C$4:$C$15,0),MATCH(N415,10_ASIL_Matrix!$D$3:$F$3,0)))))</f>
        <v>B</v>
      </c>
      <c r="Q415" s="6" t="s">
        <v>779</v>
      </c>
    </row>
    <row r="416" customFormat="false" ht="35.05" hidden="false" customHeight="false" outlineLevel="0" collapsed="false">
      <c r="A416" s="5" t="s">
        <v>1205</v>
      </c>
      <c r="B416" s="5" t="s">
        <v>116</v>
      </c>
      <c r="C416" s="5" t="s">
        <v>117</v>
      </c>
      <c r="D416" s="5" t="s">
        <v>168</v>
      </c>
      <c r="E416" s="5" t="s">
        <v>169</v>
      </c>
      <c r="F416" s="5" t="s">
        <v>190</v>
      </c>
      <c r="G416" s="5" t="s">
        <v>360</v>
      </c>
      <c r="H416" s="5" t="s">
        <v>203</v>
      </c>
      <c r="I416" s="5" t="s">
        <v>1206</v>
      </c>
      <c r="J416" s="5" t="s">
        <v>222</v>
      </c>
      <c r="K416" s="5" t="s">
        <v>362</v>
      </c>
      <c r="L416" s="5" t="s">
        <v>185</v>
      </c>
      <c r="M416" s="5" t="s">
        <v>369</v>
      </c>
      <c r="N416" s="5" t="s">
        <v>265</v>
      </c>
      <c r="O416" s="5" t="s">
        <v>696</v>
      </c>
      <c r="P416" s="15" t="str">
        <f aca="false">IF(J416="S0","—",IF(K416="","",IF(L416="E0","QM",INDEX(10_ASIL_Matrix!$D$4:$F$15,MATCH(J416&amp;"-"&amp;L416,10_ASIL_Matrix!$C$4:$C$15,0),MATCH(N416,10_ASIL_Matrix!$D$3:$F$3,0)))))</f>
        <v>B</v>
      </c>
      <c r="Q416" s="5" t="s">
        <v>779</v>
      </c>
    </row>
    <row r="417" customFormat="false" ht="35.05" hidden="false" customHeight="false" outlineLevel="0" collapsed="false">
      <c r="A417" s="6" t="s">
        <v>1207</v>
      </c>
      <c r="B417" s="6" t="s">
        <v>116</v>
      </c>
      <c r="C417" s="6" t="s">
        <v>117</v>
      </c>
      <c r="D417" s="6" t="s">
        <v>168</v>
      </c>
      <c r="E417" s="6" t="s">
        <v>169</v>
      </c>
      <c r="F417" s="6" t="s">
        <v>190</v>
      </c>
      <c r="G417" s="6" t="s">
        <v>360</v>
      </c>
      <c r="H417" s="6" t="s">
        <v>205</v>
      </c>
      <c r="I417" s="6" t="s">
        <v>1208</v>
      </c>
      <c r="J417" s="6" t="s">
        <v>222</v>
      </c>
      <c r="K417" s="6" t="s">
        <v>372</v>
      </c>
      <c r="L417" s="6" t="s">
        <v>206</v>
      </c>
      <c r="M417" s="6" t="s">
        <v>373</v>
      </c>
      <c r="N417" s="6" t="s">
        <v>265</v>
      </c>
      <c r="O417" s="6" t="s">
        <v>696</v>
      </c>
      <c r="P417" s="16" t="str">
        <f aca="false">IF(J417="S0","—",IF(K417="","",IF(L417="E0","QM",INDEX(10_ASIL_Matrix!$D$4:$F$15,MATCH(J417&amp;"-"&amp;L417,10_ASIL_Matrix!$C$4:$C$15,0),MATCH(N417,10_ASIL_Matrix!$D$3:$F$3,0)))))</f>
        <v>A</v>
      </c>
      <c r="Q417" s="6" t="s">
        <v>779</v>
      </c>
    </row>
    <row r="418" customFormat="false" ht="35.05" hidden="false" customHeight="false" outlineLevel="0" collapsed="false">
      <c r="A418" s="5" t="s">
        <v>1209</v>
      </c>
      <c r="B418" s="5" t="s">
        <v>116</v>
      </c>
      <c r="C418" s="5" t="s">
        <v>117</v>
      </c>
      <c r="D418" s="5" t="s">
        <v>168</v>
      </c>
      <c r="E418" s="5" t="s">
        <v>169</v>
      </c>
      <c r="F418" s="5" t="s">
        <v>190</v>
      </c>
      <c r="G418" s="5" t="s">
        <v>360</v>
      </c>
      <c r="H418" s="5" t="s">
        <v>208</v>
      </c>
      <c r="I418" s="5" t="s">
        <v>1210</v>
      </c>
      <c r="J418" s="5" t="s">
        <v>222</v>
      </c>
      <c r="K418" s="5" t="s">
        <v>372</v>
      </c>
      <c r="L418" s="5" t="s">
        <v>209</v>
      </c>
      <c r="M418" s="5" t="s">
        <v>376</v>
      </c>
      <c r="N418" s="5" t="s">
        <v>265</v>
      </c>
      <c r="O418" s="5" t="s">
        <v>696</v>
      </c>
      <c r="P418" s="5" t="str">
        <f aca="false">IF(J418="S0","—",IF(K418="","",IF(L418="E0","QM",INDEX(10_ASIL_Matrix!$D$4:$F$15,MATCH(J418&amp;"-"&amp;L418,10_ASIL_Matrix!$C$4:$C$15,0),MATCH(N418,10_ASIL_Matrix!$D$3:$F$3,0)))))</f>
        <v>QM</v>
      </c>
      <c r="Q418" s="5" t="s">
        <v>779</v>
      </c>
    </row>
    <row r="419" customFormat="false" ht="35.05" hidden="false" customHeight="false" outlineLevel="0" collapsed="false">
      <c r="A419" s="6" t="s">
        <v>1211</v>
      </c>
      <c r="B419" s="6" t="s">
        <v>116</v>
      </c>
      <c r="C419" s="6" t="s">
        <v>117</v>
      </c>
      <c r="D419" s="6" t="s">
        <v>168</v>
      </c>
      <c r="E419" s="6" t="s">
        <v>169</v>
      </c>
      <c r="F419" s="6" t="s">
        <v>192</v>
      </c>
      <c r="G419" s="6" t="s">
        <v>378</v>
      </c>
      <c r="H419" s="6" t="s">
        <v>199</v>
      </c>
      <c r="I419" s="6" t="s">
        <v>1212</v>
      </c>
      <c r="J419" s="6" t="s">
        <v>226</v>
      </c>
      <c r="K419" s="6" t="s">
        <v>380</v>
      </c>
      <c r="L419" s="6" t="s">
        <v>185</v>
      </c>
      <c r="M419" s="6" t="s">
        <v>381</v>
      </c>
      <c r="N419" s="6" t="s">
        <v>265</v>
      </c>
      <c r="O419" s="6" t="s">
        <v>707</v>
      </c>
      <c r="P419" s="17" t="str">
        <f aca="false">IF(J419="S0","—",IF(K419="","",IF(L419="E0","QM",INDEX(10_ASIL_Matrix!$D$4:$F$15,MATCH(J419&amp;"-"&amp;L419,10_ASIL_Matrix!$C$4:$C$15,0),MATCH(N419,10_ASIL_Matrix!$D$3:$F$3,0)))))</f>
        <v>C</v>
      </c>
      <c r="Q419" s="6" t="s">
        <v>779</v>
      </c>
    </row>
    <row r="420" customFormat="false" ht="35.05" hidden="false" customHeight="false" outlineLevel="0" collapsed="false">
      <c r="A420" s="5" t="s">
        <v>1213</v>
      </c>
      <c r="B420" s="5" t="s">
        <v>116</v>
      </c>
      <c r="C420" s="5" t="s">
        <v>117</v>
      </c>
      <c r="D420" s="5" t="s">
        <v>168</v>
      </c>
      <c r="E420" s="5" t="s">
        <v>169</v>
      </c>
      <c r="F420" s="5" t="s">
        <v>192</v>
      </c>
      <c r="G420" s="5" t="s">
        <v>378</v>
      </c>
      <c r="H420" s="5" t="s">
        <v>201</v>
      </c>
      <c r="I420" s="5" t="s">
        <v>1214</v>
      </c>
      <c r="J420" s="5" t="s">
        <v>226</v>
      </c>
      <c r="K420" s="5" t="s">
        <v>380</v>
      </c>
      <c r="L420" s="5" t="s">
        <v>185</v>
      </c>
      <c r="M420" s="5" t="s">
        <v>384</v>
      </c>
      <c r="N420" s="5" t="s">
        <v>265</v>
      </c>
      <c r="O420" s="5" t="s">
        <v>707</v>
      </c>
      <c r="P420" s="17" t="str">
        <f aca="false">IF(J420="S0","—",IF(K420="","",IF(L420="E0","QM",INDEX(10_ASIL_Matrix!$D$4:$F$15,MATCH(J420&amp;"-"&amp;L420,10_ASIL_Matrix!$C$4:$C$15,0),MATCH(N420,10_ASIL_Matrix!$D$3:$F$3,0)))))</f>
        <v>C</v>
      </c>
      <c r="Q420" s="5" t="s">
        <v>779</v>
      </c>
    </row>
    <row r="421" customFormat="false" ht="35.05" hidden="false" customHeight="false" outlineLevel="0" collapsed="false">
      <c r="A421" s="6" t="s">
        <v>1215</v>
      </c>
      <c r="B421" s="6" t="s">
        <v>116</v>
      </c>
      <c r="C421" s="6" t="s">
        <v>117</v>
      </c>
      <c r="D421" s="6" t="s">
        <v>168</v>
      </c>
      <c r="E421" s="6" t="s">
        <v>169</v>
      </c>
      <c r="F421" s="6" t="s">
        <v>192</v>
      </c>
      <c r="G421" s="6" t="s">
        <v>378</v>
      </c>
      <c r="H421" s="6" t="s">
        <v>203</v>
      </c>
      <c r="I421" s="6" t="s">
        <v>1216</v>
      </c>
      <c r="J421" s="6" t="s">
        <v>226</v>
      </c>
      <c r="K421" s="6" t="s">
        <v>380</v>
      </c>
      <c r="L421" s="6" t="s">
        <v>185</v>
      </c>
      <c r="M421" s="6" t="s">
        <v>387</v>
      </c>
      <c r="N421" s="6" t="s">
        <v>265</v>
      </c>
      <c r="O421" s="6" t="s">
        <v>707</v>
      </c>
      <c r="P421" s="17" t="str">
        <f aca="false">IF(J421="S0","—",IF(K421="","",IF(L421="E0","QM",INDEX(10_ASIL_Matrix!$D$4:$F$15,MATCH(J421&amp;"-"&amp;L421,10_ASIL_Matrix!$C$4:$C$15,0),MATCH(N421,10_ASIL_Matrix!$D$3:$F$3,0)))))</f>
        <v>C</v>
      </c>
      <c r="Q421" s="6" t="s">
        <v>779</v>
      </c>
    </row>
    <row r="422" customFormat="false" ht="35.05" hidden="false" customHeight="false" outlineLevel="0" collapsed="false">
      <c r="A422" s="5" t="s">
        <v>1217</v>
      </c>
      <c r="B422" s="5" t="s">
        <v>116</v>
      </c>
      <c r="C422" s="5" t="s">
        <v>117</v>
      </c>
      <c r="D422" s="5" t="s">
        <v>168</v>
      </c>
      <c r="E422" s="5" t="s">
        <v>169</v>
      </c>
      <c r="F422" s="5" t="s">
        <v>192</v>
      </c>
      <c r="G422" s="5" t="s">
        <v>378</v>
      </c>
      <c r="H422" s="5" t="s">
        <v>205</v>
      </c>
      <c r="I422" s="5" t="s">
        <v>1218</v>
      </c>
      <c r="J422" s="5" t="s">
        <v>226</v>
      </c>
      <c r="K422" s="5" t="s">
        <v>390</v>
      </c>
      <c r="L422" s="5" t="s">
        <v>206</v>
      </c>
      <c r="M422" s="5" t="s">
        <v>391</v>
      </c>
      <c r="N422" s="5" t="s">
        <v>265</v>
      </c>
      <c r="O422" s="5" t="s">
        <v>707</v>
      </c>
      <c r="P422" s="15" t="str">
        <f aca="false">IF(J422="S0","—",IF(K422="","",IF(L422="E0","QM",INDEX(10_ASIL_Matrix!$D$4:$F$15,MATCH(J422&amp;"-"&amp;L422,10_ASIL_Matrix!$C$4:$C$15,0),MATCH(N422,10_ASIL_Matrix!$D$3:$F$3,0)))))</f>
        <v>B</v>
      </c>
      <c r="Q422" s="5" t="s">
        <v>779</v>
      </c>
    </row>
    <row r="423" customFormat="false" ht="35.05" hidden="false" customHeight="false" outlineLevel="0" collapsed="false">
      <c r="A423" s="6" t="s">
        <v>1219</v>
      </c>
      <c r="B423" s="6" t="s">
        <v>116</v>
      </c>
      <c r="C423" s="6" t="s">
        <v>117</v>
      </c>
      <c r="D423" s="6" t="s">
        <v>168</v>
      </c>
      <c r="E423" s="6" t="s">
        <v>169</v>
      </c>
      <c r="F423" s="6" t="s">
        <v>192</v>
      </c>
      <c r="G423" s="6" t="s">
        <v>378</v>
      </c>
      <c r="H423" s="6" t="s">
        <v>208</v>
      </c>
      <c r="I423" s="6" t="s">
        <v>1220</v>
      </c>
      <c r="J423" s="6" t="s">
        <v>226</v>
      </c>
      <c r="K423" s="6" t="s">
        <v>390</v>
      </c>
      <c r="L423" s="6" t="s">
        <v>209</v>
      </c>
      <c r="M423" s="6" t="s">
        <v>394</v>
      </c>
      <c r="N423" s="6" t="s">
        <v>265</v>
      </c>
      <c r="O423" s="6" t="s">
        <v>707</v>
      </c>
      <c r="P423" s="16" t="str">
        <f aca="false">IF(J423="S0","—",IF(K423="","",IF(L423="E0","QM",INDEX(10_ASIL_Matrix!$D$4:$F$15,MATCH(J423&amp;"-"&amp;L423,10_ASIL_Matrix!$C$4:$C$15,0),MATCH(N423,10_ASIL_Matrix!$D$3:$F$3,0)))))</f>
        <v>A</v>
      </c>
      <c r="Q423" s="6" t="s">
        <v>779</v>
      </c>
    </row>
    <row r="424" customFormat="false" ht="35.05" hidden="false" customHeight="false" outlineLevel="0" collapsed="false">
      <c r="A424" s="5" t="s">
        <v>1221</v>
      </c>
      <c r="B424" s="5" t="s">
        <v>116</v>
      </c>
      <c r="C424" s="5" t="s">
        <v>117</v>
      </c>
      <c r="D424" s="5" t="s">
        <v>168</v>
      </c>
      <c r="E424" s="5" t="s">
        <v>169</v>
      </c>
      <c r="F424" s="5" t="s">
        <v>194</v>
      </c>
      <c r="G424" s="5" t="s">
        <v>396</v>
      </c>
      <c r="H424" s="5" t="s">
        <v>199</v>
      </c>
      <c r="I424" s="5" t="s">
        <v>1222</v>
      </c>
      <c r="J424" s="5" t="s">
        <v>226</v>
      </c>
      <c r="K424" s="5" t="s">
        <v>398</v>
      </c>
      <c r="L424" s="5" t="s">
        <v>188</v>
      </c>
      <c r="M424" s="5" t="s">
        <v>399</v>
      </c>
      <c r="N424" s="5" t="s">
        <v>265</v>
      </c>
      <c r="O424" s="5" t="s">
        <v>718</v>
      </c>
      <c r="P424" s="18" t="str">
        <f aca="false">IF(J424="S0","—",IF(K424="","",IF(L424="E0","QM",INDEX(10_ASIL_Matrix!$D$4:$F$15,MATCH(J424&amp;"-"&amp;L424,10_ASIL_Matrix!$C$4:$C$15,0),MATCH(N424,10_ASIL_Matrix!$D$3:$F$3,0)))))</f>
        <v>D</v>
      </c>
      <c r="Q424" s="5" t="s">
        <v>779</v>
      </c>
    </row>
    <row r="425" customFormat="false" ht="35.05" hidden="false" customHeight="false" outlineLevel="0" collapsed="false">
      <c r="A425" s="6" t="s">
        <v>1223</v>
      </c>
      <c r="B425" s="6" t="s">
        <v>116</v>
      </c>
      <c r="C425" s="6" t="s">
        <v>117</v>
      </c>
      <c r="D425" s="6" t="s">
        <v>168</v>
      </c>
      <c r="E425" s="6" t="s">
        <v>169</v>
      </c>
      <c r="F425" s="6" t="s">
        <v>194</v>
      </c>
      <c r="G425" s="6" t="s">
        <v>396</v>
      </c>
      <c r="H425" s="6" t="s">
        <v>201</v>
      </c>
      <c r="I425" s="6" t="s">
        <v>1224</v>
      </c>
      <c r="J425" s="6" t="s">
        <v>226</v>
      </c>
      <c r="K425" s="6" t="s">
        <v>398</v>
      </c>
      <c r="L425" s="6" t="s">
        <v>185</v>
      </c>
      <c r="M425" s="6" t="s">
        <v>402</v>
      </c>
      <c r="N425" s="6" t="s">
        <v>265</v>
      </c>
      <c r="O425" s="6" t="s">
        <v>718</v>
      </c>
      <c r="P425" s="17" t="str">
        <f aca="false">IF(J425="S0","—",IF(K425="","",IF(L425="E0","QM",INDEX(10_ASIL_Matrix!$D$4:$F$15,MATCH(J425&amp;"-"&amp;L425,10_ASIL_Matrix!$C$4:$C$15,0),MATCH(N425,10_ASIL_Matrix!$D$3:$F$3,0)))))</f>
        <v>C</v>
      </c>
      <c r="Q425" s="6" t="s">
        <v>779</v>
      </c>
    </row>
    <row r="426" customFormat="false" ht="35.05" hidden="false" customHeight="false" outlineLevel="0" collapsed="false">
      <c r="A426" s="5" t="s">
        <v>1225</v>
      </c>
      <c r="B426" s="5" t="s">
        <v>116</v>
      </c>
      <c r="C426" s="5" t="s">
        <v>117</v>
      </c>
      <c r="D426" s="5" t="s">
        <v>168</v>
      </c>
      <c r="E426" s="5" t="s">
        <v>169</v>
      </c>
      <c r="F426" s="5" t="s">
        <v>194</v>
      </c>
      <c r="G426" s="5" t="s">
        <v>396</v>
      </c>
      <c r="H426" s="5" t="s">
        <v>203</v>
      </c>
      <c r="I426" s="5" t="s">
        <v>1226</v>
      </c>
      <c r="J426" s="5" t="s">
        <v>226</v>
      </c>
      <c r="K426" s="5" t="s">
        <v>398</v>
      </c>
      <c r="L426" s="5" t="s">
        <v>185</v>
      </c>
      <c r="M426" s="5" t="s">
        <v>405</v>
      </c>
      <c r="N426" s="5" t="s">
        <v>265</v>
      </c>
      <c r="O426" s="5" t="s">
        <v>718</v>
      </c>
      <c r="P426" s="17" t="str">
        <f aca="false">IF(J426="S0","—",IF(K426="","",IF(L426="E0","QM",INDEX(10_ASIL_Matrix!$D$4:$F$15,MATCH(J426&amp;"-"&amp;L426,10_ASIL_Matrix!$C$4:$C$15,0),MATCH(N426,10_ASIL_Matrix!$D$3:$F$3,0)))))</f>
        <v>C</v>
      </c>
      <c r="Q426" s="5" t="s">
        <v>779</v>
      </c>
    </row>
    <row r="427" customFormat="false" ht="35.05" hidden="false" customHeight="false" outlineLevel="0" collapsed="false">
      <c r="A427" s="6" t="s">
        <v>1227</v>
      </c>
      <c r="B427" s="6" t="s">
        <v>116</v>
      </c>
      <c r="C427" s="6" t="s">
        <v>117</v>
      </c>
      <c r="D427" s="6" t="s">
        <v>168</v>
      </c>
      <c r="E427" s="6" t="s">
        <v>169</v>
      </c>
      <c r="F427" s="6" t="s">
        <v>194</v>
      </c>
      <c r="G427" s="6" t="s">
        <v>396</v>
      </c>
      <c r="H427" s="6" t="s">
        <v>205</v>
      </c>
      <c r="I427" s="6" t="s">
        <v>1228</v>
      </c>
      <c r="J427" s="6" t="s">
        <v>226</v>
      </c>
      <c r="K427" s="6" t="s">
        <v>408</v>
      </c>
      <c r="L427" s="6" t="s">
        <v>206</v>
      </c>
      <c r="M427" s="6" t="s">
        <v>409</v>
      </c>
      <c r="N427" s="6" t="s">
        <v>265</v>
      </c>
      <c r="O427" s="6" t="s">
        <v>718</v>
      </c>
      <c r="P427" s="15" t="str">
        <f aca="false">IF(J427="S0","—",IF(K427="","",IF(L427="E0","QM",INDEX(10_ASIL_Matrix!$D$4:$F$15,MATCH(J427&amp;"-"&amp;L427,10_ASIL_Matrix!$C$4:$C$15,0),MATCH(N427,10_ASIL_Matrix!$D$3:$F$3,0)))))</f>
        <v>B</v>
      </c>
      <c r="Q427" s="6" t="s">
        <v>779</v>
      </c>
    </row>
    <row r="428" customFormat="false" ht="35.05" hidden="false" customHeight="false" outlineLevel="0" collapsed="false">
      <c r="A428" s="5" t="s">
        <v>1229</v>
      </c>
      <c r="B428" s="5" t="s">
        <v>116</v>
      </c>
      <c r="C428" s="5" t="s">
        <v>117</v>
      </c>
      <c r="D428" s="5" t="s">
        <v>168</v>
      </c>
      <c r="E428" s="5" t="s">
        <v>169</v>
      </c>
      <c r="F428" s="5" t="s">
        <v>194</v>
      </c>
      <c r="G428" s="5" t="s">
        <v>396</v>
      </c>
      <c r="H428" s="5" t="s">
        <v>208</v>
      </c>
      <c r="I428" s="5" t="s">
        <v>1230</v>
      </c>
      <c r="J428" s="5" t="s">
        <v>226</v>
      </c>
      <c r="K428" s="5" t="s">
        <v>408</v>
      </c>
      <c r="L428" s="5" t="s">
        <v>209</v>
      </c>
      <c r="M428" s="5" t="s">
        <v>412</v>
      </c>
      <c r="N428" s="5" t="s">
        <v>265</v>
      </c>
      <c r="O428" s="5" t="s">
        <v>718</v>
      </c>
      <c r="P428" s="16" t="str">
        <f aca="false">IF(J428="S0","—",IF(K428="","",IF(L428="E0","QM",INDEX(10_ASIL_Matrix!$D$4:$F$15,MATCH(J428&amp;"-"&amp;L428,10_ASIL_Matrix!$C$4:$C$15,0),MATCH(N428,10_ASIL_Matrix!$D$3:$F$3,0)))))</f>
        <v>A</v>
      </c>
      <c r="Q428" s="5" t="s">
        <v>779</v>
      </c>
    </row>
    <row r="429" customFormat="false" ht="35.05" hidden="false" customHeight="false" outlineLevel="0" collapsed="false">
      <c r="A429" s="6" t="s">
        <v>1231</v>
      </c>
      <c r="B429" s="6" t="s">
        <v>116</v>
      </c>
      <c r="C429" s="6" t="s">
        <v>117</v>
      </c>
      <c r="D429" s="6" t="s">
        <v>171</v>
      </c>
      <c r="E429" s="6" t="s">
        <v>172</v>
      </c>
      <c r="F429" s="6" t="s">
        <v>184</v>
      </c>
      <c r="G429" s="6" t="s">
        <v>323</v>
      </c>
      <c r="H429" s="6" t="s">
        <v>199</v>
      </c>
      <c r="I429" s="6" t="s">
        <v>1232</v>
      </c>
      <c r="J429" s="6" t="s">
        <v>218</v>
      </c>
      <c r="K429" s="6" t="s">
        <v>325</v>
      </c>
      <c r="L429" s="6" t="s">
        <v>185</v>
      </c>
      <c r="M429" s="6" t="s">
        <v>326</v>
      </c>
      <c r="N429" s="6" t="s">
        <v>261</v>
      </c>
      <c r="O429" s="6" t="s">
        <v>465</v>
      </c>
      <c r="P429" s="6" t="str">
        <f aca="false">IF(J429="S0","—",IF(K429="","",IF(L429="E0","QM",INDEX(10_ASIL_Matrix!$D$4:$F$15,MATCH(J429&amp;"-"&amp;L429,10_ASIL_Matrix!$C$4:$C$15,0),MATCH(N429,10_ASIL_Matrix!$D$3:$F$3,0)))))</f>
        <v>QM</v>
      </c>
      <c r="Q429" s="6" t="s">
        <v>779</v>
      </c>
    </row>
    <row r="430" customFormat="false" ht="35.05" hidden="false" customHeight="false" outlineLevel="0" collapsed="false">
      <c r="A430" s="5" t="s">
        <v>1233</v>
      </c>
      <c r="B430" s="5" t="s">
        <v>116</v>
      </c>
      <c r="C430" s="5" t="s">
        <v>117</v>
      </c>
      <c r="D430" s="5" t="s">
        <v>171</v>
      </c>
      <c r="E430" s="5" t="s">
        <v>172</v>
      </c>
      <c r="F430" s="5" t="s">
        <v>184</v>
      </c>
      <c r="G430" s="5" t="s">
        <v>323</v>
      </c>
      <c r="H430" s="5" t="s">
        <v>201</v>
      </c>
      <c r="I430" s="5" t="s">
        <v>1234</v>
      </c>
      <c r="J430" s="5" t="s">
        <v>218</v>
      </c>
      <c r="K430" s="5" t="s">
        <v>325</v>
      </c>
      <c r="L430" s="5" t="s">
        <v>185</v>
      </c>
      <c r="M430" s="5" t="s">
        <v>331</v>
      </c>
      <c r="N430" s="5" t="s">
        <v>261</v>
      </c>
      <c r="O430" s="5" t="s">
        <v>465</v>
      </c>
      <c r="P430" s="5" t="str">
        <f aca="false">IF(J430="S0","—",IF(K430="","",IF(L430="E0","QM",INDEX(10_ASIL_Matrix!$D$4:$F$15,MATCH(J430&amp;"-"&amp;L430,10_ASIL_Matrix!$C$4:$C$15,0),MATCH(N430,10_ASIL_Matrix!$D$3:$F$3,0)))))</f>
        <v>QM</v>
      </c>
      <c r="Q430" s="5" t="s">
        <v>779</v>
      </c>
    </row>
    <row r="431" customFormat="false" ht="35.05" hidden="false" customHeight="false" outlineLevel="0" collapsed="false">
      <c r="A431" s="6" t="s">
        <v>1235</v>
      </c>
      <c r="B431" s="6" t="s">
        <v>116</v>
      </c>
      <c r="C431" s="6" t="s">
        <v>117</v>
      </c>
      <c r="D431" s="6" t="s">
        <v>171</v>
      </c>
      <c r="E431" s="6" t="s">
        <v>172</v>
      </c>
      <c r="F431" s="6" t="s">
        <v>184</v>
      </c>
      <c r="G431" s="6" t="s">
        <v>323</v>
      </c>
      <c r="H431" s="6" t="s">
        <v>203</v>
      </c>
      <c r="I431" s="6" t="s">
        <v>1236</v>
      </c>
      <c r="J431" s="6" t="s">
        <v>218</v>
      </c>
      <c r="K431" s="6" t="s">
        <v>325</v>
      </c>
      <c r="L431" s="6" t="s">
        <v>185</v>
      </c>
      <c r="M431" s="6" t="s">
        <v>334</v>
      </c>
      <c r="N431" s="6" t="s">
        <v>261</v>
      </c>
      <c r="O431" s="6" t="s">
        <v>465</v>
      </c>
      <c r="P431" s="6" t="str">
        <f aca="false">IF(J431="S0","—",IF(K431="","",IF(L431="E0","QM",INDEX(10_ASIL_Matrix!$D$4:$F$15,MATCH(J431&amp;"-"&amp;L431,10_ASIL_Matrix!$C$4:$C$15,0),MATCH(N431,10_ASIL_Matrix!$D$3:$F$3,0)))))</f>
        <v>QM</v>
      </c>
      <c r="Q431" s="6" t="s">
        <v>779</v>
      </c>
    </row>
    <row r="432" customFormat="false" ht="35.05" hidden="false" customHeight="false" outlineLevel="0" collapsed="false">
      <c r="A432" s="5" t="s">
        <v>1237</v>
      </c>
      <c r="B432" s="5" t="s">
        <v>116</v>
      </c>
      <c r="C432" s="5" t="s">
        <v>117</v>
      </c>
      <c r="D432" s="5" t="s">
        <v>171</v>
      </c>
      <c r="E432" s="5" t="s">
        <v>172</v>
      </c>
      <c r="F432" s="5" t="s">
        <v>184</v>
      </c>
      <c r="G432" s="5" t="s">
        <v>323</v>
      </c>
      <c r="H432" s="5" t="s">
        <v>205</v>
      </c>
      <c r="I432" s="5" t="s">
        <v>1238</v>
      </c>
      <c r="J432" s="5" t="s">
        <v>218</v>
      </c>
      <c r="K432" s="5" t="s">
        <v>325</v>
      </c>
      <c r="L432" s="5" t="s">
        <v>206</v>
      </c>
      <c r="M432" s="5" t="s">
        <v>337</v>
      </c>
      <c r="N432" s="5" t="s">
        <v>261</v>
      </c>
      <c r="O432" s="5" t="s">
        <v>465</v>
      </c>
      <c r="P432" s="5" t="str">
        <f aca="false">IF(J432="S0","—",IF(K432="","",IF(L432="E0","QM",INDEX(10_ASIL_Matrix!$D$4:$F$15,MATCH(J432&amp;"-"&amp;L432,10_ASIL_Matrix!$C$4:$C$15,0),MATCH(N432,10_ASIL_Matrix!$D$3:$F$3,0)))))</f>
        <v>QM</v>
      </c>
      <c r="Q432" s="5" t="s">
        <v>779</v>
      </c>
    </row>
    <row r="433" customFormat="false" ht="35.05" hidden="false" customHeight="false" outlineLevel="0" collapsed="false">
      <c r="A433" s="6" t="s">
        <v>1239</v>
      </c>
      <c r="B433" s="6" t="s">
        <v>116</v>
      </c>
      <c r="C433" s="6" t="s">
        <v>117</v>
      </c>
      <c r="D433" s="6" t="s">
        <v>171</v>
      </c>
      <c r="E433" s="6" t="s">
        <v>172</v>
      </c>
      <c r="F433" s="6" t="s">
        <v>184</v>
      </c>
      <c r="G433" s="6" t="s">
        <v>323</v>
      </c>
      <c r="H433" s="6" t="s">
        <v>208</v>
      </c>
      <c r="I433" s="6" t="s">
        <v>1240</v>
      </c>
      <c r="J433" s="6" t="s">
        <v>218</v>
      </c>
      <c r="K433" s="6" t="s">
        <v>325</v>
      </c>
      <c r="L433" s="6" t="s">
        <v>209</v>
      </c>
      <c r="M433" s="6" t="s">
        <v>340</v>
      </c>
      <c r="N433" s="6" t="s">
        <v>261</v>
      </c>
      <c r="O433" s="6" t="s">
        <v>465</v>
      </c>
      <c r="P433" s="6" t="str">
        <f aca="false">IF(J433="S0","—",IF(K433="","",IF(L433="E0","QM",INDEX(10_ASIL_Matrix!$D$4:$F$15,MATCH(J433&amp;"-"&amp;L433,10_ASIL_Matrix!$C$4:$C$15,0),MATCH(N433,10_ASIL_Matrix!$D$3:$F$3,0)))))</f>
        <v>QM</v>
      </c>
      <c r="Q433" s="6" t="s">
        <v>779</v>
      </c>
    </row>
    <row r="434" customFormat="false" ht="35.05" hidden="false" customHeight="false" outlineLevel="0" collapsed="false">
      <c r="A434" s="5" t="s">
        <v>1241</v>
      </c>
      <c r="B434" s="5" t="s">
        <v>116</v>
      </c>
      <c r="C434" s="5" t="s">
        <v>117</v>
      </c>
      <c r="D434" s="5" t="s">
        <v>171</v>
      </c>
      <c r="E434" s="5" t="s">
        <v>172</v>
      </c>
      <c r="F434" s="5" t="s">
        <v>187</v>
      </c>
      <c r="G434" s="5" t="s">
        <v>342</v>
      </c>
      <c r="H434" s="5" t="s">
        <v>199</v>
      </c>
      <c r="I434" s="5" t="s">
        <v>1242</v>
      </c>
      <c r="J434" s="5" t="s">
        <v>222</v>
      </c>
      <c r="K434" s="5" t="s">
        <v>344</v>
      </c>
      <c r="L434" s="5" t="s">
        <v>188</v>
      </c>
      <c r="M434" s="5" t="s">
        <v>345</v>
      </c>
      <c r="N434" s="5" t="s">
        <v>261</v>
      </c>
      <c r="O434" s="5" t="s">
        <v>476</v>
      </c>
      <c r="P434" s="15" t="str">
        <f aca="false">IF(J434="S0","—",IF(K434="","",IF(L434="E0","QM",INDEX(10_ASIL_Matrix!$D$4:$F$15,MATCH(J434&amp;"-"&amp;L434,10_ASIL_Matrix!$C$4:$C$15,0),MATCH(N434,10_ASIL_Matrix!$D$3:$F$3,0)))))</f>
        <v>B</v>
      </c>
      <c r="Q434" s="5" t="s">
        <v>779</v>
      </c>
    </row>
    <row r="435" customFormat="false" ht="35.05" hidden="false" customHeight="false" outlineLevel="0" collapsed="false">
      <c r="A435" s="6" t="s">
        <v>1243</v>
      </c>
      <c r="B435" s="6" t="s">
        <v>116</v>
      </c>
      <c r="C435" s="6" t="s">
        <v>117</v>
      </c>
      <c r="D435" s="6" t="s">
        <v>171</v>
      </c>
      <c r="E435" s="6" t="s">
        <v>172</v>
      </c>
      <c r="F435" s="6" t="s">
        <v>187</v>
      </c>
      <c r="G435" s="6" t="s">
        <v>342</v>
      </c>
      <c r="H435" s="6" t="s">
        <v>201</v>
      </c>
      <c r="I435" s="6" t="s">
        <v>1244</v>
      </c>
      <c r="J435" s="6" t="s">
        <v>222</v>
      </c>
      <c r="K435" s="6" t="s">
        <v>344</v>
      </c>
      <c r="L435" s="6" t="s">
        <v>185</v>
      </c>
      <c r="M435" s="6" t="s">
        <v>348</v>
      </c>
      <c r="N435" s="6" t="s">
        <v>261</v>
      </c>
      <c r="O435" s="6" t="s">
        <v>476</v>
      </c>
      <c r="P435" s="16" t="str">
        <f aca="false">IF(J435="S0","—",IF(K435="","",IF(L435="E0","QM",INDEX(10_ASIL_Matrix!$D$4:$F$15,MATCH(J435&amp;"-"&amp;L435,10_ASIL_Matrix!$C$4:$C$15,0),MATCH(N435,10_ASIL_Matrix!$D$3:$F$3,0)))))</f>
        <v>A</v>
      </c>
      <c r="Q435" s="6" t="s">
        <v>779</v>
      </c>
    </row>
    <row r="436" customFormat="false" ht="35.05" hidden="false" customHeight="false" outlineLevel="0" collapsed="false">
      <c r="A436" s="5" t="s">
        <v>1245</v>
      </c>
      <c r="B436" s="5" t="s">
        <v>116</v>
      </c>
      <c r="C436" s="5" t="s">
        <v>117</v>
      </c>
      <c r="D436" s="5" t="s">
        <v>171</v>
      </c>
      <c r="E436" s="5" t="s">
        <v>172</v>
      </c>
      <c r="F436" s="5" t="s">
        <v>187</v>
      </c>
      <c r="G436" s="5" t="s">
        <v>342</v>
      </c>
      <c r="H436" s="5" t="s">
        <v>203</v>
      </c>
      <c r="I436" s="5" t="s">
        <v>1246</v>
      </c>
      <c r="J436" s="5" t="s">
        <v>222</v>
      </c>
      <c r="K436" s="5" t="s">
        <v>344</v>
      </c>
      <c r="L436" s="5" t="s">
        <v>185</v>
      </c>
      <c r="M436" s="5" t="s">
        <v>351</v>
      </c>
      <c r="N436" s="5" t="s">
        <v>261</v>
      </c>
      <c r="O436" s="5" t="s">
        <v>476</v>
      </c>
      <c r="P436" s="16" t="str">
        <f aca="false">IF(J436="S0","—",IF(K436="","",IF(L436="E0","QM",INDEX(10_ASIL_Matrix!$D$4:$F$15,MATCH(J436&amp;"-"&amp;L436,10_ASIL_Matrix!$C$4:$C$15,0),MATCH(N436,10_ASIL_Matrix!$D$3:$F$3,0)))))</f>
        <v>A</v>
      </c>
      <c r="Q436" s="5" t="s">
        <v>779</v>
      </c>
    </row>
    <row r="437" customFormat="false" ht="35.05" hidden="false" customHeight="false" outlineLevel="0" collapsed="false">
      <c r="A437" s="6" t="s">
        <v>1247</v>
      </c>
      <c r="B437" s="6" t="s">
        <v>116</v>
      </c>
      <c r="C437" s="6" t="s">
        <v>117</v>
      </c>
      <c r="D437" s="6" t="s">
        <v>171</v>
      </c>
      <c r="E437" s="6" t="s">
        <v>172</v>
      </c>
      <c r="F437" s="6" t="s">
        <v>187</v>
      </c>
      <c r="G437" s="6" t="s">
        <v>342</v>
      </c>
      <c r="H437" s="6" t="s">
        <v>205</v>
      </c>
      <c r="I437" s="6" t="s">
        <v>1248</v>
      </c>
      <c r="J437" s="6" t="s">
        <v>222</v>
      </c>
      <c r="K437" s="6" t="s">
        <v>354</v>
      </c>
      <c r="L437" s="6" t="s">
        <v>206</v>
      </c>
      <c r="M437" s="6" t="s">
        <v>355</v>
      </c>
      <c r="N437" s="6" t="s">
        <v>261</v>
      </c>
      <c r="O437" s="6" t="s">
        <v>476</v>
      </c>
      <c r="P437" s="6" t="str">
        <f aca="false">IF(J437="S0","—",IF(K437="","",IF(L437="E0","QM",INDEX(10_ASIL_Matrix!$D$4:$F$15,MATCH(J437&amp;"-"&amp;L437,10_ASIL_Matrix!$C$4:$C$15,0),MATCH(N437,10_ASIL_Matrix!$D$3:$F$3,0)))))</f>
        <v>QM</v>
      </c>
      <c r="Q437" s="6" t="s">
        <v>779</v>
      </c>
    </row>
    <row r="438" customFormat="false" ht="35.05" hidden="false" customHeight="false" outlineLevel="0" collapsed="false">
      <c r="A438" s="5" t="s">
        <v>1249</v>
      </c>
      <c r="B438" s="5" t="s">
        <v>116</v>
      </c>
      <c r="C438" s="5" t="s">
        <v>117</v>
      </c>
      <c r="D438" s="5" t="s">
        <v>171</v>
      </c>
      <c r="E438" s="5" t="s">
        <v>172</v>
      </c>
      <c r="F438" s="5" t="s">
        <v>187</v>
      </c>
      <c r="G438" s="5" t="s">
        <v>342</v>
      </c>
      <c r="H438" s="5" t="s">
        <v>208</v>
      </c>
      <c r="I438" s="5" t="s">
        <v>1250</v>
      </c>
      <c r="J438" s="5" t="s">
        <v>222</v>
      </c>
      <c r="K438" s="5" t="s">
        <v>354</v>
      </c>
      <c r="L438" s="5" t="s">
        <v>209</v>
      </c>
      <c r="M438" s="5" t="s">
        <v>358</v>
      </c>
      <c r="N438" s="5" t="s">
        <v>261</v>
      </c>
      <c r="O438" s="5" t="s">
        <v>476</v>
      </c>
      <c r="P438" s="5" t="str">
        <f aca="false">IF(J438="S0","—",IF(K438="","",IF(L438="E0","QM",INDEX(10_ASIL_Matrix!$D$4:$F$15,MATCH(J438&amp;"-"&amp;L438,10_ASIL_Matrix!$C$4:$C$15,0),MATCH(N438,10_ASIL_Matrix!$D$3:$F$3,0)))))</f>
        <v>QM</v>
      </c>
      <c r="Q438" s="5" t="s">
        <v>779</v>
      </c>
    </row>
    <row r="439" customFormat="false" ht="35.05" hidden="false" customHeight="false" outlineLevel="0" collapsed="false">
      <c r="A439" s="6" t="s">
        <v>1251</v>
      </c>
      <c r="B439" s="6" t="s">
        <v>116</v>
      </c>
      <c r="C439" s="6" t="s">
        <v>117</v>
      </c>
      <c r="D439" s="6" t="s">
        <v>171</v>
      </c>
      <c r="E439" s="6" t="s">
        <v>172</v>
      </c>
      <c r="F439" s="6" t="s">
        <v>190</v>
      </c>
      <c r="G439" s="6" t="s">
        <v>360</v>
      </c>
      <c r="H439" s="6" t="s">
        <v>199</v>
      </c>
      <c r="I439" s="6" t="s">
        <v>1252</v>
      </c>
      <c r="J439" s="6" t="s">
        <v>222</v>
      </c>
      <c r="K439" s="6" t="s">
        <v>362</v>
      </c>
      <c r="L439" s="6" t="s">
        <v>188</v>
      </c>
      <c r="M439" s="6" t="s">
        <v>363</v>
      </c>
      <c r="N439" s="6" t="s">
        <v>261</v>
      </c>
      <c r="O439" s="6" t="s">
        <v>540</v>
      </c>
      <c r="P439" s="15" t="str">
        <f aca="false">IF(J439="S0","—",IF(K439="","",IF(L439="E0","QM",INDEX(10_ASIL_Matrix!$D$4:$F$15,MATCH(J439&amp;"-"&amp;L439,10_ASIL_Matrix!$C$4:$C$15,0),MATCH(N439,10_ASIL_Matrix!$D$3:$F$3,0)))))</f>
        <v>B</v>
      </c>
      <c r="Q439" s="6" t="s">
        <v>779</v>
      </c>
    </row>
    <row r="440" customFormat="false" ht="35.05" hidden="false" customHeight="false" outlineLevel="0" collapsed="false">
      <c r="A440" s="5" t="s">
        <v>1253</v>
      </c>
      <c r="B440" s="5" t="s">
        <v>116</v>
      </c>
      <c r="C440" s="5" t="s">
        <v>117</v>
      </c>
      <c r="D440" s="5" t="s">
        <v>171</v>
      </c>
      <c r="E440" s="5" t="s">
        <v>172</v>
      </c>
      <c r="F440" s="5" t="s">
        <v>190</v>
      </c>
      <c r="G440" s="5" t="s">
        <v>360</v>
      </c>
      <c r="H440" s="5" t="s">
        <v>201</v>
      </c>
      <c r="I440" s="5" t="s">
        <v>1254</v>
      </c>
      <c r="J440" s="5" t="s">
        <v>222</v>
      </c>
      <c r="K440" s="5" t="s">
        <v>362</v>
      </c>
      <c r="L440" s="5" t="s">
        <v>185</v>
      </c>
      <c r="M440" s="5" t="s">
        <v>366</v>
      </c>
      <c r="N440" s="5" t="s">
        <v>261</v>
      </c>
      <c r="O440" s="5" t="s">
        <v>540</v>
      </c>
      <c r="P440" s="16" t="str">
        <f aca="false">IF(J440="S0","—",IF(K440="","",IF(L440="E0","QM",INDEX(10_ASIL_Matrix!$D$4:$F$15,MATCH(J440&amp;"-"&amp;L440,10_ASIL_Matrix!$C$4:$C$15,0),MATCH(N440,10_ASIL_Matrix!$D$3:$F$3,0)))))</f>
        <v>A</v>
      </c>
      <c r="Q440" s="5" t="s">
        <v>779</v>
      </c>
    </row>
    <row r="441" customFormat="false" ht="35.05" hidden="false" customHeight="false" outlineLevel="0" collapsed="false">
      <c r="A441" s="6" t="s">
        <v>1255</v>
      </c>
      <c r="B441" s="6" t="s">
        <v>116</v>
      </c>
      <c r="C441" s="6" t="s">
        <v>117</v>
      </c>
      <c r="D441" s="6" t="s">
        <v>171</v>
      </c>
      <c r="E441" s="6" t="s">
        <v>172</v>
      </c>
      <c r="F441" s="6" t="s">
        <v>190</v>
      </c>
      <c r="G441" s="6" t="s">
        <v>360</v>
      </c>
      <c r="H441" s="6" t="s">
        <v>203</v>
      </c>
      <c r="I441" s="6" t="s">
        <v>1256</v>
      </c>
      <c r="J441" s="6" t="s">
        <v>222</v>
      </c>
      <c r="K441" s="6" t="s">
        <v>362</v>
      </c>
      <c r="L441" s="6" t="s">
        <v>185</v>
      </c>
      <c r="M441" s="6" t="s">
        <v>369</v>
      </c>
      <c r="N441" s="6" t="s">
        <v>261</v>
      </c>
      <c r="O441" s="6" t="s">
        <v>540</v>
      </c>
      <c r="P441" s="16" t="str">
        <f aca="false">IF(J441="S0","—",IF(K441="","",IF(L441="E0","QM",INDEX(10_ASIL_Matrix!$D$4:$F$15,MATCH(J441&amp;"-"&amp;L441,10_ASIL_Matrix!$C$4:$C$15,0),MATCH(N441,10_ASIL_Matrix!$D$3:$F$3,0)))))</f>
        <v>A</v>
      </c>
      <c r="Q441" s="6" t="s">
        <v>779</v>
      </c>
    </row>
    <row r="442" customFormat="false" ht="35.05" hidden="false" customHeight="false" outlineLevel="0" collapsed="false">
      <c r="A442" s="5" t="s">
        <v>1257</v>
      </c>
      <c r="B442" s="5" t="s">
        <v>116</v>
      </c>
      <c r="C442" s="5" t="s">
        <v>117</v>
      </c>
      <c r="D442" s="5" t="s">
        <v>171</v>
      </c>
      <c r="E442" s="5" t="s">
        <v>172</v>
      </c>
      <c r="F442" s="5" t="s">
        <v>190</v>
      </c>
      <c r="G442" s="5" t="s">
        <v>360</v>
      </c>
      <c r="H442" s="5" t="s">
        <v>205</v>
      </c>
      <c r="I442" s="5" t="s">
        <v>1258</v>
      </c>
      <c r="J442" s="5" t="s">
        <v>222</v>
      </c>
      <c r="K442" s="5" t="s">
        <v>372</v>
      </c>
      <c r="L442" s="5" t="s">
        <v>206</v>
      </c>
      <c r="M442" s="5" t="s">
        <v>373</v>
      </c>
      <c r="N442" s="5" t="s">
        <v>261</v>
      </c>
      <c r="O442" s="5" t="s">
        <v>540</v>
      </c>
      <c r="P442" s="5" t="str">
        <f aca="false">IF(J442="S0","—",IF(K442="","",IF(L442="E0","QM",INDEX(10_ASIL_Matrix!$D$4:$F$15,MATCH(J442&amp;"-"&amp;L442,10_ASIL_Matrix!$C$4:$C$15,0),MATCH(N442,10_ASIL_Matrix!$D$3:$F$3,0)))))</f>
        <v>QM</v>
      </c>
      <c r="Q442" s="5" t="s">
        <v>779</v>
      </c>
    </row>
    <row r="443" customFormat="false" ht="35.05" hidden="false" customHeight="false" outlineLevel="0" collapsed="false">
      <c r="A443" s="6" t="s">
        <v>1259</v>
      </c>
      <c r="B443" s="6" t="s">
        <v>116</v>
      </c>
      <c r="C443" s="6" t="s">
        <v>117</v>
      </c>
      <c r="D443" s="6" t="s">
        <v>171</v>
      </c>
      <c r="E443" s="6" t="s">
        <v>172</v>
      </c>
      <c r="F443" s="6" t="s">
        <v>190</v>
      </c>
      <c r="G443" s="6" t="s">
        <v>360</v>
      </c>
      <c r="H443" s="6" t="s">
        <v>208</v>
      </c>
      <c r="I443" s="6" t="s">
        <v>1260</v>
      </c>
      <c r="J443" s="6" t="s">
        <v>222</v>
      </c>
      <c r="K443" s="6" t="s">
        <v>372</v>
      </c>
      <c r="L443" s="6" t="s">
        <v>209</v>
      </c>
      <c r="M443" s="6" t="s">
        <v>376</v>
      </c>
      <c r="N443" s="6" t="s">
        <v>261</v>
      </c>
      <c r="O443" s="6" t="s">
        <v>540</v>
      </c>
      <c r="P443" s="6" t="str">
        <f aca="false">IF(J443="S0","—",IF(K443="","",IF(L443="E0","QM",INDEX(10_ASIL_Matrix!$D$4:$F$15,MATCH(J443&amp;"-"&amp;L443,10_ASIL_Matrix!$C$4:$C$15,0),MATCH(N443,10_ASIL_Matrix!$D$3:$F$3,0)))))</f>
        <v>QM</v>
      </c>
      <c r="Q443" s="6" t="s">
        <v>779</v>
      </c>
    </row>
    <row r="444" customFormat="false" ht="35.05" hidden="false" customHeight="false" outlineLevel="0" collapsed="false">
      <c r="A444" s="5" t="s">
        <v>1261</v>
      </c>
      <c r="B444" s="5" t="s">
        <v>116</v>
      </c>
      <c r="C444" s="5" t="s">
        <v>117</v>
      </c>
      <c r="D444" s="5" t="s">
        <v>171</v>
      </c>
      <c r="E444" s="5" t="s">
        <v>172</v>
      </c>
      <c r="F444" s="5" t="s">
        <v>192</v>
      </c>
      <c r="G444" s="5" t="s">
        <v>378</v>
      </c>
      <c r="H444" s="5" t="s">
        <v>199</v>
      </c>
      <c r="I444" s="5" t="s">
        <v>1262</v>
      </c>
      <c r="J444" s="5" t="s">
        <v>226</v>
      </c>
      <c r="K444" s="5" t="s">
        <v>380</v>
      </c>
      <c r="L444" s="5" t="s">
        <v>185</v>
      </c>
      <c r="M444" s="5" t="s">
        <v>381</v>
      </c>
      <c r="N444" s="5" t="s">
        <v>265</v>
      </c>
      <c r="O444" s="5" t="s">
        <v>551</v>
      </c>
      <c r="P444" s="17" t="str">
        <f aca="false">IF(J444="S0","—",IF(K444="","",IF(L444="E0","QM",INDEX(10_ASIL_Matrix!$D$4:$F$15,MATCH(J444&amp;"-"&amp;L444,10_ASIL_Matrix!$C$4:$C$15,0),MATCH(N444,10_ASIL_Matrix!$D$3:$F$3,0)))))</f>
        <v>C</v>
      </c>
      <c r="Q444" s="5" t="s">
        <v>779</v>
      </c>
    </row>
    <row r="445" customFormat="false" ht="35.05" hidden="false" customHeight="false" outlineLevel="0" collapsed="false">
      <c r="A445" s="6" t="s">
        <v>1263</v>
      </c>
      <c r="B445" s="6" t="s">
        <v>116</v>
      </c>
      <c r="C445" s="6" t="s">
        <v>117</v>
      </c>
      <c r="D445" s="6" t="s">
        <v>171</v>
      </c>
      <c r="E445" s="6" t="s">
        <v>172</v>
      </c>
      <c r="F445" s="6" t="s">
        <v>192</v>
      </c>
      <c r="G445" s="6" t="s">
        <v>378</v>
      </c>
      <c r="H445" s="6" t="s">
        <v>201</v>
      </c>
      <c r="I445" s="6" t="s">
        <v>1264</v>
      </c>
      <c r="J445" s="6" t="s">
        <v>226</v>
      </c>
      <c r="K445" s="6" t="s">
        <v>380</v>
      </c>
      <c r="L445" s="6" t="s">
        <v>185</v>
      </c>
      <c r="M445" s="6" t="s">
        <v>384</v>
      </c>
      <c r="N445" s="6" t="s">
        <v>265</v>
      </c>
      <c r="O445" s="6" t="s">
        <v>551</v>
      </c>
      <c r="P445" s="17" t="str">
        <f aca="false">IF(J445="S0","—",IF(K445="","",IF(L445="E0","QM",INDEX(10_ASIL_Matrix!$D$4:$F$15,MATCH(J445&amp;"-"&amp;L445,10_ASIL_Matrix!$C$4:$C$15,0),MATCH(N445,10_ASIL_Matrix!$D$3:$F$3,0)))))</f>
        <v>C</v>
      </c>
      <c r="Q445" s="6" t="s">
        <v>779</v>
      </c>
    </row>
    <row r="446" customFormat="false" ht="35.05" hidden="false" customHeight="false" outlineLevel="0" collapsed="false">
      <c r="A446" s="5" t="s">
        <v>1265</v>
      </c>
      <c r="B446" s="5" t="s">
        <v>116</v>
      </c>
      <c r="C446" s="5" t="s">
        <v>117</v>
      </c>
      <c r="D446" s="5" t="s">
        <v>171</v>
      </c>
      <c r="E446" s="5" t="s">
        <v>172</v>
      </c>
      <c r="F446" s="5" t="s">
        <v>192</v>
      </c>
      <c r="G446" s="5" t="s">
        <v>378</v>
      </c>
      <c r="H446" s="5" t="s">
        <v>203</v>
      </c>
      <c r="I446" s="5" t="s">
        <v>1266</v>
      </c>
      <c r="J446" s="5" t="s">
        <v>226</v>
      </c>
      <c r="K446" s="5" t="s">
        <v>380</v>
      </c>
      <c r="L446" s="5" t="s">
        <v>185</v>
      </c>
      <c r="M446" s="5" t="s">
        <v>387</v>
      </c>
      <c r="N446" s="5" t="s">
        <v>265</v>
      </c>
      <c r="O446" s="5" t="s">
        <v>551</v>
      </c>
      <c r="P446" s="17" t="str">
        <f aca="false">IF(J446="S0","—",IF(K446="","",IF(L446="E0","QM",INDEX(10_ASIL_Matrix!$D$4:$F$15,MATCH(J446&amp;"-"&amp;L446,10_ASIL_Matrix!$C$4:$C$15,0),MATCH(N446,10_ASIL_Matrix!$D$3:$F$3,0)))))</f>
        <v>C</v>
      </c>
      <c r="Q446" s="5" t="s">
        <v>779</v>
      </c>
    </row>
    <row r="447" customFormat="false" ht="35.05" hidden="false" customHeight="false" outlineLevel="0" collapsed="false">
      <c r="A447" s="6" t="s">
        <v>1267</v>
      </c>
      <c r="B447" s="6" t="s">
        <v>116</v>
      </c>
      <c r="C447" s="6" t="s">
        <v>117</v>
      </c>
      <c r="D447" s="6" t="s">
        <v>171</v>
      </c>
      <c r="E447" s="6" t="s">
        <v>172</v>
      </c>
      <c r="F447" s="6" t="s">
        <v>192</v>
      </c>
      <c r="G447" s="6" t="s">
        <v>378</v>
      </c>
      <c r="H447" s="6" t="s">
        <v>205</v>
      </c>
      <c r="I447" s="6" t="s">
        <v>1268</v>
      </c>
      <c r="J447" s="6" t="s">
        <v>226</v>
      </c>
      <c r="K447" s="6" t="s">
        <v>390</v>
      </c>
      <c r="L447" s="6" t="s">
        <v>206</v>
      </c>
      <c r="M447" s="6" t="s">
        <v>391</v>
      </c>
      <c r="N447" s="6" t="s">
        <v>265</v>
      </c>
      <c r="O447" s="6" t="s">
        <v>551</v>
      </c>
      <c r="P447" s="15" t="str">
        <f aca="false">IF(J447="S0","—",IF(K447="","",IF(L447="E0","QM",INDEX(10_ASIL_Matrix!$D$4:$F$15,MATCH(J447&amp;"-"&amp;L447,10_ASIL_Matrix!$C$4:$C$15,0),MATCH(N447,10_ASIL_Matrix!$D$3:$F$3,0)))))</f>
        <v>B</v>
      </c>
      <c r="Q447" s="6" t="s">
        <v>779</v>
      </c>
    </row>
    <row r="448" customFormat="false" ht="35.05" hidden="false" customHeight="false" outlineLevel="0" collapsed="false">
      <c r="A448" s="5" t="s">
        <v>1269</v>
      </c>
      <c r="B448" s="5" t="s">
        <v>116</v>
      </c>
      <c r="C448" s="5" t="s">
        <v>117</v>
      </c>
      <c r="D448" s="5" t="s">
        <v>171</v>
      </c>
      <c r="E448" s="5" t="s">
        <v>172</v>
      </c>
      <c r="F448" s="5" t="s">
        <v>192</v>
      </c>
      <c r="G448" s="5" t="s">
        <v>378</v>
      </c>
      <c r="H448" s="5" t="s">
        <v>208</v>
      </c>
      <c r="I448" s="5" t="s">
        <v>1270</v>
      </c>
      <c r="J448" s="5" t="s">
        <v>226</v>
      </c>
      <c r="K448" s="5" t="s">
        <v>390</v>
      </c>
      <c r="L448" s="5" t="s">
        <v>209</v>
      </c>
      <c r="M448" s="5" t="s">
        <v>394</v>
      </c>
      <c r="N448" s="5" t="s">
        <v>265</v>
      </c>
      <c r="O448" s="5" t="s">
        <v>551</v>
      </c>
      <c r="P448" s="16" t="str">
        <f aca="false">IF(J448="S0","—",IF(K448="","",IF(L448="E0","QM",INDEX(10_ASIL_Matrix!$D$4:$F$15,MATCH(J448&amp;"-"&amp;L448,10_ASIL_Matrix!$C$4:$C$15,0),MATCH(N448,10_ASIL_Matrix!$D$3:$F$3,0)))))</f>
        <v>A</v>
      </c>
      <c r="Q448" s="5" t="s">
        <v>779</v>
      </c>
    </row>
    <row r="449" customFormat="false" ht="35.05" hidden="false" customHeight="false" outlineLevel="0" collapsed="false">
      <c r="A449" s="6" t="s">
        <v>1271</v>
      </c>
      <c r="B449" s="6" t="s">
        <v>116</v>
      </c>
      <c r="C449" s="6" t="s">
        <v>117</v>
      </c>
      <c r="D449" s="6" t="s">
        <v>171</v>
      </c>
      <c r="E449" s="6" t="s">
        <v>172</v>
      </c>
      <c r="F449" s="6" t="s">
        <v>194</v>
      </c>
      <c r="G449" s="6" t="s">
        <v>396</v>
      </c>
      <c r="H449" s="6" t="s">
        <v>199</v>
      </c>
      <c r="I449" s="6" t="s">
        <v>1272</v>
      </c>
      <c r="J449" s="6" t="s">
        <v>226</v>
      </c>
      <c r="K449" s="6" t="s">
        <v>398</v>
      </c>
      <c r="L449" s="6" t="s">
        <v>188</v>
      </c>
      <c r="M449" s="6" t="s">
        <v>399</v>
      </c>
      <c r="N449" s="6" t="s">
        <v>265</v>
      </c>
      <c r="O449" s="6" t="s">
        <v>562</v>
      </c>
      <c r="P449" s="18" t="str">
        <f aca="false">IF(J449="S0","—",IF(K449="","",IF(L449="E0","QM",INDEX(10_ASIL_Matrix!$D$4:$F$15,MATCH(J449&amp;"-"&amp;L449,10_ASIL_Matrix!$C$4:$C$15,0),MATCH(N449,10_ASIL_Matrix!$D$3:$F$3,0)))))</f>
        <v>D</v>
      </c>
      <c r="Q449" s="6" t="s">
        <v>779</v>
      </c>
    </row>
    <row r="450" customFormat="false" ht="35.05" hidden="false" customHeight="false" outlineLevel="0" collapsed="false">
      <c r="A450" s="5" t="s">
        <v>1273</v>
      </c>
      <c r="B450" s="5" t="s">
        <v>116</v>
      </c>
      <c r="C450" s="5" t="s">
        <v>117</v>
      </c>
      <c r="D450" s="5" t="s">
        <v>171</v>
      </c>
      <c r="E450" s="5" t="s">
        <v>172</v>
      </c>
      <c r="F450" s="5" t="s">
        <v>194</v>
      </c>
      <c r="G450" s="5" t="s">
        <v>396</v>
      </c>
      <c r="H450" s="5" t="s">
        <v>201</v>
      </c>
      <c r="I450" s="5" t="s">
        <v>1274</v>
      </c>
      <c r="J450" s="5" t="s">
        <v>226</v>
      </c>
      <c r="K450" s="5" t="s">
        <v>398</v>
      </c>
      <c r="L450" s="5" t="s">
        <v>185</v>
      </c>
      <c r="M450" s="5" t="s">
        <v>402</v>
      </c>
      <c r="N450" s="5" t="s">
        <v>265</v>
      </c>
      <c r="O450" s="5" t="s">
        <v>562</v>
      </c>
      <c r="P450" s="17" t="str">
        <f aca="false">IF(J450="S0","—",IF(K450="","",IF(L450="E0","QM",INDEX(10_ASIL_Matrix!$D$4:$F$15,MATCH(J450&amp;"-"&amp;L450,10_ASIL_Matrix!$C$4:$C$15,0),MATCH(N450,10_ASIL_Matrix!$D$3:$F$3,0)))))</f>
        <v>C</v>
      </c>
      <c r="Q450" s="5" t="s">
        <v>779</v>
      </c>
    </row>
    <row r="451" customFormat="false" ht="35.05" hidden="false" customHeight="false" outlineLevel="0" collapsed="false">
      <c r="A451" s="6" t="s">
        <v>1275</v>
      </c>
      <c r="B451" s="6" t="s">
        <v>116</v>
      </c>
      <c r="C451" s="6" t="s">
        <v>117</v>
      </c>
      <c r="D451" s="6" t="s">
        <v>171</v>
      </c>
      <c r="E451" s="6" t="s">
        <v>172</v>
      </c>
      <c r="F451" s="6" t="s">
        <v>194</v>
      </c>
      <c r="G451" s="6" t="s">
        <v>396</v>
      </c>
      <c r="H451" s="6" t="s">
        <v>203</v>
      </c>
      <c r="I451" s="6" t="s">
        <v>1276</v>
      </c>
      <c r="J451" s="6" t="s">
        <v>226</v>
      </c>
      <c r="K451" s="6" t="s">
        <v>398</v>
      </c>
      <c r="L451" s="6" t="s">
        <v>185</v>
      </c>
      <c r="M451" s="6" t="s">
        <v>405</v>
      </c>
      <c r="N451" s="6" t="s">
        <v>265</v>
      </c>
      <c r="O451" s="6" t="s">
        <v>562</v>
      </c>
      <c r="P451" s="17" t="str">
        <f aca="false">IF(J451="S0","—",IF(K451="","",IF(L451="E0","QM",INDEX(10_ASIL_Matrix!$D$4:$F$15,MATCH(J451&amp;"-"&amp;L451,10_ASIL_Matrix!$C$4:$C$15,0),MATCH(N451,10_ASIL_Matrix!$D$3:$F$3,0)))))</f>
        <v>C</v>
      </c>
      <c r="Q451" s="6" t="s">
        <v>779</v>
      </c>
    </row>
    <row r="452" customFormat="false" ht="35.05" hidden="false" customHeight="false" outlineLevel="0" collapsed="false">
      <c r="A452" s="5" t="s">
        <v>1277</v>
      </c>
      <c r="B452" s="5" t="s">
        <v>116</v>
      </c>
      <c r="C452" s="5" t="s">
        <v>117</v>
      </c>
      <c r="D452" s="5" t="s">
        <v>171</v>
      </c>
      <c r="E452" s="5" t="s">
        <v>172</v>
      </c>
      <c r="F452" s="5" t="s">
        <v>194</v>
      </c>
      <c r="G452" s="5" t="s">
        <v>396</v>
      </c>
      <c r="H452" s="5" t="s">
        <v>205</v>
      </c>
      <c r="I452" s="5" t="s">
        <v>1278</v>
      </c>
      <c r="J452" s="5" t="s">
        <v>226</v>
      </c>
      <c r="K452" s="5" t="s">
        <v>408</v>
      </c>
      <c r="L452" s="5" t="s">
        <v>206</v>
      </c>
      <c r="M452" s="5" t="s">
        <v>409</v>
      </c>
      <c r="N452" s="5" t="s">
        <v>265</v>
      </c>
      <c r="O452" s="5" t="s">
        <v>562</v>
      </c>
      <c r="P452" s="15" t="str">
        <f aca="false">IF(J452="S0","—",IF(K452="","",IF(L452="E0","QM",INDEX(10_ASIL_Matrix!$D$4:$F$15,MATCH(J452&amp;"-"&amp;L452,10_ASIL_Matrix!$C$4:$C$15,0),MATCH(N452,10_ASIL_Matrix!$D$3:$F$3,0)))))</f>
        <v>B</v>
      </c>
      <c r="Q452" s="5" t="s">
        <v>779</v>
      </c>
    </row>
    <row r="453" customFormat="false" ht="35.05" hidden="false" customHeight="false" outlineLevel="0" collapsed="false">
      <c r="A453" s="6" t="s">
        <v>1279</v>
      </c>
      <c r="B453" s="6" t="s">
        <v>116</v>
      </c>
      <c r="C453" s="6" t="s">
        <v>117</v>
      </c>
      <c r="D453" s="6" t="s">
        <v>171</v>
      </c>
      <c r="E453" s="6" t="s">
        <v>172</v>
      </c>
      <c r="F453" s="6" t="s">
        <v>194</v>
      </c>
      <c r="G453" s="6" t="s">
        <v>396</v>
      </c>
      <c r="H453" s="6" t="s">
        <v>208</v>
      </c>
      <c r="I453" s="6" t="s">
        <v>1280</v>
      </c>
      <c r="J453" s="6" t="s">
        <v>226</v>
      </c>
      <c r="K453" s="6" t="s">
        <v>408</v>
      </c>
      <c r="L453" s="6" t="s">
        <v>209</v>
      </c>
      <c r="M453" s="6" t="s">
        <v>412</v>
      </c>
      <c r="N453" s="6" t="s">
        <v>265</v>
      </c>
      <c r="O453" s="6" t="s">
        <v>562</v>
      </c>
      <c r="P453" s="16" t="str">
        <f aca="false">IF(J453="S0","—",IF(K453="","",IF(L453="E0","QM",INDEX(10_ASIL_Matrix!$D$4:$F$15,MATCH(J453&amp;"-"&amp;L453,10_ASIL_Matrix!$C$4:$C$15,0),MATCH(N453,10_ASIL_Matrix!$D$3:$F$3,0)))))</f>
        <v>A</v>
      </c>
      <c r="Q453" s="6" t="s">
        <v>779</v>
      </c>
    </row>
    <row r="454" customFormat="false" ht="35.05" hidden="false" customHeight="false" outlineLevel="0" collapsed="false">
      <c r="A454" s="5" t="s">
        <v>1281</v>
      </c>
      <c r="B454" s="5" t="s">
        <v>119</v>
      </c>
      <c r="C454" s="5" t="s">
        <v>120</v>
      </c>
      <c r="D454" s="5" t="s">
        <v>135</v>
      </c>
      <c r="E454" s="5" t="s">
        <v>136</v>
      </c>
      <c r="F454" s="5" t="s">
        <v>184</v>
      </c>
      <c r="G454" s="5" t="s">
        <v>323</v>
      </c>
      <c r="H454" s="5" t="s">
        <v>199</v>
      </c>
      <c r="I454" s="5" t="s">
        <v>1282</v>
      </c>
      <c r="J454" s="5" t="s">
        <v>218</v>
      </c>
      <c r="K454" s="5" t="s">
        <v>325</v>
      </c>
      <c r="L454" s="5" t="s">
        <v>185</v>
      </c>
      <c r="M454" s="5" t="s">
        <v>326</v>
      </c>
      <c r="N454" s="5" t="s">
        <v>261</v>
      </c>
      <c r="O454" s="5" t="s">
        <v>465</v>
      </c>
      <c r="P454" s="5" t="str">
        <f aca="false">IF(J454="S0","—",IF(K454="","",IF(L454="E0","QM",INDEX(10_ASIL_Matrix!$D$4:$F$15,MATCH(J454&amp;"-"&amp;L454,10_ASIL_Matrix!$C$4:$C$15,0),MATCH(N454,10_ASIL_Matrix!$D$3:$F$3,0)))))</f>
        <v>QM</v>
      </c>
      <c r="Q454" s="5" t="s">
        <v>1283</v>
      </c>
    </row>
    <row r="455" customFormat="false" ht="23.85" hidden="false" customHeight="false" outlineLevel="0" collapsed="false">
      <c r="A455" s="6" t="s">
        <v>1284</v>
      </c>
      <c r="B455" s="6" t="s">
        <v>119</v>
      </c>
      <c r="C455" s="6" t="s">
        <v>120</v>
      </c>
      <c r="D455" s="6" t="s">
        <v>135</v>
      </c>
      <c r="E455" s="6" t="s">
        <v>136</v>
      </c>
      <c r="F455" s="6" t="s">
        <v>184</v>
      </c>
      <c r="G455" s="6" t="s">
        <v>323</v>
      </c>
      <c r="H455" s="6" t="s">
        <v>201</v>
      </c>
      <c r="I455" s="6" t="s">
        <v>1285</v>
      </c>
      <c r="J455" s="6" t="s">
        <v>218</v>
      </c>
      <c r="K455" s="6" t="s">
        <v>325</v>
      </c>
      <c r="L455" s="6" t="s">
        <v>185</v>
      </c>
      <c r="M455" s="6" t="s">
        <v>331</v>
      </c>
      <c r="N455" s="6" t="s">
        <v>261</v>
      </c>
      <c r="O455" s="6" t="s">
        <v>465</v>
      </c>
      <c r="P455" s="6" t="str">
        <f aca="false">IF(J455="S0","—",IF(K455="","",IF(L455="E0","QM",INDEX(10_ASIL_Matrix!$D$4:$F$15,MATCH(J455&amp;"-"&amp;L455,10_ASIL_Matrix!$C$4:$C$15,0),MATCH(N455,10_ASIL_Matrix!$D$3:$F$3,0)))))</f>
        <v>QM</v>
      </c>
      <c r="Q455" s="6" t="s">
        <v>1283</v>
      </c>
    </row>
    <row r="456" customFormat="false" ht="35.05" hidden="false" customHeight="false" outlineLevel="0" collapsed="false">
      <c r="A456" s="5" t="s">
        <v>1286</v>
      </c>
      <c r="B456" s="5" t="s">
        <v>119</v>
      </c>
      <c r="C456" s="5" t="s">
        <v>120</v>
      </c>
      <c r="D456" s="5" t="s">
        <v>135</v>
      </c>
      <c r="E456" s="5" t="s">
        <v>136</v>
      </c>
      <c r="F456" s="5" t="s">
        <v>184</v>
      </c>
      <c r="G456" s="5" t="s">
        <v>323</v>
      </c>
      <c r="H456" s="5" t="s">
        <v>203</v>
      </c>
      <c r="I456" s="5" t="s">
        <v>1287</v>
      </c>
      <c r="J456" s="5" t="s">
        <v>218</v>
      </c>
      <c r="K456" s="5" t="s">
        <v>325</v>
      </c>
      <c r="L456" s="5" t="s">
        <v>185</v>
      </c>
      <c r="M456" s="5" t="s">
        <v>334</v>
      </c>
      <c r="N456" s="5" t="s">
        <v>261</v>
      </c>
      <c r="O456" s="5" t="s">
        <v>465</v>
      </c>
      <c r="P456" s="5" t="str">
        <f aca="false">IF(J456="S0","—",IF(K456="","",IF(L456="E0","QM",INDEX(10_ASIL_Matrix!$D$4:$F$15,MATCH(J456&amp;"-"&amp;L456,10_ASIL_Matrix!$C$4:$C$15,0),MATCH(N456,10_ASIL_Matrix!$D$3:$F$3,0)))))</f>
        <v>QM</v>
      </c>
      <c r="Q456" s="5" t="s">
        <v>1283</v>
      </c>
    </row>
    <row r="457" customFormat="false" ht="35.05" hidden="false" customHeight="false" outlineLevel="0" collapsed="false">
      <c r="A457" s="6" t="s">
        <v>1288</v>
      </c>
      <c r="B457" s="6" t="s">
        <v>119</v>
      </c>
      <c r="C457" s="6" t="s">
        <v>120</v>
      </c>
      <c r="D457" s="6" t="s">
        <v>135</v>
      </c>
      <c r="E457" s="6" t="s">
        <v>136</v>
      </c>
      <c r="F457" s="6" t="s">
        <v>184</v>
      </c>
      <c r="G457" s="6" t="s">
        <v>323</v>
      </c>
      <c r="H457" s="6" t="s">
        <v>205</v>
      </c>
      <c r="I457" s="6" t="s">
        <v>1289</v>
      </c>
      <c r="J457" s="6" t="s">
        <v>218</v>
      </c>
      <c r="K457" s="6" t="s">
        <v>325</v>
      </c>
      <c r="L457" s="6" t="s">
        <v>206</v>
      </c>
      <c r="M457" s="6" t="s">
        <v>337</v>
      </c>
      <c r="N457" s="6" t="s">
        <v>261</v>
      </c>
      <c r="O457" s="6" t="s">
        <v>465</v>
      </c>
      <c r="P457" s="6" t="str">
        <f aca="false">IF(J457="S0","—",IF(K457="","",IF(L457="E0","QM",INDEX(10_ASIL_Matrix!$D$4:$F$15,MATCH(J457&amp;"-"&amp;L457,10_ASIL_Matrix!$C$4:$C$15,0),MATCH(N457,10_ASIL_Matrix!$D$3:$F$3,0)))))</f>
        <v>QM</v>
      </c>
      <c r="Q457" s="6" t="s">
        <v>1283</v>
      </c>
    </row>
    <row r="458" customFormat="false" ht="23.85" hidden="false" customHeight="false" outlineLevel="0" collapsed="false">
      <c r="A458" s="5" t="s">
        <v>1290</v>
      </c>
      <c r="B458" s="5" t="s">
        <v>119</v>
      </c>
      <c r="C458" s="5" t="s">
        <v>120</v>
      </c>
      <c r="D458" s="5" t="s">
        <v>135</v>
      </c>
      <c r="E458" s="5" t="s">
        <v>136</v>
      </c>
      <c r="F458" s="5" t="s">
        <v>184</v>
      </c>
      <c r="G458" s="5" t="s">
        <v>323</v>
      </c>
      <c r="H458" s="5" t="s">
        <v>208</v>
      </c>
      <c r="I458" s="5" t="s">
        <v>1291</v>
      </c>
      <c r="J458" s="5" t="s">
        <v>218</v>
      </c>
      <c r="K458" s="5" t="s">
        <v>325</v>
      </c>
      <c r="L458" s="5" t="s">
        <v>209</v>
      </c>
      <c r="M458" s="5" t="s">
        <v>340</v>
      </c>
      <c r="N458" s="5" t="s">
        <v>261</v>
      </c>
      <c r="O458" s="5" t="s">
        <v>465</v>
      </c>
      <c r="P458" s="5" t="str">
        <f aca="false">IF(J458="S0","—",IF(K458="","",IF(L458="E0","QM",INDEX(10_ASIL_Matrix!$D$4:$F$15,MATCH(J458&amp;"-"&amp;L458,10_ASIL_Matrix!$C$4:$C$15,0),MATCH(N458,10_ASIL_Matrix!$D$3:$F$3,0)))))</f>
        <v>QM</v>
      </c>
      <c r="Q458" s="5" t="s">
        <v>1283</v>
      </c>
    </row>
    <row r="459" customFormat="false" ht="35.05" hidden="false" customHeight="false" outlineLevel="0" collapsed="false">
      <c r="A459" s="6" t="s">
        <v>1292</v>
      </c>
      <c r="B459" s="6" t="s">
        <v>119</v>
      </c>
      <c r="C459" s="6" t="s">
        <v>120</v>
      </c>
      <c r="D459" s="6" t="s">
        <v>135</v>
      </c>
      <c r="E459" s="6" t="s">
        <v>136</v>
      </c>
      <c r="F459" s="6" t="s">
        <v>187</v>
      </c>
      <c r="G459" s="6" t="s">
        <v>342</v>
      </c>
      <c r="H459" s="6" t="s">
        <v>199</v>
      </c>
      <c r="I459" s="6" t="s">
        <v>1293</v>
      </c>
      <c r="J459" s="6" t="s">
        <v>222</v>
      </c>
      <c r="K459" s="6" t="s">
        <v>344</v>
      </c>
      <c r="L459" s="6" t="s">
        <v>188</v>
      </c>
      <c r="M459" s="6" t="s">
        <v>345</v>
      </c>
      <c r="N459" s="6" t="s">
        <v>261</v>
      </c>
      <c r="O459" s="6" t="s">
        <v>476</v>
      </c>
      <c r="P459" s="15" t="str">
        <f aca="false">IF(J459="S0","—",IF(K459="","",IF(L459="E0","QM",INDEX(10_ASIL_Matrix!$D$4:$F$15,MATCH(J459&amp;"-"&amp;L459,10_ASIL_Matrix!$C$4:$C$15,0),MATCH(N459,10_ASIL_Matrix!$D$3:$F$3,0)))))</f>
        <v>B</v>
      </c>
      <c r="Q459" s="6" t="s">
        <v>1283</v>
      </c>
    </row>
    <row r="460" customFormat="false" ht="35.05" hidden="false" customHeight="false" outlineLevel="0" collapsed="false">
      <c r="A460" s="5" t="s">
        <v>1294</v>
      </c>
      <c r="B460" s="5" t="s">
        <v>119</v>
      </c>
      <c r="C460" s="5" t="s">
        <v>120</v>
      </c>
      <c r="D460" s="5" t="s">
        <v>135</v>
      </c>
      <c r="E460" s="5" t="s">
        <v>136</v>
      </c>
      <c r="F460" s="5" t="s">
        <v>187</v>
      </c>
      <c r="G460" s="5" t="s">
        <v>342</v>
      </c>
      <c r="H460" s="5" t="s">
        <v>201</v>
      </c>
      <c r="I460" s="5" t="s">
        <v>1295</v>
      </c>
      <c r="J460" s="5" t="s">
        <v>222</v>
      </c>
      <c r="K460" s="5" t="s">
        <v>344</v>
      </c>
      <c r="L460" s="5" t="s">
        <v>185</v>
      </c>
      <c r="M460" s="5" t="s">
        <v>348</v>
      </c>
      <c r="N460" s="5" t="s">
        <v>261</v>
      </c>
      <c r="O460" s="5" t="s">
        <v>476</v>
      </c>
      <c r="P460" s="16" t="str">
        <f aca="false">IF(J460="S0","—",IF(K460="","",IF(L460="E0","QM",INDEX(10_ASIL_Matrix!$D$4:$F$15,MATCH(J460&amp;"-"&amp;L460,10_ASIL_Matrix!$C$4:$C$15,0),MATCH(N460,10_ASIL_Matrix!$D$3:$F$3,0)))))</f>
        <v>A</v>
      </c>
      <c r="Q460" s="5" t="s">
        <v>1283</v>
      </c>
    </row>
    <row r="461" customFormat="false" ht="35.05" hidden="false" customHeight="false" outlineLevel="0" collapsed="false">
      <c r="A461" s="6" t="s">
        <v>1296</v>
      </c>
      <c r="B461" s="6" t="s">
        <v>119</v>
      </c>
      <c r="C461" s="6" t="s">
        <v>120</v>
      </c>
      <c r="D461" s="6" t="s">
        <v>135</v>
      </c>
      <c r="E461" s="6" t="s">
        <v>136</v>
      </c>
      <c r="F461" s="6" t="s">
        <v>187</v>
      </c>
      <c r="G461" s="6" t="s">
        <v>342</v>
      </c>
      <c r="H461" s="6" t="s">
        <v>203</v>
      </c>
      <c r="I461" s="6" t="s">
        <v>1297</v>
      </c>
      <c r="J461" s="6" t="s">
        <v>222</v>
      </c>
      <c r="K461" s="6" t="s">
        <v>344</v>
      </c>
      <c r="L461" s="6" t="s">
        <v>185</v>
      </c>
      <c r="M461" s="6" t="s">
        <v>351</v>
      </c>
      <c r="N461" s="6" t="s">
        <v>261</v>
      </c>
      <c r="O461" s="6" t="s">
        <v>476</v>
      </c>
      <c r="P461" s="16" t="str">
        <f aca="false">IF(J461="S0","—",IF(K461="","",IF(L461="E0","QM",INDEX(10_ASIL_Matrix!$D$4:$F$15,MATCH(J461&amp;"-"&amp;L461,10_ASIL_Matrix!$C$4:$C$15,0),MATCH(N461,10_ASIL_Matrix!$D$3:$F$3,0)))))</f>
        <v>A</v>
      </c>
      <c r="Q461" s="6" t="s">
        <v>1283</v>
      </c>
    </row>
    <row r="462" customFormat="false" ht="35.05" hidden="false" customHeight="false" outlineLevel="0" collapsed="false">
      <c r="A462" s="5" t="s">
        <v>1298</v>
      </c>
      <c r="B462" s="5" t="s">
        <v>119</v>
      </c>
      <c r="C462" s="5" t="s">
        <v>120</v>
      </c>
      <c r="D462" s="5" t="s">
        <v>135</v>
      </c>
      <c r="E462" s="5" t="s">
        <v>136</v>
      </c>
      <c r="F462" s="5" t="s">
        <v>187</v>
      </c>
      <c r="G462" s="5" t="s">
        <v>342</v>
      </c>
      <c r="H462" s="5" t="s">
        <v>205</v>
      </c>
      <c r="I462" s="5" t="s">
        <v>1299</v>
      </c>
      <c r="J462" s="5" t="s">
        <v>222</v>
      </c>
      <c r="K462" s="5" t="s">
        <v>354</v>
      </c>
      <c r="L462" s="5" t="s">
        <v>206</v>
      </c>
      <c r="M462" s="5" t="s">
        <v>355</v>
      </c>
      <c r="N462" s="5" t="s">
        <v>261</v>
      </c>
      <c r="O462" s="5" t="s">
        <v>476</v>
      </c>
      <c r="P462" s="5" t="str">
        <f aca="false">IF(J462="S0","—",IF(K462="","",IF(L462="E0","QM",INDEX(10_ASIL_Matrix!$D$4:$F$15,MATCH(J462&amp;"-"&amp;L462,10_ASIL_Matrix!$C$4:$C$15,0),MATCH(N462,10_ASIL_Matrix!$D$3:$F$3,0)))))</f>
        <v>QM</v>
      </c>
      <c r="Q462" s="5" t="s">
        <v>1283</v>
      </c>
    </row>
    <row r="463" customFormat="false" ht="35.05" hidden="false" customHeight="false" outlineLevel="0" collapsed="false">
      <c r="A463" s="6" t="s">
        <v>1300</v>
      </c>
      <c r="B463" s="6" t="s">
        <v>119</v>
      </c>
      <c r="C463" s="6" t="s">
        <v>120</v>
      </c>
      <c r="D463" s="6" t="s">
        <v>135</v>
      </c>
      <c r="E463" s="6" t="s">
        <v>136</v>
      </c>
      <c r="F463" s="6" t="s">
        <v>187</v>
      </c>
      <c r="G463" s="6" t="s">
        <v>342</v>
      </c>
      <c r="H463" s="6" t="s">
        <v>208</v>
      </c>
      <c r="I463" s="6" t="s">
        <v>1301</v>
      </c>
      <c r="J463" s="6" t="s">
        <v>222</v>
      </c>
      <c r="K463" s="6" t="s">
        <v>354</v>
      </c>
      <c r="L463" s="6" t="s">
        <v>209</v>
      </c>
      <c r="M463" s="6" t="s">
        <v>358</v>
      </c>
      <c r="N463" s="6" t="s">
        <v>261</v>
      </c>
      <c r="O463" s="6" t="s">
        <v>476</v>
      </c>
      <c r="P463" s="6" t="str">
        <f aca="false">IF(J463="S0","—",IF(K463="","",IF(L463="E0","QM",INDEX(10_ASIL_Matrix!$D$4:$F$15,MATCH(J463&amp;"-"&amp;L463,10_ASIL_Matrix!$C$4:$C$15,0),MATCH(N463,10_ASIL_Matrix!$D$3:$F$3,0)))))</f>
        <v>QM</v>
      </c>
      <c r="Q463" s="6" t="s">
        <v>1283</v>
      </c>
    </row>
    <row r="464" customFormat="false" ht="35.05" hidden="false" customHeight="false" outlineLevel="0" collapsed="false">
      <c r="A464" s="5" t="s">
        <v>1302</v>
      </c>
      <c r="B464" s="5" t="s">
        <v>119</v>
      </c>
      <c r="C464" s="5" t="s">
        <v>120</v>
      </c>
      <c r="D464" s="5" t="s">
        <v>135</v>
      </c>
      <c r="E464" s="5" t="s">
        <v>136</v>
      </c>
      <c r="F464" s="5" t="s">
        <v>190</v>
      </c>
      <c r="G464" s="5" t="s">
        <v>360</v>
      </c>
      <c r="H464" s="5" t="s">
        <v>199</v>
      </c>
      <c r="I464" s="5" t="s">
        <v>1303</v>
      </c>
      <c r="J464" s="5" t="s">
        <v>222</v>
      </c>
      <c r="K464" s="5" t="s">
        <v>362</v>
      </c>
      <c r="L464" s="5" t="s">
        <v>188</v>
      </c>
      <c r="M464" s="5" t="s">
        <v>363</v>
      </c>
      <c r="N464" s="5" t="s">
        <v>261</v>
      </c>
      <c r="O464" s="5" t="s">
        <v>540</v>
      </c>
      <c r="P464" s="15" t="str">
        <f aca="false">IF(J464="S0","—",IF(K464="","",IF(L464="E0","QM",INDEX(10_ASIL_Matrix!$D$4:$F$15,MATCH(J464&amp;"-"&amp;L464,10_ASIL_Matrix!$C$4:$C$15,0),MATCH(N464,10_ASIL_Matrix!$D$3:$F$3,0)))))</f>
        <v>B</v>
      </c>
      <c r="Q464" s="5" t="s">
        <v>1283</v>
      </c>
    </row>
    <row r="465" customFormat="false" ht="35.05" hidden="false" customHeight="false" outlineLevel="0" collapsed="false">
      <c r="A465" s="6" t="s">
        <v>1304</v>
      </c>
      <c r="B465" s="6" t="s">
        <v>119</v>
      </c>
      <c r="C465" s="6" t="s">
        <v>120</v>
      </c>
      <c r="D465" s="6" t="s">
        <v>135</v>
      </c>
      <c r="E465" s="6" t="s">
        <v>136</v>
      </c>
      <c r="F465" s="6" t="s">
        <v>190</v>
      </c>
      <c r="G465" s="6" t="s">
        <v>360</v>
      </c>
      <c r="H465" s="6" t="s">
        <v>201</v>
      </c>
      <c r="I465" s="6" t="s">
        <v>1305</v>
      </c>
      <c r="J465" s="6" t="s">
        <v>222</v>
      </c>
      <c r="K465" s="6" t="s">
        <v>362</v>
      </c>
      <c r="L465" s="6" t="s">
        <v>185</v>
      </c>
      <c r="M465" s="6" t="s">
        <v>366</v>
      </c>
      <c r="N465" s="6" t="s">
        <v>261</v>
      </c>
      <c r="O465" s="6" t="s">
        <v>540</v>
      </c>
      <c r="P465" s="16" t="str">
        <f aca="false">IF(J465="S0","—",IF(K465="","",IF(L465="E0","QM",INDEX(10_ASIL_Matrix!$D$4:$F$15,MATCH(J465&amp;"-"&amp;L465,10_ASIL_Matrix!$C$4:$C$15,0),MATCH(N465,10_ASIL_Matrix!$D$3:$F$3,0)))))</f>
        <v>A</v>
      </c>
      <c r="Q465" s="6" t="s">
        <v>1283</v>
      </c>
    </row>
    <row r="466" customFormat="false" ht="35.05" hidden="false" customHeight="false" outlineLevel="0" collapsed="false">
      <c r="A466" s="5" t="s">
        <v>1306</v>
      </c>
      <c r="B466" s="5" t="s">
        <v>119</v>
      </c>
      <c r="C466" s="5" t="s">
        <v>120</v>
      </c>
      <c r="D466" s="5" t="s">
        <v>135</v>
      </c>
      <c r="E466" s="5" t="s">
        <v>136</v>
      </c>
      <c r="F466" s="5" t="s">
        <v>190</v>
      </c>
      <c r="G466" s="5" t="s">
        <v>360</v>
      </c>
      <c r="H466" s="5" t="s">
        <v>203</v>
      </c>
      <c r="I466" s="5" t="s">
        <v>1307</v>
      </c>
      <c r="J466" s="5" t="s">
        <v>222</v>
      </c>
      <c r="K466" s="5" t="s">
        <v>362</v>
      </c>
      <c r="L466" s="5" t="s">
        <v>185</v>
      </c>
      <c r="M466" s="5" t="s">
        <v>369</v>
      </c>
      <c r="N466" s="5" t="s">
        <v>261</v>
      </c>
      <c r="O466" s="5" t="s">
        <v>540</v>
      </c>
      <c r="P466" s="16" t="str">
        <f aca="false">IF(J466="S0","—",IF(K466="","",IF(L466="E0","QM",INDEX(10_ASIL_Matrix!$D$4:$F$15,MATCH(J466&amp;"-"&amp;L466,10_ASIL_Matrix!$C$4:$C$15,0),MATCH(N466,10_ASIL_Matrix!$D$3:$F$3,0)))))</f>
        <v>A</v>
      </c>
      <c r="Q466" s="5" t="s">
        <v>1283</v>
      </c>
    </row>
    <row r="467" customFormat="false" ht="35.05" hidden="false" customHeight="false" outlineLevel="0" collapsed="false">
      <c r="A467" s="6" t="s">
        <v>1308</v>
      </c>
      <c r="B467" s="6" t="s">
        <v>119</v>
      </c>
      <c r="C467" s="6" t="s">
        <v>120</v>
      </c>
      <c r="D467" s="6" t="s">
        <v>135</v>
      </c>
      <c r="E467" s="6" t="s">
        <v>136</v>
      </c>
      <c r="F467" s="6" t="s">
        <v>190</v>
      </c>
      <c r="G467" s="6" t="s">
        <v>360</v>
      </c>
      <c r="H467" s="6" t="s">
        <v>205</v>
      </c>
      <c r="I467" s="6" t="s">
        <v>1309</v>
      </c>
      <c r="J467" s="6" t="s">
        <v>222</v>
      </c>
      <c r="K467" s="6" t="s">
        <v>372</v>
      </c>
      <c r="L467" s="6" t="s">
        <v>206</v>
      </c>
      <c r="M467" s="6" t="s">
        <v>373</v>
      </c>
      <c r="N467" s="6" t="s">
        <v>261</v>
      </c>
      <c r="O467" s="6" t="s">
        <v>540</v>
      </c>
      <c r="P467" s="6" t="str">
        <f aca="false">IF(J467="S0","—",IF(K467="","",IF(L467="E0","QM",INDEX(10_ASIL_Matrix!$D$4:$F$15,MATCH(J467&amp;"-"&amp;L467,10_ASIL_Matrix!$C$4:$C$15,0),MATCH(N467,10_ASIL_Matrix!$D$3:$F$3,0)))))</f>
        <v>QM</v>
      </c>
      <c r="Q467" s="6" t="s">
        <v>1283</v>
      </c>
    </row>
    <row r="468" customFormat="false" ht="35.05" hidden="false" customHeight="false" outlineLevel="0" collapsed="false">
      <c r="A468" s="5" t="s">
        <v>1310</v>
      </c>
      <c r="B468" s="5" t="s">
        <v>119</v>
      </c>
      <c r="C468" s="5" t="s">
        <v>120</v>
      </c>
      <c r="D468" s="5" t="s">
        <v>135</v>
      </c>
      <c r="E468" s="5" t="s">
        <v>136</v>
      </c>
      <c r="F468" s="5" t="s">
        <v>190</v>
      </c>
      <c r="G468" s="5" t="s">
        <v>360</v>
      </c>
      <c r="H468" s="5" t="s">
        <v>208</v>
      </c>
      <c r="I468" s="5" t="s">
        <v>1311</v>
      </c>
      <c r="J468" s="5" t="s">
        <v>222</v>
      </c>
      <c r="K468" s="5" t="s">
        <v>372</v>
      </c>
      <c r="L468" s="5" t="s">
        <v>209</v>
      </c>
      <c r="M468" s="5" t="s">
        <v>376</v>
      </c>
      <c r="N468" s="5" t="s">
        <v>261</v>
      </c>
      <c r="O468" s="5" t="s">
        <v>540</v>
      </c>
      <c r="P468" s="5" t="str">
        <f aca="false">IF(J468="S0","—",IF(K468="","",IF(L468="E0","QM",INDEX(10_ASIL_Matrix!$D$4:$F$15,MATCH(J468&amp;"-"&amp;L468,10_ASIL_Matrix!$C$4:$C$15,0),MATCH(N468,10_ASIL_Matrix!$D$3:$F$3,0)))))</f>
        <v>QM</v>
      </c>
      <c r="Q468" s="5" t="s">
        <v>1283</v>
      </c>
    </row>
    <row r="469" customFormat="false" ht="35.05" hidden="false" customHeight="false" outlineLevel="0" collapsed="false">
      <c r="A469" s="6" t="s">
        <v>1312</v>
      </c>
      <c r="B469" s="6" t="s">
        <v>119</v>
      </c>
      <c r="C469" s="6" t="s">
        <v>120</v>
      </c>
      <c r="D469" s="6" t="s">
        <v>135</v>
      </c>
      <c r="E469" s="6" t="s">
        <v>136</v>
      </c>
      <c r="F469" s="6" t="s">
        <v>192</v>
      </c>
      <c r="G469" s="6" t="s">
        <v>378</v>
      </c>
      <c r="H469" s="6" t="s">
        <v>199</v>
      </c>
      <c r="I469" s="6" t="s">
        <v>1313</v>
      </c>
      <c r="J469" s="6" t="s">
        <v>226</v>
      </c>
      <c r="K469" s="6" t="s">
        <v>380</v>
      </c>
      <c r="L469" s="6" t="s">
        <v>185</v>
      </c>
      <c r="M469" s="6" t="s">
        <v>381</v>
      </c>
      <c r="N469" s="6" t="s">
        <v>265</v>
      </c>
      <c r="O469" s="6" t="s">
        <v>551</v>
      </c>
      <c r="P469" s="17" t="str">
        <f aca="false">IF(J469="S0","—",IF(K469="","",IF(L469="E0","QM",INDEX(10_ASIL_Matrix!$D$4:$F$15,MATCH(J469&amp;"-"&amp;L469,10_ASIL_Matrix!$C$4:$C$15,0),MATCH(N469,10_ASIL_Matrix!$D$3:$F$3,0)))))</f>
        <v>C</v>
      </c>
      <c r="Q469" s="6" t="s">
        <v>1283</v>
      </c>
    </row>
    <row r="470" customFormat="false" ht="35.05" hidden="false" customHeight="false" outlineLevel="0" collapsed="false">
      <c r="A470" s="5" t="s">
        <v>1314</v>
      </c>
      <c r="B470" s="5" t="s">
        <v>119</v>
      </c>
      <c r="C470" s="5" t="s">
        <v>120</v>
      </c>
      <c r="D470" s="5" t="s">
        <v>135</v>
      </c>
      <c r="E470" s="5" t="s">
        <v>136</v>
      </c>
      <c r="F470" s="5" t="s">
        <v>192</v>
      </c>
      <c r="G470" s="5" t="s">
        <v>378</v>
      </c>
      <c r="H470" s="5" t="s">
        <v>201</v>
      </c>
      <c r="I470" s="5" t="s">
        <v>1315</v>
      </c>
      <c r="J470" s="5" t="s">
        <v>226</v>
      </c>
      <c r="K470" s="5" t="s">
        <v>380</v>
      </c>
      <c r="L470" s="5" t="s">
        <v>185</v>
      </c>
      <c r="M470" s="5" t="s">
        <v>384</v>
      </c>
      <c r="N470" s="5" t="s">
        <v>265</v>
      </c>
      <c r="O470" s="5" t="s">
        <v>551</v>
      </c>
      <c r="P470" s="17" t="str">
        <f aca="false">IF(J470="S0","—",IF(K470="","",IF(L470="E0","QM",INDEX(10_ASIL_Matrix!$D$4:$F$15,MATCH(J470&amp;"-"&amp;L470,10_ASIL_Matrix!$C$4:$C$15,0),MATCH(N470,10_ASIL_Matrix!$D$3:$F$3,0)))))</f>
        <v>C</v>
      </c>
      <c r="Q470" s="5" t="s">
        <v>1283</v>
      </c>
    </row>
    <row r="471" customFormat="false" ht="35.05" hidden="false" customHeight="false" outlineLevel="0" collapsed="false">
      <c r="A471" s="6" t="s">
        <v>1316</v>
      </c>
      <c r="B471" s="6" t="s">
        <v>119</v>
      </c>
      <c r="C471" s="6" t="s">
        <v>120</v>
      </c>
      <c r="D471" s="6" t="s">
        <v>135</v>
      </c>
      <c r="E471" s="6" t="s">
        <v>136</v>
      </c>
      <c r="F471" s="6" t="s">
        <v>192</v>
      </c>
      <c r="G471" s="6" t="s">
        <v>378</v>
      </c>
      <c r="H471" s="6" t="s">
        <v>203</v>
      </c>
      <c r="I471" s="6" t="s">
        <v>1317</v>
      </c>
      <c r="J471" s="6" t="s">
        <v>226</v>
      </c>
      <c r="K471" s="6" t="s">
        <v>380</v>
      </c>
      <c r="L471" s="6" t="s">
        <v>185</v>
      </c>
      <c r="M471" s="6" t="s">
        <v>387</v>
      </c>
      <c r="N471" s="6" t="s">
        <v>265</v>
      </c>
      <c r="O471" s="6" t="s">
        <v>551</v>
      </c>
      <c r="P471" s="17" t="str">
        <f aca="false">IF(J471="S0","—",IF(K471="","",IF(L471="E0","QM",INDEX(10_ASIL_Matrix!$D$4:$F$15,MATCH(J471&amp;"-"&amp;L471,10_ASIL_Matrix!$C$4:$C$15,0),MATCH(N471,10_ASIL_Matrix!$D$3:$F$3,0)))))</f>
        <v>C</v>
      </c>
      <c r="Q471" s="6" t="s">
        <v>1283</v>
      </c>
    </row>
    <row r="472" customFormat="false" ht="35.05" hidden="false" customHeight="false" outlineLevel="0" collapsed="false">
      <c r="A472" s="5" t="s">
        <v>1318</v>
      </c>
      <c r="B472" s="5" t="s">
        <v>119</v>
      </c>
      <c r="C472" s="5" t="s">
        <v>120</v>
      </c>
      <c r="D472" s="5" t="s">
        <v>135</v>
      </c>
      <c r="E472" s="5" t="s">
        <v>136</v>
      </c>
      <c r="F472" s="5" t="s">
        <v>192</v>
      </c>
      <c r="G472" s="5" t="s">
        <v>378</v>
      </c>
      <c r="H472" s="5" t="s">
        <v>205</v>
      </c>
      <c r="I472" s="5" t="s">
        <v>1319</v>
      </c>
      <c r="J472" s="5" t="s">
        <v>226</v>
      </c>
      <c r="K472" s="5" t="s">
        <v>390</v>
      </c>
      <c r="L472" s="5" t="s">
        <v>206</v>
      </c>
      <c r="M472" s="5" t="s">
        <v>391</v>
      </c>
      <c r="N472" s="5" t="s">
        <v>265</v>
      </c>
      <c r="O472" s="5" t="s">
        <v>551</v>
      </c>
      <c r="P472" s="15" t="str">
        <f aca="false">IF(J472="S0","—",IF(K472="","",IF(L472="E0","QM",INDEX(10_ASIL_Matrix!$D$4:$F$15,MATCH(J472&amp;"-"&amp;L472,10_ASIL_Matrix!$C$4:$C$15,0),MATCH(N472,10_ASIL_Matrix!$D$3:$F$3,0)))))</f>
        <v>B</v>
      </c>
      <c r="Q472" s="5" t="s">
        <v>1283</v>
      </c>
    </row>
    <row r="473" customFormat="false" ht="35.05" hidden="false" customHeight="false" outlineLevel="0" collapsed="false">
      <c r="A473" s="6" t="s">
        <v>1320</v>
      </c>
      <c r="B473" s="6" t="s">
        <v>119</v>
      </c>
      <c r="C473" s="6" t="s">
        <v>120</v>
      </c>
      <c r="D473" s="6" t="s">
        <v>135</v>
      </c>
      <c r="E473" s="6" t="s">
        <v>136</v>
      </c>
      <c r="F473" s="6" t="s">
        <v>192</v>
      </c>
      <c r="G473" s="6" t="s">
        <v>378</v>
      </c>
      <c r="H473" s="6" t="s">
        <v>208</v>
      </c>
      <c r="I473" s="6" t="s">
        <v>1321</v>
      </c>
      <c r="J473" s="6" t="s">
        <v>226</v>
      </c>
      <c r="K473" s="6" t="s">
        <v>390</v>
      </c>
      <c r="L473" s="6" t="s">
        <v>209</v>
      </c>
      <c r="M473" s="6" t="s">
        <v>394</v>
      </c>
      <c r="N473" s="6" t="s">
        <v>265</v>
      </c>
      <c r="O473" s="6" t="s">
        <v>551</v>
      </c>
      <c r="P473" s="16" t="str">
        <f aca="false">IF(J473="S0","—",IF(K473="","",IF(L473="E0","QM",INDEX(10_ASIL_Matrix!$D$4:$F$15,MATCH(J473&amp;"-"&amp;L473,10_ASIL_Matrix!$C$4:$C$15,0),MATCH(N473,10_ASIL_Matrix!$D$3:$F$3,0)))))</f>
        <v>A</v>
      </c>
      <c r="Q473" s="6" t="s">
        <v>1283</v>
      </c>
    </row>
    <row r="474" customFormat="false" ht="35.05" hidden="false" customHeight="false" outlineLevel="0" collapsed="false">
      <c r="A474" s="5" t="s">
        <v>1322</v>
      </c>
      <c r="B474" s="5" t="s">
        <v>119</v>
      </c>
      <c r="C474" s="5" t="s">
        <v>120</v>
      </c>
      <c r="D474" s="5" t="s">
        <v>135</v>
      </c>
      <c r="E474" s="5" t="s">
        <v>136</v>
      </c>
      <c r="F474" s="5" t="s">
        <v>194</v>
      </c>
      <c r="G474" s="5" t="s">
        <v>396</v>
      </c>
      <c r="H474" s="5" t="s">
        <v>199</v>
      </c>
      <c r="I474" s="5" t="s">
        <v>1323</v>
      </c>
      <c r="J474" s="5" t="s">
        <v>226</v>
      </c>
      <c r="K474" s="5" t="s">
        <v>398</v>
      </c>
      <c r="L474" s="5" t="s">
        <v>188</v>
      </c>
      <c r="M474" s="5" t="s">
        <v>399</v>
      </c>
      <c r="N474" s="5" t="s">
        <v>265</v>
      </c>
      <c r="O474" s="5" t="s">
        <v>562</v>
      </c>
      <c r="P474" s="18" t="str">
        <f aca="false">IF(J474="S0","—",IF(K474="","",IF(L474="E0","QM",INDEX(10_ASIL_Matrix!$D$4:$F$15,MATCH(J474&amp;"-"&amp;L474,10_ASIL_Matrix!$C$4:$C$15,0),MATCH(N474,10_ASIL_Matrix!$D$3:$F$3,0)))))</f>
        <v>D</v>
      </c>
      <c r="Q474" s="5" t="s">
        <v>1283</v>
      </c>
    </row>
    <row r="475" customFormat="false" ht="35.05" hidden="false" customHeight="false" outlineLevel="0" collapsed="false">
      <c r="A475" s="6" t="s">
        <v>1324</v>
      </c>
      <c r="B475" s="6" t="s">
        <v>119</v>
      </c>
      <c r="C475" s="6" t="s">
        <v>120</v>
      </c>
      <c r="D475" s="6" t="s">
        <v>135</v>
      </c>
      <c r="E475" s="6" t="s">
        <v>136</v>
      </c>
      <c r="F475" s="6" t="s">
        <v>194</v>
      </c>
      <c r="G475" s="6" t="s">
        <v>396</v>
      </c>
      <c r="H475" s="6" t="s">
        <v>201</v>
      </c>
      <c r="I475" s="6" t="s">
        <v>1325</v>
      </c>
      <c r="J475" s="6" t="s">
        <v>226</v>
      </c>
      <c r="K475" s="6" t="s">
        <v>398</v>
      </c>
      <c r="L475" s="6" t="s">
        <v>185</v>
      </c>
      <c r="M475" s="6" t="s">
        <v>402</v>
      </c>
      <c r="N475" s="6" t="s">
        <v>265</v>
      </c>
      <c r="O475" s="6" t="s">
        <v>562</v>
      </c>
      <c r="P475" s="17" t="str">
        <f aca="false">IF(J475="S0","—",IF(K475="","",IF(L475="E0","QM",INDEX(10_ASIL_Matrix!$D$4:$F$15,MATCH(J475&amp;"-"&amp;L475,10_ASIL_Matrix!$C$4:$C$15,0),MATCH(N475,10_ASIL_Matrix!$D$3:$F$3,0)))))</f>
        <v>C</v>
      </c>
      <c r="Q475" s="6" t="s">
        <v>1283</v>
      </c>
    </row>
    <row r="476" customFormat="false" ht="35.05" hidden="false" customHeight="false" outlineLevel="0" collapsed="false">
      <c r="A476" s="5" t="s">
        <v>1326</v>
      </c>
      <c r="B476" s="5" t="s">
        <v>119</v>
      </c>
      <c r="C476" s="5" t="s">
        <v>120</v>
      </c>
      <c r="D476" s="5" t="s">
        <v>135</v>
      </c>
      <c r="E476" s="5" t="s">
        <v>136</v>
      </c>
      <c r="F476" s="5" t="s">
        <v>194</v>
      </c>
      <c r="G476" s="5" t="s">
        <v>396</v>
      </c>
      <c r="H476" s="5" t="s">
        <v>203</v>
      </c>
      <c r="I476" s="5" t="s">
        <v>1327</v>
      </c>
      <c r="J476" s="5" t="s">
        <v>226</v>
      </c>
      <c r="K476" s="5" t="s">
        <v>398</v>
      </c>
      <c r="L476" s="5" t="s">
        <v>185</v>
      </c>
      <c r="M476" s="5" t="s">
        <v>405</v>
      </c>
      <c r="N476" s="5" t="s">
        <v>265</v>
      </c>
      <c r="O476" s="5" t="s">
        <v>562</v>
      </c>
      <c r="P476" s="17" t="str">
        <f aca="false">IF(J476="S0","—",IF(K476="","",IF(L476="E0","QM",INDEX(10_ASIL_Matrix!$D$4:$F$15,MATCH(J476&amp;"-"&amp;L476,10_ASIL_Matrix!$C$4:$C$15,0),MATCH(N476,10_ASIL_Matrix!$D$3:$F$3,0)))))</f>
        <v>C</v>
      </c>
      <c r="Q476" s="5" t="s">
        <v>1283</v>
      </c>
    </row>
    <row r="477" customFormat="false" ht="35.05" hidden="false" customHeight="false" outlineLevel="0" collapsed="false">
      <c r="A477" s="6" t="s">
        <v>1328</v>
      </c>
      <c r="B477" s="6" t="s">
        <v>119</v>
      </c>
      <c r="C477" s="6" t="s">
        <v>120</v>
      </c>
      <c r="D477" s="6" t="s">
        <v>135</v>
      </c>
      <c r="E477" s="6" t="s">
        <v>136</v>
      </c>
      <c r="F477" s="6" t="s">
        <v>194</v>
      </c>
      <c r="G477" s="6" t="s">
        <v>396</v>
      </c>
      <c r="H477" s="6" t="s">
        <v>205</v>
      </c>
      <c r="I477" s="6" t="s">
        <v>1329</v>
      </c>
      <c r="J477" s="6" t="s">
        <v>226</v>
      </c>
      <c r="K477" s="6" t="s">
        <v>408</v>
      </c>
      <c r="L477" s="6" t="s">
        <v>206</v>
      </c>
      <c r="M477" s="6" t="s">
        <v>409</v>
      </c>
      <c r="N477" s="6" t="s">
        <v>265</v>
      </c>
      <c r="O477" s="6" t="s">
        <v>562</v>
      </c>
      <c r="P477" s="15" t="str">
        <f aca="false">IF(J477="S0","—",IF(K477="","",IF(L477="E0","QM",INDEX(10_ASIL_Matrix!$D$4:$F$15,MATCH(J477&amp;"-"&amp;L477,10_ASIL_Matrix!$C$4:$C$15,0),MATCH(N477,10_ASIL_Matrix!$D$3:$F$3,0)))))</f>
        <v>B</v>
      </c>
      <c r="Q477" s="6" t="s">
        <v>1283</v>
      </c>
    </row>
    <row r="478" customFormat="false" ht="35.05" hidden="false" customHeight="false" outlineLevel="0" collapsed="false">
      <c r="A478" s="5" t="s">
        <v>1330</v>
      </c>
      <c r="B478" s="5" t="s">
        <v>119</v>
      </c>
      <c r="C478" s="5" t="s">
        <v>120</v>
      </c>
      <c r="D478" s="5" t="s">
        <v>135</v>
      </c>
      <c r="E478" s="5" t="s">
        <v>136</v>
      </c>
      <c r="F478" s="5" t="s">
        <v>194</v>
      </c>
      <c r="G478" s="5" t="s">
        <v>396</v>
      </c>
      <c r="H478" s="5" t="s">
        <v>208</v>
      </c>
      <c r="I478" s="5" t="s">
        <v>1331</v>
      </c>
      <c r="J478" s="5" t="s">
        <v>226</v>
      </c>
      <c r="K478" s="5" t="s">
        <v>408</v>
      </c>
      <c r="L478" s="5" t="s">
        <v>209</v>
      </c>
      <c r="M478" s="5" t="s">
        <v>412</v>
      </c>
      <c r="N478" s="5" t="s">
        <v>265</v>
      </c>
      <c r="O478" s="5" t="s">
        <v>562</v>
      </c>
      <c r="P478" s="16" t="str">
        <f aca="false">IF(J478="S0","—",IF(K478="","",IF(L478="E0","QM",INDEX(10_ASIL_Matrix!$D$4:$F$15,MATCH(J478&amp;"-"&amp;L478,10_ASIL_Matrix!$C$4:$C$15,0),MATCH(N478,10_ASIL_Matrix!$D$3:$F$3,0)))))</f>
        <v>A</v>
      </c>
      <c r="Q478" s="5" t="s">
        <v>1283</v>
      </c>
    </row>
    <row r="479" customFormat="false" ht="35.05" hidden="false" customHeight="false" outlineLevel="0" collapsed="false">
      <c r="A479" s="6" t="s">
        <v>1332</v>
      </c>
      <c r="B479" s="6" t="s">
        <v>119</v>
      </c>
      <c r="C479" s="6" t="s">
        <v>120</v>
      </c>
      <c r="D479" s="6" t="s">
        <v>141</v>
      </c>
      <c r="E479" s="6" t="s">
        <v>142</v>
      </c>
      <c r="F479" s="6" t="s">
        <v>184</v>
      </c>
      <c r="G479" s="6" t="s">
        <v>323</v>
      </c>
      <c r="H479" s="6" t="s">
        <v>199</v>
      </c>
      <c r="I479" s="6" t="s">
        <v>1333</v>
      </c>
      <c r="J479" s="6" t="s">
        <v>218</v>
      </c>
      <c r="K479" s="6" t="s">
        <v>325</v>
      </c>
      <c r="L479" s="6" t="s">
        <v>185</v>
      </c>
      <c r="M479" s="6" t="s">
        <v>326</v>
      </c>
      <c r="N479" s="6" t="s">
        <v>261</v>
      </c>
      <c r="O479" s="6" t="s">
        <v>465</v>
      </c>
      <c r="P479" s="6" t="str">
        <f aca="false">IF(J479="S0","—",IF(K479="","",IF(L479="E0","QM",INDEX(10_ASIL_Matrix!$D$4:$F$15,MATCH(J479&amp;"-"&amp;L479,10_ASIL_Matrix!$C$4:$C$15,0),MATCH(N479,10_ASIL_Matrix!$D$3:$F$3,0)))))</f>
        <v>QM</v>
      </c>
      <c r="Q479" s="6" t="s">
        <v>1283</v>
      </c>
    </row>
    <row r="480" customFormat="false" ht="23.85" hidden="false" customHeight="false" outlineLevel="0" collapsed="false">
      <c r="A480" s="5" t="s">
        <v>1334</v>
      </c>
      <c r="B480" s="5" t="s">
        <v>119</v>
      </c>
      <c r="C480" s="5" t="s">
        <v>120</v>
      </c>
      <c r="D480" s="5" t="s">
        <v>141</v>
      </c>
      <c r="E480" s="5" t="s">
        <v>142</v>
      </c>
      <c r="F480" s="5" t="s">
        <v>184</v>
      </c>
      <c r="G480" s="5" t="s">
        <v>323</v>
      </c>
      <c r="H480" s="5" t="s">
        <v>201</v>
      </c>
      <c r="I480" s="5" t="s">
        <v>1335</v>
      </c>
      <c r="J480" s="5" t="s">
        <v>218</v>
      </c>
      <c r="K480" s="5" t="s">
        <v>325</v>
      </c>
      <c r="L480" s="5" t="s">
        <v>185</v>
      </c>
      <c r="M480" s="5" t="s">
        <v>331</v>
      </c>
      <c r="N480" s="5" t="s">
        <v>261</v>
      </c>
      <c r="O480" s="5" t="s">
        <v>465</v>
      </c>
      <c r="P480" s="5" t="str">
        <f aca="false">IF(J480="S0","—",IF(K480="","",IF(L480="E0","QM",INDEX(10_ASIL_Matrix!$D$4:$F$15,MATCH(J480&amp;"-"&amp;L480,10_ASIL_Matrix!$C$4:$C$15,0),MATCH(N480,10_ASIL_Matrix!$D$3:$F$3,0)))))</f>
        <v>QM</v>
      </c>
      <c r="Q480" s="5" t="s">
        <v>1283</v>
      </c>
    </row>
    <row r="481" customFormat="false" ht="35.05" hidden="false" customHeight="false" outlineLevel="0" collapsed="false">
      <c r="A481" s="6" t="s">
        <v>1336</v>
      </c>
      <c r="B481" s="6" t="s">
        <v>119</v>
      </c>
      <c r="C481" s="6" t="s">
        <v>120</v>
      </c>
      <c r="D481" s="6" t="s">
        <v>141</v>
      </c>
      <c r="E481" s="6" t="s">
        <v>142</v>
      </c>
      <c r="F481" s="6" t="s">
        <v>184</v>
      </c>
      <c r="G481" s="6" t="s">
        <v>323</v>
      </c>
      <c r="H481" s="6" t="s">
        <v>203</v>
      </c>
      <c r="I481" s="6" t="s">
        <v>1337</v>
      </c>
      <c r="J481" s="6" t="s">
        <v>218</v>
      </c>
      <c r="K481" s="6" t="s">
        <v>325</v>
      </c>
      <c r="L481" s="6" t="s">
        <v>185</v>
      </c>
      <c r="M481" s="6" t="s">
        <v>334</v>
      </c>
      <c r="N481" s="6" t="s">
        <v>261</v>
      </c>
      <c r="O481" s="6" t="s">
        <v>465</v>
      </c>
      <c r="P481" s="6" t="str">
        <f aca="false">IF(J481="S0","—",IF(K481="","",IF(L481="E0","QM",INDEX(10_ASIL_Matrix!$D$4:$F$15,MATCH(J481&amp;"-"&amp;L481,10_ASIL_Matrix!$C$4:$C$15,0),MATCH(N481,10_ASIL_Matrix!$D$3:$F$3,0)))))</f>
        <v>QM</v>
      </c>
      <c r="Q481" s="6" t="s">
        <v>1283</v>
      </c>
    </row>
    <row r="482" customFormat="false" ht="35.05" hidden="false" customHeight="false" outlineLevel="0" collapsed="false">
      <c r="A482" s="5" t="s">
        <v>1338</v>
      </c>
      <c r="B482" s="5" t="s">
        <v>119</v>
      </c>
      <c r="C482" s="5" t="s">
        <v>120</v>
      </c>
      <c r="D482" s="5" t="s">
        <v>141</v>
      </c>
      <c r="E482" s="5" t="s">
        <v>142</v>
      </c>
      <c r="F482" s="5" t="s">
        <v>184</v>
      </c>
      <c r="G482" s="5" t="s">
        <v>323</v>
      </c>
      <c r="H482" s="5" t="s">
        <v>205</v>
      </c>
      <c r="I482" s="5" t="s">
        <v>1339</v>
      </c>
      <c r="J482" s="5" t="s">
        <v>218</v>
      </c>
      <c r="K482" s="5" t="s">
        <v>325</v>
      </c>
      <c r="L482" s="5" t="s">
        <v>206</v>
      </c>
      <c r="M482" s="5" t="s">
        <v>337</v>
      </c>
      <c r="N482" s="5" t="s">
        <v>261</v>
      </c>
      <c r="O482" s="5" t="s">
        <v>465</v>
      </c>
      <c r="P482" s="5" t="str">
        <f aca="false">IF(J482="S0","—",IF(K482="","",IF(L482="E0","QM",INDEX(10_ASIL_Matrix!$D$4:$F$15,MATCH(J482&amp;"-"&amp;L482,10_ASIL_Matrix!$C$4:$C$15,0),MATCH(N482,10_ASIL_Matrix!$D$3:$F$3,0)))))</f>
        <v>QM</v>
      </c>
      <c r="Q482" s="5" t="s">
        <v>1283</v>
      </c>
    </row>
    <row r="483" customFormat="false" ht="23.85" hidden="false" customHeight="false" outlineLevel="0" collapsed="false">
      <c r="A483" s="6" t="s">
        <v>1340</v>
      </c>
      <c r="B483" s="6" t="s">
        <v>119</v>
      </c>
      <c r="C483" s="6" t="s">
        <v>120</v>
      </c>
      <c r="D483" s="6" t="s">
        <v>141</v>
      </c>
      <c r="E483" s="6" t="s">
        <v>142</v>
      </c>
      <c r="F483" s="6" t="s">
        <v>184</v>
      </c>
      <c r="G483" s="6" t="s">
        <v>323</v>
      </c>
      <c r="H483" s="6" t="s">
        <v>208</v>
      </c>
      <c r="I483" s="6" t="s">
        <v>1341</v>
      </c>
      <c r="J483" s="6" t="s">
        <v>218</v>
      </c>
      <c r="K483" s="6" t="s">
        <v>325</v>
      </c>
      <c r="L483" s="6" t="s">
        <v>209</v>
      </c>
      <c r="M483" s="6" t="s">
        <v>340</v>
      </c>
      <c r="N483" s="6" t="s">
        <v>261</v>
      </c>
      <c r="O483" s="6" t="s">
        <v>465</v>
      </c>
      <c r="P483" s="6" t="str">
        <f aca="false">IF(J483="S0","—",IF(K483="","",IF(L483="E0","QM",INDEX(10_ASIL_Matrix!$D$4:$F$15,MATCH(J483&amp;"-"&amp;L483,10_ASIL_Matrix!$C$4:$C$15,0),MATCH(N483,10_ASIL_Matrix!$D$3:$F$3,0)))))</f>
        <v>QM</v>
      </c>
      <c r="Q483" s="6" t="s">
        <v>1283</v>
      </c>
    </row>
    <row r="484" customFormat="false" ht="35.05" hidden="false" customHeight="false" outlineLevel="0" collapsed="false">
      <c r="A484" s="5" t="s">
        <v>1342</v>
      </c>
      <c r="B484" s="5" t="s">
        <v>119</v>
      </c>
      <c r="C484" s="5" t="s">
        <v>120</v>
      </c>
      <c r="D484" s="5" t="s">
        <v>141</v>
      </c>
      <c r="E484" s="5" t="s">
        <v>142</v>
      </c>
      <c r="F484" s="5" t="s">
        <v>187</v>
      </c>
      <c r="G484" s="5" t="s">
        <v>342</v>
      </c>
      <c r="H484" s="5" t="s">
        <v>199</v>
      </c>
      <c r="I484" s="5" t="s">
        <v>1343</v>
      </c>
      <c r="J484" s="5" t="s">
        <v>222</v>
      </c>
      <c r="K484" s="5" t="s">
        <v>344</v>
      </c>
      <c r="L484" s="5" t="s">
        <v>188</v>
      </c>
      <c r="M484" s="5" t="s">
        <v>345</v>
      </c>
      <c r="N484" s="5" t="s">
        <v>261</v>
      </c>
      <c r="O484" s="5" t="s">
        <v>476</v>
      </c>
      <c r="P484" s="15" t="str">
        <f aca="false">IF(J484="S0","—",IF(K484="","",IF(L484="E0","QM",INDEX(10_ASIL_Matrix!$D$4:$F$15,MATCH(J484&amp;"-"&amp;L484,10_ASIL_Matrix!$C$4:$C$15,0),MATCH(N484,10_ASIL_Matrix!$D$3:$F$3,0)))))</f>
        <v>B</v>
      </c>
      <c r="Q484" s="5" t="s">
        <v>1283</v>
      </c>
    </row>
    <row r="485" customFormat="false" ht="35.05" hidden="false" customHeight="false" outlineLevel="0" collapsed="false">
      <c r="A485" s="6" t="s">
        <v>1344</v>
      </c>
      <c r="B485" s="6" t="s">
        <v>119</v>
      </c>
      <c r="C485" s="6" t="s">
        <v>120</v>
      </c>
      <c r="D485" s="6" t="s">
        <v>141</v>
      </c>
      <c r="E485" s="6" t="s">
        <v>142</v>
      </c>
      <c r="F485" s="6" t="s">
        <v>187</v>
      </c>
      <c r="G485" s="6" t="s">
        <v>342</v>
      </c>
      <c r="H485" s="6" t="s">
        <v>201</v>
      </c>
      <c r="I485" s="6" t="s">
        <v>1345</v>
      </c>
      <c r="J485" s="6" t="s">
        <v>222</v>
      </c>
      <c r="K485" s="6" t="s">
        <v>344</v>
      </c>
      <c r="L485" s="6" t="s">
        <v>185</v>
      </c>
      <c r="M485" s="6" t="s">
        <v>348</v>
      </c>
      <c r="N485" s="6" t="s">
        <v>261</v>
      </c>
      <c r="O485" s="6" t="s">
        <v>476</v>
      </c>
      <c r="P485" s="16" t="str">
        <f aca="false">IF(J485="S0","—",IF(K485="","",IF(L485="E0","QM",INDEX(10_ASIL_Matrix!$D$4:$F$15,MATCH(J485&amp;"-"&amp;L485,10_ASIL_Matrix!$C$4:$C$15,0),MATCH(N485,10_ASIL_Matrix!$D$3:$F$3,0)))))</f>
        <v>A</v>
      </c>
      <c r="Q485" s="6" t="s">
        <v>1283</v>
      </c>
    </row>
    <row r="486" customFormat="false" ht="35.05" hidden="false" customHeight="false" outlineLevel="0" collapsed="false">
      <c r="A486" s="5" t="s">
        <v>1346</v>
      </c>
      <c r="B486" s="5" t="s">
        <v>119</v>
      </c>
      <c r="C486" s="5" t="s">
        <v>120</v>
      </c>
      <c r="D486" s="5" t="s">
        <v>141</v>
      </c>
      <c r="E486" s="5" t="s">
        <v>142</v>
      </c>
      <c r="F486" s="5" t="s">
        <v>187</v>
      </c>
      <c r="G486" s="5" t="s">
        <v>342</v>
      </c>
      <c r="H486" s="5" t="s">
        <v>203</v>
      </c>
      <c r="I486" s="5" t="s">
        <v>1347</v>
      </c>
      <c r="J486" s="5" t="s">
        <v>222</v>
      </c>
      <c r="K486" s="5" t="s">
        <v>344</v>
      </c>
      <c r="L486" s="5" t="s">
        <v>185</v>
      </c>
      <c r="M486" s="5" t="s">
        <v>351</v>
      </c>
      <c r="N486" s="5" t="s">
        <v>261</v>
      </c>
      <c r="O486" s="5" t="s">
        <v>476</v>
      </c>
      <c r="P486" s="16" t="str">
        <f aca="false">IF(J486="S0","—",IF(K486="","",IF(L486="E0","QM",INDEX(10_ASIL_Matrix!$D$4:$F$15,MATCH(J486&amp;"-"&amp;L486,10_ASIL_Matrix!$C$4:$C$15,0),MATCH(N486,10_ASIL_Matrix!$D$3:$F$3,0)))))</f>
        <v>A</v>
      </c>
      <c r="Q486" s="5" t="s">
        <v>1283</v>
      </c>
    </row>
    <row r="487" customFormat="false" ht="35.05" hidden="false" customHeight="false" outlineLevel="0" collapsed="false">
      <c r="A487" s="6" t="s">
        <v>1348</v>
      </c>
      <c r="B487" s="6" t="s">
        <v>119</v>
      </c>
      <c r="C487" s="6" t="s">
        <v>120</v>
      </c>
      <c r="D487" s="6" t="s">
        <v>141</v>
      </c>
      <c r="E487" s="6" t="s">
        <v>142</v>
      </c>
      <c r="F487" s="6" t="s">
        <v>187</v>
      </c>
      <c r="G487" s="6" t="s">
        <v>342</v>
      </c>
      <c r="H487" s="6" t="s">
        <v>205</v>
      </c>
      <c r="I487" s="6" t="s">
        <v>1349</v>
      </c>
      <c r="J487" s="6" t="s">
        <v>222</v>
      </c>
      <c r="K487" s="6" t="s">
        <v>354</v>
      </c>
      <c r="L487" s="6" t="s">
        <v>206</v>
      </c>
      <c r="M487" s="6" t="s">
        <v>355</v>
      </c>
      <c r="N487" s="6" t="s">
        <v>261</v>
      </c>
      <c r="O487" s="6" t="s">
        <v>476</v>
      </c>
      <c r="P487" s="6" t="str">
        <f aca="false">IF(J487="S0","—",IF(K487="","",IF(L487="E0","QM",INDEX(10_ASIL_Matrix!$D$4:$F$15,MATCH(J487&amp;"-"&amp;L487,10_ASIL_Matrix!$C$4:$C$15,0),MATCH(N487,10_ASIL_Matrix!$D$3:$F$3,0)))))</f>
        <v>QM</v>
      </c>
      <c r="Q487" s="6" t="s">
        <v>1283</v>
      </c>
    </row>
    <row r="488" customFormat="false" ht="35.05" hidden="false" customHeight="false" outlineLevel="0" collapsed="false">
      <c r="A488" s="5" t="s">
        <v>1350</v>
      </c>
      <c r="B488" s="5" t="s">
        <v>119</v>
      </c>
      <c r="C488" s="5" t="s">
        <v>120</v>
      </c>
      <c r="D488" s="5" t="s">
        <v>141</v>
      </c>
      <c r="E488" s="5" t="s">
        <v>142</v>
      </c>
      <c r="F488" s="5" t="s">
        <v>187</v>
      </c>
      <c r="G488" s="5" t="s">
        <v>342</v>
      </c>
      <c r="H488" s="5" t="s">
        <v>208</v>
      </c>
      <c r="I488" s="5" t="s">
        <v>1351</v>
      </c>
      <c r="J488" s="5" t="s">
        <v>222</v>
      </c>
      <c r="K488" s="5" t="s">
        <v>354</v>
      </c>
      <c r="L488" s="5" t="s">
        <v>209</v>
      </c>
      <c r="M488" s="5" t="s">
        <v>358</v>
      </c>
      <c r="N488" s="5" t="s">
        <v>261</v>
      </c>
      <c r="O488" s="5" t="s">
        <v>476</v>
      </c>
      <c r="P488" s="5" t="str">
        <f aca="false">IF(J488="S0","—",IF(K488="","",IF(L488="E0","QM",INDEX(10_ASIL_Matrix!$D$4:$F$15,MATCH(J488&amp;"-"&amp;L488,10_ASIL_Matrix!$C$4:$C$15,0),MATCH(N488,10_ASIL_Matrix!$D$3:$F$3,0)))))</f>
        <v>QM</v>
      </c>
      <c r="Q488" s="5" t="s">
        <v>1283</v>
      </c>
    </row>
    <row r="489" customFormat="false" ht="35.05" hidden="false" customHeight="false" outlineLevel="0" collapsed="false">
      <c r="A489" s="6" t="s">
        <v>1352</v>
      </c>
      <c r="B489" s="6" t="s">
        <v>119</v>
      </c>
      <c r="C489" s="6" t="s">
        <v>120</v>
      </c>
      <c r="D489" s="6" t="s">
        <v>141</v>
      </c>
      <c r="E489" s="6" t="s">
        <v>142</v>
      </c>
      <c r="F489" s="6" t="s">
        <v>190</v>
      </c>
      <c r="G489" s="6" t="s">
        <v>360</v>
      </c>
      <c r="H489" s="6" t="s">
        <v>199</v>
      </c>
      <c r="I489" s="6" t="s">
        <v>1353</v>
      </c>
      <c r="J489" s="6" t="s">
        <v>222</v>
      </c>
      <c r="K489" s="6" t="s">
        <v>362</v>
      </c>
      <c r="L489" s="6" t="s">
        <v>188</v>
      </c>
      <c r="M489" s="6" t="s">
        <v>363</v>
      </c>
      <c r="N489" s="6" t="s">
        <v>265</v>
      </c>
      <c r="O489" s="6" t="s">
        <v>487</v>
      </c>
      <c r="P489" s="17" t="str">
        <f aca="false">IF(J489="S0","—",IF(K489="","",IF(L489="E0","QM",INDEX(10_ASIL_Matrix!$D$4:$F$15,MATCH(J489&amp;"-"&amp;L489,10_ASIL_Matrix!$C$4:$C$15,0),MATCH(N489,10_ASIL_Matrix!$D$3:$F$3,0)))))</f>
        <v>C</v>
      </c>
      <c r="Q489" s="6" t="s">
        <v>1283</v>
      </c>
    </row>
    <row r="490" customFormat="false" ht="35.05" hidden="false" customHeight="false" outlineLevel="0" collapsed="false">
      <c r="A490" s="5" t="s">
        <v>1354</v>
      </c>
      <c r="B490" s="5" t="s">
        <v>119</v>
      </c>
      <c r="C490" s="5" t="s">
        <v>120</v>
      </c>
      <c r="D490" s="5" t="s">
        <v>141</v>
      </c>
      <c r="E490" s="5" t="s">
        <v>142</v>
      </c>
      <c r="F490" s="5" t="s">
        <v>190</v>
      </c>
      <c r="G490" s="5" t="s">
        <v>360</v>
      </c>
      <c r="H490" s="5" t="s">
        <v>201</v>
      </c>
      <c r="I490" s="5" t="s">
        <v>1355</v>
      </c>
      <c r="J490" s="5" t="s">
        <v>222</v>
      </c>
      <c r="K490" s="5" t="s">
        <v>362</v>
      </c>
      <c r="L490" s="5" t="s">
        <v>185</v>
      </c>
      <c r="M490" s="5" t="s">
        <v>366</v>
      </c>
      <c r="N490" s="5" t="s">
        <v>265</v>
      </c>
      <c r="O490" s="5" t="s">
        <v>487</v>
      </c>
      <c r="P490" s="15" t="str">
        <f aca="false">IF(J490="S0","—",IF(K490="","",IF(L490="E0","QM",INDEX(10_ASIL_Matrix!$D$4:$F$15,MATCH(J490&amp;"-"&amp;L490,10_ASIL_Matrix!$C$4:$C$15,0),MATCH(N490,10_ASIL_Matrix!$D$3:$F$3,0)))))</f>
        <v>B</v>
      </c>
      <c r="Q490" s="5" t="s">
        <v>1283</v>
      </c>
    </row>
    <row r="491" customFormat="false" ht="35.05" hidden="false" customHeight="false" outlineLevel="0" collapsed="false">
      <c r="A491" s="6" t="s">
        <v>1356</v>
      </c>
      <c r="B491" s="6" t="s">
        <v>119</v>
      </c>
      <c r="C491" s="6" t="s">
        <v>120</v>
      </c>
      <c r="D491" s="6" t="s">
        <v>141</v>
      </c>
      <c r="E491" s="6" t="s">
        <v>142</v>
      </c>
      <c r="F491" s="6" t="s">
        <v>190</v>
      </c>
      <c r="G491" s="6" t="s">
        <v>360</v>
      </c>
      <c r="H491" s="6" t="s">
        <v>203</v>
      </c>
      <c r="I491" s="6" t="s">
        <v>1357</v>
      </c>
      <c r="J491" s="6" t="s">
        <v>222</v>
      </c>
      <c r="K491" s="6" t="s">
        <v>362</v>
      </c>
      <c r="L491" s="6" t="s">
        <v>185</v>
      </c>
      <c r="M491" s="6" t="s">
        <v>369</v>
      </c>
      <c r="N491" s="6" t="s">
        <v>265</v>
      </c>
      <c r="O491" s="6" t="s">
        <v>487</v>
      </c>
      <c r="P491" s="15" t="str">
        <f aca="false">IF(J491="S0","—",IF(K491="","",IF(L491="E0","QM",INDEX(10_ASIL_Matrix!$D$4:$F$15,MATCH(J491&amp;"-"&amp;L491,10_ASIL_Matrix!$C$4:$C$15,0),MATCH(N491,10_ASIL_Matrix!$D$3:$F$3,0)))))</f>
        <v>B</v>
      </c>
      <c r="Q491" s="6" t="s">
        <v>1283</v>
      </c>
    </row>
    <row r="492" customFormat="false" ht="35.05" hidden="false" customHeight="false" outlineLevel="0" collapsed="false">
      <c r="A492" s="5" t="s">
        <v>1358</v>
      </c>
      <c r="B492" s="5" t="s">
        <v>119</v>
      </c>
      <c r="C492" s="5" t="s">
        <v>120</v>
      </c>
      <c r="D492" s="5" t="s">
        <v>141</v>
      </c>
      <c r="E492" s="5" t="s">
        <v>142</v>
      </c>
      <c r="F492" s="5" t="s">
        <v>190</v>
      </c>
      <c r="G492" s="5" t="s">
        <v>360</v>
      </c>
      <c r="H492" s="5" t="s">
        <v>205</v>
      </c>
      <c r="I492" s="5" t="s">
        <v>1359</v>
      </c>
      <c r="J492" s="5" t="s">
        <v>222</v>
      </c>
      <c r="K492" s="5" t="s">
        <v>372</v>
      </c>
      <c r="L492" s="5" t="s">
        <v>206</v>
      </c>
      <c r="M492" s="5" t="s">
        <v>373</v>
      </c>
      <c r="N492" s="5" t="s">
        <v>265</v>
      </c>
      <c r="O492" s="5" t="s">
        <v>487</v>
      </c>
      <c r="P492" s="16" t="str">
        <f aca="false">IF(J492="S0","—",IF(K492="","",IF(L492="E0","QM",INDEX(10_ASIL_Matrix!$D$4:$F$15,MATCH(J492&amp;"-"&amp;L492,10_ASIL_Matrix!$C$4:$C$15,0),MATCH(N492,10_ASIL_Matrix!$D$3:$F$3,0)))))</f>
        <v>A</v>
      </c>
      <c r="Q492" s="5" t="s">
        <v>1283</v>
      </c>
    </row>
    <row r="493" customFormat="false" ht="35.05" hidden="false" customHeight="false" outlineLevel="0" collapsed="false">
      <c r="A493" s="6" t="s">
        <v>1360</v>
      </c>
      <c r="B493" s="6" t="s">
        <v>119</v>
      </c>
      <c r="C493" s="6" t="s">
        <v>120</v>
      </c>
      <c r="D493" s="6" t="s">
        <v>141</v>
      </c>
      <c r="E493" s="6" t="s">
        <v>142</v>
      </c>
      <c r="F493" s="6" t="s">
        <v>190</v>
      </c>
      <c r="G493" s="6" t="s">
        <v>360</v>
      </c>
      <c r="H493" s="6" t="s">
        <v>208</v>
      </c>
      <c r="I493" s="6" t="s">
        <v>1361</v>
      </c>
      <c r="J493" s="6" t="s">
        <v>222</v>
      </c>
      <c r="K493" s="6" t="s">
        <v>372</v>
      </c>
      <c r="L493" s="6" t="s">
        <v>209</v>
      </c>
      <c r="M493" s="6" t="s">
        <v>376</v>
      </c>
      <c r="N493" s="6" t="s">
        <v>265</v>
      </c>
      <c r="O493" s="6" t="s">
        <v>487</v>
      </c>
      <c r="P493" s="6" t="str">
        <f aca="false">IF(J493="S0","—",IF(K493="","",IF(L493="E0","QM",INDEX(10_ASIL_Matrix!$D$4:$F$15,MATCH(J493&amp;"-"&amp;L493,10_ASIL_Matrix!$C$4:$C$15,0),MATCH(N493,10_ASIL_Matrix!$D$3:$F$3,0)))))</f>
        <v>QM</v>
      </c>
      <c r="Q493" s="6" t="s">
        <v>1283</v>
      </c>
    </row>
    <row r="494" customFormat="false" ht="35.05" hidden="false" customHeight="false" outlineLevel="0" collapsed="false">
      <c r="A494" s="5" t="s">
        <v>1362</v>
      </c>
      <c r="B494" s="5" t="s">
        <v>119</v>
      </c>
      <c r="C494" s="5" t="s">
        <v>120</v>
      </c>
      <c r="D494" s="5" t="s">
        <v>141</v>
      </c>
      <c r="E494" s="5" t="s">
        <v>142</v>
      </c>
      <c r="F494" s="5" t="s">
        <v>192</v>
      </c>
      <c r="G494" s="5" t="s">
        <v>378</v>
      </c>
      <c r="H494" s="5" t="s">
        <v>199</v>
      </c>
      <c r="I494" s="5" t="s">
        <v>1363</v>
      </c>
      <c r="J494" s="5" t="s">
        <v>226</v>
      </c>
      <c r="K494" s="5" t="s">
        <v>380</v>
      </c>
      <c r="L494" s="5" t="s">
        <v>185</v>
      </c>
      <c r="M494" s="5" t="s">
        <v>381</v>
      </c>
      <c r="N494" s="5" t="s">
        <v>265</v>
      </c>
      <c r="O494" s="5" t="s">
        <v>498</v>
      </c>
      <c r="P494" s="17" t="str">
        <f aca="false">IF(J494="S0","—",IF(K494="","",IF(L494="E0","QM",INDEX(10_ASIL_Matrix!$D$4:$F$15,MATCH(J494&amp;"-"&amp;L494,10_ASIL_Matrix!$C$4:$C$15,0),MATCH(N494,10_ASIL_Matrix!$D$3:$F$3,0)))))</f>
        <v>C</v>
      </c>
      <c r="Q494" s="5" t="s">
        <v>1283</v>
      </c>
    </row>
    <row r="495" customFormat="false" ht="35.05" hidden="false" customHeight="false" outlineLevel="0" collapsed="false">
      <c r="A495" s="6" t="s">
        <v>1364</v>
      </c>
      <c r="B495" s="6" t="s">
        <v>119</v>
      </c>
      <c r="C495" s="6" t="s">
        <v>120</v>
      </c>
      <c r="D495" s="6" t="s">
        <v>141</v>
      </c>
      <c r="E495" s="6" t="s">
        <v>142</v>
      </c>
      <c r="F495" s="6" t="s">
        <v>192</v>
      </c>
      <c r="G495" s="6" t="s">
        <v>378</v>
      </c>
      <c r="H495" s="6" t="s">
        <v>201</v>
      </c>
      <c r="I495" s="6" t="s">
        <v>1365</v>
      </c>
      <c r="J495" s="6" t="s">
        <v>226</v>
      </c>
      <c r="K495" s="6" t="s">
        <v>380</v>
      </c>
      <c r="L495" s="6" t="s">
        <v>185</v>
      </c>
      <c r="M495" s="6" t="s">
        <v>384</v>
      </c>
      <c r="N495" s="6" t="s">
        <v>265</v>
      </c>
      <c r="O495" s="6" t="s">
        <v>498</v>
      </c>
      <c r="P495" s="17" t="str">
        <f aca="false">IF(J495="S0","—",IF(K495="","",IF(L495="E0","QM",INDEX(10_ASIL_Matrix!$D$4:$F$15,MATCH(J495&amp;"-"&amp;L495,10_ASIL_Matrix!$C$4:$C$15,0),MATCH(N495,10_ASIL_Matrix!$D$3:$F$3,0)))))</f>
        <v>C</v>
      </c>
      <c r="Q495" s="6" t="s">
        <v>1283</v>
      </c>
    </row>
    <row r="496" customFormat="false" ht="35.05" hidden="false" customHeight="false" outlineLevel="0" collapsed="false">
      <c r="A496" s="5" t="s">
        <v>1366</v>
      </c>
      <c r="B496" s="5" t="s">
        <v>119</v>
      </c>
      <c r="C496" s="5" t="s">
        <v>120</v>
      </c>
      <c r="D496" s="5" t="s">
        <v>141</v>
      </c>
      <c r="E496" s="5" t="s">
        <v>142</v>
      </c>
      <c r="F496" s="5" t="s">
        <v>192</v>
      </c>
      <c r="G496" s="5" t="s">
        <v>378</v>
      </c>
      <c r="H496" s="5" t="s">
        <v>203</v>
      </c>
      <c r="I496" s="5" t="s">
        <v>1367</v>
      </c>
      <c r="J496" s="5" t="s">
        <v>226</v>
      </c>
      <c r="K496" s="5" t="s">
        <v>380</v>
      </c>
      <c r="L496" s="5" t="s">
        <v>185</v>
      </c>
      <c r="M496" s="5" t="s">
        <v>387</v>
      </c>
      <c r="N496" s="5" t="s">
        <v>265</v>
      </c>
      <c r="O496" s="5" t="s">
        <v>498</v>
      </c>
      <c r="P496" s="17" t="str">
        <f aca="false">IF(J496="S0","—",IF(K496="","",IF(L496="E0","QM",INDEX(10_ASIL_Matrix!$D$4:$F$15,MATCH(J496&amp;"-"&amp;L496,10_ASIL_Matrix!$C$4:$C$15,0),MATCH(N496,10_ASIL_Matrix!$D$3:$F$3,0)))))</f>
        <v>C</v>
      </c>
      <c r="Q496" s="5" t="s">
        <v>1283</v>
      </c>
    </row>
    <row r="497" customFormat="false" ht="35.05" hidden="false" customHeight="false" outlineLevel="0" collapsed="false">
      <c r="A497" s="6" t="s">
        <v>1368</v>
      </c>
      <c r="B497" s="6" t="s">
        <v>119</v>
      </c>
      <c r="C497" s="6" t="s">
        <v>120</v>
      </c>
      <c r="D497" s="6" t="s">
        <v>141</v>
      </c>
      <c r="E497" s="6" t="s">
        <v>142</v>
      </c>
      <c r="F497" s="6" t="s">
        <v>192</v>
      </c>
      <c r="G497" s="6" t="s">
        <v>378</v>
      </c>
      <c r="H497" s="6" t="s">
        <v>205</v>
      </c>
      <c r="I497" s="6" t="s">
        <v>1369</v>
      </c>
      <c r="J497" s="6" t="s">
        <v>226</v>
      </c>
      <c r="K497" s="6" t="s">
        <v>390</v>
      </c>
      <c r="L497" s="6" t="s">
        <v>206</v>
      </c>
      <c r="M497" s="6" t="s">
        <v>391</v>
      </c>
      <c r="N497" s="6" t="s">
        <v>265</v>
      </c>
      <c r="O497" s="6" t="s">
        <v>498</v>
      </c>
      <c r="P497" s="15" t="str">
        <f aca="false">IF(J497="S0","—",IF(K497="","",IF(L497="E0","QM",INDEX(10_ASIL_Matrix!$D$4:$F$15,MATCH(J497&amp;"-"&amp;L497,10_ASIL_Matrix!$C$4:$C$15,0),MATCH(N497,10_ASIL_Matrix!$D$3:$F$3,0)))))</f>
        <v>B</v>
      </c>
      <c r="Q497" s="6" t="s">
        <v>1283</v>
      </c>
    </row>
    <row r="498" customFormat="false" ht="35.05" hidden="false" customHeight="false" outlineLevel="0" collapsed="false">
      <c r="A498" s="5" t="s">
        <v>1370</v>
      </c>
      <c r="B498" s="5" t="s">
        <v>119</v>
      </c>
      <c r="C498" s="5" t="s">
        <v>120</v>
      </c>
      <c r="D498" s="5" t="s">
        <v>141</v>
      </c>
      <c r="E498" s="5" t="s">
        <v>142</v>
      </c>
      <c r="F498" s="5" t="s">
        <v>192</v>
      </c>
      <c r="G498" s="5" t="s">
        <v>378</v>
      </c>
      <c r="H498" s="5" t="s">
        <v>208</v>
      </c>
      <c r="I498" s="5" t="s">
        <v>1371</v>
      </c>
      <c r="J498" s="5" t="s">
        <v>226</v>
      </c>
      <c r="K498" s="5" t="s">
        <v>390</v>
      </c>
      <c r="L498" s="5" t="s">
        <v>209</v>
      </c>
      <c r="M498" s="5" t="s">
        <v>394</v>
      </c>
      <c r="N498" s="5" t="s">
        <v>265</v>
      </c>
      <c r="O498" s="5" t="s">
        <v>498</v>
      </c>
      <c r="P498" s="16" t="str">
        <f aca="false">IF(J498="S0","—",IF(K498="","",IF(L498="E0","QM",INDEX(10_ASIL_Matrix!$D$4:$F$15,MATCH(J498&amp;"-"&amp;L498,10_ASIL_Matrix!$C$4:$C$15,0),MATCH(N498,10_ASIL_Matrix!$D$3:$F$3,0)))))</f>
        <v>A</v>
      </c>
      <c r="Q498" s="5" t="s">
        <v>1283</v>
      </c>
    </row>
    <row r="499" customFormat="false" ht="35.05" hidden="false" customHeight="false" outlineLevel="0" collapsed="false">
      <c r="A499" s="6" t="s">
        <v>1372</v>
      </c>
      <c r="B499" s="6" t="s">
        <v>119</v>
      </c>
      <c r="C499" s="6" t="s">
        <v>120</v>
      </c>
      <c r="D499" s="6" t="s">
        <v>141</v>
      </c>
      <c r="E499" s="6" t="s">
        <v>142</v>
      </c>
      <c r="F499" s="6" t="s">
        <v>194</v>
      </c>
      <c r="G499" s="6" t="s">
        <v>396</v>
      </c>
      <c r="H499" s="6" t="s">
        <v>199</v>
      </c>
      <c r="I499" s="6" t="s">
        <v>1373</v>
      </c>
      <c r="J499" s="6" t="s">
        <v>226</v>
      </c>
      <c r="K499" s="6" t="s">
        <v>398</v>
      </c>
      <c r="L499" s="6" t="s">
        <v>188</v>
      </c>
      <c r="M499" s="6" t="s">
        <v>399</v>
      </c>
      <c r="N499" s="6" t="s">
        <v>265</v>
      </c>
      <c r="O499" s="6" t="s">
        <v>509</v>
      </c>
      <c r="P499" s="18" t="str">
        <f aca="false">IF(J499="S0","—",IF(K499="","",IF(L499="E0","QM",INDEX(10_ASIL_Matrix!$D$4:$F$15,MATCH(J499&amp;"-"&amp;L499,10_ASIL_Matrix!$C$4:$C$15,0),MATCH(N499,10_ASIL_Matrix!$D$3:$F$3,0)))))</f>
        <v>D</v>
      </c>
      <c r="Q499" s="6" t="s">
        <v>1283</v>
      </c>
    </row>
    <row r="500" customFormat="false" ht="35.05" hidden="false" customHeight="false" outlineLevel="0" collapsed="false">
      <c r="A500" s="5" t="s">
        <v>1374</v>
      </c>
      <c r="B500" s="5" t="s">
        <v>119</v>
      </c>
      <c r="C500" s="5" t="s">
        <v>120</v>
      </c>
      <c r="D500" s="5" t="s">
        <v>141</v>
      </c>
      <c r="E500" s="5" t="s">
        <v>142</v>
      </c>
      <c r="F500" s="5" t="s">
        <v>194</v>
      </c>
      <c r="G500" s="5" t="s">
        <v>396</v>
      </c>
      <c r="H500" s="5" t="s">
        <v>201</v>
      </c>
      <c r="I500" s="5" t="s">
        <v>1375</v>
      </c>
      <c r="J500" s="5" t="s">
        <v>226</v>
      </c>
      <c r="K500" s="5" t="s">
        <v>398</v>
      </c>
      <c r="L500" s="5" t="s">
        <v>185</v>
      </c>
      <c r="M500" s="5" t="s">
        <v>402</v>
      </c>
      <c r="N500" s="5" t="s">
        <v>265</v>
      </c>
      <c r="O500" s="5" t="s">
        <v>509</v>
      </c>
      <c r="P500" s="17" t="str">
        <f aca="false">IF(J500="S0","—",IF(K500="","",IF(L500="E0","QM",INDEX(10_ASIL_Matrix!$D$4:$F$15,MATCH(J500&amp;"-"&amp;L500,10_ASIL_Matrix!$C$4:$C$15,0),MATCH(N500,10_ASIL_Matrix!$D$3:$F$3,0)))))</f>
        <v>C</v>
      </c>
      <c r="Q500" s="5" t="s">
        <v>1283</v>
      </c>
    </row>
    <row r="501" customFormat="false" ht="35.05" hidden="false" customHeight="false" outlineLevel="0" collapsed="false">
      <c r="A501" s="6" t="s">
        <v>1376</v>
      </c>
      <c r="B501" s="6" t="s">
        <v>119</v>
      </c>
      <c r="C501" s="6" t="s">
        <v>120</v>
      </c>
      <c r="D501" s="6" t="s">
        <v>141</v>
      </c>
      <c r="E501" s="6" t="s">
        <v>142</v>
      </c>
      <c r="F501" s="6" t="s">
        <v>194</v>
      </c>
      <c r="G501" s="6" t="s">
        <v>396</v>
      </c>
      <c r="H501" s="6" t="s">
        <v>203</v>
      </c>
      <c r="I501" s="6" t="s">
        <v>1377</v>
      </c>
      <c r="J501" s="6" t="s">
        <v>226</v>
      </c>
      <c r="K501" s="6" t="s">
        <v>398</v>
      </c>
      <c r="L501" s="6" t="s">
        <v>185</v>
      </c>
      <c r="M501" s="6" t="s">
        <v>405</v>
      </c>
      <c r="N501" s="6" t="s">
        <v>265</v>
      </c>
      <c r="O501" s="6" t="s">
        <v>509</v>
      </c>
      <c r="P501" s="17" t="str">
        <f aca="false">IF(J501="S0","—",IF(K501="","",IF(L501="E0","QM",INDEX(10_ASIL_Matrix!$D$4:$F$15,MATCH(J501&amp;"-"&amp;L501,10_ASIL_Matrix!$C$4:$C$15,0),MATCH(N501,10_ASIL_Matrix!$D$3:$F$3,0)))))</f>
        <v>C</v>
      </c>
      <c r="Q501" s="6" t="s">
        <v>1283</v>
      </c>
    </row>
    <row r="502" customFormat="false" ht="35.05" hidden="false" customHeight="false" outlineLevel="0" collapsed="false">
      <c r="A502" s="5" t="s">
        <v>1378</v>
      </c>
      <c r="B502" s="5" t="s">
        <v>119</v>
      </c>
      <c r="C502" s="5" t="s">
        <v>120</v>
      </c>
      <c r="D502" s="5" t="s">
        <v>141</v>
      </c>
      <c r="E502" s="5" t="s">
        <v>142</v>
      </c>
      <c r="F502" s="5" t="s">
        <v>194</v>
      </c>
      <c r="G502" s="5" t="s">
        <v>396</v>
      </c>
      <c r="H502" s="5" t="s">
        <v>205</v>
      </c>
      <c r="I502" s="5" t="s">
        <v>1379</v>
      </c>
      <c r="J502" s="5" t="s">
        <v>226</v>
      </c>
      <c r="K502" s="5" t="s">
        <v>408</v>
      </c>
      <c r="L502" s="5" t="s">
        <v>206</v>
      </c>
      <c r="M502" s="5" t="s">
        <v>409</v>
      </c>
      <c r="N502" s="5" t="s">
        <v>265</v>
      </c>
      <c r="O502" s="5" t="s">
        <v>509</v>
      </c>
      <c r="P502" s="15" t="str">
        <f aca="false">IF(J502="S0","—",IF(K502="","",IF(L502="E0","QM",INDEX(10_ASIL_Matrix!$D$4:$F$15,MATCH(J502&amp;"-"&amp;L502,10_ASIL_Matrix!$C$4:$C$15,0),MATCH(N502,10_ASIL_Matrix!$D$3:$F$3,0)))))</f>
        <v>B</v>
      </c>
      <c r="Q502" s="5" t="s">
        <v>1283</v>
      </c>
    </row>
    <row r="503" customFormat="false" ht="35.05" hidden="false" customHeight="false" outlineLevel="0" collapsed="false">
      <c r="A503" s="6" t="s">
        <v>1380</v>
      </c>
      <c r="B503" s="6" t="s">
        <v>119</v>
      </c>
      <c r="C503" s="6" t="s">
        <v>120</v>
      </c>
      <c r="D503" s="6" t="s">
        <v>141</v>
      </c>
      <c r="E503" s="6" t="s">
        <v>142</v>
      </c>
      <c r="F503" s="6" t="s">
        <v>194</v>
      </c>
      <c r="G503" s="6" t="s">
        <v>396</v>
      </c>
      <c r="H503" s="6" t="s">
        <v>208</v>
      </c>
      <c r="I503" s="6" t="s">
        <v>1381</v>
      </c>
      <c r="J503" s="6" t="s">
        <v>226</v>
      </c>
      <c r="K503" s="6" t="s">
        <v>408</v>
      </c>
      <c r="L503" s="6" t="s">
        <v>209</v>
      </c>
      <c r="M503" s="6" t="s">
        <v>412</v>
      </c>
      <c r="N503" s="6" t="s">
        <v>265</v>
      </c>
      <c r="O503" s="6" t="s">
        <v>509</v>
      </c>
      <c r="P503" s="16" t="str">
        <f aca="false">IF(J503="S0","—",IF(K503="","",IF(L503="E0","QM",INDEX(10_ASIL_Matrix!$D$4:$F$15,MATCH(J503&amp;"-"&amp;L503,10_ASIL_Matrix!$C$4:$C$15,0),MATCH(N503,10_ASIL_Matrix!$D$3:$F$3,0)))))</f>
        <v>A</v>
      </c>
      <c r="Q503" s="6" t="s">
        <v>1283</v>
      </c>
    </row>
    <row r="504" customFormat="false" ht="35.05" hidden="false" customHeight="false" outlineLevel="0" collapsed="false">
      <c r="A504" s="5" t="s">
        <v>1382</v>
      </c>
      <c r="B504" s="5" t="s">
        <v>119</v>
      </c>
      <c r="C504" s="5" t="s">
        <v>120</v>
      </c>
      <c r="D504" s="5" t="s">
        <v>156</v>
      </c>
      <c r="E504" s="5" t="s">
        <v>157</v>
      </c>
      <c r="F504" s="5" t="s">
        <v>184</v>
      </c>
      <c r="G504" s="5" t="s">
        <v>323</v>
      </c>
      <c r="H504" s="5" t="s">
        <v>199</v>
      </c>
      <c r="I504" s="5" t="s">
        <v>1383</v>
      </c>
      <c r="J504" s="5" t="s">
        <v>218</v>
      </c>
      <c r="K504" s="5" t="s">
        <v>325</v>
      </c>
      <c r="L504" s="5" t="s">
        <v>185</v>
      </c>
      <c r="M504" s="5" t="s">
        <v>326</v>
      </c>
      <c r="N504" s="5" t="s">
        <v>261</v>
      </c>
      <c r="O504" s="5" t="s">
        <v>465</v>
      </c>
      <c r="P504" s="5" t="str">
        <f aca="false">IF(J504="S0","—",IF(K504="","",IF(L504="E0","QM",INDEX(10_ASIL_Matrix!$D$4:$F$15,MATCH(J504&amp;"-"&amp;L504,10_ASIL_Matrix!$C$4:$C$15,0),MATCH(N504,10_ASIL_Matrix!$D$3:$F$3,0)))))</f>
        <v>QM</v>
      </c>
      <c r="Q504" s="5" t="s">
        <v>1283</v>
      </c>
    </row>
    <row r="505" customFormat="false" ht="23.85" hidden="false" customHeight="false" outlineLevel="0" collapsed="false">
      <c r="A505" s="6" t="s">
        <v>1384</v>
      </c>
      <c r="B505" s="6" t="s">
        <v>119</v>
      </c>
      <c r="C505" s="6" t="s">
        <v>120</v>
      </c>
      <c r="D505" s="6" t="s">
        <v>156</v>
      </c>
      <c r="E505" s="6" t="s">
        <v>157</v>
      </c>
      <c r="F505" s="6" t="s">
        <v>184</v>
      </c>
      <c r="G505" s="6" t="s">
        <v>323</v>
      </c>
      <c r="H505" s="6" t="s">
        <v>201</v>
      </c>
      <c r="I505" s="6" t="s">
        <v>1385</v>
      </c>
      <c r="J505" s="6" t="s">
        <v>218</v>
      </c>
      <c r="K505" s="6" t="s">
        <v>325</v>
      </c>
      <c r="L505" s="6" t="s">
        <v>185</v>
      </c>
      <c r="M505" s="6" t="s">
        <v>331</v>
      </c>
      <c r="N505" s="6" t="s">
        <v>261</v>
      </c>
      <c r="O505" s="6" t="s">
        <v>465</v>
      </c>
      <c r="P505" s="6" t="str">
        <f aca="false">IF(J505="S0","—",IF(K505="","",IF(L505="E0","QM",INDEX(10_ASIL_Matrix!$D$4:$F$15,MATCH(J505&amp;"-"&amp;L505,10_ASIL_Matrix!$C$4:$C$15,0),MATCH(N505,10_ASIL_Matrix!$D$3:$F$3,0)))))</f>
        <v>QM</v>
      </c>
      <c r="Q505" s="6" t="s">
        <v>1283</v>
      </c>
    </row>
    <row r="506" customFormat="false" ht="35.05" hidden="false" customHeight="false" outlineLevel="0" collapsed="false">
      <c r="A506" s="5" t="s">
        <v>1386</v>
      </c>
      <c r="B506" s="5" t="s">
        <v>119</v>
      </c>
      <c r="C506" s="5" t="s">
        <v>120</v>
      </c>
      <c r="D506" s="5" t="s">
        <v>156</v>
      </c>
      <c r="E506" s="5" t="s">
        <v>157</v>
      </c>
      <c r="F506" s="5" t="s">
        <v>184</v>
      </c>
      <c r="G506" s="5" t="s">
        <v>323</v>
      </c>
      <c r="H506" s="5" t="s">
        <v>203</v>
      </c>
      <c r="I506" s="5" t="s">
        <v>1387</v>
      </c>
      <c r="J506" s="5" t="s">
        <v>218</v>
      </c>
      <c r="K506" s="5" t="s">
        <v>325</v>
      </c>
      <c r="L506" s="5" t="s">
        <v>185</v>
      </c>
      <c r="M506" s="5" t="s">
        <v>334</v>
      </c>
      <c r="N506" s="5" t="s">
        <v>261</v>
      </c>
      <c r="O506" s="5" t="s">
        <v>465</v>
      </c>
      <c r="P506" s="5" t="str">
        <f aca="false">IF(J506="S0","—",IF(K506="","",IF(L506="E0","QM",INDEX(10_ASIL_Matrix!$D$4:$F$15,MATCH(J506&amp;"-"&amp;L506,10_ASIL_Matrix!$C$4:$C$15,0),MATCH(N506,10_ASIL_Matrix!$D$3:$F$3,0)))))</f>
        <v>QM</v>
      </c>
      <c r="Q506" s="5" t="s">
        <v>1283</v>
      </c>
    </row>
    <row r="507" customFormat="false" ht="35.05" hidden="false" customHeight="false" outlineLevel="0" collapsed="false">
      <c r="A507" s="6" t="s">
        <v>1388</v>
      </c>
      <c r="B507" s="6" t="s">
        <v>119</v>
      </c>
      <c r="C507" s="6" t="s">
        <v>120</v>
      </c>
      <c r="D507" s="6" t="s">
        <v>156</v>
      </c>
      <c r="E507" s="6" t="s">
        <v>157</v>
      </c>
      <c r="F507" s="6" t="s">
        <v>184</v>
      </c>
      <c r="G507" s="6" t="s">
        <v>323</v>
      </c>
      <c r="H507" s="6" t="s">
        <v>205</v>
      </c>
      <c r="I507" s="6" t="s">
        <v>1389</v>
      </c>
      <c r="J507" s="6" t="s">
        <v>218</v>
      </c>
      <c r="K507" s="6" t="s">
        <v>325</v>
      </c>
      <c r="L507" s="6" t="s">
        <v>206</v>
      </c>
      <c r="M507" s="6" t="s">
        <v>337</v>
      </c>
      <c r="N507" s="6" t="s">
        <v>261</v>
      </c>
      <c r="O507" s="6" t="s">
        <v>465</v>
      </c>
      <c r="P507" s="6" t="str">
        <f aca="false">IF(J507="S0","—",IF(K507="","",IF(L507="E0","QM",INDEX(10_ASIL_Matrix!$D$4:$F$15,MATCH(J507&amp;"-"&amp;L507,10_ASIL_Matrix!$C$4:$C$15,0),MATCH(N507,10_ASIL_Matrix!$D$3:$F$3,0)))))</f>
        <v>QM</v>
      </c>
      <c r="Q507" s="6" t="s">
        <v>1283</v>
      </c>
    </row>
    <row r="508" customFormat="false" ht="23.85" hidden="false" customHeight="false" outlineLevel="0" collapsed="false">
      <c r="A508" s="5" t="s">
        <v>1390</v>
      </c>
      <c r="B508" s="5" t="s">
        <v>119</v>
      </c>
      <c r="C508" s="5" t="s">
        <v>120</v>
      </c>
      <c r="D508" s="5" t="s">
        <v>156</v>
      </c>
      <c r="E508" s="5" t="s">
        <v>157</v>
      </c>
      <c r="F508" s="5" t="s">
        <v>184</v>
      </c>
      <c r="G508" s="5" t="s">
        <v>323</v>
      </c>
      <c r="H508" s="5" t="s">
        <v>208</v>
      </c>
      <c r="I508" s="5" t="s">
        <v>1391</v>
      </c>
      <c r="J508" s="5" t="s">
        <v>218</v>
      </c>
      <c r="K508" s="5" t="s">
        <v>325</v>
      </c>
      <c r="L508" s="5" t="s">
        <v>209</v>
      </c>
      <c r="M508" s="5" t="s">
        <v>340</v>
      </c>
      <c r="N508" s="5" t="s">
        <v>261</v>
      </c>
      <c r="O508" s="5" t="s">
        <v>465</v>
      </c>
      <c r="P508" s="5" t="str">
        <f aca="false">IF(J508="S0","—",IF(K508="","",IF(L508="E0","QM",INDEX(10_ASIL_Matrix!$D$4:$F$15,MATCH(J508&amp;"-"&amp;L508,10_ASIL_Matrix!$C$4:$C$15,0),MATCH(N508,10_ASIL_Matrix!$D$3:$F$3,0)))))</f>
        <v>QM</v>
      </c>
      <c r="Q508" s="5" t="s">
        <v>1283</v>
      </c>
    </row>
    <row r="509" customFormat="false" ht="35.05" hidden="false" customHeight="false" outlineLevel="0" collapsed="false">
      <c r="A509" s="6" t="s">
        <v>1392</v>
      </c>
      <c r="B509" s="6" t="s">
        <v>119</v>
      </c>
      <c r="C509" s="6" t="s">
        <v>120</v>
      </c>
      <c r="D509" s="6" t="s">
        <v>156</v>
      </c>
      <c r="E509" s="6" t="s">
        <v>157</v>
      </c>
      <c r="F509" s="6" t="s">
        <v>187</v>
      </c>
      <c r="G509" s="6" t="s">
        <v>342</v>
      </c>
      <c r="H509" s="6" t="s">
        <v>199</v>
      </c>
      <c r="I509" s="6" t="s">
        <v>1393</v>
      </c>
      <c r="J509" s="6" t="s">
        <v>222</v>
      </c>
      <c r="K509" s="6" t="s">
        <v>344</v>
      </c>
      <c r="L509" s="6" t="s">
        <v>188</v>
      </c>
      <c r="M509" s="6" t="s">
        <v>345</v>
      </c>
      <c r="N509" s="6" t="s">
        <v>261</v>
      </c>
      <c r="O509" s="6" t="s">
        <v>476</v>
      </c>
      <c r="P509" s="15" t="str">
        <f aca="false">IF(J509="S0","—",IF(K509="","",IF(L509="E0","QM",INDEX(10_ASIL_Matrix!$D$4:$F$15,MATCH(J509&amp;"-"&amp;L509,10_ASIL_Matrix!$C$4:$C$15,0),MATCH(N509,10_ASIL_Matrix!$D$3:$F$3,0)))))</f>
        <v>B</v>
      </c>
      <c r="Q509" s="6" t="s">
        <v>1283</v>
      </c>
    </row>
    <row r="510" customFormat="false" ht="35.05" hidden="false" customHeight="false" outlineLevel="0" collapsed="false">
      <c r="A510" s="5" t="s">
        <v>1394</v>
      </c>
      <c r="B510" s="5" t="s">
        <v>119</v>
      </c>
      <c r="C510" s="5" t="s">
        <v>120</v>
      </c>
      <c r="D510" s="5" t="s">
        <v>156</v>
      </c>
      <c r="E510" s="5" t="s">
        <v>157</v>
      </c>
      <c r="F510" s="5" t="s">
        <v>187</v>
      </c>
      <c r="G510" s="5" t="s">
        <v>342</v>
      </c>
      <c r="H510" s="5" t="s">
        <v>201</v>
      </c>
      <c r="I510" s="5" t="s">
        <v>1395</v>
      </c>
      <c r="J510" s="5" t="s">
        <v>222</v>
      </c>
      <c r="K510" s="5" t="s">
        <v>344</v>
      </c>
      <c r="L510" s="5" t="s">
        <v>185</v>
      </c>
      <c r="M510" s="5" t="s">
        <v>348</v>
      </c>
      <c r="N510" s="5" t="s">
        <v>261</v>
      </c>
      <c r="O510" s="5" t="s">
        <v>476</v>
      </c>
      <c r="P510" s="16" t="str">
        <f aca="false">IF(J510="S0","—",IF(K510="","",IF(L510="E0","QM",INDEX(10_ASIL_Matrix!$D$4:$F$15,MATCH(J510&amp;"-"&amp;L510,10_ASIL_Matrix!$C$4:$C$15,0),MATCH(N510,10_ASIL_Matrix!$D$3:$F$3,0)))))</f>
        <v>A</v>
      </c>
      <c r="Q510" s="5" t="s">
        <v>1283</v>
      </c>
    </row>
    <row r="511" customFormat="false" ht="35.05" hidden="false" customHeight="false" outlineLevel="0" collapsed="false">
      <c r="A511" s="6" t="s">
        <v>1396</v>
      </c>
      <c r="B511" s="6" t="s">
        <v>119</v>
      </c>
      <c r="C511" s="6" t="s">
        <v>120</v>
      </c>
      <c r="D511" s="6" t="s">
        <v>156</v>
      </c>
      <c r="E511" s="6" t="s">
        <v>157</v>
      </c>
      <c r="F511" s="6" t="s">
        <v>187</v>
      </c>
      <c r="G511" s="6" t="s">
        <v>342</v>
      </c>
      <c r="H511" s="6" t="s">
        <v>203</v>
      </c>
      <c r="I511" s="6" t="s">
        <v>1397</v>
      </c>
      <c r="J511" s="6" t="s">
        <v>222</v>
      </c>
      <c r="K511" s="6" t="s">
        <v>344</v>
      </c>
      <c r="L511" s="6" t="s">
        <v>185</v>
      </c>
      <c r="M511" s="6" t="s">
        <v>351</v>
      </c>
      <c r="N511" s="6" t="s">
        <v>261</v>
      </c>
      <c r="O511" s="6" t="s">
        <v>476</v>
      </c>
      <c r="P511" s="16" t="str">
        <f aca="false">IF(J511="S0","—",IF(K511="","",IF(L511="E0","QM",INDEX(10_ASIL_Matrix!$D$4:$F$15,MATCH(J511&amp;"-"&amp;L511,10_ASIL_Matrix!$C$4:$C$15,0),MATCH(N511,10_ASIL_Matrix!$D$3:$F$3,0)))))</f>
        <v>A</v>
      </c>
      <c r="Q511" s="6" t="s">
        <v>1283</v>
      </c>
    </row>
    <row r="512" customFormat="false" ht="35.05" hidden="false" customHeight="false" outlineLevel="0" collapsed="false">
      <c r="A512" s="5" t="s">
        <v>1398</v>
      </c>
      <c r="B512" s="5" t="s">
        <v>119</v>
      </c>
      <c r="C512" s="5" t="s">
        <v>120</v>
      </c>
      <c r="D512" s="5" t="s">
        <v>156</v>
      </c>
      <c r="E512" s="5" t="s">
        <v>157</v>
      </c>
      <c r="F512" s="5" t="s">
        <v>187</v>
      </c>
      <c r="G512" s="5" t="s">
        <v>342</v>
      </c>
      <c r="H512" s="5" t="s">
        <v>205</v>
      </c>
      <c r="I512" s="5" t="s">
        <v>1399</v>
      </c>
      <c r="J512" s="5" t="s">
        <v>222</v>
      </c>
      <c r="K512" s="5" t="s">
        <v>354</v>
      </c>
      <c r="L512" s="5" t="s">
        <v>206</v>
      </c>
      <c r="M512" s="5" t="s">
        <v>355</v>
      </c>
      <c r="N512" s="5" t="s">
        <v>261</v>
      </c>
      <c r="O512" s="5" t="s">
        <v>476</v>
      </c>
      <c r="P512" s="5" t="str">
        <f aca="false">IF(J512="S0","—",IF(K512="","",IF(L512="E0","QM",INDEX(10_ASIL_Matrix!$D$4:$F$15,MATCH(J512&amp;"-"&amp;L512,10_ASIL_Matrix!$C$4:$C$15,0),MATCH(N512,10_ASIL_Matrix!$D$3:$F$3,0)))))</f>
        <v>QM</v>
      </c>
      <c r="Q512" s="5" t="s">
        <v>1283</v>
      </c>
    </row>
    <row r="513" customFormat="false" ht="35.05" hidden="false" customHeight="false" outlineLevel="0" collapsed="false">
      <c r="A513" s="6" t="s">
        <v>1400</v>
      </c>
      <c r="B513" s="6" t="s">
        <v>119</v>
      </c>
      <c r="C513" s="6" t="s">
        <v>120</v>
      </c>
      <c r="D513" s="6" t="s">
        <v>156</v>
      </c>
      <c r="E513" s="6" t="s">
        <v>157</v>
      </c>
      <c r="F513" s="6" t="s">
        <v>187</v>
      </c>
      <c r="G513" s="6" t="s">
        <v>342</v>
      </c>
      <c r="H513" s="6" t="s">
        <v>208</v>
      </c>
      <c r="I513" s="6" t="s">
        <v>1401</v>
      </c>
      <c r="J513" s="6" t="s">
        <v>222</v>
      </c>
      <c r="K513" s="6" t="s">
        <v>354</v>
      </c>
      <c r="L513" s="6" t="s">
        <v>209</v>
      </c>
      <c r="M513" s="6" t="s">
        <v>358</v>
      </c>
      <c r="N513" s="6" t="s">
        <v>261</v>
      </c>
      <c r="O513" s="6" t="s">
        <v>476</v>
      </c>
      <c r="P513" s="6" t="str">
        <f aca="false">IF(J513="S0","—",IF(K513="","",IF(L513="E0","QM",INDEX(10_ASIL_Matrix!$D$4:$F$15,MATCH(J513&amp;"-"&amp;L513,10_ASIL_Matrix!$C$4:$C$15,0),MATCH(N513,10_ASIL_Matrix!$D$3:$F$3,0)))))</f>
        <v>QM</v>
      </c>
      <c r="Q513" s="6" t="s">
        <v>1283</v>
      </c>
    </row>
    <row r="514" customFormat="false" ht="35.05" hidden="false" customHeight="false" outlineLevel="0" collapsed="false">
      <c r="A514" s="5" t="s">
        <v>1402</v>
      </c>
      <c r="B514" s="5" t="s">
        <v>119</v>
      </c>
      <c r="C514" s="5" t="s">
        <v>120</v>
      </c>
      <c r="D514" s="5" t="s">
        <v>156</v>
      </c>
      <c r="E514" s="5" t="s">
        <v>157</v>
      </c>
      <c r="F514" s="5" t="s">
        <v>190</v>
      </c>
      <c r="G514" s="5" t="s">
        <v>360</v>
      </c>
      <c r="H514" s="5" t="s">
        <v>199</v>
      </c>
      <c r="I514" s="5" t="s">
        <v>1403</v>
      </c>
      <c r="J514" s="5" t="s">
        <v>222</v>
      </c>
      <c r="K514" s="5" t="s">
        <v>362</v>
      </c>
      <c r="L514" s="5" t="s">
        <v>188</v>
      </c>
      <c r="M514" s="5" t="s">
        <v>363</v>
      </c>
      <c r="N514" s="5" t="s">
        <v>261</v>
      </c>
      <c r="O514" s="5" t="s">
        <v>540</v>
      </c>
      <c r="P514" s="15" t="str">
        <f aca="false">IF(J514="S0","—",IF(K514="","",IF(L514="E0","QM",INDEX(10_ASIL_Matrix!$D$4:$F$15,MATCH(J514&amp;"-"&amp;L514,10_ASIL_Matrix!$C$4:$C$15,0),MATCH(N514,10_ASIL_Matrix!$D$3:$F$3,0)))))</f>
        <v>B</v>
      </c>
      <c r="Q514" s="5" t="s">
        <v>1283</v>
      </c>
    </row>
    <row r="515" customFormat="false" ht="35.05" hidden="false" customHeight="false" outlineLevel="0" collapsed="false">
      <c r="A515" s="6" t="s">
        <v>1404</v>
      </c>
      <c r="B515" s="6" t="s">
        <v>119</v>
      </c>
      <c r="C515" s="6" t="s">
        <v>120</v>
      </c>
      <c r="D515" s="6" t="s">
        <v>156</v>
      </c>
      <c r="E515" s="6" t="s">
        <v>157</v>
      </c>
      <c r="F515" s="6" t="s">
        <v>190</v>
      </c>
      <c r="G515" s="6" t="s">
        <v>360</v>
      </c>
      <c r="H515" s="6" t="s">
        <v>201</v>
      </c>
      <c r="I515" s="6" t="s">
        <v>1405</v>
      </c>
      <c r="J515" s="6" t="s">
        <v>222</v>
      </c>
      <c r="K515" s="6" t="s">
        <v>362</v>
      </c>
      <c r="L515" s="6" t="s">
        <v>185</v>
      </c>
      <c r="M515" s="6" t="s">
        <v>366</v>
      </c>
      <c r="N515" s="6" t="s">
        <v>261</v>
      </c>
      <c r="O515" s="6" t="s">
        <v>540</v>
      </c>
      <c r="P515" s="16" t="str">
        <f aca="false">IF(J515="S0","—",IF(K515="","",IF(L515="E0","QM",INDEX(10_ASIL_Matrix!$D$4:$F$15,MATCH(J515&amp;"-"&amp;L515,10_ASIL_Matrix!$C$4:$C$15,0),MATCH(N515,10_ASIL_Matrix!$D$3:$F$3,0)))))</f>
        <v>A</v>
      </c>
      <c r="Q515" s="6" t="s">
        <v>1283</v>
      </c>
    </row>
    <row r="516" customFormat="false" ht="35.05" hidden="false" customHeight="false" outlineLevel="0" collapsed="false">
      <c r="A516" s="5" t="s">
        <v>1406</v>
      </c>
      <c r="B516" s="5" t="s">
        <v>119</v>
      </c>
      <c r="C516" s="5" t="s">
        <v>120</v>
      </c>
      <c r="D516" s="5" t="s">
        <v>156</v>
      </c>
      <c r="E516" s="5" t="s">
        <v>157</v>
      </c>
      <c r="F516" s="5" t="s">
        <v>190</v>
      </c>
      <c r="G516" s="5" t="s">
        <v>360</v>
      </c>
      <c r="H516" s="5" t="s">
        <v>203</v>
      </c>
      <c r="I516" s="5" t="s">
        <v>1407</v>
      </c>
      <c r="J516" s="5" t="s">
        <v>222</v>
      </c>
      <c r="K516" s="5" t="s">
        <v>362</v>
      </c>
      <c r="L516" s="5" t="s">
        <v>185</v>
      </c>
      <c r="M516" s="5" t="s">
        <v>369</v>
      </c>
      <c r="N516" s="5" t="s">
        <v>261</v>
      </c>
      <c r="O516" s="5" t="s">
        <v>540</v>
      </c>
      <c r="P516" s="16" t="str">
        <f aca="false">IF(J516="S0","—",IF(K516="","",IF(L516="E0","QM",INDEX(10_ASIL_Matrix!$D$4:$F$15,MATCH(J516&amp;"-"&amp;L516,10_ASIL_Matrix!$C$4:$C$15,0),MATCH(N516,10_ASIL_Matrix!$D$3:$F$3,0)))))</f>
        <v>A</v>
      </c>
      <c r="Q516" s="5" t="s">
        <v>1283</v>
      </c>
    </row>
    <row r="517" customFormat="false" ht="35.05" hidden="false" customHeight="false" outlineLevel="0" collapsed="false">
      <c r="A517" s="6" t="s">
        <v>1408</v>
      </c>
      <c r="B517" s="6" t="s">
        <v>119</v>
      </c>
      <c r="C517" s="6" t="s">
        <v>120</v>
      </c>
      <c r="D517" s="6" t="s">
        <v>156</v>
      </c>
      <c r="E517" s="6" t="s">
        <v>157</v>
      </c>
      <c r="F517" s="6" t="s">
        <v>190</v>
      </c>
      <c r="G517" s="6" t="s">
        <v>360</v>
      </c>
      <c r="H517" s="6" t="s">
        <v>205</v>
      </c>
      <c r="I517" s="6" t="s">
        <v>1409</v>
      </c>
      <c r="J517" s="6" t="s">
        <v>222</v>
      </c>
      <c r="K517" s="6" t="s">
        <v>372</v>
      </c>
      <c r="L517" s="6" t="s">
        <v>206</v>
      </c>
      <c r="M517" s="6" t="s">
        <v>373</v>
      </c>
      <c r="N517" s="6" t="s">
        <v>261</v>
      </c>
      <c r="O517" s="6" t="s">
        <v>540</v>
      </c>
      <c r="P517" s="6" t="str">
        <f aca="false">IF(J517="S0","—",IF(K517="","",IF(L517="E0","QM",INDEX(10_ASIL_Matrix!$D$4:$F$15,MATCH(J517&amp;"-"&amp;L517,10_ASIL_Matrix!$C$4:$C$15,0),MATCH(N517,10_ASIL_Matrix!$D$3:$F$3,0)))))</f>
        <v>QM</v>
      </c>
      <c r="Q517" s="6" t="s">
        <v>1283</v>
      </c>
    </row>
    <row r="518" customFormat="false" ht="35.05" hidden="false" customHeight="false" outlineLevel="0" collapsed="false">
      <c r="A518" s="5" t="s">
        <v>1410</v>
      </c>
      <c r="B518" s="5" t="s">
        <v>119</v>
      </c>
      <c r="C518" s="5" t="s">
        <v>120</v>
      </c>
      <c r="D518" s="5" t="s">
        <v>156</v>
      </c>
      <c r="E518" s="5" t="s">
        <v>157</v>
      </c>
      <c r="F518" s="5" t="s">
        <v>190</v>
      </c>
      <c r="G518" s="5" t="s">
        <v>360</v>
      </c>
      <c r="H518" s="5" t="s">
        <v>208</v>
      </c>
      <c r="I518" s="5" t="s">
        <v>1411</v>
      </c>
      <c r="J518" s="5" t="s">
        <v>222</v>
      </c>
      <c r="K518" s="5" t="s">
        <v>372</v>
      </c>
      <c r="L518" s="5" t="s">
        <v>209</v>
      </c>
      <c r="M518" s="5" t="s">
        <v>376</v>
      </c>
      <c r="N518" s="5" t="s">
        <v>261</v>
      </c>
      <c r="O518" s="5" t="s">
        <v>540</v>
      </c>
      <c r="P518" s="5" t="str">
        <f aca="false">IF(J518="S0","—",IF(K518="","",IF(L518="E0","QM",INDEX(10_ASIL_Matrix!$D$4:$F$15,MATCH(J518&amp;"-"&amp;L518,10_ASIL_Matrix!$C$4:$C$15,0),MATCH(N518,10_ASIL_Matrix!$D$3:$F$3,0)))))</f>
        <v>QM</v>
      </c>
      <c r="Q518" s="5" t="s">
        <v>1283</v>
      </c>
    </row>
    <row r="519" customFormat="false" ht="35.05" hidden="false" customHeight="false" outlineLevel="0" collapsed="false">
      <c r="A519" s="6" t="s">
        <v>1412</v>
      </c>
      <c r="B519" s="6" t="s">
        <v>119</v>
      </c>
      <c r="C519" s="6" t="s">
        <v>120</v>
      </c>
      <c r="D519" s="6" t="s">
        <v>156</v>
      </c>
      <c r="E519" s="6" t="s">
        <v>157</v>
      </c>
      <c r="F519" s="6" t="s">
        <v>192</v>
      </c>
      <c r="G519" s="6" t="s">
        <v>378</v>
      </c>
      <c r="H519" s="6" t="s">
        <v>199</v>
      </c>
      <c r="I519" s="6" t="s">
        <v>1413</v>
      </c>
      <c r="J519" s="6" t="s">
        <v>226</v>
      </c>
      <c r="K519" s="6" t="s">
        <v>380</v>
      </c>
      <c r="L519" s="6" t="s">
        <v>185</v>
      </c>
      <c r="M519" s="6" t="s">
        <v>381</v>
      </c>
      <c r="N519" s="6" t="s">
        <v>265</v>
      </c>
      <c r="O519" s="6" t="s">
        <v>551</v>
      </c>
      <c r="P519" s="17" t="str">
        <f aca="false">IF(J519="S0","—",IF(K519="","",IF(L519="E0","QM",INDEX(10_ASIL_Matrix!$D$4:$F$15,MATCH(J519&amp;"-"&amp;L519,10_ASIL_Matrix!$C$4:$C$15,0),MATCH(N519,10_ASIL_Matrix!$D$3:$F$3,0)))))</f>
        <v>C</v>
      </c>
      <c r="Q519" s="6" t="s">
        <v>1283</v>
      </c>
    </row>
    <row r="520" customFormat="false" ht="35.05" hidden="false" customHeight="false" outlineLevel="0" collapsed="false">
      <c r="A520" s="5" t="s">
        <v>1414</v>
      </c>
      <c r="B520" s="5" t="s">
        <v>119</v>
      </c>
      <c r="C520" s="5" t="s">
        <v>120</v>
      </c>
      <c r="D520" s="5" t="s">
        <v>156</v>
      </c>
      <c r="E520" s="5" t="s">
        <v>157</v>
      </c>
      <c r="F520" s="5" t="s">
        <v>192</v>
      </c>
      <c r="G520" s="5" t="s">
        <v>378</v>
      </c>
      <c r="H520" s="5" t="s">
        <v>201</v>
      </c>
      <c r="I520" s="5" t="s">
        <v>1415</v>
      </c>
      <c r="J520" s="5" t="s">
        <v>226</v>
      </c>
      <c r="K520" s="5" t="s">
        <v>380</v>
      </c>
      <c r="L520" s="5" t="s">
        <v>185</v>
      </c>
      <c r="M520" s="5" t="s">
        <v>384</v>
      </c>
      <c r="N520" s="5" t="s">
        <v>265</v>
      </c>
      <c r="O520" s="5" t="s">
        <v>551</v>
      </c>
      <c r="P520" s="17" t="str">
        <f aca="false">IF(J520="S0","—",IF(K520="","",IF(L520="E0","QM",INDEX(10_ASIL_Matrix!$D$4:$F$15,MATCH(J520&amp;"-"&amp;L520,10_ASIL_Matrix!$C$4:$C$15,0),MATCH(N520,10_ASIL_Matrix!$D$3:$F$3,0)))))</f>
        <v>C</v>
      </c>
      <c r="Q520" s="5" t="s">
        <v>1283</v>
      </c>
    </row>
    <row r="521" customFormat="false" ht="35.05" hidden="false" customHeight="false" outlineLevel="0" collapsed="false">
      <c r="A521" s="6" t="s">
        <v>1416</v>
      </c>
      <c r="B521" s="6" t="s">
        <v>119</v>
      </c>
      <c r="C521" s="6" t="s">
        <v>120</v>
      </c>
      <c r="D521" s="6" t="s">
        <v>156</v>
      </c>
      <c r="E521" s="6" t="s">
        <v>157</v>
      </c>
      <c r="F521" s="6" t="s">
        <v>192</v>
      </c>
      <c r="G521" s="6" t="s">
        <v>378</v>
      </c>
      <c r="H521" s="6" t="s">
        <v>203</v>
      </c>
      <c r="I521" s="6" t="s">
        <v>1417</v>
      </c>
      <c r="J521" s="6" t="s">
        <v>226</v>
      </c>
      <c r="K521" s="6" t="s">
        <v>380</v>
      </c>
      <c r="L521" s="6" t="s">
        <v>185</v>
      </c>
      <c r="M521" s="6" t="s">
        <v>387</v>
      </c>
      <c r="N521" s="6" t="s">
        <v>265</v>
      </c>
      <c r="O521" s="6" t="s">
        <v>551</v>
      </c>
      <c r="P521" s="17" t="str">
        <f aca="false">IF(J521="S0","—",IF(K521="","",IF(L521="E0","QM",INDEX(10_ASIL_Matrix!$D$4:$F$15,MATCH(J521&amp;"-"&amp;L521,10_ASIL_Matrix!$C$4:$C$15,0),MATCH(N521,10_ASIL_Matrix!$D$3:$F$3,0)))))</f>
        <v>C</v>
      </c>
      <c r="Q521" s="6" t="s">
        <v>1283</v>
      </c>
    </row>
    <row r="522" customFormat="false" ht="35.05" hidden="false" customHeight="false" outlineLevel="0" collapsed="false">
      <c r="A522" s="5" t="s">
        <v>1418</v>
      </c>
      <c r="B522" s="5" t="s">
        <v>119</v>
      </c>
      <c r="C522" s="5" t="s">
        <v>120</v>
      </c>
      <c r="D522" s="5" t="s">
        <v>156</v>
      </c>
      <c r="E522" s="5" t="s">
        <v>157</v>
      </c>
      <c r="F522" s="5" t="s">
        <v>192</v>
      </c>
      <c r="G522" s="5" t="s">
        <v>378</v>
      </c>
      <c r="H522" s="5" t="s">
        <v>205</v>
      </c>
      <c r="I522" s="5" t="s">
        <v>1419</v>
      </c>
      <c r="J522" s="5" t="s">
        <v>226</v>
      </c>
      <c r="K522" s="5" t="s">
        <v>390</v>
      </c>
      <c r="L522" s="5" t="s">
        <v>206</v>
      </c>
      <c r="M522" s="5" t="s">
        <v>391</v>
      </c>
      <c r="N522" s="5" t="s">
        <v>265</v>
      </c>
      <c r="O522" s="5" t="s">
        <v>551</v>
      </c>
      <c r="P522" s="15" t="str">
        <f aca="false">IF(J522="S0","—",IF(K522="","",IF(L522="E0","QM",INDEX(10_ASIL_Matrix!$D$4:$F$15,MATCH(J522&amp;"-"&amp;L522,10_ASIL_Matrix!$C$4:$C$15,0),MATCH(N522,10_ASIL_Matrix!$D$3:$F$3,0)))))</f>
        <v>B</v>
      </c>
      <c r="Q522" s="5" t="s">
        <v>1283</v>
      </c>
    </row>
    <row r="523" customFormat="false" ht="35.05" hidden="false" customHeight="false" outlineLevel="0" collapsed="false">
      <c r="A523" s="6" t="s">
        <v>1420</v>
      </c>
      <c r="B523" s="6" t="s">
        <v>119</v>
      </c>
      <c r="C523" s="6" t="s">
        <v>120</v>
      </c>
      <c r="D523" s="6" t="s">
        <v>156</v>
      </c>
      <c r="E523" s="6" t="s">
        <v>157</v>
      </c>
      <c r="F523" s="6" t="s">
        <v>192</v>
      </c>
      <c r="G523" s="6" t="s">
        <v>378</v>
      </c>
      <c r="H523" s="6" t="s">
        <v>208</v>
      </c>
      <c r="I523" s="6" t="s">
        <v>1421</v>
      </c>
      <c r="J523" s="6" t="s">
        <v>226</v>
      </c>
      <c r="K523" s="6" t="s">
        <v>390</v>
      </c>
      <c r="L523" s="6" t="s">
        <v>209</v>
      </c>
      <c r="M523" s="6" t="s">
        <v>394</v>
      </c>
      <c r="N523" s="6" t="s">
        <v>265</v>
      </c>
      <c r="O523" s="6" t="s">
        <v>551</v>
      </c>
      <c r="P523" s="16" t="str">
        <f aca="false">IF(J523="S0","—",IF(K523="","",IF(L523="E0","QM",INDEX(10_ASIL_Matrix!$D$4:$F$15,MATCH(J523&amp;"-"&amp;L523,10_ASIL_Matrix!$C$4:$C$15,0),MATCH(N523,10_ASIL_Matrix!$D$3:$F$3,0)))))</f>
        <v>A</v>
      </c>
      <c r="Q523" s="6" t="s">
        <v>1283</v>
      </c>
    </row>
    <row r="524" customFormat="false" ht="35.05" hidden="false" customHeight="false" outlineLevel="0" collapsed="false">
      <c r="A524" s="5" t="s">
        <v>1422</v>
      </c>
      <c r="B524" s="5" t="s">
        <v>119</v>
      </c>
      <c r="C524" s="5" t="s">
        <v>120</v>
      </c>
      <c r="D524" s="5" t="s">
        <v>156</v>
      </c>
      <c r="E524" s="5" t="s">
        <v>157</v>
      </c>
      <c r="F524" s="5" t="s">
        <v>194</v>
      </c>
      <c r="G524" s="5" t="s">
        <v>396</v>
      </c>
      <c r="H524" s="5" t="s">
        <v>199</v>
      </c>
      <c r="I524" s="5" t="s">
        <v>1423</v>
      </c>
      <c r="J524" s="5" t="s">
        <v>226</v>
      </c>
      <c r="K524" s="5" t="s">
        <v>398</v>
      </c>
      <c r="L524" s="5" t="s">
        <v>188</v>
      </c>
      <c r="M524" s="5" t="s">
        <v>399</v>
      </c>
      <c r="N524" s="5" t="s">
        <v>265</v>
      </c>
      <c r="O524" s="5" t="s">
        <v>562</v>
      </c>
      <c r="P524" s="18" t="str">
        <f aca="false">IF(J524="S0","—",IF(K524="","",IF(L524="E0","QM",INDEX(10_ASIL_Matrix!$D$4:$F$15,MATCH(J524&amp;"-"&amp;L524,10_ASIL_Matrix!$C$4:$C$15,0),MATCH(N524,10_ASIL_Matrix!$D$3:$F$3,0)))))</f>
        <v>D</v>
      </c>
      <c r="Q524" s="5" t="s">
        <v>1283</v>
      </c>
    </row>
    <row r="525" customFormat="false" ht="35.05" hidden="false" customHeight="false" outlineLevel="0" collapsed="false">
      <c r="A525" s="6" t="s">
        <v>1424</v>
      </c>
      <c r="B525" s="6" t="s">
        <v>119</v>
      </c>
      <c r="C525" s="6" t="s">
        <v>120</v>
      </c>
      <c r="D525" s="6" t="s">
        <v>156</v>
      </c>
      <c r="E525" s="6" t="s">
        <v>157</v>
      </c>
      <c r="F525" s="6" t="s">
        <v>194</v>
      </c>
      <c r="G525" s="6" t="s">
        <v>396</v>
      </c>
      <c r="H525" s="6" t="s">
        <v>201</v>
      </c>
      <c r="I525" s="6" t="s">
        <v>1425</v>
      </c>
      <c r="J525" s="6" t="s">
        <v>226</v>
      </c>
      <c r="K525" s="6" t="s">
        <v>398</v>
      </c>
      <c r="L525" s="6" t="s">
        <v>185</v>
      </c>
      <c r="M525" s="6" t="s">
        <v>402</v>
      </c>
      <c r="N525" s="6" t="s">
        <v>265</v>
      </c>
      <c r="O525" s="6" t="s">
        <v>562</v>
      </c>
      <c r="P525" s="17" t="str">
        <f aca="false">IF(J525="S0","—",IF(K525="","",IF(L525="E0","QM",INDEX(10_ASIL_Matrix!$D$4:$F$15,MATCH(J525&amp;"-"&amp;L525,10_ASIL_Matrix!$C$4:$C$15,0),MATCH(N525,10_ASIL_Matrix!$D$3:$F$3,0)))))</f>
        <v>C</v>
      </c>
      <c r="Q525" s="6" t="s">
        <v>1283</v>
      </c>
    </row>
    <row r="526" customFormat="false" ht="35.05" hidden="false" customHeight="false" outlineLevel="0" collapsed="false">
      <c r="A526" s="5" t="s">
        <v>1426</v>
      </c>
      <c r="B526" s="5" t="s">
        <v>119</v>
      </c>
      <c r="C526" s="5" t="s">
        <v>120</v>
      </c>
      <c r="D526" s="5" t="s">
        <v>156</v>
      </c>
      <c r="E526" s="5" t="s">
        <v>157</v>
      </c>
      <c r="F526" s="5" t="s">
        <v>194</v>
      </c>
      <c r="G526" s="5" t="s">
        <v>396</v>
      </c>
      <c r="H526" s="5" t="s">
        <v>203</v>
      </c>
      <c r="I526" s="5" t="s">
        <v>1427</v>
      </c>
      <c r="J526" s="5" t="s">
        <v>226</v>
      </c>
      <c r="K526" s="5" t="s">
        <v>398</v>
      </c>
      <c r="L526" s="5" t="s">
        <v>185</v>
      </c>
      <c r="M526" s="5" t="s">
        <v>405</v>
      </c>
      <c r="N526" s="5" t="s">
        <v>265</v>
      </c>
      <c r="O526" s="5" t="s">
        <v>562</v>
      </c>
      <c r="P526" s="17" t="str">
        <f aca="false">IF(J526="S0","—",IF(K526="","",IF(L526="E0","QM",INDEX(10_ASIL_Matrix!$D$4:$F$15,MATCH(J526&amp;"-"&amp;L526,10_ASIL_Matrix!$C$4:$C$15,0),MATCH(N526,10_ASIL_Matrix!$D$3:$F$3,0)))))</f>
        <v>C</v>
      </c>
      <c r="Q526" s="5" t="s">
        <v>1283</v>
      </c>
    </row>
    <row r="527" customFormat="false" ht="35.05" hidden="false" customHeight="false" outlineLevel="0" collapsed="false">
      <c r="A527" s="6" t="s">
        <v>1428</v>
      </c>
      <c r="B527" s="6" t="s">
        <v>119</v>
      </c>
      <c r="C527" s="6" t="s">
        <v>120</v>
      </c>
      <c r="D527" s="6" t="s">
        <v>156</v>
      </c>
      <c r="E527" s="6" t="s">
        <v>157</v>
      </c>
      <c r="F527" s="6" t="s">
        <v>194</v>
      </c>
      <c r="G527" s="6" t="s">
        <v>396</v>
      </c>
      <c r="H527" s="6" t="s">
        <v>205</v>
      </c>
      <c r="I527" s="6" t="s">
        <v>1429</v>
      </c>
      <c r="J527" s="6" t="s">
        <v>226</v>
      </c>
      <c r="K527" s="6" t="s">
        <v>408</v>
      </c>
      <c r="L527" s="6" t="s">
        <v>206</v>
      </c>
      <c r="M527" s="6" t="s">
        <v>409</v>
      </c>
      <c r="N527" s="6" t="s">
        <v>265</v>
      </c>
      <c r="O527" s="6" t="s">
        <v>562</v>
      </c>
      <c r="P527" s="15" t="str">
        <f aca="false">IF(J527="S0","—",IF(K527="","",IF(L527="E0","QM",INDEX(10_ASIL_Matrix!$D$4:$F$15,MATCH(J527&amp;"-"&amp;L527,10_ASIL_Matrix!$C$4:$C$15,0),MATCH(N527,10_ASIL_Matrix!$D$3:$F$3,0)))))</f>
        <v>B</v>
      </c>
      <c r="Q527" s="6" t="s">
        <v>1283</v>
      </c>
    </row>
    <row r="528" customFormat="false" ht="35.05" hidden="false" customHeight="false" outlineLevel="0" collapsed="false">
      <c r="A528" s="5" t="s">
        <v>1430</v>
      </c>
      <c r="B528" s="5" t="s">
        <v>119</v>
      </c>
      <c r="C528" s="5" t="s">
        <v>120</v>
      </c>
      <c r="D528" s="5" t="s">
        <v>156</v>
      </c>
      <c r="E528" s="5" t="s">
        <v>157</v>
      </c>
      <c r="F528" s="5" t="s">
        <v>194</v>
      </c>
      <c r="G528" s="5" t="s">
        <v>396</v>
      </c>
      <c r="H528" s="5" t="s">
        <v>208</v>
      </c>
      <c r="I528" s="5" t="s">
        <v>1431</v>
      </c>
      <c r="J528" s="5" t="s">
        <v>226</v>
      </c>
      <c r="K528" s="5" t="s">
        <v>408</v>
      </c>
      <c r="L528" s="5" t="s">
        <v>209</v>
      </c>
      <c r="M528" s="5" t="s">
        <v>412</v>
      </c>
      <c r="N528" s="5" t="s">
        <v>265</v>
      </c>
      <c r="O528" s="5" t="s">
        <v>562</v>
      </c>
      <c r="P528" s="16" t="str">
        <f aca="false">IF(J528="S0","—",IF(K528="","",IF(L528="E0","QM",INDEX(10_ASIL_Matrix!$D$4:$F$15,MATCH(J528&amp;"-"&amp;L528,10_ASIL_Matrix!$C$4:$C$15,0),MATCH(N528,10_ASIL_Matrix!$D$3:$F$3,0)))))</f>
        <v>A</v>
      </c>
      <c r="Q528" s="5" t="s">
        <v>1283</v>
      </c>
    </row>
    <row r="529" customFormat="false" ht="35.05" hidden="false" customHeight="false" outlineLevel="0" collapsed="false">
      <c r="A529" s="6" t="s">
        <v>1432</v>
      </c>
      <c r="B529" s="6" t="s">
        <v>119</v>
      </c>
      <c r="C529" s="6" t="s">
        <v>120</v>
      </c>
      <c r="D529" s="6" t="s">
        <v>168</v>
      </c>
      <c r="E529" s="6" t="s">
        <v>169</v>
      </c>
      <c r="F529" s="6" t="s">
        <v>184</v>
      </c>
      <c r="G529" s="6" t="s">
        <v>323</v>
      </c>
      <c r="H529" s="6" t="s">
        <v>199</v>
      </c>
      <c r="I529" s="6" t="s">
        <v>1433</v>
      </c>
      <c r="J529" s="6" t="s">
        <v>218</v>
      </c>
      <c r="K529" s="6" t="s">
        <v>325</v>
      </c>
      <c r="L529" s="6" t="s">
        <v>185</v>
      </c>
      <c r="M529" s="6" t="s">
        <v>326</v>
      </c>
      <c r="N529" s="6" t="s">
        <v>261</v>
      </c>
      <c r="O529" s="6" t="s">
        <v>465</v>
      </c>
      <c r="P529" s="6" t="str">
        <f aca="false">IF(J529="S0","—",IF(K529="","",IF(L529="E0","QM",INDEX(10_ASIL_Matrix!$D$4:$F$15,MATCH(J529&amp;"-"&amp;L529,10_ASIL_Matrix!$C$4:$C$15,0),MATCH(N529,10_ASIL_Matrix!$D$3:$F$3,0)))))</f>
        <v>QM</v>
      </c>
      <c r="Q529" s="6" t="s">
        <v>1283</v>
      </c>
    </row>
    <row r="530" customFormat="false" ht="23.85" hidden="false" customHeight="false" outlineLevel="0" collapsed="false">
      <c r="A530" s="5" t="s">
        <v>1434</v>
      </c>
      <c r="B530" s="5" t="s">
        <v>119</v>
      </c>
      <c r="C530" s="5" t="s">
        <v>120</v>
      </c>
      <c r="D530" s="5" t="s">
        <v>168</v>
      </c>
      <c r="E530" s="5" t="s">
        <v>169</v>
      </c>
      <c r="F530" s="5" t="s">
        <v>184</v>
      </c>
      <c r="G530" s="5" t="s">
        <v>323</v>
      </c>
      <c r="H530" s="5" t="s">
        <v>201</v>
      </c>
      <c r="I530" s="5" t="s">
        <v>1435</v>
      </c>
      <c r="J530" s="5" t="s">
        <v>218</v>
      </c>
      <c r="K530" s="5" t="s">
        <v>325</v>
      </c>
      <c r="L530" s="5" t="s">
        <v>185</v>
      </c>
      <c r="M530" s="5" t="s">
        <v>331</v>
      </c>
      <c r="N530" s="5" t="s">
        <v>261</v>
      </c>
      <c r="O530" s="5" t="s">
        <v>465</v>
      </c>
      <c r="P530" s="5" t="str">
        <f aca="false">IF(J530="S0","—",IF(K530="","",IF(L530="E0","QM",INDEX(10_ASIL_Matrix!$D$4:$F$15,MATCH(J530&amp;"-"&amp;L530,10_ASIL_Matrix!$C$4:$C$15,0),MATCH(N530,10_ASIL_Matrix!$D$3:$F$3,0)))))</f>
        <v>QM</v>
      </c>
      <c r="Q530" s="5" t="s">
        <v>1283</v>
      </c>
    </row>
    <row r="531" customFormat="false" ht="35.05" hidden="false" customHeight="false" outlineLevel="0" collapsed="false">
      <c r="A531" s="6" t="s">
        <v>1436</v>
      </c>
      <c r="B531" s="6" t="s">
        <v>119</v>
      </c>
      <c r="C531" s="6" t="s">
        <v>120</v>
      </c>
      <c r="D531" s="6" t="s">
        <v>168</v>
      </c>
      <c r="E531" s="6" t="s">
        <v>169</v>
      </c>
      <c r="F531" s="6" t="s">
        <v>184</v>
      </c>
      <c r="G531" s="6" t="s">
        <v>323</v>
      </c>
      <c r="H531" s="6" t="s">
        <v>203</v>
      </c>
      <c r="I531" s="6" t="s">
        <v>1437</v>
      </c>
      <c r="J531" s="6" t="s">
        <v>218</v>
      </c>
      <c r="K531" s="6" t="s">
        <v>325</v>
      </c>
      <c r="L531" s="6" t="s">
        <v>185</v>
      </c>
      <c r="M531" s="6" t="s">
        <v>334</v>
      </c>
      <c r="N531" s="6" t="s">
        <v>261</v>
      </c>
      <c r="O531" s="6" t="s">
        <v>465</v>
      </c>
      <c r="P531" s="6" t="str">
        <f aca="false">IF(J531="S0","—",IF(K531="","",IF(L531="E0","QM",INDEX(10_ASIL_Matrix!$D$4:$F$15,MATCH(J531&amp;"-"&amp;L531,10_ASIL_Matrix!$C$4:$C$15,0),MATCH(N531,10_ASIL_Matrix!$D$3:$F$3,0)))))</f>
        <v>QM</v>
      </c>
      <c r="Q531" s="6" t="s">
        <v>1283</v>
      </c>
    </row>
    <row r="532" customFormat="false" ht="35.05" hidden="false" customHeight="false" outlineLevel="0" collapsed="false">
      <c r="A532" s="5" t="s">
        <v>1438</v>
      </c>
      <c r="B532" s="5" t="s">
        <v>119</v>
      </c>
      <c r="C532" s="5" t="s">
        <v>120</v>
      </c>
      <c r="D532" s="5" t="s">
        <v>168</v>
      </c>
      <c r="E532" s="5" t="s">
        <v>169</v>
      </c>
      <c r="F532" s="5" t="s">
        <v>184</v>
      </c>
      <c r="G532" s="5" t="s">
        <v>323</v>
      </c>
      <c r="H532" s="5" t="s">
        <v>205</v>
      </c>
      <c r="I532" s="5" t="s">
        <v>1439</v>
      </c>
      <c r="J532" s="5" t="s">
        <v>218</v>
      </c>
      <c r="K532" s="5" t="s">
        <v>325</v>
      </c>
      <c r="L532" s="5" t="s">
        <v>206</v>
      </c>
      <c r="M532" s="5" t="s">
        <v>337</v>
      </c>
      <c r="N532" s="5" t="s">
        <v>261</v>
      </c>
      <c r="O532" s="5" t="s">
        <v>465</v>
      </c>
      <c r="P532" s="5" t="str">
        <f aca="false">IF(J532="S0","—",IF(K532="","",IF(L532="E0","QM",INDEX(10_ASIL_Matrix!$D$4:$F$15,MATCH(J532&amp;"-"&amp;L532,10_ASIL_Matrix!$C$4:$C$15,0),MATCH(N532,10_ASIL_Matrix!$D$3:$F$3,0)))))</f>
        <v>QM</v>
      </c>
      <c r="Q532" s="5" t="s">
        <v>1283</v>
      </c>
    </row>
    <row r="533" customFormat="false" ht="23.85" hidden="false" customHeight="false" outlineLevel="0" collapsed="false">
      <c r="A533" s="6" t="s">
        <v>1440</v>
      </c>
      <c r="B533" s="6" t="s">
        <v>119</v>
      </c>
      <c r="C533" s="6" t="s">
        <v>120</v>
      </c>
      <c r="D533" s="6" t="s">
        <v>168</v>
      </c>
      <c r="E533" s="6" t="s">
        <v>169</v>
      </c>
      <c r="F533" s="6" t="s">
        <v>184</v>
      </c>
      <c r="G533" s="6" t="s">
        <v>323</v>
      </c>
      <c r="H533" s="6" t="s">
        <v>208</v>
      </c>
      <c r="I533" s="6" t="s">
        <v>1441</v>
      </c>
      <c r="J533" s="6" t="s">
        <v>218</v>
      </c>
      <c r="K533" s="6" t="s">
        <v>325</v>
      </c>
      <c r="L533" s="6" t="s">
        <v>209</v>
      </c>
      <c r="M533" s="6" t="s">
        <v>340</v>
      </c>
      <c r="N533" s="6" t="s">
        <v>261</v>
      </c>
      <c r="O533" s="6" t="s">
        <v>465</v>
      </c>
      <c r="P533" s="6" t="str">
        <f aca="false">IF(J533="S0","—",IF(K533="","",IF(L533="E0","QM",INDEX(10_ASIL_Matrix!$D$4:$F$15,MATCH(J533&amp;"-"&amp;L533,10_ASIL_Matrix!$C$4:$C$15,0),MATCH(N533,10_ASIL_Matrix!$D$3:$F$3,0)))))</f>
        <v>QM</v>
      </c>
      <c r="Q533" s="6" t="s">
        <v>1283</v>
      </c>
    </row>
    <row r="534" customFormat="false" ht="35.05" hidden="false" customHeight="false" outlineLevel="0" collapsed="false">
      <c r="A534" s="5" t="s">
        <v>1442</v>
      </c>
      <c r="B534" s="5" t="s">
        <v>119</v>
      </c>
      <c r="C534" s="5" t="s">
        <v>120</v>
      </c>
      <c r="D534" s="5" t="s">
        <v>168</v>
      </c>
      <c r="E534" s="5" t="s">
        <v>169</v>
      </c>
      <c r="F534" s="5" t="s">
        <v>187</v>
      </c>
      <c r="G534" s="5" t="s">
        <v>342</v>
      </c>
      <c r="H534" s="5" t="s">
        <v>199</v>
      </c>
      <c r="I534" s="5" t="s">
        <v>1443</v>
      </c>
      <c r="J534" s="5" t="s">
        <v>222</v>
      </c>
      <c r="K534" s="5" t="s">
        <v>344</v>
      </c>
      <c r="L534" s="5" t="s">
        <v>188</v>
      </c>
      <c r="M534" s="5" t="s">
        <v>345</v>
      </c>
      <c r="N534" s="5" t="s">
        <v>261</v>
      </c>
      <c r="O534" s="5" t="s">
        <v>476</v>
      </c>
      <c r="P534" s="15" t="str">
        <f aca="false">IF(J534="S0","—",IF(K534="","",IF(L534="E0","QM",INDEX(10_ASIL_Matrix!$D$4:$F$15,MATCH(J534&amp;"-"&amp;L534,10_ASIL_Matrix!$C$4:$C$15,0),MATCH(N534,10_ASIL_Matrix!$D$3:$F$3,0)))))</f>
        <v>B</v>
      </c>
      <c r="Q534" s="5" t="s">
        <v>1283</v>
      </c>
    </row>
    <row r="535" customFormat="false" ht="35.05" hidden="false" customHeight="false" outlineLevel="0" collapsed="false">
      <c r="A535" s="6" t="s">
        <v>1444</v>
      </c>
      <c r="B535" s="6" t="s">
        <v>119</v>
      </c>
      <c r="C535" s="6" t="s">
        <v>120</v>
      </c>
      <c r="D535" s="6" t="s">
        <v>168</v>
      </c>
      <c r="E535" s="6" t="s">
        <v>169</v>
      </c>
      <c r="F535" s="6" t="s">
        <v>187</v>
      </c>
      <c r="G535" s="6" t="s">
        <v>342</v>
      </c>
      <c r="H535" s="6" t="s">
        <v>201</v>
      </c>
      <c r="I535" s="6" t="s">
        <v>1445</v>
      </c>
      <c r="J535" s="6" t="s">
        <v>222</v>
      </c>
      <c r="K535" s="6" t="s">
        <v>344</v>
      </c>
      <c r="L535" s="6" t="s">
        <v>185</v>
      </c>
      <c r="M535" s="6" t="s">
        <v>348</v>
      </c>
      <c r="N535" s="6" t="s">
        <v>261</v>
      </c>
      <c r="O535" s="6" t="s">
        <v>476</v>
      </c>
      <c r="P535" s="16" t="str">
        <f aca="false">IF(J535="S0","—",IF(K535="","",IF(L535="E0","QM",INDEX(10_ASIL_Matrix!$D$4:$F$15,MATCH(J535&amp;"-"&amp;L535,10_ASIL_Matrix!$C$4:$C$15,0),MATCH(N535,10_ASIL_Matrix!$D$3:$F$3,0)))))</f>
        <v>A</v>
      </c>
      <c r="Q535" s="6" t="s">
        <v>1283</v>
      </c>
    </row>
    <row r="536" customFormat="false" ht="35.05" hidden="false" customHeight="false" outlineLevel="0" collapsed="false">
      <c r="A536" s="5" t="s">
        <v>1446</v>
      </c>
      <c r="B536" s="5" t="s">
        <v>119</v>
      </c>
      <c r="C536" s="5" t="s">
        <v>120</v>
      </c>
      <c r="D536" s="5" t="s">
        <v>168</v>
      </c>
      <c r="E536" s="5" t="s">
        <v>169</v>
      </c>
      <c r="F536" s="5" t="s">
        <v>187</v>
      </c>
      <c r="G536" s="5" t="s">
        <v>342</v>
      </c>
      <c r="H536" s="5" t="s">
        <v>203</v>
      </c>
      <c r="I536" s="5" t="s">
        <v>1447</v>
      </c>
      <c r="J536" s="5" t="s">
        <v>222</v>
      </c>
      <c r="K536" s="5" t="s">
        <v>344</v>
      </c>
      <c r="L536" s="5" t="s">
        <v>185</v>
      </c>
      <c r="M536" s="5" t="s">
        <v>351</v>
      </c>
      <c r="N536" s="5" t="s">
        <v>261</v>
      </c>
      <c r="O536" s="5" t="s">
        <v>476</v>
      </c>
      <c r="P536" s="16" t="str">
        <f aca="false">IF(J536="S0","—",IF(K536="","",IF(L536="E0","QM",INDEX(10_ASIL_Matrix!$D$4:$F$15,MATCH(J536&amp;"-"&amp;L536,10_ASIL_Matrix!$C$4:$C$15,0),MATCH(N536,10_ASIL_Matrix!$D$3:$F$3,0)))))</f>
        <v>A</v>
      </c>
      <c r="Q536" s="5" t="s">
        <v>1283</v>
      </c>
    </row>
    <row r="537" customFormat="false" ht="35.05" hidden="false" customHeight="false" outlineLevel="0" collapsed="false">
      <c r="A537" s="6" t="s">
        <v>1448</v>
      </c>
      <c r="B537" s="6" t="s">
        <v>119</v>
      </c>
      <c r="C537" s="6" t="s">
        <v>120</v>
      </c>
      <c r="D537" s="6" t="s">
        <v>168</v>
      </c>
      <c r="E537" s="6" t="s">
        <v>169</v>
      </c>
      <c r="F537" s="6" t="s">
        <v>187</v>
      </c>
      <c r="G537" s="6" t="s">
        <v>342</v>
      </c>
      <c r="H537" s="6" t="s">
        <v>205</v>
      </c>
      <c r="I537" s="6" t="s">
        <v>1449</v>
      </c>
      <c r="J537" s="6" t="s">
        <v>222</v>
      </c>
      <c r="K537" s="6" t="s">
        <v>354</v>
      </c>
      <c r="L537" s="6" t="s">
        <v>206</v>
      </c>
      <c r="M537" s="6" t="s">
        <v>355</v>
      </c>
      <c r="N537" s="6" t="s">
        <v>261</v>
      </c>
      <c r="O537" s="6" t="s">
        <v>476</v>
      </c>
      <c r="P537" s="6" t="str">
        <f aca="false">IF(J537="S0","—",IF(K537="","",IF(L537="E0","QM",INDEX(10_ASIL_Matrix!$D$4:$F$15,MATCH(J537&amp;"-"&amp;L537,10_ASIL_Matrix!$C$4:$C$15,0),MATCH(N537,10_ASIL_Matrix!$D$3:$F$3,0)))))</f>
        <v>QM</v>
      </c>
      <c r="Q537" s="6" t="s">
        <v>1283</v>
      </c>
    </row>
    <row r="538" customFormat="false" ht="35.05" hidden="false" customHeight="false" outlineLevel="0" collapsed="false">
      <c r="A538" s="5" t="s">
        <v>1450</v>
      </c>
      <c r="B538" s="5" t="s">
        <v>119</v>
      </c>
      <c r="C538" s="5" t="s">
        <v>120</v>
      </c>
      <c r="D538" s="5" t="s">
        <v>168</v>
      </c>
      <c r="E538" s="5" t="s">
        <v>169</v>
      </c>
      <c r="F538" s="5" t="s">
        <v>187</v>
      </c>
      <c r="G538" s="5" t="s">
        <v>342</v>
      </c>
      <c r="H538" s="5" t="s">
        <v>208</v>
      </c>
      <c r="I538" s="5" t="s">
        <v>1451</v>
      </c>
      <c r="J538" s="5" t="s">
        <v>222</v>
      </c>
      <c r="K538" s="5" t="s">
        <v>354</v>
      </c>
      <c r="L538" s="5" t="s">
        <v>209</v>
      </c>
      <c r="M538" s="5" t="s">
        <v>358</v>
      </c>
      <c r="N538" s="5" t="s">
        <v>261</v>
      </c>
      <c r="O538" s="5" t="s">
        <v>476</v>
      </c>
      <c r="P538" s="5" t="str">
        <f aca="false">IF(J538="S0","—",IF(K538="","",IF(L538="E0","QM",INDEX(10_ASIL_Matrix!$D$4:$F$15,MATCH(J538&amp;"-"&amp;L538,10_ASIL_Matrix!$C$4:$C$15,0),MATCH(N538,10_ASIL_Matrix!$D$3:$F$3,0)))))</f>
        <v>QM</v>
      </c>
      <c r="Q538" s="5" t="s">
        <v>1283</v>
      </c>
    </row>
    <row r="539" customFormat="false" ht="35.05" hidden="false" customHeight="false" outlineLevel="0" collapsed="false">
      <c r="A539" s="6" t="s">
        <v>1452</v>
      </c>
      <c r="B539" s="6" t="s">
        <v>119</v>
      </c>
      <c r="C539" s="6" t="s">
        <v>120</v>
      </c>
      <c r="D539" s="6" t="s">
        <v>168</v>
      </c>
      <c r="E539" s="6" t="s">
        <v>169</v>
      </c>
      <c r="F539" s="6" t="s">
        <v>190</v>
      </c>
      <c r="G539" s="6" t="s">
        <v>360</v>
      </c>
      <c r="H539" s="6" t="s">
        <v>199</v>
      </c>
      <c r="I539" s="6" t="s">
        <v>1453</v>
      </c>
      <c r="J539" s="6" t="s">
        <v>222</v>
      </c>
      <c r="K539" s="6" t="s">
        <v>362</v>
      </c>
      <c r="L539" s="6" t="s">
        <v>188</v>
      </c>
      <c r="M539" s="6" t="s">
        <v>363</v>
      </c>
      <c r="N539" s="6" t="s">
        <v>265</v>
      </c>
      <c r="O539" s="6" t="s">
        <v>696</v>
      </c>
      <c r="P539" s="17" t="str">
        <f aca="false">IF(J539="S0","—",IF(K539="","",IF(L539="E0","QM",INDEX(10_ASIL_Matrix!$D$4:$F$15,MATCH(J539&amp;"-"&amp;L539,10_ASIL_Matrix!$C$4:$C$15,0),MATCH(N539,10_ASIL_Matrix!$D$3:$F$3,0)))))</f>
        <v>C</v>
      </c>
      <c r="Q539" s="6" t="s">
        <v>1283</v>
      </c>
    </row>
    <row r="540" customFormat="false" ht="35.05" hidden="false" customHeight="false" outlineLevel="0" collapsed="false">
      <c r="A540" s="5" t="s">
        <v>1454</v>
      </c>
      <c r="B540" s="5" t="s">
        <v>119</v>
      </c>
      <c r="C540" s="5" t="s">
        <v>120</v>
      </c>
      <c r="D540" s="5" t="s">
        <v>168</v>
      </c>
      <c r="E540" s="5" t="s">
        <v>169</v>
      </c>
      <c r="F540" s="5" t="s">
        <v>190</v>
      </c>
      <c r="G540" s="5" t="s">
        <v>360</v>
      </c>
      <c r="H540" s="5" t="s">
        <v>201</v>
      </c>
      <c r="I540" s="5" t="s">
        <v>1455</v>
      </c>
      <c r="J540" s="5" t="s">
        <v>222</v>
      </c>
      <c r="K540" s="5" t="s">
        <v>362</v>
      </c>
      <c r="L540" s="5" t="s">
        <v>185</v>
      </c>
      <c r="M540" s="5" t="s">
        <v>366</v>
      </c>
      <c r="N540" s="5" t="s">
        <v>265</v>
      </c>
      <c r="O540" s="5" t="s">
        <v>696</v>
      </c>
      <c r="P540" s="15" t="str">
        <f aca="false">IF(J540="S0","—",IF(K540="","",IF(L540="E0","QM",INDEX(10_ASIL_Matrix!$D$4:$F$15,MATCH(J540&amp;"-"&amp;L540,10_ASIL_Matrix!$C$4:$C$15,0),MATCH(N540,10_ASIL_Matrix!$D$3:$F$3,0)))))</f>
        <v>B</v>
      </c>
      <c r="Q540" s="5" t="s">
        <v>1283</v>
      </c>
    </row>
    <row r="541" customFormat="false" ht="35.05" hidden="false" customHeight="false" outlineLevel="0" collapsed="false">
      <c r="A541" s="6" t="s">
        <v>1456</v>
      </c>
      <c r="B541" s="6" t="s">
        <v>119</v>
      </c>
      <c r="C541" s="6" t="s">
        <v>120</v>
      </c>
      <c r="D541" s="6" t="s">
        <v>168</v>
      </c>
      <c r="E541" s="6" t="s">
        <v>169</v>
      </c>
      <c r="F541" s="6" t="s">
        <v>190</v>
      </c>
      <c r="G541" s="6" t="s">
        <v>360</v>
      </c>
      <c r="H541" s="6" t="s">
        <v>203</v>
      </c>
      <c r="I541" s="6" t="s">
        <v>1457</v>
      </c>
      <c r="J541" s="6" t="s">
        <v>222</v>
      </c>
      <c r="K541" s="6" t="s">
        <v>362</v>
      </c>
      <c r="L541" s="6" t="s">
        <v>185</v>
      </c>
      <c r="M541" s="6" t="s">
        <v>369</v>
      </c>
      <c r="N541" s="6" t="s">
        <v>265</v>
      </c>
      <c r="O541" s="6" t="s">
        <v>696</v>
      </c>
      <c r="P541" s="15" t="str">
        <f aca="false">IF(J541="S0","—",IF(K541="","",IF(L541="E0","QM",INDEX(10_ASIL_Matrix!$D$4:$F$15,MATCH(J541&amp;"-"&amp;L541,10_ASIL_Matrix!$C$4:$C$15,0),MATCH(N541,10_ASIL_Matrix!$D$3:$F$3,0)))))</f>
        <v>B</v>
      </c>
      <c r="Q541" s="6" t="s">
        <v>1283</v>
      </c>
    </row>
    <row r="542" customFormat="false" ht="35.05" hidden="false" customHeight="false" outlineLevel="0" collapsed="false">
      <c r="A542" s="5" t="s">
        <v>1458</v>
      </c>
      <c r="B542" s="5" t="s">
        <v>119</v>
      </c>
      <c r="C542" s="5" t="s">
        <v>120</v>
      </c>
      <c r="D542" s="5" t="s">
        <v>168</v>
      </c>
      <c r="E542" s="5" t="s">
        <v>169</v>
      </c>
      <c r="F542" s="5" t="s">
        <v>190</v>
      </c>
      <c r="G542" s="5" t="s">
        <v>360</v>
      </c>
      <c r="H542" s="5" t="s">
        <v>205</v>
      </c>
      <c r="I542" s="5" t="s">
        <v>1459</v>
      </c>
      <c r="J542" s="5" t="s">
        <v>222</v>
      </c>
      <c r="K542" s="5" t="s">
        <v>372</v>
      </c>
      <c r="L542" s="5" t="s">
        <v>206</v>
      </c>
      <c r="M542" s="5" t="s">
        <v>373</v>
      </c>
      <c r="N542" s="5" t="s">
        <v>265</v>
      </c>
      <c r="O542" s="5" t="s">
        <v>696</v>
      </c>
      <c r="P542" s="16" t="str">
        <f aca="false">IF(J542="S0","—",IF(K542="","",IF(L542="E0","QM",INDEX(10_ASIL_Matrix!$D$4:$F$15,MATCH(J542&amp;"-"&amp;L542,10_ASIL_Matrix!$C$4:$C$15,0),MATCH(N542,10_ASIL_Matrix!$D$3:$F$3,0)))))</f>
        <v>A</v>
      </c>
      <c r="Q542" s="5" t="s">
        <v>1283</v>
      </c>
    </row>
    <row r="543" customFormat="false" ht="35.05" hidden="false" customHeight="false" outlineLevel="0" collapsed="false">
      <c r="A543" s="6" t="s">
        <v>1460</v>
      </c>
      <c r="B543" s="6" t="s">
        <v>119</v>
      </c>
      <c r="C543" s="6" t="s">
        <v>120</v>
      </c>
      <c r="D543" s="6" t="s">
        <v>168</v>
      </c>
      <c r="E543" s="6" t="s">
        <v>169</v>
      </c>
      <c r="F543" s="6" t="s">
        <v>190</v>
      </c>
      <c r="G543" s="6" t="s">
        <v>360</v>
      </c>
      <c r="H543" s="6" t="s">
        <v>208</v>
      </c>
      <c r="I543" s="6" t="s">
        <v>1461</v>
      </c>
      <c r="J543" s="6" t="s">
        <v>222</v>
      </c>
      <c r="K543" s="6" t="s">
        <v>372</v>
      </c>
      <c r="L543" s="6" t="s">
        <v>209</v>
      </c>
      <c r="M543" s="6" t="s">
        <v>376</v>
      </c>
      <c r="N543" s="6" t="s">
        <v>265</v>
      </c>
      <c r="O543" s="6" t="s">
        <v>696</v>
      </c>
      <c r="P543" s="6" t="str">
        <f aca="false">IF(J543="S0","—",IF(K543="","",IF(L543="E0","QM",INDEX(10_ASIL_Matrix!$D$4:$F$15,MATCH(J543&amp;"-"&amp;L543,10_ASIL_Matrix!$C$4:$C$15,0),MATCH(N543,10_ASIL_Matrix!$D$3:$F$3,0)))))</f>
        <v>QM</v>
      </c>
      <c r="Q543" s="6" t="s">
        <v>1283</v>
      </c>
    </row>
    <row r="544" customFormat="false" ht="35.05" hidden="false" customHeight="false" outlineLevel="0" collapsed="false">
      <c r="A544" s="5" t="s">
        <v>1462</v>
      </c>
      <c r="B544" s="5" t="s">
        <v>119</v>
      </c>
      <c r="C544" s="5" t="s">
        <v>120</v>
      </c>
      <c r="D544" s="5" t="s">
        <v>168</v>
      </c>
      <c r="E544" s="5" t="s">
        <v>169</v>
      </c>
      <c r="F544" s="5" t="s">
        <v>192</v>
      </c>
      <c r="G544" s="5" t="s">
        <v>378</v>
      </c>
      <c r="H544" s="5" t="s">
        <v>199</v>
      </c>
      <c r="I544" s="5" t="s">
        <v>1463</v>
      </c>
      <c r="J544" s="5" t="s">
        <v>226</v>
      </c>
      <c r="K544" s="5" t="s">
        <v>380</v>
      </c>
      <c r="L544" s="5" t="s">
        <v>185</v>
      </c>
      <c r="M544" s="5" t="s">
        <v>381</v>
      </c>
      <c r="N544" s="5" t="s">
        <v>265</v>
      </c>
      <c r="O544" s="5" t="s">
        <v>707</v>
      </c>
      <c r="P544" s="17" t="str">
        <f aca="false">IF(J544="S0","—",IF(K544="","",IF(L544="E0","QM",INDEX(10_ASIL_Matrix!$D$4:$F$15,MATCH(J544&amp;"-"&amp;L544,10_ASIL_Matrix!$C$4:$C$15,0),MATCH(N544,10_ASIL_Matrix!$D$3:$F$3,0)))))</f>
        <v>C</v>
      </c>
      <c r="Q544" s="5" t="s">
        <v>1283</v>
      </c>
    </row>
    <row r="545" customFormat="false" ht="35.05" hidden="false" customHeight="false" outlineLevel="0" collapsed="false">
      <c r="A545" s="6" t="s">
        <v>1464</v>
      </c>
      <c r="B545" s="6" t="s">
        <v>119</v>
      </c>
      <c r="C545" s="6" t="s">
        <v>120</v>
      </c>
      <c r="D545" s="6" t="s">
        <v>168</v>
      </c>
      <c r="E545" s="6" t="s">
        <v>169</v>
      </c>
      <c r="F545" s="6" t="s">
        <v>192</v>
      </c>
      <c r="G545" s="6" t="s">
        <v>378</v>
      </c>
      <c r="H545" s="6" t="s">
        <v>201</v>
      </c>
      <c r="I545" s="6" t="s">
        <v>1465</v>
      </c>
      <c r="J545" s="6" t="s">
        <v>226</v>
      </c>
      <c r="K545" s="6" t="s">
        <v>380</v>
      </c>
      <c r="L545" s="6" t="s">
        <v>185</v>
      </c>
      <c r="M545" s="6" t="s">
        <v>384</v>
      </c>
      <c r="N545" s="6" t="s">
        <v>265</v>
      </c>
      <c r="O545" s="6" t="s">
        <v>707</v>
      </c>
      <c r="P545" s="17" t="str">
        <f aca="false">IF(J545="S0","—",IF(K545="","",IF(L545="E0","QM",INDEX(10_ASIL_Matrix!$D$4:$F$15,MATCH(J545&amp;"-"&amp;L545,10_ASIL_Matrix!$C$4:$C$15,0),MATCH(N545,10_ASIL_Matrix!$D$3:$F$3,0)))))</f>
        <v>C</v>
      </c>
      <c r="Q545" s="6" t="s">
        <v>1283</v>
      </c>
    </row>
    <row r="546" customFormat="false" ht="35.05" hidden="false" customHeight="false" outlineLevel="0" collapsed="false">
      <c r="A546" s="5" t="s">
        <v>1466</v>
      </c>
      <c r="B546" s="5" t="s">
        <v>119</v>
      </c>
      <c r="C546" s="5" t="s">
        <v>120</v>
      </c>
      <c r="D546" s="5" t="s">
        <v>168</v>
      </c>
      <c r="E546" s="5" t="s">
        <v>169</v>
      </c>
      <c r="F546" s="5" t="s">
        <v>192</v>
      </c>
      <c r="G546" s="5" t="s">
        <v>378</v>
      </c>
      <c r="H546" s="5" t="s">
        <v>203</v>
      </c>
      <c r="I546" s="5" t="s">
        <v>1467</v>
      </c>
      <c r="J546" s="5" t="s">
        <v>226</v>
      </c>
      <c r="K546" s="5" t="s">
        <v>380</v>
      </c>
      <c r="L546" s="5" t="s">
        <v>185</v>
      </c>
      <c r="M546" s="5" t="s">
        <v>387</v>
      </c>
      <c r="N546" s="5" t="s">
        <v>265</v>
      </c>
      <c r="O546" s="5" t="s">
        <v>707</v>
      </c>
      <c r="P546" s="17" t="str">
        <f aca="false">IF(J546="S0","—",IF(K546="","",IF(L546="E0","QM",INDEX(10_ASIL_Matrix!$D$4:$F$15,MATCH(J546&amp;"-"&amp;L546,10_ASIL_Matrix!$C$4:$C$15,0),MATCH(N546,10_ASIL_Matrix!$D$3:$F$3,0)))))</f>
        <v>C</v>
      </c>
      <c r="Q546" s="5" t="s">
        <v>1283</v>
      </c>
    </row>
    <row r="547" customFormat="false" ht="35.05" hidden="false" customHeight="false" outlineLevel="0" collapsed="false">
      <c r="A547" s="6" t="s">
        <v>1468</v>
      </c>
      <c r="B547" s="6" t="s">
        <v>119</v>
      </c>
      <c r="C547" s="6" t="s">
        <v>120</v>
      </c>
      <c r="D547" s="6" t="s">
        <v>168</v>
      </c>
      <c r="E547" s="6" t="s">
        <v>169</v>
      </c>
      <c r="F547" s="6" t="s">
        <v>192</v>
      </c>
      <c r="G547" s="6" t="s">
        <v>378</v>
      </c>
      <c r="H547" s="6" t="s">
        <v>205</v>
      </c>
      <c r="I547" s="6" t="s">
        <v>1469</v>
      </c>
      <c r="J547" s="6" t="s">
        <v>226</v>
      </c>
      <c r="K547" s="6" t="s">
        <v>390</v>
      </c>
      <c r="L547" s="6" t="s">
        <v>206</v>
      </c>
      <c r="M547" s="6" t="s">
        <v>391</v>
      </c>
      <c r="N547" s="6" t="s">
        <v>265</v>
      </c>
      <c r="O547" s="6" t="s">
        <v>707</v>
      </c>
      <c r="P547" s="15" t="str">
        <f aca="false">IF(J547="S0","—",IF(K547="","",IF(L547="E0","QM",INDEX(10_ASIL_Matrix!$D$4:$F$15,MATCH(J547&amp;"-"&amp;L547,10_ASIL_Matrix!$C$4:$C$15,0),MATCH(N547,10_ASIL_Matrix!$D$3:$F$3,0)))))</f>
        <v>B</v>
      </c>
      <c r="Q547" s="6" t="s">
        <v>1283</v>
      </c>
    </row>
    <row r="548" customFormat="false" ht="35.05" hidden="false" customHeight="false" outlineLevel="0" collapsed="false">
      <c r="A548" s="5" t="s">
        <v>1470</v>
      </c>
      <c r="B548" s="5" t="s">
        <v>119</v>
      </c>
      <c r="C548" s="5" t="s">
        <v>120</v>
      </c>
      <c r="D548" s="5" t="s">
        <v>168</v>
      </c>
      <c r="E548" s="5" t="s">
        <v>169</v>
      </c>
      <c r="F548" s="5" t="s">
        <v>192</v>
      </c>
      <c r="G548" s="5" t="s">
        <v>378</v>
      </c>
      <c r="H548" s="5" t="s">
        <v>208</v>
      </c>
      <c r="I548" s="5" t="s">
        <v>1471</v>
      </c>
      <c r="J548" s="5" t="s">
        <v>226</v>
      </c>
      <c r="K548" s="5" t="s">
        <v>390</v>
      </c>
      <c r="L548" s="5" t="s">
        <v>209</v>
      </c>
      <c r="M548" s="5" t="s">
        <v>394</v>
      </c>
      <c r="N548" s="5" t="s">
        <v>265</v>
      </c>
      <c r="O548" s="5" t="s">
        <v>707</v>
      </c>
      <c r="P548" s="16" t="str">
        <f aca="false">IF(J548="S0","—",IF(K548="","",IF(L548="E0","QM",INDEX(10_ASIL_Matrix!$D$4:$F$15,MATCH(J548&amp;"-"&amp;L548,10_ASIL_Matrix!$C$4:$C$15,0),MATCH(N548,10_ASIL_Matrix!$D$3:$F$3,0)))))</f>
        <v>A</v>
      </c>
      <c r="Q548" s="5" t="s">
        <v>1283</v>
      </c>
    </row>
    <row r="549" customFormat="false" ht="35.05" hidden="false" customHeight="false" outlineLevel="0" collapsed="false">
      <c r="A549" s="6" t="s">
        <v>1472</v>
      </c>
      <c r="B549" s="6" t="s">
        <v>119</v>
      </c>
      <c r="C549" s="6" t="s">
        <v>120</v>
      </c>
      <c r="D549" s="6" t="s">
        <v>168</v>
      </c>
      <c r="E549" s="6" t="s">
        <v>169</v>
      </c>
      <c r="F549" s="6" t="s">
        <v>194</v>
      </c>
      <c r="G549" s="6" t="s">
        <v>396</v>
      </c>
      <c r="H549" s="6" t="s">
        <v>199</v>
      </c>
      <c r="I549" s="6" t="s">
        <v>1473</v>
      </c>
      <c r="J549" s="6" t="s">
        <v>226</v>
      </c>
      <c r="K549" s="6" t="s">
        <v>398</v>
      </c>
      <c r="L549" s="6" t="s">
        <v>188</v>
      </c>
      <c r="M549" s="6" t="s">
        <v>399</v>
      </c>
      <c r="N549" s="6" t="s">
        <v>265</v>
      </c>
      <c r="O549" s="6" t="s">
        <v>718</v>
      </c>
      <c r="P549" s="18" t="str">
        <f aca="false">IF(J549="S0","—",IF(K549="","",IF(L549="E0","QM",INDEX(10_ASIL_Matrix!$D$4:$F$15,MATCH(J549&amp;"-"&amp;L549,10_ASIL_Matrix!$C$4:$C$15,0),MATCH(N549,10_ASIL_Matrix!$D$3:$F$3,0)))))</f>
        <v>D</v>
      </c>
      <c r="Q549" s="6" t="s">
        <v>1283</v>
      </c>
    </row>
    <row r="550" customFormat="false" ht="35.05" hidden="false" customHeight="false" outlineLevel="0" collapsed="false">
      <c r="A550" s="5" t="s">
        <v>1474</v>
      </c>
      <c r="B550" s="5" t="s">
        <v>119</v>
      </c>
      <c r="C550" s="5" t="s">
        <v>120</v>
      </c>
      <c r="D550" s="5" t="s">
        <v>168</v>
      </c>
      <c r="E550" s="5" t="s">
        <v>169</v>
      </c>
      <c r="F550" s="5" t="s">
        <v>194</v>
      </c>
      <c r="G550" s="5" t="s">
        <v>396</v>
      </c>
      <c r="H550" s="5" t="s">
        <v>201</v>
      </c>
      <c r="I550" s="5" t="s">
        <v>1475</v>
      </c>
      <c r="J550" s="5" t="s">
        <v>226</v>
      </c>
      <c r="K550" s="5" t="s">
        <v>398</v>
      </c>
      <c r="L550" s="5" t="s">
        <v>185</v>
      </c>
      <c r="M550" s="5" t="s">
        <v>402</v>
      </c>
      <c r="N550" s="5" t="s">
        <v>265</v>
      </c>
      <c r="O550" s="5" t="s">
        <v>718</v>
      </c>
      <c r="P550" s="17" t="str">
        <f aca="false">IF(J550="S0","—",IF(K550="","",IF(L550="E0","QM",INDEX(10_ASIL_Matrix!$D$4:$F$15,MATCH(J550&amp;"-"&amp;L550,10_ASIL_Matrix!$C$4:$C$15,0),MATCH(N550,10_ASIL_Matrix!$D$3:$F$3,0)))))</f>
        <v>C</v>
      </c>
      <c r="Q550" s="5" t="s">
        <v>1283</v>
      </c>
    </row>
    <row r="551" customFormat="false" ht="35.05" hidden="false" customHeight="false" outlineLevel="0" collapsed="false">
      <c r="A551" s="6" t="s">
        <v>1476</v>
      </c>
      <c r="B551" s="6" t="s">
        <v>119</v>
      </c>
      <c r="C551" s="6" t="s">
        <v>120</v>
      </c>
      <c r="D551" s="6" t="s">
        <v>168</v>
      </c>
      <c r="E551" s="6" t="s">
        <v>169</v>
      </c>
      <c r="F551" s="6" t="s">
        <v>194</v>
      </c>
      <c r="G551" s="6" t="s">
        <v>396</v>
      </c>
      <c r="H551" s="6" t="s">
        <v>203</v>
      </c>
      <c r="I551" s="6" t="s">
        <v>1477</v>
      </c>
      <c r="J551" s="6" t="s">
        <v>226</v>
      </c>
      <c r="K551" s="6" t="s">
        <v>398</v>
      </c>
      <c r="L551" s="6" t="s">
        <v>185</v>
      </c>
      <c r="M551" s="6" t="s">
        <v>405</v>
      </c>
      <c r="N551" s="6" t="s">
        <v>265</v>
      </c>
      <c r="O551" s="6" t="s">
        <v>718</v>
      </c>
      <c r="P551" s="17" t="str">
        <f aca="false">IF(J551="S0","—",IF(K551="","",IF(L551="E0","QM",INDEX(10_ASIL_Matrix!$D$4:$F$15,MATCH(J551&amp;"-"&amp;L551,10_ASIL_Matrix!$C$4:$C$15,0),MATCH(N551,10_ASIL_Matrix!$D$3:$F$3,0)))))</f>
        <v>C</v>
      </c>
      <c r="Q551" s="6" t="s">
        <v>1283</v>
      </c>
    </row>
    <row r="552" customFormat="false" ht="35.05" hidden="false" customHeight="false" outlineLevel="0" collapsed="false">
      <c r="A552" s="5" t="s">
        <v>1478</v>
      </c>
      <c r="B552" s="5" t="s">
        <v>119</v>
      </c>
      <c r="C552" s="5" t="s">
        <v>120</v>
      </c>
      <c r="D552" s="5" t="s">
        <v>168</v>
      </c>
      <c r="E552" s="5" t="s">
        <v>169</v>
      </c>
      <c r="F552" s="5" t="s">
        <v>194</v>
      </c>
      <c r="G552" s="5" t="s">
        <v>396</v>
      </c>
      <c r="H552" s="5" t="s">
        <v>205</v>
      </c>
      <c r="I552" s="5" t="s">
        <v>1479</v>
      </c>
      <c r="J552" s="5" t="s">
        <v>226</v>
      </c>
      <c r="K552" s="5" t="s">
        <v>408</v>
      </c>
      <c r="L552" s="5" t="s">
        <v>206</v>
      </c>
      <c r="M552" s="5" t="s">
        <v>409</v>
      </c>
      <c r="N552" s="5" t="s">
        <v>265</v>
      </c>
      <c r="O552" s="5" t="s">
        <v>718</v>
      </c>
      <c r="P552" s="15" t="str">
        <f aca="false">IF(J552="S0","—",IF(K552="","",IF(L552="E0","QM",INDEX(10_ASIL_Matrix!$D$4:$F$15,MATCH(J552&amp;"-"&amp;L552,10_ASIL_Matrix!$C$4:$C$15,0),MATCH(N552,10_ASIL_Matrix!$D$3:$F$3,0)))))</f>
        <v>B</v>
      </c>
      <c r="Q552" s="5" t="s">
        <v>1283</v>
      </c>
    </row>
    <row r="553" customFormat="false" ht="35.05" hidden="false" customHeight="false" outlineLevel="0" collapsed="false">
      <c r="A553" s="6" t="s">
        <v>1480</v>
      </c>
      <c r="B553" s="6" t="s">
        <v>119</v>
      </c>
      <c r="C553" s="6" t="s">
        <v>120</v>
      </c>
      <c r="D553" s="6" t="s">
        <v>168</v>
      </c>
      <c r="E553" s="6" t="s">
        <v>169</v>
      </c>
      <c r="F553" s="6" t="s">
        <v>194</v>
      </c>
      <c r="G553" s="6" t="s">
        <v>396</v>
      </c>
      <c r="H553" s="6" t="s">
        <v>208</v>
      </c>
      <c r="I553" s="6" t="s">
        <v>1481</v>
      </c>
      <c r="J553" s="6" t="s">
        <v>226</v>
      </c>
      <c r="K553" s="6" t="s">
        <v>408</v>
      </c>
      <c r="L553" s="6" t="s">
        <v>209</v>
      </c>
      <c r="M553" s="6" t="s">
        <v>412</v>
      </c>
      <c r="N553" s="6" t="s">
        <v>265</v>
      </c>
      <c r="O553" s="6" t="s">
        <v>718</v>
      </c>
      <c r="P553" s="16" t="str">
        <f aca="false">IF(J553="S0","—",IF(K553="","",IF(L553="E0","QM",INDEX(10_ASIL_Matrix!$D$4:$F$15,MATCH(J553&amp;"-"&amp;L553,10_ASIL_Matrix!$C$4:$C$15,0),MATCH(N553,10_ASIL_Matrix!$D$3:$F$3,0)))))</f>
        <v>A</v>
      </c>
      <c r="Q553" s="6" t="s">
        <v>1283</v>
      </c>
    </row>
    <row r="554" customFormat="false" ht="35.05" hidden="false" customHeight="false" outlineLevel="0" collapsed="false">
      <c r="A554" s="5" t="s">
        <v>1482</v>
      </c>
      <c r="B554" s="5" t="s">
        <v>119</v>
      </c>
      <c r="C554" s="5" t="s">
        <v>120</v>
      </c>
      <c r="D554" s="5" t="s">
        <v>171</v>
      </c>
      <c r="E554" s="5" t="s">
        <v>172</v>
      </c>
      <c r="F554" s="5" t="s">
        <v>184</v>
      </c>
      <c r="G554" s="5" t="s">
        <v>323</v>
      </c>
      <c r="H554" s="5" t="s">
        <v>199</v>
      </c>
      <c r="I554" s="5" t="s">
        <v>1483</v>
      </c>
      <c r="J554" s="5" t="s">
        <v>218</v>
      </c>
      <c r="K554" s="5" t="s">
        <v>325</v>
      </c>
      <c r="L554" s="5" t="s">
        <v>185</v>
      </c>
      <c r="M554" s="5" t="s">
        <v>326</v>
      </c>
      <c r="N554" s="5" t="s">
        <v>261</v>
      </c>
      <c r="O554" s="5" t="s">
        <v>465</v>
      </c>
      <c r="P554" s="5" t="str">
        <f aca="false">IF(J554="S0","—",IF(K554="","",IF(L554="E0","QM",INDEX(10_ASIL_Matrix!$D$4:$F$15,MATCH(J554&amp;"-"&amp;L554,10_ASIL_Matrix!$C$4:$C$15,0),MATCH(N554,10_ASIL_Matrix!$D$3:$F$3,0)))))</f>
        <v>QM</v>
      </c>
      <c r="Q554" s="5" t="s">
        <v>1283</v>
      </c>
    </row>
    <row r="555" customFormat="false" ht="23.85" hidden="false" customHeight="false" outlineLevel="0" collapsed="false">
      <c r="A555" s="6" t="s">
        <v>1484</v>
      </c>
      <c r="B555" s="6" t="s">
        <v>119</v>
      </c>
      <c r="C555" s="6" t="s">
        <v>120</v>
      </c>
      <c r="D555" s="6" t="s">
        <v>171</v>
      </c>
      <c r="E555" s="6" t="s">
        <v>172</v>
      </c>
      <c r="F555" s="6" t="s">
        <v>184</v>
      </c>
      <c r="G555" s="6" t="s">
        <v>323</v>
      </c>
      <c r="H555" s="6" t="s">
        <v>201</v>
      </c>
      <c r="I555" s="6" t="s">
        <v>1485</v>
      </c>
      <c r="J555" s="6" t="s">
        <v>218</v>
      </c>
      <c r="K555" s="6" t="s">
        <v>325</v>
      </c>
      <c r="L555" s="6" t="s">
        <v>185</v>
      </c>
      <c r="M555" s="6" t="s">
        <v>331</v>
      </c>
      <c r="N555" s="6" t="s">
        <v>261</v>
      </c>
      <c r="O555" s="6" t="s">
        <v>465</v>
      </c>
      <c r="P555" s="6" t="str">
        <f aca="false">IF(J555="S0","—",IF(K555="","",IF(L555="E0","QM",INDEX(10_ASIL_Matrix!$D$4:$F$15,MATCH(J555&amp;"-"&amp;L555,10_ASIL_Matrix!$C$4:$C$15,0),MATCH(N555,10_ASIL_Matrix!$D$3:$F$3,0)))))</f>
        <v>QM</v>
      </c>
      <c r="Q555" s="6" t="s">
        <v>1283</v>
      </c>
    </row>
    <row r="556" customFormat="false" ht="35.05" hidden="false" customHeight="false" outlineLevel="0" collapsed="false">
      <c r="A556" s="5" t="s">
        <v>1486</v>
      </c>
      <c r="B556" s="5" t="s">
        <v>119</v>
      </c>
      <c r="C556" s="5" t="s">
        <v>120</v>
      </c>
      <c r="D556" s="5" t="s">
        <v>171</v>
      </c>
      <c r="E556" s="5" t="s">
        <v>172</v>
      </c>
      <c r="F556" s="5" t="s">
        <v>184</v>
      </c>
      <c r="G556" s="5" t="s">
        <v>323</v>
      </c>
      <c r="H556" s="5" t="s">
        <v>203</v>
      </c>
      <c r="I556" s="5" t="s">
        <v>1487</v>
      </c>
      <c r="J556" s="5" t="s">
        <v>218</v>
      </c>
      <c r="K556" s="5" t="s">
        <v>325</v>
      </c>
      <c r="L556" s="5" t="s">
        <v>185</v>
      </c>
      <c r="M556" s="5" t="s">
        <v>334</v>
      </c>
      <c r="N556" s="5" t="s">
        <v>261</v>
      </c>
      <c r="O556" s="5" t="s">
        <v>465</v>
      </c>
      <c r="P556" s="5" t="str">
        <f aca="false">IF(J556="S0","—",IF(K556="","",IF(L556="E0","QM",INDEX(10_ASIL_Matrix!$D$4:$F$15,MATCH(J556&amp;"-"&amp;L556,10_ASIL_Matrix!$C$4:$C$15,0),MATCH(N556,10_ASIL_Matrix!$D$3:$F$3,0)))))</f>
        <v>QM</v>
      </c>
      <c r="Q556" s="5" t="s">
        <v>1283</v>
      </c>
    </row>
    <row r="557" customFormat="false" ht="35.05" hidden="false" customHeight="false" outlineLevel="0" collapsed="false">
      <c r="A557" s="6" t="s">
        <v>1488</v>
      </c>
      <c r="B557" s="6" t="s">
        <v>119</v>
      </c>
      <c r="C557" s="6" t="s">
        <v>120</v>
      </c>
      <c r="D557" s="6" t="s">
        <v>171</v>
      </c>
      <c r="E557" s="6" t="s">
        <v>172</v>
      </c>
      <c r="F557" s="6" t="s">
        <v>184</v>
      </c>
      <c r="G557" s="6" t="s">
        <v>323</v>
      </c>
      <c r="H557" s="6" t="s">
        <v>205</v>
      </c>
      <c r="I557" s="6" t="s">
        <v>1489</v>
      </c>
      <c r="J557" s="6" t="s">
        <v>218</v>
      </c>
      <c r="K557" s="6" t="s">
        <v>325</v>
      </c>
      <c r="L557" s="6" t="s">
        <v>206</v>
      </c>
      <c r="M557" s="6" t="s">
        <v>337</v>
      </c>
      <c r="N557" s="6" t="s">
        <v>261</v>
      </c>
      <c r="O557" s="6" t="s">
        <v>465</v>
      </c>
      <c r="P557" s="6" t="str">
        <f aca="false">IF(J557="S0","—",IF(K557="","",IF(L557="E0","QM",INDEX(10_ASIL_Matrix!$D$4:$F$15,MATCH(J557&amp;"-"&amp;L557,10_ASIL_Matrix!$C$4:$C$15,0),MATCH(N557,10_ASIL_Matrix!$D$3:$F$3,0)))))</f>
        <v>QM</v>
      </c>
      <c r="Q557" s="6" t="s">
        <v>1283</v>
      </c>
    </row>
    <row r="558" customFormat="false" ht="23.85" hidden="false" customHeight="false" outlineLevel="0" collapsed="false">
      <c r="A558" s="5" t="s">
        <v>1490</v>
      </c>
      <c r="B558" s="5" t="s">
        <v>119</v>
      </c>
      <c r="C558" s="5" t="s">
        <v>120</v>
      </c>
      <c r="D558" s="5" t="s">
        <v>171</v>
      </c>
      <c r="E558" s="5" t="s">
        <v>172</v>
      </c>
      <c r="F558" s="5" t="s">
        <v>184</v>
      </c>
      <c r="G558" s="5" t="s">
        <v>323</v>
      </c>
      <c r="H558" s="5" t="s">
        <v>208</v>
      </c>
      <c r="I558" s="5" t="s">
        <v>1491</v>
      </c>
      <c r="J558" s="5" t="s">
        <v>218</v>
      </c>
      <c r="K558" s="5" t="s">
        <v>325</v>
      </c>
      <c r="L558" s="5" t="s">
        <v>209</v>
      </c>
      <c r="M558" s="5" t="s">
        <v>340</v>
      </c>
      <c r="N558" s="5" t="s">
        <v>261</v>
      </c>
      <c r="O558" s="5" t="s">
        <v>465</v>
      </c>
      <c r="P558" s="5" t="str">
        <f aca="false">IF(J558="S0","—",IF(K558="","",IF(L558="E0","QM",INDEX(10_ASIL_Matrix!$D$4:$F$15,MATCH(J558&amp;"-"&amp;L558,10_ASIL_Matrix!$C$4:$C$15,0),MATCH(N558,10_ASIL_Matrix!$D$3:$F$3,0)))))</f>
        <v>QM</v>
      </c>
      <c r="Q558" s="5" t="s">
        <v>1283</v>
      </c>
    </row>
    <row r="559" customFormat="false" ht="35.05" hidden="false" customHeight="false" outlineLevel="0" collapsed="false">
      <c r="A559" s="6" t="s">
        <v>1492</v>
      </c>
      <c r="B559" s="6" t="s">
        <v>119</v>
      </c>
      <c r="C559" s="6" t="s">
        <v>120</v>
      </c>
      <c r="D559" s="6" t="s">
        <v>171</v>
      </c>
      <c r="E559" s="6" t="s">
        <v>172</v>
      </c>
      <c r="F559" s="6" t="s">
        <v>187</v>
      </c>
      <c r="G559" s="6" t="s">
        <v>342</v>
      </c>
      <c r="H559" s="6" t="s">
        <v>199</v>
      </c>
      <c r="I559" s="6" t="s">
        <v>1493</v>
      </c>
      <c r="J559" s="6" t="s">
        <v>222</v>
      </c>
      <c r="K559" s="6" t="s">
        <v>344</v>
      </c>
      <c r="L559" s="6" t="s">
        <v>188</v>
      </c>
      <c r="M559" s="6" t="s">
        <v>345</v>
      </c>
      <c r="N559" s="6" t="s">
        <v>261</v>
      </c>
      <c r="O559" s="6" t="s">
        <v>476</v>
      </c>
      <c r="P559" s="15" t="str">
        <f aca="false">IF(J559="S0","—",IF(K559="","",IF(L559="E0","QM",INDEX(10_ASIL_Matrix!$D$4:$F$15,MATCH(J559&amp;"-"&amp;L559,10_ASIL_Matrix!$C$4:$C$15,0),MATCH(N559,10_ASIL_Matrix!$D$3:$F$3,0)))))</f>
        <v>B</v>
      </c>
      <c r="Q559" s="6" t="s">
        <v>1283</v>
      </c>
    </row>
    <row r="560" customFormat="false" ht="35.05" hidden="false" customHeight="false" outlineLevel="0" collapsed="false">
      <c r="A560" s="5" t="s">
        <v>1494</v>
      </c>
      <c r="B560" s="5" t="s">
        <v>119</v>
      </c>
      <c r="C560" s="5" t="s">
        <v>120</v>
      </c>
      <c r="D560" s="5" t="s">
        <v>171</v>
      </c>
      <c r="E560" s="5" t="s">
        <v>172</v>
      </c>
      <c r="F560" s="5" t="s">
        <v>187</v>
      </c>
      <c r="G560" s="5" t="s">
        <v>342</v>
      </c>
      <c r="H560" s="5" t="s">
        <v>201</v>
      </c>
      <c r="I560" s="5" t="s">
        <v>1495</v>
      </c>
      <c r="J560" s="5" t="s">
        <v>222</v>
      </c>
      <c r="K560" s="5" t="s">
        <v>344</v>
      </c>
      <c r="L560" s="5" t="s">
        <v>185</v>
      </c>
      <c r="M560" s="5" t="s">
        <v>348</v>
      </c>
      <c r="N560" s="5" t="s">
        <v>261</v>
      </c>
      <c r="O560" s="5" t="s">
        <v>476</v>
      </c>
      <c r="P560" s="16" t="str">
        <f aca="false">IF(J560="S0","—",IF(K560="","",IF(L560="E0","QM",INDEX(10_ASIL_Matrix!$D$4:$F$15,MATCH(J560&amp;"-"&amp;L560,10_ASIL_Matrix!$C$4:$C$15,0),MATCH(N560,10_ASIL_Matrix!$D$3:$F$3,0)))))</f>
        <v>A</v>
      </c>
      <c r="Q560" s="5" t="s">
        <v>1283</v>
      </c>
    </row>
    <row r="561" customFormat="false" ht="35.05" hidden="false" customHeight="false" outlineLevel="0" collapsed="false">
      <c r="A561" s="6" t="s">
        <v>1496</v>
      </c>
      <c r="B561" s="6" t="s">
        <v>119</v>
      </c>
      <c r="C561" s="6" t="s">
        <v>120</v>
      </c>
      <c r="D561" s="6" t="s">
        <v>171</v>
      </c>
      <c r="E561" s="6" t="s">
        <v>172</v>
      </c>
      <c r="F561" s="6" t="s">
        <v>187</v>
      </c>
      <c r="G561" s="6" t="s">
        <v>342</v>
      </c>
      <c r="H561" s="6" t="s">
        <v>203</v>
      </c>
      <c r="I561" s="6" t="s">
        <v>1497</v>
      </c>
      <c r="J561" s="6" t="s">
        <v>222</v>
      </c>
      <c r="K561" s="6" t="s">
        <v>344</v>
      </c>
      <c r="L561" s="6" t="s">
        <v>185</v>
      </c>
      <c r="M561" s="6" t="s">
        <v>351</v>
      </c>
      <c r="N561" s="6" t="s">
        <v>261</v>
      </c>
      <c r="O561" s="6" t="s">
        <v>476</v>
      </c>
      <c r="P561" s="16" t="str">
        <f aca="false">IF(J561="S0","—",IF(K561="","",IF(L561="E0","QM",INDEX(10_ASIL_Matrix!$D$4:$F$15,MATCH(J561&amp;"-"&amp;L561,10_ASIL_Matrix!$C$4:$C$15,0),MATCH(N561,10_ASIL_Matrix!$D$3:$F$3,0)))))</f>
        <v>A</v>
      </c>
      <c r="Q561" s="6" t="s">
        <v>1283</v>
      </c>
    </row>
    <row r="562" customFormat="false" ht="35.05" hidden="false" customHeight="false" outlineLevel="0" collapsed="false">
      <c r="A562" s="5" t="s">
        <v>1498</v>
      </c>
      <c r="B562" s="5" t="s">
        <v>119</v>
      </c>
      <c r="C562" s="5" t="s">
        <v>120</v>
      </c>
      <c r="D562" s="5" t="s">
        <v>171</v>
      </c>
      <c r="E562" s="5" t="s">
        <v>172</v>
      </c>
      <c r="F562" s="5" t="s">
        <v>187</v>
      </c>
      <c r="G562" s="5" t="s">
        <v>342</v>
      </c>
      <c r="H562" s="5" t="s">
        <v>205</v>
      </c>
      <c r="I562" s="5" t="s">
        <v>1499</v>
      </c>
      <c r="J562" s="5" t="s">
        <v>222</v>
      </c>
      <c r="K562" s="5" t="s">
        <v>354</v>
      </c>
      <c r="L562" s="5" t="s">
        <v>206</v>
      </c>
      <c r="M562" s="5" t="s">
        <v>355</v>
      </c>
      <c r="N562" s="5" t="s">
        <v>261</v>
      </c>
      <c r="O562" s="5" t="s">
        <v>476</v>
      </c>
      <c r="P562" s="5" t="str">
        <f aca="false">IF(J562="S0","—",IF(K562="","",IF(L562="E0","QM",INDEX(10_ASIL_Matrix!$D$4:$F$15,MATCH(J562&amp;"-"&amp;L562,10_ASIL_Matrix!$C$4:$C$15,0),MATCH(N562,10_ASIL_Matrix!$D$3:$F$3,0)))))</f>
        <v>QM</v>
      </c>
      <c r="Q562" s="5" t="s">
        <v>1283</v>
      </c>
    </row>
    <row r="563" customFormat="false" ht="35.05" hidden="false" customHeight="false" outlineLevel="0" collapsed="false">
      <c r="A563" s="6" t="s">
        <v>1500</v>
      </c>
      <c r="B563" s="6" t="s">
        <v>119</v>
      </c>
      <c r="C563" s="6" t="s">
        <v>120</v>
      </c>
      <c r="D563" s="6" t="s">
        <v>171</v>
      </c>
      <c r="E563" s="6" t="s">
        <v>172</v>
      </c>
      <c r="F563" s="6" t="s">
        <v>187</v>
      </c>
      <c r="G563" s="6" t="s">
        <v>342</v>
      </c>
      <c r="H563" s="6" t="s">
        <v>208</v>
      </c>
      <c r="I563" s="6" t="s">
        <v>1501</v>
      </c>
      <c r="J563" s="6" t="s">
        <v>222</v>
      </c>
      <c r="K563" s="6" t="s">
        <v>354</v>
      </c>
      <c r="L563" s="6" t="s">
        <v>209</v>
      </c>
      <c r="M563" s="6" t="s">
        <v>358</v>
      </c>
      <c r="N563" s="6" t="s">
        <v>261</v>
      </c>
      <c r="O563" s="6" t="s">
        <v>476</v>
      </c>
      <c r="P563" s="6" t="str">
        <f aca="false">IF(J563="S0","—",IF(K563="","",IF(L563="E0","QM",INDEX(10_ASIL_Matrix!$D$4:$F$15,MATCH(J563&amp;"-"&amp;L563,10_ASIL_Matrix!$C$4:$C$15,0),MATCH(N563,10_ASIL_Matrix!$D$3:$F$3,0)))))</f>
        <v>QM</v>
      </c>
      <c r="Q563" s="6" t="s">
        <v>1283</v>
      </c>
    </row>
    <row r="564" customFormat="false" ht="35.05" hidden="false" customHeight="false" outlineLevel="0" collapsed="false">
      <c r="A564" s="5" t="s">
        <v>1502</v>
      </c>
      <c r="B564" s="5" t="s">
        <v>119</v>
      </c>
      <c r="C564" s="5" t="s">
        <v>120</v>
      </c>
      <c r="D564" s="5" t="s">
        <v>171</v>
      </c>
      <c r="E564" s="5" t="s">
        <v>172</v>
      </c>
      <c r="F564" s="5" t="s">
        <v>190</v>
      </c>
      <c r="G564" s="5" t="s">
        <v>360</v>
      </c>
      <c r="H564" s="5" t="s">
        <v>199</v>
      </c>
      <c r="I564" s="5" t="s">
        <v>1503</v>
      </c>
      <c r="J564" s="5" t="s">
        <v>222</v>
      </c>
      <c r="K564" s="5" t="s">
        <v>362</v>
      </c>
      <c r="L564" s="5" t="s">
        <v>188</v>
      </c>
      <c r="M564" s="5" t="s">
        <v>363</v>
      </c>
      <c r="N564" s="5" t="s">
        <v>261</v>
      </c>
      <c r="O564" s="5" t="s">
        <v>540</v>
      </c>
      <c r="P564" s="15" t="str">
        <f aca="false">IF(J564="S0","—",IF(K564="","",IF(L564="E0","QM",INDEX(10_ASIL_Matrix!$D$4:$F$15,MATCH(J564&amp;"-"&amp;L564,10_ASIL_Matrix!$C$4:$C$15,0),MATCH(N564,10_ASIL_Matrix!$D$3:$F$3,0)))))</f>
        <v>B</v>
      </c>
      <c r="Q564" s="5" t="s">
        <v>1283</v>
      </c>
    </row>
    <row r="565" customFormat="false" ht="35.05" hidden="false" customHeight="false" outlineLevel="0" collapsed="false">
      <c r="A565" s="6" t="s">
        <v>1504</v>
      </c>
      <c r="B565" s="6" t="s">
        <v>119</v>
      </c>
      <c r="C565" s="6" t="s">
        <v>120</v>
      </c>
      <c r="D565" s="6" t="s">
        <v>171</v>
      </c>
      <c r="E565" s="6" t="s">
        <v>172</v>
      </c>
      <c r="F565" s="6" t="s">
        <v>190</v>
      </c>
      <c r="G565" s="6" t="s">
        <v>360</v>
      </c>
      <c r="H565" s="6" t="s">
        <v>201</v>
      </c>
      <c r="I565" s="6" t="s">
        <v>1505</v>
      </c>
      <c r="J565" s="6" t="s">
        <v>222</v>
      </c>
      <c r="K565" s="6" t="s">
        <v>362</v>
      </c>
      <c r="L565" s="6" t="s">
        <v>185</v>
      </c>
      <c r="M565" s="6" t="s">
        <v>366</v>
      </c>
      <c r="N565" s="6" t="s">
        <v>261</v>
      </c>
      <c r="O565" s="6" t="s">
        <v>540</v>
      </c>
      <c r="P565" s="16" t="str">
        <f aca="false">IF(J565="S0","—",IF(K565="","",IF(L565="E0","QM",INDEX(10_ASIL_Matrix!$D$4:$F$15,MATCH(J565&amp;"-"&amp;L565,10_ASIL_Matrix!$C$4:$C$15,0),MATCH(N565,10_ASIL_Matrix!$D$3:$F$3,0)))))</f>
        <v>A</v>
      </c>
      <c r="Q565" s="6" t="s">
        <v>1283</v>
      </c>
    </row>
    <row r="566" customFormat="false" ht="35.05" hidden="false" customHeight="false" outlineLevel="0" collapsed="false">
      <c r="A566" s="5" t="s">
        <v>1506</v>
      </c>
      <c r="B566" s="5" t="s">
        <v>119</v>
      </c>
      <c r="C566" s="5" t="s">
        <v>120</v>
      </c>
      <c r="D566" s="5" t="s">
        <v>171</v>
      </c>
      <c r="E566" s="5" t="s">
        <v>172</v>
      </c>
      <c r="F566" s="5" t="s">
        <v>190</v>
      </c>
      <c r="G566" s="5" t="s">
        <v>360</v>
      </c>
      <c r="H566" s="5" t="s">
        <v>203</v>
      </c>
      <c r="I566" s="5" t="s">
        <v>1507</v>
      </c>
      <c r="J566" s="5" t="s">
        <v>222</v>
      </c>
      <c r="K566" s="5" t="s">
        <v>362</v>
      </c>
      <c r="L566" s="5" t="s">
        <v>185</v>
      </c>
      <c r="M566" s="5" t="s">
        <v>369</v>
      </c>
      <c r="N566" s="5" t="s">
        <v>261</v>
      </c>
      <c r="O566" s="5" t="s">
        <v>540</v>
      </c>
      <c r="P566" s="16" t="str">
        <f aca="false">IF(J566="S0","—",IF(K566="","",IF(L566="E0","QM",INDEX(10_ASIL_Matrix!$D$4:$F$15,MATCH(J566&amp;"-"&amp;L566,10_ASIL_Matrix!$C$4:$C$15,0),MATCH(N566,10_ASIL_Matrix!$D$3:$F$3,0)))))</f>
        <v>A</v>
      </c>
      <c r="Q566" s="5" t="s">
        <v>1283</v>
      </c>
    </row>
    <row r="567" customFormat="false" ht="35.05" hidden="false" customHeight="false" outlineLevel="0" collapsed="false">
      <c r="A567" s="6" t="s">
        <v>1508</v>
      </c>
      <c r="B567" s="6" t="s">
        <v>119</v>
      </c>
      <c r="C567" s="6" t="s">
        <v>120</v>
      </c>
      <c r="D567" s="6" t="s">
        <v>171</v>
      </c>
      <c r="E567" s="6" t="s">
        <v>172</v>
      </c>
      <c r="F567" s="6" t="s">
        <v>190</v>
      </c>
      <c r="G567" s="6" t="s">
        <v>360</v>
      </c>
      <c r="H567" s="6" t="s">
        <v>205</v>
      </c>
      <c r="I567" s="6" t="s">
        <v>1509</v>
      </c>
      <c r="J567" s="6" t="s">
        <v>222</v>
      </c>
      <c r="K567" s="6" t="s">
        <v>372</v>
      </c>
      <c r="L567" s="6" t="s">
        <v>206</v>
      </c>
      <c r="M567" s="6" t="s">
        <v>373</v>
      </c>
      <c r="N567" s="6" t="s">
        <v>261</v>
      </c>
      <c r="O567" s="6" t="s">
        <v>540</v>
      </c>
      <c r="P567" s="6" t="str">
        <f aca="false">IF(J567="S0","—",IF(K567="","",IF(L567="E0","QM",INDEX(10_ASIL_Matrix!$D$4:$F$15,MATCH(J567&amp;"-"&amp;L567,10_ASIL_Matrix!$C$4:$C$15,0),MATCH(N567,10_ASIL_Matrix!$D$3:$F$3,0)))))</f>
        <v>QM</v>
      </c>
      <c r="Q567" s="6" t="s">
        <v>1283</v>
      </c>
    </row>
    <row r="568" customFormat="false" ht="35.05" hidden="false" customHeight="false" outlineLevel="0" collapsed="false">
      <c r="A568" s="5" t="s">
        <v>1510</v>
      </c>
      <c r="B568" s="5" t="s">
        <v>119</v>
      </c>
      <c r="C568" s="5" t="s">
        <v>120</v>
      </c>
      <c r="D568" s="5" t="s">
        <v>171</v>
      </c>
      <c r="E568" s="5" t="s">
        <v>172</v>
      </c>
      <c r="F568" s="5" t="s">
        <v>190</v>
      </c>
      <c r="G568" s="5" t="s">
        <v>360</v>
      </c>
      <c r="H568" s="5" t="s">
        <v>208</v>
      </c>
      <c r="I568" s="5" t="s">
        <v>1511</v>
      </c>
      <c r="J568" s="5" t="s">
        <v>222</v>
      </c>
      <c r="K568" s="5" t="s">
        <v>372</v>
      </c>
      <c r="L568" s="5" t="s">
        <v>209</v>
      </c>
      <c r="M568" s="5" t="s">
        <v>376</v>
      </c>
      <c r="N568" s="5" t="s">
        <v>261</v>
      </c>
      <c r="O568" s="5" t="s">
        <v>540</v>
      </c>
      <c r="P568" s="5" t="str">
        <f aca="false">IF(J568="S0","—",IF(K568="","",IF(L568="E0","QM",INDEX(10_ASIL_Matrix!$D$4:$F$15,MATCH(J568&amp;"-"&amp;L568,10_ASIL_Matrix!$C$4:$C$15,0),MATCH(N568,10_ASIL_Matrix!$D$3:$F$3,0)))))</f>
        <v>QM</v>
      </c>
      <c r="Q568" s="5" t="s">
        <v>1283</v>
      </c>
    </row>
    <row r="569" customFormat="false" ht="35.05" hidden="false" customHeight="false" outlineLevel="0" collapsed="false">
      <c r="A569" s="6" t="s">
        <v>1512</v>
      </c>
      <c r="B569" s="6" t="s">
        <v>119</v>
      </c>
      <c r="C569" s="6" t="s">
        <v>120</v>
      </c>
      <c r="D569" s="6" t="s">
        <v>171</v>
      </c>
      <c r="E569" s="6" t="s">
        <v>172</v>
      </c>
      <c r="F569" s="6" t="s">
        <v>192</v>
      </c>
      <c r="G569" s="6" t="s">
        <v>378</v>
      </c>
      <c r="H569" s="6" t="s">
        <v>199</v>
      </c>
      <c r="I569" s="6" t="s">
        <v>1513</v>
      </c>
      <c r="J569" s="6" t="s">
        <v>226</v>
      </c>
      <c r="K569" s="6" t="s">
        <v>380</v>
      </c>
      <c r="L569" s="6" t="s">
        <v>185</v>
      </c>
      <c r="M569" s="6" t="s">
        <v>381</v>
      </c>
      <c r="N569" s="6" t="s">
        <v>265</v>
      </c>
      <c r="O569" s="6" t="s">
        <v>551</v>
      </c>
      <c r="P569" s="17" t="str">
        <f aca="false">IF(J569="S0","—",IF(K569="","",IF(L569="E0","QM",INDEX(10_ASIL_Matrix!$D$4:$F$15,MATCH(J569&amp;"-"&amp;L569,10_ASIL_Matrix!$C$4:$C$15,0),MATCH(N569,10_ASIL_Matrix!$D$3:$F$3,0)))))</f>
        <v>C</v>
      </c>
      <c r="Q569" s="6" t="s">
        <v>1283</v>
      </c>
    </row>
    <row r="570" customFormat="false" ht="35.05" hidden="false" customHeight="false" outlineLevel="0" collapsed="false">
      <c r="A570" s="5" t="s">
        <v>1514</v>
      </c>
      <c r="B570" s="5" t="s">
        <v>119</v>
      </c>
      <c r="C570" s="5" t="s">
        <v>120</v>
      </c>
      <c r="D570" s="5" t="s">
        <v>171</v>
      </c>
      <c r="E570" s="5" t="s">
        <v>172</v>
      </c>
      <c r="F570" s="5" t="s">
        <v>192</v>
      </c>
      <c r="G570" s="5" t="s">
        <v>378</v>
      </c>
      <c r="H570" s="5" t="s">
        <v>201</v>
      </c>
      <c r="I570" s="5" t="s">
        <v>1515</v>
      </c>
      <c r="J570" s="5" t="s">
        <v>226</v>
      </c>
      <c r="K570" s="5" t="s">
        <v>380</v>
      </c>
      <c r="L570" s="5" t="s">
        <v>185</v>
      </c>
      <c r="M570" s="5" t="s">
        <v>384</v>
      </c>
      <c r="N570" s="5" t="s">
        <v>265</v>
      </c>
      <c r="O570" s="5" t="s">
        <v>551</v>
      </c>
      <c r="P570" s="17" t="str">
        <f aca="false">IF(J570="S0","—",IF(K570="","",IF(L570="E0","QM",INDEX(10_ASIL_Matrix!$D$4:$F$15,MATCH(J570&amp;"-"&amp;L570,10_ASIL_Matrix!$C$4:$C$15,0),MATCH(N570,10_ASIL_Matrix!$D$3:$F$3,0)))))</f>
        <v>C</v>
      </c>
      <c r="Q570" s="5" t="s">
        <v>1283</v>
      </c>
    </row>
    <row r="571" customFormat="false" ht="35.05" hidden="false" customHeight="false" outlineLevel="0" collapsed="false">
      <c r="A571" s="6" t="s">
        <v>1516</v>
      </c>
      <c r="B571" s="6" t="s">
        <v>119</v>
      </c>
      <c r="C571" s="6" t="s">
        <v>120</v>
      </c>
      <c r="D571" s="6" t="s">
        <v>171</v>
      </c>
      <c r="E571" s="6" t="s">
        <v>172</v>
      </c>
      <c r="F571" s="6" t="s">
        <v>192</v>
      </c>
      <c r="G571" s="6" t="s">
        <v>378</v>
      </c>
      <c r="H571" s="6" t="s">
        <v>203</v>
      </c>
      <c r="I571" s="6" t="s">
        <v>1517</v>
      </c>
      <c r="J571" s="6" t="s">
        <v>226</v>
      </c>
      <c r="K571" s="6" t="s">
        <v>380</v>
      </c>
      <c r="L571" s="6" t="s">
        <v>185</v>
      </c>
      <c r="M571" s="6" t="s">
        <v>387</v>
      </c>
      <c r="N571" s="6" t="s">
        <v>265</v>
      </c>
      <c r="O571" s="6" t="s">
        <v>551</v>
      </c>
      <c r="P571" s="17" t="str">
        <f aca="false">IF(J571="S0","—",IF(K571="","",IF(L571="E0","QM",INDEX(10_ASIL_Matrix!$D$4:$F$15,MATCH(J571&amp;"-"&amp;L571,10_ASIL_Matrix!$C$4:$C$15,0),MATCH(N571,10_ASIL_Matrix!$D$3:$F$3,0)))))</f>
        <v>C</v>
      </c>
      <c r="Q571" s="6" t="s">
        <v>1283</v>
      </c>
    </row>
    <row r="572" customFormat="false" ht="35.05" hidden="false" customHeight="false" outlineLevel="0" collapsed="false">
      <c r="A572" s="5" t="s">
        <v>1518</v>
      </c>
      <c r="B572" s="5" t="s">
        <v>119</v>
      </c>
      <c r="C572" s="5" t="s">
        <v>120</v>
      </c>
      <c r="D572" s="5" t="s">
        <v>171</v>
      </c>
      <c r="E572" s="5" t="s">
        <v>172</v>
      </c>
      <c r="F572" s="5" t="s">
        <v>192</v>
      </c>
      <c r="G572" s="5" t="s">
        <v>378</v>
      </c>
      <c r="H572" s="5" t="s">
        <v>205</v>
      </c>
      <c r="I572" s="5" t="s">
        <v>1519</v>
      </c>
      <c r="J572" s="5" t="s">
        <v>226</v>
      </c>
      <c r="K572" s="5" t="s">
        <v>390</v>
      </c>
      <c r="L572" s="5" t="s">
        <v>206</v>
      </c>
      <c r="M572" s="5" t="s">
        <v>391</v>
      </c>
      <c r="N572" s="5" t="s">
        <v>265</v>
      </c>
      <c r="O572" s="5" t="s">
        <v>551</v>
      </c>
      <c r="P572" s="15" t="str">
        <f aca="false">IF(J572="S0","—",IF(K572="","",IF(L572="E0","QM",INDEX(10_ASIL_Matrix!$D$4:$F$15,MATCH(J572&amp;"-"&amp;L572,10_ASIL_Matrix!$C$4:$C$15,0),MATCH(N572,10_ASIL_Matrix!$D$3:$F$3,0)))))</f>
        <v>B</v>
      </c>
      <c r="Q572" s="5" t="s">
        <v>1283</v>
      </c>
    </row>
    <row r="573" customFormat="false" ht="35.05" hidden="false" customHeight="false" outlineLevel="0" collapsed="false">
      <c r="A573" s="6" t="s">
        <v>1520</v>
      </c>
      <c r="B573" s="6" t="s">
        <v>119</v>
      </c>
      <c r="C573" s="6" t="s">
        <v>120</v>
      </c>
      <c r="D573" s="6" t="s">
        <v>171</v>
      </c>
      <c r="E573" s="6" t="s">
        <v>172</v>
      </c>
      <c r="F573" s="6" t="s">
        <v>192</v>
      </c>
      <c r="G573" s="6" t="s">
        <v>378</v>
      </c>
      <c r="H573" s="6" t="s">
        <v>208</v>
      </c>
      <c r="I573" s="6" t="s">
        <v>1521</v>
      </c>
      <c r="J573" s="6" t="s">
        <v>226</v>
      </c>
      <c r="K573" s="6" t="s">
        <v>390</v>
      </c>
      <c r="L573" s="6" t="s">
        <v>209</v>
      </c>
      <c r="M573" s="6" t="s">
        <v>394</v>
      </c>
      <c r="N573" s="6" t="s">
        <v>265</v>
      </c>
      <c r="O573" s="6" t="s">
        <v>551</v>
      </c>
      <c r="P573" s="16" t="str">
        <f aca="false">IF(J573="S0","—",IF(K573="","",IF(L573="E0","QM",INDEX(10_ASIL_Matrix!$D$4:$F$15,MATCH(J573&amp;"-"&amp;L573,10_ASIL_Matrix!$C$4:$C$15,0),MATCH(N573,10_ASIL_Matrix!$D$3:$F$3,0)))))</f>
        <v>A</v>
      </c>
      <c r="Q573" s="6" t="s">
        <v>1283</v>
      </c>
    </row>
    <row r="574" customFormat="false" ht="35.05" hidden="false" customHeight="false" outlineLevel="0" collapsed="false">
      <c r="A574" s="5" t="s">
        <v>1522</v>
      </c>
      <c r="B574" s="5" t="s">
        <v>119</v>
      </c>
      <c r="C574" s="5" t="s">
        <v>120</v>
      </c>
      <c r="D574" s="5" t="s">
        <v>171</v>
      </c>
      <c r="E574" s="5" t="s">
        <v>172</v>
      </c>
      <c r="F574" s="5" t="s">
        <v>194</v>
      </c>
      <c r="G574" s="5" t="s">
        <v>396</v>
      </c>
      <c r="H574" s="5" t="s">
        <v>199</v>
      </c>
      <c r="I574" s="5" t="s">
        <v>1523</v>
      </c>
      <c r="J574" s="5" t="s">
        <v>226</v>
      </c>
      <c r="K574" s="5" t="s">
        <v>398</v>
      </c>
      <c r="L574" s="5" t="s">
        <v>188</v>
      </c>
      <c r="M574" s="5" t="s">
        <v>399</v>
      </c>
      <c r="N574" s="5" t="s">
        <v>265</v>
      </c>
      <c r="O574" s="5" t="s">
        <v>562</v>
      </c>
      <c r="P574" s="18" t="str">
        <f aca="false">IF(J574="S0","—",IF(K574="","",IF(L574="E0","QM",INDEX(10_ASIL_Matrix!$D$4:$F$15,MATCH(J574&amp;"-"&amp;L574,10_ASIL_Matrix!$C$4:$C$15,0),MATCH(N574,10_ASIL_Matrix!$D$3:$F$3,0)))))</f>
        <v>D</v>
      </c>
      <c r="Q574" s="5" t="s">
        <v>1283</v>
      </c>
    </row>
    <row r="575" customFormat="false" ht="35.05" hidden="false" customHeight="false" outlineLevel="0" collapsed="false">
      <c r="A575" s="6" t="s">
        <v>1524</v>
      </c>
      <c r="B575" s="6" t="s">
        <v>119</v>
      </c>
      <c r="C575" s="6" t="s">
        <v>120</v>
      </c>
      <c r="D575" s="6" t="s">
        <v>171</v>
      </c>
      <c r="E575" s="6" t="s">
        <v>172</v>
      </c>
      <c r="F575" s="6" t="s">
        <v>194</v>
      </c>
      <c r="G575" s="6" t="s">
        <v>396</v>
      </c>
      <c r="H575" s="6" t="s">
        <v>201</v>
      </c>
      <c r="I575" s="6" t="s">
        <v>1525</v>
      </c>
      <c r="J575" s="6" t="s">
        <v>226</v>
      </c>
      <c r="K575" s="6" t="s">
        <v>398</v>
      </c>
      <c r="L575" s="6" t="s">
        <v>185</v>
      </c>
      <c r="M575" s="6" t="s">
        <v>402</v>
      </c>
      <c r="N575" s="6" t="s">
        <v>265</v>
      </c>
      <c r="O575" s="6" t="s">
        <v>562</v>
      </c>
      <c r="P575" s="17" t="str">
        <f aca="false">IF(J575="S0","—",IF(K575="","",IF(L575="E0","QM",INDEX(10_ASIL_Matrix!$D$4:$F$15,MATCH(J575&amp;"-"&amp;L575,10_ASIL_Matrix!$C$4:$C$15,0),MATCH(N575,10_ASIL_Matrix!$D$3:$F$3,0)))))</f>
        <v>C</v>
      </c>
      <c r="Q575" s="6" t="s">
        <v>1283</v>
      </c>
    </row>
    <row r="576" customFormat="false" ht="35.05" hidden="false" customHeight="false" outlineLevel="0" collapsed="false">
      <c r="A576" s="5" t="s">
        <v>1526</v>
      </c>
      <c r="B576" s="5" t="s">
        <v>119</v>
      </c>
      <c r="C576" s="5" t="s">
        <v>120</v>
      </c>
      <c r="D576" s="5" t="s">
        <v>171</v>
      </c>
      <c r="E576" s="5" t="s">
        <v>172</v>
      </c>
      <c r="F576" s="5" t="s">
        <v>194</v>
      </c>
      <c r="G576" s="5" t="s">
        <v>396</v>
      </c>
      <c r="H576" s="5" t="s">
        <v>203</v>
      </c>
      <c r="I576" s="5" t="s">
        <v>1527</v>
      </c>
      <c r="J576" s="5" t="s">
        <v>226</v>
      </c>
      <c r="K576" s="5" t="s">
        <v>398</v>
      </c>
      <c r="L576" s="5" t="s">
        <v>185</v>
      </c>
      <c r="M576" s="5" t="s">
        <v>405</v>
      </c>
      <c r="N576" s="5" t="s">
        <v>265</v>
      </c>
      <c r="O576" s="5" t="s">
        <v>562</v>
      </c>
      <c r="P576" s="17" t="str">
        <f aca="false">IF(J576="S0","—",IF(K576="","",IF(L576="E0","QM",INDEX(10_ASIL_Matrix!$D$4:$F$15,MATCH(J576&amp;"-"&amp;L576,10_ASIL_Matrix!$C$4:$C$15,0),MATCH(N576,10_ASIL_Matrix!$D$3:$F$3,0)))))</f>
        <v>C</v>
      </c>
      <c r="Q576" s="5" t="s">
        <v>1283</v>
      </c>
    </row>
    <row r="577" customFormat="false" ht="35.05" hidden="false" customHeight="false" outlineLevel="0" collapsed="false">
      <c r="A577" s="6" t="s">
        <v>1528</v>
      </c>
      <c r="B577" s="6" t="s">
        <v>119</v>
      </c>
      <c r="C577" s="6" t="s">
        <v>120</v>
      </c>
      <c r="D577" s="6" t="s">
        <v>171</v>
      </c>
      <c r="E577" s="6" t="s">
        <v>172</v>
      </c>
      <c r="F577" s="6" t="s">
        <v>194</v>
      </c>
      <c r="G577" s="6" t="s">
        <v>396</v>
      </c>
      <c r="H577" s="6" t="s">
        <v>205</v>
      </c>
      <c r="I577" s="6" t="s">
        <v>1529</v>
      </c>
      <c r="J577" s="6" t="s">
        <v>226</v>
      </c>
      <c r="K577" s="6" t="s">
        <v>408</v>
      </c>
      <c r="L577" s="6" t="s">
        <v>206</v>
      </c>
      <c r="M577" s="6" t="s">
        <v>409</v>
      </c>
      <c r="N577" s="6" t="s">
        <v>265</v>
      </c>
      <c r="O577" s="6" t="s">
        <v>562</v>
      </c>
      <c r="P577" s="15" t="str">
        <f aca="false">IF(J577="S0","—",IF(K577="","",IF(L577="E0","QM",INDEX(10_ASIL_Matrix!$D$4:$F$15,MATCH(J577&amp;"-"&amp;L577,10_ASIL_Matrix!$C$4:$C$15,0),MATCH(N577,10_ASIL_Matrix!$D$3:$F$3,0)))))</f>
        <v>B</v>
      </c>
      <c r="Q577" s="6" t="s">
        <v>1283</v>
      </c>
    </row>
    <row r="578" customFormat="false" ht="35.05" hidden="false" customHeight="false" outlineLevel="0" collapsed="false">
      <c r="A578" s="5" t="s">
        <v>1530</v>
      </c>
      <c r="B578" s="5" t="s">
        <v>119</v>
      </c>
      <c r="C578" s="5" t="s">
        <v>120</v>
      </c>
      <c r="D578" s="5" t="s">
        <v>171</v>
      </c>
      <c r="E578" s="5" t="s">
        <v>172</v>
      </c>
      <c r="F578" s="5" t="s">
        <v>194</v>
      </c>
      <c r="G578" s="5" t="s">
        <v>396</v>
      </c>
      <c r="H578" s="5" t="s">
        <v>208</v>
      </c>
      <c r="I578" s="5" t="s">
        <v>1531</v>
      </c>
      <c r="J578" s="5" t="s">
        <v>226</v>
      </c>
      <c r="K578" s="5" t="s">
        <v>408</v>
      </c>
      <c r="L578" s="5" t="s">
        <v>209</v>
      </c>
      <c r="M578" s="5" t="s">
        <v>412</v>
      </c>
      <c r="N578" s="5" t="s">
        <v>265</v>
      </c>
      <c r="O578" s="5" t="s">
        <v>562</v>
      </c>
      <c r="P578" s="16" t="str">
        <f aca="false">IF(J578="S0","—",IF(K578="","",IF(L578="E0","QM",INDEX(10_ASIL_Matrix!$D$4:$F$15,MATCH(J578&amp;"-"&amp;L578,10_ASIL_Matrix!$C$4:$C$15,0),MATCH(N578,10_ASIL_Matrix!$D$3:$F$3,0)))))</f>
        <v>A</v>
      </c>
      <c r="Q578" s="5" t="s">
        <v>1283</v>
      </c>
    </row>
    <row r="579" customFormat="false" ht="46.25" hidden="false" customHeight="false" outlineLevel="0" collapsed="false">
      <c r="A579" s="6" t="s">
        <v>1532</v>
      </c>
      <c r="B579" s="6" t="s">
        <v>122</v>
      </c>
      <c r="C579" s="6" t="s">
        <v>123</v>
      </c>
      <c r="D579" s="6" t="s">
        <v>135</v>
      </c>
      <c r="E579" s="6" t="s">
        <v>136</v>
      </c>
      <c r="F579" s="6" t="s">
        <v>184</v>
      </c>
      <c r="G579" s="6" t="s">
        <v>323</v>
      </c>
      <c r="H579" s="6" t="s">
        <v>199</v>
      </c>
      <c r="I579" s="6" t="s">
        <v>1533</v>
      </c>
      <c r="J579" s="6" t="s">
        <v>218</v>
      </c>
      <c r="K579" s="6" t="s">
        <v>1534</v>
      </c>
      <c r="L579" s="6" t="s">
        <v>206</v>
      </c>
      <c r="M579" s="6" t="s">
        <v>1535</v>
      </c>
      <c r="N579" s="6" t="s">
        <v>265</v>
      </c>
      <c r="O579" s="6" t="s">
        <v>1536</v>
      </c>
      <c r="P579" s="6" t="str">
        <f aca="false">IF(J579="S0","—",IF(K579="","",IF(L579="E0","QM",INDEX(10_ASIL_Matrix!$D$4:$F$15,MATCH(J579&amp;"-"&amp;L579,10_ASIL_Matrix!$C$4:$C$15,0),MATCH(N579,10_ASIL_Matrix!$D$3:$F$3,0)))))</f>
        <v>QM</v>
      </c>
      <c r="Q579" s="6" t="s">
        <v>1537</v>
      </c>
    </row>
    <row r="580" customFormat="false" ht="46.25" hidden="false" customHeight="false" outlineLevel="0" collapsed="false">
      <c r="A580" s="5" t="s">
        <v>1538</v>
      </c>
      <c r="B580" s="5" t="s">
        <v>122</v>
      </c>
      <c r="C580" s="5" t="s">
        <v>123</v>
      </c>
      <c r="D580" s="5" t="s">
        <v>135</v>
      </c>
      <c r="E580" s="5" t="s">
        <v>136</v>
      </c>
      <c r="F580" s="5" t="s">
        <v>184</v>
      </c>
      <c r="G580" s="5" t="s">
        <v>323</v>
      </c>
      <c r="H580" s="5" t="s">
        <v>201</v>
      </c>
      <c r="I580" s="5" t="s">
        <v>1539</v>
      </c>
      <c r="J580" s="5" t="s">
        <v>218</v>
      </c>
      <c r="K580" s="5" t="s">
        <v>1534</v>
      </c>
      <c r="L580" s="5" t="s">
        <v>206</v>
      </c>
      <c r="M580" s="5" t="s">
        <v>1535</v>
      </c>
      <c r="N580" s="5" t="s">
        <v>265</v>
      </c>
      <c r="O580" s="5" t="s">
        <v>1536</v>
      </c>
      <c r="P580" s="5" t="str">
        <f aca="false">IF(J580="S0","—",IF(K580="","",IF(L580="E0","QM",INDEX(10_ASIL_Matrix!$D$4:$F$15,MATCH(J580&amp;"-"&amp;L580,10_ASIL_Matrix!$C$4:$C$15,0),MATCH(N580,10_ASIL_Matrix!$D$3:$F$3,0)))))</f>
        <v>QM</v>
      </c>
      <c r="Q580" s="5" t="s">
        <v>1537</v>
      </c>
    </row>
    <row r="581" customFormat="false" ht="46.25" hidden="false" customHeight="false" outlineLevel="0" collapsed="false">
      <c r="A581" s="6" t="s">
        <v>1540</v>
      </c>
      <c r="B581" s="6" t="s">
        <v>122</v>
      </c>
      <c r="C581" s="6" t="s">
        <v>123</v>
      </c>
      <c r="D581" s="6" t="s">
        <v>135</v>
      </c>
      <c r="E581" s="6" t="s">
        <v>136</v>
      </c>
      <c r="F581" s="6" t="s">
        <v>184</v>
      </c>
      <c r="G581" s="6" t="s">
        <v>323</v>
      </c>
      <c r="H581" s="6" t="s">
        <v>203</v>
      </c>
      <c r="I581" s="6" t="s">
        <v>1541</v>
      </c>
      <c r="J581" s="6" t="s">
        <v>218</v>
      </c>
      <c r="K581" s="6" t="s">
        <v>1534</v>
      </c>
      <c r="L581" s="6" t="s">
        <v>206</v>
      </c>
      <c r="M581" s="6" t="s">
        <v>1535</v>
      </c>
      <c r="N581" s="6" t="s">
        <v>265</v>
      </c>
      <c r="O581" s="6" t="s">
        <v>1536</v>
      </c>
      <c r="P581" s="6" t="str">
        <f aca="false">IF(J581="S0","—",IF(K581="","",IF(L581="E0","QM",INDEX(10_ASIL_Matrix!$D$4:$F$15,MATCH(J581&amp;"-"&amp;L581,10_ASIL_Matrix!$C$4:$C$15,0),MATCH(N581,10_ASIL_Matrix!$D$3:$F$3,0)))))</f>
        <v>QM</v>
      </c>
      <c r="Q581" s="6" t="s">
        <v>1537</v>
      </c>
    </row>
    <row r="582" customFormat="false" ht="46.25" hidden="false" customHeight="false" outlineLevel="0" collapsed="false">
      <c r="A582" s="5" t="s">
        <v>1542</v>
      </c>
      <c r="B582" s="5" t="s">
        <v>122</v>
      </c>
      <c r="C582" s="5" t="s">
        <v>123</v>
      </c>
      <c r="D582" s="5" t="s">
        <v>135</v>
      </c>
      <c r="E582" s="5" t="s">
        <v>136</v>
      </c>
      <c r="F582" s="5" t="s">
        <v>184</v>
      </c>
      <c r="G582" s="5" t="s">
        <v>323</v>
      </c>
      <c r="H582" s="5" t="s">
        <v>205</v>
      </c>
      <c r="I582" s="5" t="s">
        <v>1543</v>
      </c>
      <c r="J582" s="5" t="s">
        <v>218</v>
      </c>
      <c r="K582" s="5" t="s">
        <v>1534</v>
      </c>
      <c r="L582" s="5" t="s">
        <v>206</v>
      </c>
      <c r="M582" s="5" t="s">
        <v>1535</v>
      </c>
      <c r="N582" s="5" t="s">
        <v>265</v>
      </c>
      <c r="O582" s="5" t="s">
        <v>1536</v>
      </c>
      <c r="P582" s="5" t="str">
        <f aca="false">IF(J582="S0","—",IF(K582="","",IF(L582="E0","QM",INDEX(10_ASIL_Matrix!$D$4:$F$15,MATCH(J582&amp;"-"&amp;L582,10_ASIL_Matrix!$C$4:$C$15,0),MATCH(N582,10_ASIL_Matrix!$D$3:$F$3,0)))))</f>
        <v>QM</v>
      </c>
      <c r="Q582" s="5" t="s">
        <v>1537</v>
      </c>
    </row>
    <row r="583" customFormat="false" ht="46.25" hidden="false" customHeight="false" outlineLevel="0" collapsed="false">
      <c r="A583" s="6" t="s">
        <v>1544</v>
      </c>
      <c r="B583" s="6" t="s">
        <v>122</v>
      </c>
      <c r="C583" s="6" t="s">
        <v>123</v>
      </c>
      <c r="D583" s="6" t="s">
        <v>135</v>
      </c>
      <c r="E583" s="6" t="s">
        <v>136</v>
      </c>
      <c r="F583" s="6" t="s">
        <v>184</v>
      </c>
      <c r="G583" s="6" t="s">
        <v>323</v>
      </c>
      <c r="H583" s="6" t="s">
        <v>208</v>
      </c>
      <c r="I583" s="6" t="s">
        <v>1545</v>
      </c>
      <c r="J583" s="6" t="s">
        <v>218</v>
      </c>
      <c r="K583" s="6" t="s">
        <v>1534</v>
      </c>
      <c r="L583" s="6" t="s">
        <v>206</v>
      </c>
      <c r="M583" s="6" t="s">
        <v>1535</v>
      </c>
      <c r="N583" s="6" t="s">
        <v>265</v>
      </c>
      <c r="O583" s="6" t="s">
        <v>1536</v>
      </c>
      <c r="P583" s="6" t="str">
        <f aca="false">IF(J583="S0","—",IF(K583="","",IF(L583="E0","QM",INDEX(10_ASIL_Matrix!$D$4:$F$15,MATCH(J583&amp;"-"&amp;L583,10_ASIL_Matrix!$C$4:$C$15,0),MATCH(N583,10_ASIL_Matrix!$D$3:$F$3,0)))))</f>
        <v>QM</v>
      </c>
      <c r="Q583" s="6" t="s">
        <v>1537</v>
      </c>
    </row>
    <row r="584" customFormat="false" ht="46.25" hidden="false" customHeight="false" outlineLevel="0" collapsed="false">
      <c r="A584" s="5" t="s">
        <v>1546</v>
      </c>
      <c r="B584" s="5" t="s">
        <v>122</v>
      </c>
      <c r="C584" s="5" t="s">
        <v>123</v>
      </c>
      <c r="D584" s="5" t="s">
        <v>135</v>
      </c>
      <c r="E584" s="5" t="s">
        <v>136</v>
      </c>
      <c r="F584" s="5" t="s">
        <v>187</v>
      </c>
      <c r="G584" s="5" t="s">
        <v>342</v>
      </c>
      <c r="H584" s="5" t="s">
        <v>199</v>
      </c>
      <c r="I584" s="5" t="s">
        <v>1547</v>
      </c>
      <c r="J584" s="5" t="s">
        <v>218</v>
      </c>
      <c r="K584" s="5" t="s">
        <v>1534</v>
      </c>
      <c r="L584" s="5" t="s">
        <v>206</v>
      </c>
      <c r="M584" s="5" t="s">
        <v>1535</v>
      </c>
      <c r="N584" s="5" t="s">
        <v>265</v>
      </c>
      <c r="O584" s="5" t="s">
        <v>1536</v>
      </c>
      <c r="P584" s="5" t="str">
        <f aca="false">IF(J584="S0","—",IF(K584="","",IF(L584="E0","QM",INDEX(10_ASIL_Matrix!$D$4:$F$15,MATCH(J584&amp;"-"&amp;L584,10_ASIL_Matrix!$C$4:$C$15,0),MATCH(N584,10_ASIL_Matrix!$D$3:$F$3,0)))))</f>
        <v>QM</v>
      </c>
      <c r="Q584" s="5" t="s">
        <v>1537</v>
      </c>
    </row>
    <row r="585" customFormat="false" ht="46.25" hidden="false" customHeight="false" outlineLevel="0" collapsed="false">
      <c r="A585" s="6" t="s">
        <v>1548</v>
      </c>
      <c r="B585" s="6" t="s">
        <v>122</v>
      </c>
      <c r="C585" s="6" t="s">
        <v>123</v>
      </c>
      <c r="D585" s="6" t="s">
        <v>135</v>
      </c>
      <c r="E585" s="6" t="s">
        <v>136</v>
      </c>
      <c r="F585" s="6" t="s">
        <v>187</v>
      </c>
      <c r="G585" s="6" t="s">
        <v>342</v>
      </c>
      <c r="H585" s="6" t="s">
        <v>201</v>
      </c>
      <c r="I585" s="6" t="s">
        <v>1549</v>
      </c>
      <c r="J585" s="6" t="s">
        <v>218</v>
      </c>
      <c r="K585" s="6" t="s">
        <v>1534</v>
      </c>
      <c r="L585" s="6" t="s">
        <v>206</v>
      </c>
      <c r="M585" s="6" t="s">
        <v>1535</v>
      </c>
      <c r="N585" s="6" t="s">
        <v>265</v>
      </c>
      <c r="O585" s="6" t="s">
        <v>1536</v>
      </c>
      <c r="P585" s="6" t="str">
        <f aca="false">IF(J585="S0","—",IF(K585="","",IF(L585="E0","QM",INDEX(10_ASIL_Matrix!$D$4:$F$15,MATCH(J585&amp;"-"&amp;L585,10_ASIL_Matrix!$C$4:$C$15,0),MATCH(N585,10_ASIL_Matrix!$D$3:$F$3,0)))))</f>
        <v>QM</v>
      </c>
      <c r="Q585" s="6" t="s">
        <v>1537</v>
      </c>
    </row>
    <row r="586" customFormat="false" ht="46.25" hidden="false" customHeight="false" outlineLevel="0" collapsed="false">
      <c r="A586" s="5" t="s">
        <v>1550</v>
      </c>
      <c r="B586" s="5" t="s">
        <v>122</v>
      </c>
      <c r="C586" s="5" t="s">
        <v>123</v>
      </c>
      <c r="D586" s="5" t="s">
        <v>135</v>
      </c>
      <c r="E586" s="5" t="s">
        <v>136</v>
      </c>
      <c r="F586" s="5" t="s">
        <v>187</v>
      </c>
      <c r="G586" s="5" t="s">
        <v>342</v>
      </c>
      <c r="H586" s="5" t="s">
        <v>203</v>
      </c>
      <c r="I586" s="5" t="s">
        <v>1551</v>
      </c>
      <c r="J586" s="5" t="s">
        <v>218</v>
      </c>
      <c r="K586" s="5" t="s">
        <v>1534</v>
      </c>
      <c r="L586" s="5" t="s">
        <v>206</v>
      </c>
      <c r="M586" s="5" t="s">
        <v>1535</v>
      </c>
      <c r="N586" s="5" t="s">
        <v>265</v>
      </c>
      <c r="O586" s="5" t="s">
        <v>1536</v>
      </c>
      <c r="P586" s="5" t="str">
        <f aca="false">IF(J586="S0","—",IF(K586="","",IF(L586="E0","QM",INDEX(10_ASIL_Matrix!$D$4:$F$15,MATCH(J586&amp;"-"&amp;L586,10_ASIL_Matrix!$C$4:$C$15,0),MATCH(N586,10_ASIL_Matrix!$D$3:$F$3,0)))))</f>
        <v>QM</v>
      </c>
      <c r="Q586" s="5" t="s">
        <v>1537</v>
      </c>
    </row>
    <row r="587" customFormat="false" ht="46.25" hidden="false" customHeight="false" outlineLevel="0" collapsed="false">
      <c r="A587" s="6" t="s">
        <v>1552</v>
      </c>
      <c r="B587" s="6" t="s">
        <v>122</v>
      </c>
      <c r="C587" s="6" t="s">
        <v>123</v>
      </c>
      <c r="D587" s="6" t="s">
        <v>135</v>
      </c>
      <c r="E587" s="6" t="s">
        <v>136</v>
      </c>
      <c r="F587" s="6" t="s">
        <v>187</v>
      </c>
      <c r="G587" s="6" t="s">
        <v>342</v>
      </c>
      <c r="H587" s="6" t="s">
        <v>205</v>
      </c>
      <c r="I587" s="6" t="s">
        <v>1553</v>
      </c>
      <c r="J587" s="6" t="s">
        <v>218</v>
      </c>
      <c r="K587" s="6" t="s">
        <v>1534</v>
      </c>
      <c r="L587" s="6" t="s">
        <v>206</v>
      </c>
      <c r="M587" s="6" t="s">
        <v>1535</v>
      </c>
      <c r="N587" s="6" t="s">
        <v>265</v>
      </c>
      <c r="O587" s="6" t="s">
        <v>1536</v>
      </c>
      <c r="P587" s="6" t="str">
        <f aca="false">IF(J587="S0","—",IF(K587="","",IF(L587="E0","QM",INDEX(10_ASIL_Matrix!$D$4:$F$15,MATCH(J587&amp;"-"&amp;L587,10_ASIL_Matrix!$C$4:$C$15,0),MATCH(N587,10_ASIL_Matrix!$D$3:$F$3,0)))))</f>
        <v>QM</v>
      </c>
      <c r="Q587" s="6" t="s">
        <v>1537</v>
      </c>
    </row>
    <row r="588" customFormat="false" ht="46.25" hidden="false" customHeight="false" outlineLevel="0" collapsed="false">
      <c r="A588" s="5" t="s">
        <v>1554</v>
      </c>
      <c r="B588" s="5" t="s">
        <v>122</v>
      </c>
      <c r="C588" s="5" t="s">
        <v>123</v>
      </c>
      <c r="D588" s="5" t="s">
        <v>135</v>
      </c>
      <c r="E588" s="5" t="s">
        <v>136</v>
      </c>
      <c r="F588" s="5" t="s">
        <v>187</v>
      </c>
      <c r="G588" s="5" t="s">
        <v>342</v>
      </c>
      <c r="H588" s="5" t="s">
        <v>208</v>
      </c>
      <c r="I588" s="5" t="s">
        <v>1555</v>
      </c>
      <c r="J588" s="5" t="s">
        <v>218</v>
      </c>
      <c r="K588" s="5" t="s">
        <v>1534</v>
      </c>
      <c r="L588" s="5" t="s">
        <v>206</v>
      </c>
      <c r="M588" s="5" t="s">
        <v>1535</v>
      </c>
      <c r="N588" s="5" t="s">
        <v>265</v>
      </c>
      <c r="O588" s="5" t="s">
        <v>1536</v>
      </c>
      <c r="P588" s="5" t="str">
        <f aca="false">IF(J588="S0","—",IF(K588="","",IF(L588="E0","QM",INDEX(10_ASIL_Matrix!$D$4:$F$15,MATCH(J588&amp;"-"&amp;L588,10_ASIL_Matrix!$C$4:$C$15,0),MATCH(N588,10_ASIL_Matrix!$D$3:$F$3,0)))))</f>
        <v>QM</v>
      </c>
      <c r="Q588" s="5" t="s">
        <v>1537</v>
      </c>
    </row>
    <row r="589" customFormat="false" ht="46.25" hidden="false" customHeight="false" outlineLevel="0" collapsed="false">
      <c r="A589" s="6" t="s">
        <v>1556</v>
      </c>
      <c r="B589" s="6" t="s">
        <v>122</v>
      </c>
      <c r="C589" s="6" t="s">
        <v>123</v>
      </c>
      <c r="D589" s="6" t="s">
        <v>135</v>
      </c>
      <c r="E589" s="6" t="s">
        <v>136</v>
      </c>
      <c r="F589" s="6" t="s">
        <v>190</v>
      </c>
      <c r="G589" s="6" t="s">
        <v>360</v>
      </c>
      <c r="H589" s="6" t="s">
        <v>199</v>
      </c>
      <c r="I589" s="6" t="s">
        <v>1557</v>
      </c>
      <c r="J589" s="6" t="s">
        <v>222</v>
      </c>
      <c r="K589" s="6" t="s">
        <v>1534</v>
      </c>
      <c r="L589" s="6" t="s">
        <v>206</v>
      </c>
      <c r="M589" s="6" t="s">
        <v>1535</v>
      </c>
      <c r="N589" s="6" t="s">
        <v>265</v>
      </c>
      <c r="O589" s="6" t="s">
        <v>1536</v>
      </c>
      <c r="P589" s="16" t="str">
        <f aca="false">IF(J589="S0","—",IF(K589="","",IF(L589="E0","QM",INDEX(10_ASIL_Matrix!$D$4:$F$15,MATCH(J589&amp;"-"&amp;L589,10_ASIL_Matrix!$C$4:$C$15,0),MATCH(N589,10_ASIL_Matrix!$D$3:$F$3,0)))))</f>
        <v>A</v>
      </c>
      <c r="Q589" s="6" t="s">
        <v>1537</v>
      </c>
    </row>
    <row r="590" customFormat="false" ht="46.25" hidden="false" customHeight="false" outlineLevel="0" collapsed="false">
      <c r="A590" s="5" t="s">
        <v>1558</v>
      </c>
      <c r="B590" s="5" t="s">
        <v>122</v>
      </c>
      <c r="C590" s="5" t="s">
        <v>123</v>
      </c>
      <c r="D590" s="5" t="s">
        <v>135</v>
      </c>
      <c r="E590" s="5" t="s">
        <v>136</v>
      </c>
      <c r="F590" s="5" t="s">
        <v>190</v>
      </c>
      <c r="G590" s="5" t="s">
        <v>360</v>
      </c>
      <c r="H590" s="5" t="s">
        <v>201</v>
      </c>
      <c r="I590" s="5" t="s">
        <v>1559</v>
      </c>
      <c r="J590" s="5" t="s">
        <v>222</v>
      </c>
      <c r="K590" s="5" t="s">
        <v>1534</v>
      </c>
      <c r="L590" s="5" t="s">
        <v>206</v>
      </c>
      <c r="M590" s="5" t="s">
        <v>1535</v>
      </c>
      <c r="N590" s="5" t="s">
        <v>265</v>
      </c>
      <c r="O590" s="5" t="s">
        <v>1536</v>
      </c>
      <c r="P590" s="16" t="str">
        <f aca="false">IF(J590="S0","—",IF(K590="","",IF(L590="E0","QM",INDEX(10_ASIL_Matrix!$D$4:$F$15,MATCH(J590&amp;"-"&amp;L590,10_ASIL_Matrix!$C$4:$C$15,0),MATCH(N590,10_ASIL_Matrix!$D$3:$F$3,0)))))</f>
        <v>A</v>
      </c>
      <c r="Q590" s="5" t="s">
        <v>1537</v>
      </c>
    </row>
    <row r="591" customFormat="false" ht="46.25" hidden="false" customHeight="false" outlineLevel="0" collapsed="false">
      <c r="A591" s="6" t="s">
        <v>1560</v>
      </c>
      <c r="B591" s="6" t="s">
        <v>122</v>
      </c>
      <c r="C591" s="6" t="s">
        <v>123</v>
      </c>
      <c r="D591" s="6" t="s">
        <v>135</v>
      </c>
      <c r="E591" s="6" t="s">
        <v>136</v>
      </c>
      <c r="F591" s="6" t="s">
        <v>190</v>
      </c>
      <c r="G591" s="6" t="s">
        <v>360</v>
      </c>
      <c r="H591" s="6" t="s">
        <v>203</v>
      </c>
      <c r="I591" s="6" t="s">
        <v>1561</v>
      </c>
      <c r="J591" s="6" t="s">
        <v>222</v>
      </c>
      <c r="K591" s="6" t="s">
        <v>1534</v>
      </c>
      <c r="L591" s="6" t="s">
        <v>206</v>
      </c>
      <c r="M591" s="6" t="s">
        <v>1535</v>
      </c>
      <c r="N591" s="6" t="s">
        <v>265</v>
      </c>
      <c r="O591" s="6" t="s">
        <v>1536</v>
      </c>
      <c r="P591" s="16" t="str">
        <f aca="false">IF(J591="S0","—",IF(K591="","",IF(L591="E0","QM",INDEX(10_ASIL_Matrix!$D$4:$F$15,MATCH(J591&amp;"-"&amp;L591,10_ASIL_Matrix!$C$4:$C$15,0),MATCH(N591,10_ASIL_Matrix!$D$3:$F$3,0)))))</f>
        <v>A</v>
      </c>
      <c r="Q591" s="6" t="s">
        <v>1537</v>
      </c>
    </row>
    <row r="592" customFormat="false" ht="46.25" hidden="false" customHeight="false" outlineLevel="0" collapsed="false">
      <c r="A592" s="5" t="s">
        <v>1562</v>
      </c>
      <c r="B592" s="5" t="s">
        <v>122</v>
      </c>
      <c r="C592" s="5" t="s">
        <v>123</v>
      </c>
      <c r="D592" s="5" t="s">
        <v>135</v>
      </c>
      <c r="E592" s="5" t="s">
        <v>136</v>
      </c>
      <c r="F592" s="5" t="s">
        <v>190</v>
      </c>
      <c r="G592" s="5" t="s">
        <v>360</v>
      </c>
      <c r="H592" s="5" t="s">
        <v>205</v>
      </c>
      <c r="I592" s="5" t="s">
        <v>1563</v>
      </c>
      <c r="J592" s="5" t="s">
        <v>222</v>
      </c>
      <c r="K592" s="5" t="s">
        <v>1534</v>
      </c>
      <c r="L592" s="5" t="s">
        <v>206</v>
      </c>
      <c r="M592" s="5" t="s">
        <v>1535</v>
      </c>
      <c r="N592" s="5" t="s">
        <v>265</v>
      </c>
      <c r="O592" s="5" t="s">
        <v>1536</v>
      </c>
      <c r="P592" s="16" t="str">
        <f aca="false">IF(J592="S0","—",IF(K592="","",IF(L592="E0","QM",INDEX(10_ASIL_Matrix!$D$4:$F$15,MATCH(J592&amp;"-"&amp;L592,10_ASIL_Matrix!$C$4:$C$15,0),MATCH(N592,10_ASIL_Matrix!$D$3:$F$3,0)))))</f>
        <v>A</v>
      </c>
      <c r="Q592" s="5" t="s">
        <v>1537</v>
      </c>
    </row>
    <row r="593" customFormat="false" ht="46.25" hidden="false" customHeight="false" outlineLevel="0" collapsed="false">
      <c r="A593" s="6" t="s">
        <v>1564</v>
      </c>
      <c r="B593" s="6" t="s">
        <v>122</v>
      </c>
      <c r="C593" s="6" t="s">
        <v>123</v>
      </c>
      <c r="D593" s="6" t="s">
        <v>135</v>
      </c>
      <c r="E593" s="6" t="s">
        <v>136</v>
      </c>
      <c r="F593" s="6" t="s">
        <v>190</v>
      </c>
      <c r="G593" s="6" t="s">
        <v>360</v>
      </c>
      <c r="H593" s="6" t="s">
        <v>208</v>
      </c>
      <c r="I593" s="6" t="s">
        <v>1565</v>
      </c>
      <c r="J593" s="6" t="s">
        <v>222</v>
      </c>
      <c r="K593" s="6" t="s">
        <v>1534</v>
      </c>
      <c r="L593" s="6" t="s">
        <v>206</v>
      </c>
      <c r="M593" s="6" t="s">
        <v>1535</v>
      </c>
      <c r="N593" s="6" t="s">
        <v>265</v>
      </c>
      <c r="O593" s="6" t="s">
        <v>1536</v>
      </c>
      <c r="P593" s="16" t="str">
        <f aca="false">IF(J593="S0","—",IF(K593="","",IF(L593="E0","QM",INDEX(10_ASIL_Matrix!$D$4:$F$15,MATCH(J593&amp;"-"&amp;L593,10_ASIL_Matrix!$C$4:$C$15,0),MATCH(N593,10_ASIL_Matrix!$D$3:$F$3,0)))))</f>
        <v>A</v>
      </c>
      <c r="Q593" s="6" t="s">
        <v>1537</v>
      </c>
    </row>
    <row r="594" customFormat="false" ht="46.25" hidden="false" customHeight="false" outlineLevel="0" collapsed="false">
      <c r="A594" s="5" t="s">
        <v>1566</v>
      </c>
      <c r="B594" s="5" t="s">
        <v>122</v>
      </c>
      <c r="C594" s="5" t="s">
        <v>123</v>
      </c>
      <c r="D594" s="5" t="s">
        <v>135</v>
      </c>
      <c r="E594" s="5" t="s">
        <v>136</v>
      </c>
      <c r="F594" s="5" t="s">
        <v>192</v>
      </c>
      <c r="G594" s="5" t="s">
        <v>378</v>
      </c>
      <c r="H594" s="5" t="s">
        <v>199</v>
      </c>
      <c r="I594" s="5" t="s">
        <v>1567</v>
      </c>
      <c r="J594" s="5" t="s">
        <v>222</v>
      </c>
      <c r="K594" s="5" t="s">
        <v>1534</v>
      </c>
      <c r="L594" s="5" t="s">
        <v>206</v>
      </c>
      <c r="M594" s="5" t="s">
        <v>1535</v>
      </c>
      <c r="N594" s="5" t="s">
        <v>265</v>
      </c>
      <c r="O594" s="5" t="s">
        <v>1536</v>
      </c>
      <c r="P594" s="16" t="str">
        <f aca="false">IF(J594="S0","—",IF(K594="","",IF(L594="E0","QM",INDEX(10_ASIL_Matrix!$D$4:$F$15,MATCH(J594&amp;"-"&amp;L594,10_ASIL_Matrix!$C$4:$C$15,0),MATCH(N594,10_ASIL_Matrix!$D$3:$F$3,0)))))</f>
        <v>A</v>
      </c>
      <c r="Q594" s="5" t="s">
        <v>1537</v>
      </c>
    </row>
    <row r="595" customFormat="false" ht="46.25" hidden="false" customHeight="false" outlineLevel="0" collapsed="false">
      <c r="A595" s="6" t="s">
        <v>1568</v>
      </c>
      <c r="B595" s="6" t="s">
        <v>122</v>
      </c>
      <c r="C595" s="6" t="s">
        <v>123</v>
      </c>
      <c r="D595" s="6" t="s">
        <v>135</v>
      </c>
      <c r="E595" s="6" t="s">
        <v>136</v>
      </c>
      <c r="F595" s="6" t="s">
        <v>192</v>
      </c>
      <c r="G595" s="6" t="s">
        <v>378</v>
      </c>
      <c r="H595" s="6" t="s">
        <v>201</v>
      </c>
      <c r="I595" s="6" t="s">
        <v>1569</v>
      </c>
      <c r="J595" s="6" t="s">
        <v>222</v>
      </c>
      <c r="K595" s="6" t="s">
        <v>1534</v>
      </c>
      <c r="L595" s="6" t="s">
        <v>206</v>
      </c>
      <c r="M595" s="6" t="s">
        <v>1535</v>
      </c>
      <c r="N595" s="6" t="s">
        <v>265</v>
      </c>
      <c r="O595" s="6" t="s">
        <v>1536</v>
      </c>
      <c r="P595" s="16" t="str">
        <f aca="false">IF(J595="S0","—",IF(K595="","",IF(L595="E0","QM",INDEX(10_ASIL_Matrix!$D$4:$F$15,MATCH(J595&amp;"-"&amp;L595,10_ASIL_Matrix!$C$4:$C$15,0),MATCH(N595,10_ASIL_Matrix!$D$3:$F$3,0)))))</f>
        <v>A</v>
      </c>
      <c r="Q595" s="6" t="s">
        <v>1537</v>
      </c>
    </row>
    <row r="596" customFormat="false" ht="46.25" hidden="false" customHeight="false" outlineLevel="0" collapsed="false">
      <c r="A596" s="5" t="s">
        <v>1570</v>
      </c>
      <c r="B596" s="5" t="s">
        <v>122</v>
      </c>
      <c r="C596" s="5" t="s">
        <v>123</v>
      </c>
      <c r="D596" s="5" t="s">
        <v>135</v>
      </c>
      <c r="E596" s="5" t="s">
        <v>136</v>
      </c>
      <c r="F596" s="5" t="s">
        <v>192</v>
      </c>
      <c r="G596" s="5" t="s">
        <v>378</v>
      </c>
      <c r="H596" s="5" t="s">
        <v>203</v>
      </c>
      <c r="I596" s="5" t="s">
        <v>1571</v>
      </c>
      <c r="J596" s="5" t="s">
        <v>222</v>
      </c>
      <c r="K596" s="5" t="s">
        <v>1534</v>
      </c>
      <c r="L596" s="5" t="s">
        <v>206</v>
      </c>
      <c r="M596" s="5" t="s">
        <v>1535</v>
      </c>
      <c r="N596" s="5" t="s">
        <v>265</v>
      </c>
      <c r="O596" s="5" t="s">
        <v>1536</v>
      </c>
      <c r="P596" s="16" t="str">
        <f aca="false">IF(J596="S0","—",IF(K596="","",IF(L596="E0","QM",INDEX(10_ASIL_Matrix!$D$4:$F$15,MATCH(J596&amp;"-"&amp;L596,10_ASIL_Matrix!$C$4:$C$15,0),MATCH(N596,10_ASIL_Matrix!$D$3:$F$3,0)))))</f>
        <v>A</v>
      </c>
      <c r="Q596" s="5" t="s">
        <v>1537</v>
      </c>
    </row>
    <row r="597" customFormat="false" ht="46.25" hidden="false" customHeight="false" outlineLevel="0" collapsed="false">
      <c r="A597" s="6" t="s">
        <v>1572</v>
      </c>
      <c r="B597" s="6" t="s">
        <v>122</v>
      </c>
      <c r="C597" s="6" t="s">
        <v>123</v>
      </c>
      <c r="D597" s="6" t="s">
        <v>135</v>
      </c>
      <c r="E597" s="6" t="s">
        <v>136</v>
      </c>
      <c r="F597" s="6" t="s">
        <v>192</v>
      </c>
      <c r="G597" s="6" t="s">
        <v>378</v>
      </c>
      <c r="H597" s="6" t="s">
        <v>205</v>
      </c>
      <c r="I597" s="6" t="s">
        <v>1573</v>
      </c>
      <c r="J597" s="6" t="s">
        <v>222</v>
      </c>
      <c r="K597" s="6" t="s">
        <v>1534</v>
      </c>
      <c r="L597" s="6" t="s">
        <v>206</v>
      </c>
      <c r="M597" s="6" t="s">
        <v>1535</v>
      </c>
      <c r="N597" s="6" t="s">
        <v>265</v>
      </c>
      <c r="O597" s="6" t="s">
        <v>1536</v>
      </c>
      <c r="P597" s="16" t="str">
        <f aca="false">IF(J597="S0","—",IF(K597="","",IF(L597="E0","QM",INDEX(10_ASIL_Matrix!$D$4:$F$15,MATCH(J597&amp;"-"&amp;L597,10_ASIL_Matrix!$C$4:$C$15,0),MATCH(N597,10_ASIL_Matrix!$D$3:$F$3,0)))))</f>
        <v>A</v>
      </c>
      <c r="Q597" s="6" t="s">
        <v>1537</v>
      </c>
    </row>
    <row r="598" customFormat="false" ht="46.25" hidden="false" customHeight="false" outlineLevel="0" collapsed="false">
      <c r="A598" s="5" t="s">
        <v>1574</v>
      </c>
      <c r="B598" s="5" t="s">
        <v>122</v>
      </c>
      <c r="C598" s="5" t="s">
        <v>123</v>
      </c>
      <c r="D598" s="5" t="s">
        <v>135</v>
      </c>
      <c r="E598" s="5" t="s">
        <v>136</v>
      </c>
      <c r="F598" s="5" t="s">
        <v>192</v>
      </c>
      <c r="G598" s="5" t="s">
        <v>378</v>
      </c>
      <c r="H598" s="5" t="s">
        <v>208</v>
      </c>
      <c r="I598" s="5" t="s">
        <v>1575</v>
      </c>
      <c r="J598" s="5" t="s">
        <v>222</v>
      </c>
      <c r="K598" s="5" t="s">
        <v>1534</v>
      </c>
      <c r="L598" s="5" t="s">
        <v>206</v>
      </c>
      <c r="M598" s="5" t="s">
        <v>1535</v>
      </c>
      <c r="N598" s="5" t="s">
        <v>265</v>
      </c>
      <c r="O598" s="5" t="s">
        <v>1536</v>
      </c>
      <c r="P598" s="16" t="str">
        <f aca="false">IF(J598="S0","—",IF(K598="","",IF(L598="E0","QM",INDEX(10_ASIL_Matrix!$D$4:$F$15,MATCH(J598&amp;"-"&amp;L598,10_ASIL_Matrix!$C$4:$C$15,0),MATCH(N598,10_ASIL_Matrix!$D$3:$F$3,0)))))</f>
        <v>A</v>
      </c>
      <c r="Q598" s="5" t="s">
        <v>1537</v>
      </c>
    </row>
    <row r="599" customFormat="false" ht="46.25" hidden="false" customHeight="false" outlineLevel="0" collapsed="false">
      <c r="A599" s="6" t="s">
        <v>1576</v>
      </c>
      <c r="B599" s="6" t="s">
        <v>122</v>
      </c>
      <c r="C599" s="6" t="s">
        <v>123</v>
      </c>
      <c r="D599" s="6" t="s">
        <v>135</v>
      </c>
      <c r="E599" s="6" t="s">
        <v>136</v>
      </c>
      <c r="F599" s="6" t="s">
        <v>194</v>
      </c>
      <c r="G599" s="6" t="s">
        <v>396</v>
      </c>
      <c r="H599" s="6" t="s">
        <v>199</v>
      </c>
      <c r="I599" s="6" t="s">
        <v>1577</v>
      </c>
      <c r="J599" s="6" t="s">
        <v>226</v>
      </c>
      <c r="K599" s="6" t="s">
        <v>1534</v>
      </c>
      <c r="L599" s="6" t="s">
        <v>206</v>
      </c>
      <c r="M599" s="6" t="s">
        <v>1535</v>
      </c>
      <c r="N599" s="6" t="s">
        <v>265</v>
      </c>
      <c r="O599" s="6" t="s">
        <v>1536</v>
      </c>
      <c r="P599" s="15" t="str">
        <f aca="false">IF(J599="S0","—",IF(K599="","",IF(L599="E0","QM",INDEX(10_ASIL_Matrix!$D$4:$F$15,MATCH(J599&amp;"-"&amp;L599,10_ASIL_Matrix!$C$4:$C$15,0),MATCH(N599,10_ASIL_Matrix!$D$3:$F$3,0)))))</f>
        <v>B</v>
      </c>
      <c r="Q599" s="6" t="s">
        <v>1537</v>
      </c>
    </row>
    <row r="600" customFormat="false" ht="46.25" hidden="false" customHeight="false" outlineLevel="0" collapsed="false">
      <c r="A600" s="5" t="s">
        <v>1578</v>
      </c>
      <c r="B600" s="5" t="s">
        <v>122</v>
      </c>
      <c r="C600" s="5" t="s">
        <v>123</v>
      </c>
      <c r="D600" s="5" t="s">
        <v>135</v>
      </c>
      <c r="E600" s="5" t="s">
        <v>136</v>
      </c>
      <c r="F600" s="5" t="s">
        <v>194</v>
      </c>
      <c r="G600" s="5" t="s">
        <v>396</v>
      </c>
      <c r="H600" s="5" t="s">
        <v>201</v>
      </c>
      <c r="I600" s="5" t="s">
        <v>1579</v>
      </c>
      <c r="J600" s="5" t="s">
        <v>226</v>
      </c>
      <c r="K600" s="5" t="s">
        <v>1534</v>
      </c>
      <c r="L600" s="5" t="s">
        <v>206</v>
      </c>
      <c r="M600" s="5" t="s">
        <v>1535</v>
      </c>
      <c r="N600" s="5" t="s">
        <v>265</v>
      </c>
      <c r="O600" s="5" t="s">
        <v>1536</v>
      </c>
      <c r="P600" s="15" t="str">
        <f aca="false">IF(J600="S0","—",IF(K600="","",IF(L600="E0","QM",INDEX(10_ASIL_Matrix!$D$4:$F$15,MATCH(J600&amp;"-"&amp;L600,10_ASIL_Matrix!$C$4:$C$15,0),MATCH(N600,10_ASIL_Matrix!$D$3:$F$3,0)))))</f>
        <v>B</v>
      </c>
      <c r="Q600" s="5" t="s">
        <v>1537</v>
      </c>
    </row>
    <row r="601" customFormat="false" ht="46.25" hidden="false" customHeight="false" outlineLevel="0" collapsed="false">
      <c r="A601" s="6" t="s">
        <v>1580</v>
      </c>
      <c r="B601" s="6" t="s">
        <v>122</v>
      </c>
      <c r="C601" s="6" t="s">
        <v>123</v>
      </c>
      <c r="D601" s="6" t="s">
        <v>135</v>
      </c>
      <c r="E601" s="6" t="s">
        <v>136</v>
      </c>
      <c r="F601" s="6" t="s">
        <v>194</v>
      </c>
      <c r="G601" s="6" t="s">
        <v>396</v>
      </c>
      <c r="H601" s="6" t="s">
        <v>203</v>
      </c>
      <c r="I601" s="6" t="s">
        <v>1581</v>
      </c>
      <c r="J601" s="6" t="s">
        <v>226</v>
      </c>
      <c r="K601" s="6" t="s">
        <v>1534</v>
      </c>
      <c r="L601" s="6" t="s">
        <v>206</v>
      </c>
      <c r="M601" s="6" t="s">
        <v>1535</v>
      </c>
      <c r="N601" s="6" t="s">
        <v>265</v>
      </c>
      <c r="O601" s="6" t="s">
        <v>1536</v>
      </c>
      <c r="P601" s="15" t="str">
        <f aca="false">IF(J601="S0","—",IF(K601="","",IF(L601="E0","QM",INDEX(10_ASIL_Matrix!$D$4:$F$15,MATCH(J601&amp;"-"&amp;L601,10_ASIL_Matrix!$C$4:$C$15,0),MATCH(N601,10_ASIL_Matrix!$D$3:$F$3,0)))))</f>
        <v>B</v>
      </c>
      <c r="Q601" s="6" t="s">
        <v>1537</v>
      </c>
    </row>
    <row r="602" customFormat="false" ht="46.25" hidden="false" customHeight="false" outlineLevel="0" collapsed="false">
      <c r="A602" s="5" t="s">
        <v>1582</v>
      </c>
      <c r="B602" s="5" t="s">
        <v>122</v>
      </c>
      <c r="C602" s="5" t="s">
        <v>123</v>
      </c>
      <c r="D602" s="5" t="s">
        <v>135</v>
      </c>
      <c r="E602" s="5" t="s">
        <v>136</v>
      </c>
      <c r="F602" s="5" t="s">
        <v>194</v>
      </c>
      <c r="G602" s="5" t="s">
        <v>396</v>
      </c>
      <c r="H602" s="5" t="s">
        <v>205</v>
      </c>
      <c r="I602" s="5" t="s">
        <v>1583</v>
      </c>
      <c r="J602" s="5" t="s">
        <v>226</v>
      </c>
      <c r="K602" s="5" t="s">
        <v>1534</v>
      </c>
      <c r="L602" s="5" t="s">
        <v>206</v>
      </c>
      <c r="M602" s="5" t="s">
        <v>1535</v>
      </c>
      <c r="N602" s="5" t="s">
        <v>265</v>
      </c>
      <c r="O602" s="5" t="s">
        <v>1536</v>
      </c>
      <c r="P602" s="15" t="str">
        <f aca="false">IF(J602="S0","—",IF(K602="","",IF(L602="E0","QM",INDEX(10_ASIL_Matrix!$D$4:$F$15,MATCH(J602&amp;"-"&amp;L602,10_ASIL_Matrix!$C$4:$C$15,0),MATCH(N602,10_ASIL_Matrix!$D$3:$F$3,0)))))</f>
        <v>B</v>
      </c>
      <c r="Q602" s="5" t="s">
        <v>1537</v>
      </c>
    </row>
    <row r="603" customFormat="false" ht="46.25" hidden="false" customHeight="false" outlineLevel="0" collapsed="false">
      <c r="A603" s="6" t="s">
        <v>1584</v>
      </c>
      <c r="B603" s="6" t="s">
        <v>122</v>
      </c>
      <c r="C603" s="6" t="s">
        <v>123</v>
      </c>
      <c r="D603" s="6" t="s">
        <v>135</v>
      </c>
      <c r="E603" s="6" t="s">
        <v>136</v>
      </c>
      <c r="F603" s="6" t="s">
        <v>194</v>
      </c>
      <c r="G603" s="6" t="s">
        <v>396</v>
      </c>
      <c r="H603" s="6" t="s">
        <v>208</v>
      </c>
      <c r="I603" s="6" t="s">
        <v>1585</v>
      </c>
      <c r="J603" s="6" t="s">
        <v>226</v>
      </c>
      <c r="K603" s="6" t="s">
        <v>1534</v>
      </c>
      <c r="L603" s="6" t="s">
        <v>206</v>
      </c>
      <c r="M603" s="6" t="s">
        <v>1535</v>
      </c>
      <c r="N603" s="6" t="s">
        <v>265</v>
      </c>
      <c r="O603" s="6" t="s">
        <v>1536</v>
      </c>
      <c r="P603" s="15" t="str">
        <f aca="false">IF(J603="S0","—",IF(K603="","",IF(L603="E0","QM",INDEX(10_ASIL_Matrix!$D$4:$F$15,MATCH(J603&amp;"-"&amp;L603,10_ASIL_Matrix!$C$4:$C$15,0),MATCH(N603,10_ASIL_Matrix!$D$3:$F$3,0)))))</f>
        <v>B</v>
      </c>
      <c r="Q603" s="6" t="s">
        <v>1537</v>
      </c>
    </row>
    <row r="604" customFormat="false" ht="46.25" hidden="false" customHeight="false" outlineLevel="0" collapsed="false">
      <c r="A604" s="5" t="s">
        <v>1586</v>
      </c>
      <c r="B604" s="5" t="s">
        <v>122</v>
      </c>
      <c r="C604" s="5" t="s">
        <v>123</v>
      </c>
      <c r="D604" s="5" t="s">
        <v>156</v>
      </c>
      <c r="E604" s="5" t="s">
        <v>157</v>
      </c>
      <c r="F604" s="5" t="s">
        <v>184</v>
      </c>
      <c r="G604" s="5" t="s">
        <v>323</v>
      </c>
      <c r="H604" s="5" t="s">
        <v>199</v>
      </c>
      <c r="I604" s="5" t="s">
        <v>1587</v>
      </c>
      <c r="J604" s="5" t="s">
        <v>218</v>
      </c>
      <c r="K604" s="5" t="s">
        <v>1534</v>
      </c>
      <c r="L604" s="5" t="s">
        <v>206</v>
      </c>
      <c r="M604" s="5" t="s">
        <v>1535</v>
      </c>
      <c r="N604" s="5" t="s">
        <v>265</v>
      </c>
      <c r="O604" s="5" t="s">
        <v>1536</v>
      </c>
      <c r="P604" s="5" t="str">
        <f aca="false">IF(J604="S0","—",IF(K604="","",IF(L604="E0","QM",INDEX(10_ASIL_Matrix!$D$4:$F$15,MATCH(J604&amp;"-"&amp;L604,10_ASIL_Matrix!$C$4:$C$15,0),MATCH(N604,10_ASIL_Matrix!$D$3:$F$3,0)))))</f>
        <v>QM</v>
      </c>
      <c r="Q604" s="5" t="s">
        <v>1537</v>
      </c>
    </row>
    <row r="605" customFormat="false" ht="46.25" hidden="false" customHeight="false" outlineLevel="0" collapsed="false">
      <c r="A605" s="6" t="s">
        <v>1588</v>
      </c>
      <c r="B605" s="6" t="s">
        <v>122</v>
      </c>
      <c r="C605" s="6" t="s">
        <v>123</v>
      </c>
      <c r="D605" s="6" t="s">
        <v>156</v>
      </c>
      <c r="E605" s="6" t="s">
        <v>157</v>
      </c>
      <c r="F605" s="6" t="s">
        <v>184</v>
      </c>
      <c r="G605" s="6" t="s">
        <v>323</v>
      </c>
      <c r="H605" s="6" t="s">
        <v>201</v>
      </c>
      <c r="I605" s="6" t="s">
        <v>1589</v>
      </c>
      <c r="J605" s="6" t="s">
        <v>218</v>
      </c>
      <c r="K605" s="6" t="s">
        <v>1534</v>
      </c>
      <c r="L605" s="6" t="s">
        <v>206</v>
      </c>
      <c r="M605" s="6" t="s">
        <v>1535</v>
      </c>
      <c r="N605" s="6" t="s">
        <v>265</v>
      </c>
      <c r="O605" s="6" t="s">
        <v>1536</v>
      </c>
      <c r="P605" s="6" t="str">
        <f aca="false">IF(J605="S0","—",IF(K605="","",IF(L605="E0","QM",INDEX(10_ASIL_Matrix!$D$4:$F$15,MATCH(J605&amp;"-"&amp;L605,10_ASIL_Matrix!$C$4:$C$15,0),MATCH(N605,10_ASIL_Matrix!$D$3:$F$3,0)))))</f>
        <v>QM</v>
      </c>
      <c r="Q605" s="6" t="s">
        <v>1537</v>
      </c>
    </row>
    <row r="606" customFormat="false" ht="46.25" hidden="false" customHeight="false" outlineLevel="0" collapsed="false">
      <c r="A606" s="5" t="s">
        <v>1590</v>
      </c>
      <c r="B606" s="5" t="s">
        <v>122</v>
      </c>
      <c r="C606" s="5" t="s">
        <v>123</v>
      </c>
      <c r="D606" s="5" t="s">
        <v>156</v>
      </c>
      <c r="E606" s="5" t="s">
        <v>157</v>
      </c>
      <c r="F606" s="5" t="s">
        <v>184</v>
      </c>
      <c r="G606" s="5" t="s">
        <v>323</v>
      </c>
      <c r="H606" s="5" t="s">
        <v>203</v>
      </c>
      <c r="I606" s="5" t="s">
        <v>1591</v>
      </c>
      <c r="J606" s="5" t="s">
        <v>218</v>
      </c>
      <c r="K606" s="5" t="s">
        <v>1534</v>
      </c>
      <c r="L606" s="5" t="s">
        <v>206</v>
      </c>
      <c r="M606" s="5" t="s">
        <v>1535</v>
      </c>
      <c r="N606" s="5" t="s">
        <v>265</v>
      </c>
      <c r="O606" s="5" t="s">
        <v>1536</v>
      </c>
      <c r="P606" s="5" t="str">
        <f aca="false">IF(J606="S0","—",IF(K606="","",IF(L606="E0","QM",INDEX(10_ASIL_Matrix!$D$4:$F$15,MATCH(J606&amp;"-"&amp;L606,10_ASIL_Matrix!$C$4:$C$15,0),MATCH(N606,10_ASIL_Matrix!$D$3:$F$3,0)))))</f>
        <v>QM</v>
      </c>
      <c r="Q606" s="5" t="s">
        <v>1537</v>
      </c>
    </row>
    <row r="607" customFormat="false" ht="46.25" hidden="false" customHeight="false" outlineLevel="0" collapsed="false">
      <c r="A607" s="6" t="s">
        <v>1592</v>
      </c>
      <c r="B607" s="6" t="s">
        <v>122</v>
      </c>
      <c r="C607" s="6" t="s">
        <v>123</v>
      </c>
      <c r="D607" s="6" t="s">
        <v>156</v>
      </c>
      <c r="E607" s="6" t="s">
        <v>157</v>
      </c>
      <c r="F607" s="6" t="s">
        <v>184</v>
      </c>
      <c r="G607" s="6" t="s">
        <v>323</v>
      </c>
      <c r="H607" s="6" t="s">
        <v>205</v>
      </c>
      <c r="I607" s="6" t="s">
        <v>1593</v>
      </c>
      <c r="J607" s="6" t="s">
        <v>218</v>
      </c>
      <c r="K607" s="6" t="s">
        <v>1534</v>
      </c>
      <c r="L607" s="6" t="s">
        <v>206</v>
      </c>
      <c r="M607" s="6" t="s">
        <v>1535</v>
      </c>
      <c r="N607" s="6" t="s">
        <v>265</v>
      </c>
      <c r="O607" s="6" t="s">
        <v>1536</v>
      </c>
      <c r="P607" s="6" t="str">
        <f aca="false">IF(J607="S0","—",IF(K607="","",IF(L607="E0","QM",INDEX(10_ASIL_Matrix!$D$4:$F$15,MATCH(J607&amp;"-"&amp;L607,10_ASIL_Matrix!$C$4:$C$15,0),MATCH(N607,10_ASIL_Matrix!$D$3:$F$3,0)))))</f>
        <v>QM</v>
      </c>
      <c r="Q607" s="6" t="s">
        <v>1537</v>
      </c>
    </row>
    <row r="608" customFormat="false" ht="46.25" hidden="false" customHeight="false" outlineLevel="0" collapsed="false">
      <c r="A608" s="5" t="s">
        <v>1594</v>
      </c>
      <c r="B608" s="5" t="s">
        <v>122</v>
      </c>
      <c r="C608" s="5" t="s">
        <v>123</v>
      </c>
      <c r="D608" s="5" t="s">
        <v>156</v>
      </c>
      <c r="E608" s="5" t="s">
        <v>157</v>
      </c>
      <c r="F608" s="5" t="s">
        <v>184</v>
      </c>
      <c r="G608" s="5" t="s">
        <v>323</v>
      </c>
      <c r="H608" s="5" t="s">
        <v>208</v>
      </c>
      <c r="I608" s="5" t="s">
        <v>1595</v>
      </c>
      <c r="J608" s="5" t="s">
        <v>218</v>
      </c>
      <c r="K608" s="5" t="s">
        <v>1534</v>
      </c>
      <c r="L608" s="5" t="s">
        <v>206</v>
      </c>
      <c r="M608" s="5" t="s">
        <v>1535</v>
      </c>
      <c r="N608" s="5" t="s">
        <v>265</v>
      </c>
      <c r="O608" s="5" t="s">
        <v>1536</v>
      </c>
      <c r="P608" s="5" t="str">
        <f aca="false">IF(J608="S0","—",IF(K608="","",IF(L608="E0","QM",INDEX(10_ASIL_Matrix!$D$4:$F$15,MATCH(J608&amp;"-"&amp;L608,10_ASIL_Matrix!$C$4:$C$15,0),MATCH(N608,10_ASIL_Matrix!$D$3:$F$3,0)))))</f>
        <v>QM</v>
      </c>
      <c r="Q608" s="5" t="s">
        <v>1537</v>
      </c>
    </row>
    <row r="609" customFormat="false" ht="46.25" hidden="false" customHeight="false" outlineLevel="0" collapsed="false">
      <c r="A609" s="6" t="s">
        <v>1596</v>
      </c>
      <c r="B609" s="6" t="s">
        <v>122</v>
      </c>
      <c r="C609" s="6" t="s">
        <v>123</v>
      </c>
      <c r="D609" s="6" t="s">
        <v>156</v>
      </c>
      <c r="E609" s="6" t="s">
        <v>157</v>
      </c>
      <c r="F609" s="6" t="s">
        <v>187</v>
      </c>
      <c r="G609" s="6" t="s">
        <v>342</v>
      </c>
      <c r="H609" s="6" t="s">
        <v>199</v>
      </c>
      <c r="I609" s="6" t="s">
        <v>1597</v>
      </c>
      <c r="J609" s="6" t="s">
        <v>218</v>
      </c>
      <c r="K609" s="6" t="s">
        <v>1534</v>
      </c>
      <c r="L609" s="6" t="s">
        <v>206</v>
      </c>
      <c r="M609" s="6" t="s">
        <v>1535</v>
      </c>
      <c r="N609" s="6" t="s">
        <v>265</v>
      </c>
      <c r="O609" s="6" t="s">
        <v>1536</v>
      </c>
      <c r="P609" s="6" t="str">
        <f aca="false">IF(J609="S0","—",IF(K609="","",IF(L609="E0","QM",INDEX(10_ASIL_Matrix!$D$4:$F$15,MATCH(J609&amp;"-"&amp;L609,10_ASIL_Matrix!$C$4:$C$15,0),MATCH(N609,10_ASIL_Matrix!$D$3:$F$3,0)))))</f>
        <v>QM</v>
      </c>
      <c r="Q609" s="6" t="s">
        <v>1537</v>
      </c>
    </row>
    <row r="610" customFormat="false" ht="46.25" hidden="false" customHeight="false" outlineLevel="0" collapsed="false">
      <c r="A610" s="5" t="s">
        <v>1598</v>
      </c>
      <c r="B610" s="5" t="s">
        <v>122</v>
      </c>
      <c r="C610" s="5" t="s">
        <v>123</v>
      </c>
      <c r="D610" s="5" t="s">
        <v>156</v>
      </c>
      <c r="E610" s="5" t="s">
        <v>157</v>
      </c>
      <c r="F610" s="5" t="s">
        <v>187</v>
      </c>
      <c r="G610" s="5" t="s">
        <v>342</v>
      </c>
      <c r="H610" s="5" t="s">
        <v>201</v>
      </c>
      <c r="I610" s="5" t="s">
        <v>1599</v>
      </c>
      <c r="J610" s="5" t="s">
        <v>218</v>
      </c>
      <c r="K610" s="5" t="s">
        <v>1534</v>
      </c>
      <c r="L610" s="5" t="s">
        <v>206</v>
      </c>
      <c r="M610" s="5" t="s">
        <v>1535</v>
      </c>
      <c r="N610" s="5" t="s">
        <v>265</v>
      </c>
      <c r="O610" s="5" t="s">
        <v>1536</v>
      </c>
      <c r="P610" s="5" t="str">
        <f aca="false">IF(J610="S0","—",IF(K610="","",IF(L610="E0","QM",INDEX(10_ASIL_Matrix!$D$4:$F$15,MATCH(J610&amp;"-"&amp;L610,10_ASIL_Matrix!$C$4:$C$15,0),MATCH(N610,10_ASIL_Matrix!$D$3:$F$3,0)))))</f>
        <v>QM</v>
      </c>
      <c r="Q610" s="5" t="s">
        <v>1537</v>
      </c>
    </row>
    <row r="611" customFormat="false" ht="46.25" hidden="false" customHeight="false" outlineLevel="0" collapsed="false">
      <c r="A611" s="6" t="s">
        <v>1600</v>
      </c>
      <c r="B611" s="6" t="s">
        <v>122</v>
      </c>
      <c r="C611" s="6" t="s">
        <v>123</v>
      </c>
      <c r="D611" s="6" t="s">
        <v>156</v>
      </c>
      <c r="E611" s="6" t="s">
        <v>157</v>
      </c>
      <c r="F611" s="6" t="s">
        <v>187</v>
      </c>
      <c r="G611" s="6" t="s">
        <v>342</v>
      </c>
      <c r="H611" s="6" t="s">
        <v>203</v>
      </c>
      <c r="I611" s="6" t="s">
        <v>1601</v>
      </c>
      <c r="J611" s="6" t="s">
        <v>218</v>
      </c>
      <c r="K611" s="6" t="s">
        <v>1534</v>
      </c>
      <c r="L611" s="6" t="s">
        <v>206</v>
      </c>
      <c r="M611" s="6" t="s">
        <v>1535</v>
      </c>
      <c r="N611" s="6" t="s">
        <v>265</v>
      </c>
      <c r="O611" s="6" t="s">
        <v>1536</v>
      </c>
      <c r="P611" s="6" t="str">
        <f aca="false">IF(J611="S0","—",IF(K611="","",IF(L611="E0","QM",INDEX(10_ASIL_Matrix!$D$4:$F$15,MATCH(J611&amp;"-"&amp;L611,10_ASIL_Matrix!$C$4:$C$15,0),MATCH(N611,10_ASIL_Matrix!$D$3:$F$3,0)))))</f>
        <v>QM</v>
      </c>
      <c r="Q611" s="6" t="s">
        <v>1537</v>
      </c>
    </row>
    <row r="612" customFormat="false" ht="46.25" hidden="false" customHeight="false" outlineLevel="0" collapsed="false">
      <c r="A612" s="5" t="s">
        <v>1602</v>
      </c>
      <c r="B612" s="5" t="s">
        <v>122</v>
      </c>
      <c r="C612" s="5" t="s">
        <v>123</v>
      </c>
      <c r="D612" s="5" t="s">
        <v>156</v>
      </c>
      <c r="E612" s="5" t="s">
        <v>157</v>
      </c>
      <c r="F612" s="5" t="s">
        <v>187</v>
      </c>
      <c r="G612" s="5" t="s">
        <v>342</v>
      </c>
      <c r="H612" s="5" t="s">
        <v>205</v>
      </c>
      <c r="I612" s="5" t="s">
        <v>1603</v>
      </c>
      <c r="J612" s="5" t="s">
        <v>218</v>
      </c>
      <c r="K612" s="5" t="s">
        <v>1534</v>
      </c>
      <c r="L612" s="5" t="s">
        <v>206</v>
      </c>
      <c r="M612" s="5" t="s">
        <v>1535</v>
      </c>
      <c r="N612" s="5" t="s">
        <v>265</v>
      </c>
      <c r="O612" s="5" t="s">
        <v>1536</v>
      </c>
      <c r="P612" s="5" t="str">
        <f aca="false">IF(J612="S0","—",IF(K612="","",IF(L612="E0","QM",INDEX(10_ASIL_Matrix!$D$4:$F$15,MATCH(J612&amp;"-"&amp;L612,10_ASIL_Matrix!$C$4:$C$15,0),MATCH(N612,10_ASIL_Matrix!$D$3:$F$3,0)))))</f>
        <v>QM</v>
      </c>
      <c r="Q612" s="5" t="s">
        <v>1537</v>
      </c>
    </row>
    <row r="613" customFormat="false" ht="46.25" hidden="false" customHeight="false" outlineLevel="0" collapsed="false">
      <c r="A613" s="6" t="s">
        <v>1604</v>
      </c>
      <c r="B613" s="6" t="s">
        <v>122</v>
      </c>
      <c r="C613" s="6" t="s">
        <v>123</v>
      </c>
      <c r="D613" s="6" t="s">
        <v>156</v>
      </c>
      <c r="E613" s="6" t="s">
        <v>157</v>
      </c>
      <c r="F613" s="6" t="s">
        <v>187</v>
      </c>
      <c r="G613" s="6" t="s">
        <v>342</v>
      </c>
      <c r="H613" s="6" t="s">
        <v>208</v>
      </c>
      <c r="I613" s="6" t="s">
        <v>1605</v>
      </c>
      <c r="J613" s="6" t="s">
        <v>218</v>
      </c>
      <c r="K613" s="6" t="s">
        <v>1534</v>
      </c>
      <c r="L613" s="6" t="s">
        <v>206</v>
      </c>
      <c r="M613" s="6" t="s">
        <v>1535</v>
      </c>
      <c r="N613" s="6" t="s">
        <v>265</v>
      </c>
      <c r="O613" s="6" t="s">
        <v>1536</v>
      </c>
      <c r="P613" s="6" t="str">
        <f aca="false">IF(J613="S0","—",IF(K613="","",IF(L613="E0","QM",INDEX(10_ASIL_Matrix!$D$4:$F$15,MATCH(J613&amp;"-"&amp;L613,10_ASIL_Matrix!$C$4:$C$15,0),MATCH(N613,10_ASIL_Matrix!$D$3:$F$3,0)))))</f>
        <v>QM</v>
      </c>
      <c r="Q613" s="6" t="s">
        <v>1537</v>
      </c>
    </row>
    <row r="614" customFormat="false" ht="46.25" hidden="false" customHeight="false" outlineLevel="0" collapsed="false">
      <c r="A614" s="5" t="s">
        <v>1606</v>
      </c>
      <c r="B614" s="5" t="s">
        <v>122</v>
      </c>
      <c r="C614" s="5" t="s">
        <v>123</v>
      </c>
      <c r="D614" s="5" t="s">
        <v>156</v>
      </c>
      <c r="E614" s="5" t="s">
        <v>157</v>
      </c>
      <c r="F614" s="5" t="s">
        <v>190</v>
      </c>
      <c r="G614" s="5" t="s">
        <v>360</v>
      </c>
      <c r="H614" s="5" t="s">
        <v>199</v>
      </c>
      <c r="I614" s="5" t="s">
        <v>1607</v>
      </c>
      <c r="J614" s="5" t="s">
        <v>222</v>
      </c>
      <c r="K614" s="5" t="s">
        <v>1534</v>
      </c>
      <c r="L614" s="5" t="s">
        <v>206</v>
      </c>
      <c r="M614" s="5" t="s">
        <v>1535</v>
      </c>
      <c r="N614" s="5" t="s">
        <v>265</v>
      </c>
      <c r="O614" s="5" t="s">
        <v>1536</v>
      </c>
      <c r="P614" s="16" t="str">
        <f aca="false">IF(J614="S0","—",IF(K614="","",IF(L614="E0","QM",INDEX(10_ASIL_Matrix!$D$4:$F$15,MATCH(J614&amp;"-"&amp;L614,10_ASIL_Matrix!$C$4:$C$15,0),MATCH(N614,10_ASIL_Matrix!$D$3:$F$3,0)))))</f>
        <v>A</v>
      </c>
      <c r="Q614" s="5" t="s">
        <v>1537</v>
      </c>
    </row>
    <row r="615" customFormat="false" ht="46.25" hidden="false" customHeight="false" outlineLevel="0" collapsed="false">
      <c r="A615" s="6" t="s">
        <v>1608</v>
      </c>
      <c r="B615" s="6" t="s">
        <v>122</v>
      </c>
      <c r="C615" s="6" t="s">
        <v>123</v>
      </c>
      <c r="D615" s="6" t="s">
        <v>156</v>
      </c>
      <c r="E615" s="6" t="s">
        <v>157</v>
      </c>
      <c r="F615" s="6" t="s">
        <v>190</v>
      </c>
      <c r="G615" s="6" t="s">
        <v>360</v>
      </c>
      <c r="H615" s="6" t="s">
        <v>201</v>
      </c>
      <c r="I615" s="6" t="s">
        <v>1609</v>
      </c>
      <c r="J615" s="6" t="s">
        <v>222</v>
      </c>
      <c r="K615" s="6" t="s">
        <v>1534</v>
      </c>
      <c r="L615" s="6" t="s">
        <v>206</v>
      </c>
      <c r="M615" s="6" t="s">
        <v>1535</v>
      </c>
      <c r="N615" s="6" t="s">
        <v>265</v>
      </c>
      <c r="O615" s="6" t="s">
        <v>1536</v>
      </c>
      <c r="P615" s="16" t="str">
        <f aca="false">IF(J615="S0","—",IF(K615="","",IF(L615="E0","QM",INDEX(10_ASIL_Matrix!$D$4:$F$15,MATCH(J615&amp;"-"&amp;L615,10_ASIL_Matrix!$C$4:$C$15,0),MATCH(N615,10_ASIL_Matrix!$D$3:$F$3,0)))))</f>
        <v>A</v>
      </c>
      <c r="Q615" s="6" t="s">
        <v>1537</v>
      </c>
    </row>
    <row r="616" customFormat="false" ht="46.25" hidden="false" customHeight="false" outlineLevel="0" collapsed="false">
      <c r="A616" s="5" t="s">
        <v>1610</v>
      </c>
      <c r="B616" s="5" t="s">
        <v>122</v>
      </c>
      <c r="C616" s="5" t="s">
        <v>123</v>
      </c>
      <c r="D616" s="5" t="s">
        <v>156</v>
      </c>
      <c r="E616" s="5" t="s">
        <v>157</v>
      </c>
      <c r="F616" s="5" t="s">
        <v>190</v>
      </c>
      <c r="G616" s="5" t="s">
        <v>360</v>
      </c>
      <c r="H616" s="5" t="s">
        <v>203</v>
      </c>
      <c r="I616" s="5" t="s">
        <v>1611</v>
      </c>
      <c r="J616" s="5" t="s">
        <v>222</v>
      </c>
      <c r="K616" s="5" t="s">
        <v>1534</v>
      </c>
      <c r="L616" s="5" t="s">
        <v>206</v>
      </c>
      <c r="M616" s="5" t="s">
        <v>1535</v>
      </c>
      <c r="N616" s="5" t="s">
        <v>265</v>
      </c>
      <c r="O616" s="5" t="s">
        <v>1536</v>
      </c>
      <c r="P616" s="16" t="str">
        <f aca="false">IF(J616="S0","—",IF(K616="","",IF(L616="E0","QM",INDEX(10_ASIL_Matrix!$D$4:$F$15,MATCH(J616&amp;"-"&amp;L616,10_ASIL_Matrix!$C$4:$C$15,0),MATCH(N616,10_ASIL_Matrix!$D$3:$F$3,0)))))</f>
        <v>A</v>
      </c>
      <c r="Q616" s="5" t="s">
        <v>1537</v>
      </c>
    </row>
    <row r="617" customFormat="false" ht="46.25" hidden="false" customHeight="false" outlineLevel="0" collapsed="false">
      <c r="A617" s="6" t="s">
        <v>1612</v>
      </c>
      <c r="B617" s="6" t="s">
        <v>122</v>
      </c>
      <c r="C617" s="6" t="s">
        <v>123</v>
      </c>
      <c r="D617" s="6" t="s">
        <v>156</v>
      </c>
      <c r="E617" s="6" t="s">
        <v>157</v>
      </c>
      <c r="F617" s="6" t="s">
        <v>190</v>
      </c>
      <c r="G617" s="6" t="s">
        <v>360</v>
      </c>
      <c r="H617" s="6" t="s">
        <v>205</v>
      </c>
      <c r="I617" s="6" t="s">
        <v>1613</v>
      </c>
      <c r="J617" s="6" t="s">
        <v>222</v>
      </c>
      <c r="K617" s="6" t="s">
        <v>1534</v>
      </c>
      <c r="L617" s="6" t="s">
        <v>206</v>
      </c>
      <c r="M617" s="6" t="s">
        <v>1535</v>
      </c>
      <c r="N617" s="6" t="s">
        <v>265</v>
      </c>
      <c r="O617" s="6" t="s">
        <v>1536</v>
      </c>
      <c r="P617" s="16" t="str">
        <f aca="false">IF(J617="S0","—",IF(K617="","",IF(L617="E0","QM",INDEX(10_ASIL_Matrix!$D$4:$F$15,MATCH(J617&amp;"-"&amp;L617,10_ASIL_Matrix!$C$4:$C$15,0),MATCH(N617,10_ASIL_Matrix!$D$3:$F$3,0)))))</f>
        <v>A</v>
      </c>
      <c r="Q617" s="6" t="s">
        <v>1537</v>
      </c>
    </row>
    <row r="618" customFormat="false" ht="46.25" hidden="false" customHeight="false" outlineLevel="0" collapsed="false">
      <c r="A618" s="5" t="s">
        <v>1614</v>
      </c>
      <c r="B618" s="5" t="s">
        <v>122</v>
      </c>
      <c r="C618" s="5" t="s">
        <v>123</v>
      </c>
      <c r="D618" s="5" t="s">
        <v>156</v>
      </c>
      <c r="E618" s="5" t="s">
        <v>157</v>
      </c>
      <c r="F618" s="5" t="s">
        <v>190</v>
      </c>
      <c r="G618" s="5" t="s">
        <v>360</v>
      </c>
      <c r="H618" s="5" t="s">
        <v>208</v>
      </c>
      <c r="I618" s="5" t="s">
        <v>1615</v>
      </c>
      <c r="J618" s="5" t="s">
        <v>222</v>
      </c>
      <c r="K618" s="5" t="s">
        <v>1534</v>
      </c>
      <c r="L618" s="5" t="s">
        <v>206</v>
      </c>
      <c r="M618" s="5" t="s">
        <v>1535</v>
      </c>
      <c r="N618" s="5" t="s">
        <v>265</v>
      </c>
      <c r="O618" s="5" t="s">
        <v>1536</v>
      </c>
      <c r="P618" s="16" t="str">
        <f aca="false">IF(J618="S0","—",IF(K618="","",IF(L618="E0","QM",INDEX(10_ASIL_Matrix!$D$4:$F$15,MATCH(J618&amp;"-"&amp;L618,10_ASIL_Matrix!$C$4:$C$15,0),MATCH(N618,10_ASIL_Matrix!$D$3:$F$3,0)))))</f>
        <v>A</v>
      </c>
      <c r="Q618" s="5" t="s">
        <v>1537</v>
      </c>
    </row>
    <row r="619" customFormat="false" ht="46.25" hidden="false" customHeight="false" outlineLevel="0" collapsed="false">
      <c r="A619" s="6" t="s">
        <v>1616</v>
      </c>
      <c r="B619" s="6" t="s">
        <v>122</v>
      </c>
      <c r="C619" s="6" t="s">
        <v>123</v>
      </c>
      <c r="D619" s="6" t="s">
        <v>156</v>
      </c>
      <c r="E619" s="6" t="s">
        <v>157</v>
      </c>
      <c r="F619" s="6" t="s">
        <v>192</v>
      </c>
      <c r="G619" s="6" t="s">
        <v>378</v>
      </c>
      <c r="H619" s="6" t="s">
        <v>199</v>
      </c>
      <c r="I619" s="6" t="s">
        <v>1617</v>
      </c>
      <c r="J619" s="6" t="s">
        <v>222</v>
      </c>
      <c r="K619" s="6" t="s">
        <v>1534</v>
      </c>
      <c r="L619" s="6" t="s">
        <v>206</v>
      </c>
      <c r="M619" s="6" t="s">
        <v>1535</v>
      </c>
      <c r="N619" s="6" t="s">
        <v>265</v>
      </c>
      <c r="O619" s="6" t="s">
        <v>1536</v>
      </c>
      <c r="P619" s="16" t="str">
        <f aca="false">IF(J619="S0","—",IF(K619="","",IF(L619="E0","QM",INDEX(10_ASIL_Matrix!$D$4:$F$15,MATCH(J619&amp;"-"&amp;L619,10_ASIL_Matrix!$C$4:$C$15,0),MATCH(N619,10_ASIL_Matrix!$D$3:$F$3,0)))))</f>
        <v>A</v>
      </c>
      <c r="Q619" s="6" t="s">
        <v>1537</v>
      </c>
    </row>
    <row r="620" customFormat="false" ht="46.25" hidden="false" customHeight="false" outlineLevel="0" collapsed="false">
      <c r="A620" s="5" t="s">
        <v>1618</v>
      </c>
      <c r="B620" s="5" t="s">
        <v>122</v>
      </c>
      <c r="C620" s="5" t="s">
        <v>123</v>
      </c>
      <c r="D620" s="5" t="s">
        <v>156</v>
      </c>
      <c r="E620" s="5" t="s">
        <v>157</v>
      </c>
      <c r="F620" s="5" t="s">
        <v>192</v>
      </c>
      <c r="G620" s="5" t="s">
        <v>378</v>
      </c>
      <c r="H620" s="5" t="s">
        <v>201</v>
      </c>
      <c r="I620" s="5" t="s">
        <v>1619</v>
      </c>
      <c r="J620" s="5" t="s">
        <v>222</v>
      </c>
      <c r="K620" s="5" t="s">
        <v>1534</v>
      </c>
      <c r="L620" s="5" t="s">
        <v>206</v>
      </c>
      <c r="M620" s="5" t="s">
        <v>1535</v>
      </c>
      <c r="N620" s="5" t="s">
        <v>265</v>
      </c>
      <c r="O620" s="5" t="s">
        <v>1536</v>
      </c>
      <c r="P620" s="16" t="str">
        <f aca="false">IF(J620="S0","—",IF(K620="","",IF(L620="E0","QM",INDEX(10_ASIL_Matrix!$D$4:$F$15,MATCH(J620&amp;"-"&amp;L620,10_ASIL_Matrix!$C$4:$C$15,0),MATCH(N620,10_ASIL_Matrix!$D$3:$F$3,0)))))</f>
        <v>A</v>
      </c>
      <c r="Q620" s="5" t="s">
        <v>1537</v>
      </c>
    </row>
    <row r="621" customFormat="false" ht="46.25" hidden="false" customHeight="false" outlineLevel="0" collapsed="false">
      <c r="A621" s="6" t="s">
        <v>1620</v>
      </c>
      <c r="B621" s="6" t="s">
        <v>122</v>
      </c>
      <c r="C621" s="6" t="s">
        <v>123</v>
      </c>
      <c r="D621" s="6" t="s">
        <v>156</v>
      </c>
      <c r="E621" s="6" t="s">
        <v>157</v>
      </c>
      <c r="F621" s="6" t="s">
        <v>192</v>
      </c>
      <c r="G621" s="6" t="s">
        <v>378</v>
      </c>
      <c r="H621" s="6" t="s">
        <v>203</v>
      </c>
      <c r="I621" s="6" t="s">
        <v>1621</v>
      </c>
      <c r="J621" s="6" t="s">
        <v>222</v>
      </c>
      <c r="K621" s="6" t="s">
        <v>1534</v>
      </c>
      <c r="L621" s="6" t="s">
        <v>206</v>
      </c>
      <c r="M621" s="6" t="s">
        <v>1535</v>
      </c>
      <c r="N621" s="6" t="s">
        <v>265</v>
      </c>
      <c r="O621" s="6" t="s">
        <v>1536</v>
      </c>
      <c r="P621" s="16" t="str">
        <f aca="false">IF(J621="S0","—",IF(K621="","",IF(L621="E0","QM",INDEX(10_ASIL_Matrix!$D$4:$F$15,MATCH(J621&amp;"-"&amp;L621,10_ASIL_Matrix!$C$4:$C$15,0),MATCH(N621,10_ASIL_Matrix!$D$3:$F$3,0)))))</f>
        <v>A</v>
      </c>
      <c r="Q621" s="6" t="s">
        <v>1537</v>
      </c>
    </row>
    <row r="622" customFormat="false" ht="46.25" hidden="false" customHeight="false" outlineLevel="0" collapsed="false">
      <c r="A622" s="5" t="s">
        <v>1622</v>
      </c>
      <c r="B622" s="5" t="s">
        <v>122</v>
      </c>
      <c r="C622" s="5" t="s">
        <v>123</v>
      </c>
      <c r="D622" s="5" t="s">
        <v>156</v>
      </c>
      <c r="E622" s="5" t="s">
        <v>157</v>
      </c>
      <c r="F622" s="5" t="s">
        <v>192</v>
      </c>
      <c r="G622" s="5" t="s">
        <v>378</v>
      </c>
      <c r="H622" s="5" t="s">
        <v>205</v>
      </c>
      <c r="I622" s="5" t="s">
        <v>1623</v>
      </c>
      <c r="J622" s="5" t="s">
        <v>222</v>
      </c>
      <c r="K622" s="5" t="s">
        <v>1534</v>
      </c>
      <c r="L622" s="5" t="s">
        <v>206</v>
      </c>
      <c r="M622" s="5" t="s">
        <v>1535</v>
      </c>
      <c r="N622" s="5" t="s">
        <v>265</v>
      </c>
      <c r="O622" s="5" t="s">
        <v>1536</v>
      </c>
      <c r="P622" s="16" t="str">
        <f aca="false">IF(J622="S0","—",IF(K622="","",IF(L622="E0","QM",INDEX(10_ASIL_Matrix!$D$4:$F$15,MATCH(J622&amp;"-"&amp;L622,10_ASIL_Matrix!$C$4:$C$15,0),MATCH(N622,10_ASIL_Matrix!$D$3:$F$3,0)))))</f>
        <v>A</v>
      </c>
      <c r="Q622" s="5" t="s">
        <v>1537</v>
      </c>
    </row>
    <row r="623" customFormat="false" ht="46.25" hidden="false" customHeight="false" outlineLevel="0" collapsed="false">
      <c r="A623" s="6" t="s">
        <v>1624</v>
      </c>
      <c r="B623" s="6" t="s">
        <v>122</v>
      </c>
      <c r="C623" s="6" t="s">
        <v>123</v>
      </c>
      <c r="D623" s="6" t="s">
        <v>156</v>
      </c>
      <c r="E623" s="6" t="s">
        <v>157</v>
      </c>
      <c r="F623" s="6" t="s">
        <v>192</v>
      </c>
      <c r="G623" s="6" t="s">
        <v>378</v>
      </c>
      <c r="H623" s="6" t="s">
        <v>208</v>
      </c>
      <c r="I623" s="6" t="s">
        <v>1625</v>
      </c>
      <c r="J623" s="6" t="s">
        <v>222</v>
      </c>
      <c r="K623" s="6" t="s">
        <v>1534</v>
      </c>
      <c r="L623" s="6" t="s">
        <v>206</v>
      </c>
      <c r="M623" s="6" t="s">
        <v>1535</v>
      </c>
      <c r="N623" s="6" t="s">
        <v>265</v>
      </c>
      <c r="O623" s="6" t="s">
        <v>1536</v>
      </c>
      <c r="P623" s="16" t="str">
        <f aca="false">IF(J623="S0","—",IF(K623="","",IF(L623="E0","QM",INDEX(10_ASIL_Matrix!$D$4:$F$15,MATCH(J623&amp;"-"&amp;L623,10_ASIL_Matrix!$C$4:$C$15,0),MATCH(N623,10_ASIL_Matrix!$D$3:$F$3,0)))))</f>
        <v>A</v>
      </c>
      <c r="Q623" s="6" t="s">
        <v>1537</v>
      </c>
    </row>
    <row r="624" customFormat="false" ht="46.25" hidden="false" customHeight="false" outlineLevel="0" collapsed="false">
      <c r="A624" s="5" t="s">
        <v>1626</v>
      </c>
      <c r="B624" s="5" t="s">
        <v>122</v>
      </c>
      <c r="C624" s="5" t="s">
        <v>123</v>
      </c>
      <c r="D624" s="5" t="s">
        <v>156</v>
      </c>
      <c r="E624" s="5" t="s">
        <v>157</v>
      </c>
      <c r="F624" s="5" t="s">
        <v>194</v>
      </c>
      <c r="G624" s="5" t="s">
        <v>396</v>
      </c>
      <c r="H624" s="5" t="s">
        <v>199</v>
      </c>
      <c r="I624" s="5" t="s">
        <v>1627</v>
      </c>
      <c r="J624" s="5" t="s">
        <v>226</v>
      </c>
      <c r="K624" s="5" t="s">
        <v>1534</v>
      </c>
      <c r="L624" s="5" t="s">
        <v>206</v>
      </c>
      <c r="M624" s="5" t="s">
        <v>1535</v>
      </c>
      <c r="N624" s="5" t="s">
        <v>265</v>
      </c>
      <c r="O624" s="5" t="s">
        <v>1536</v>
      </c>
      <c r="P624" s="15" t="str">
        <f aca="false">IF(J624="S0","—",IF(K624="","",IF(L624="E0","QM",INDEX(10_ASIL_Matrix!$D$4:$F$15,MATCH(J624&amp;"-"&amp;L624,10_ASIL_Matrix!$C$4:$C$15,0),MATCH(N624,10_ASIL_Matrix!$D$3:$F$3,0)))))</f>
        <v>B</v>
      </c>
      <c r="Q624" s="5" t="s">
        <v>1537</v>
      </c>
    </row>
    <row r="625" customFormat="false" ht="46.25" hidden="false" customHeight="false" outlineLevel="0" collapsed="false">
      <c r="A625" s="6" t="s">
        <v>1628</v>
      </c>
      <c r="B625" s="6" t="s">
        <v>122</v>
      </c>
      <c r="C625" s="6" t="s">
        <v>123</v>
      </c>
      <c r="D625" s="6" t="s">
        <v>156</v>
      </c>
      <c r="E625" s="6" t="s">
        <v>157</v>
      </c>
      <c r="F625" s="6" t="s">
        <v>194</v>
      </c>
      <c r="G625" s="6" t="s">
        <v>396</v>
      </c>
      <c r="H625" s="6" t="s">
        <v>201</v>
      </c>
      <c r="I625" s="6" t="s">
        <v>1629</v>
      </c>
      <c r="J625" s="6" t="s">
        <v>226</v>
      </c>
      <c r="K625" s="6" t="s">
        <v>1534</v>
      </c>
      <c r="L625" s="6" t="s">
        <v>206</v>
      </c>
      <c r="M625" s="6" t="s">
        <v>1535</v>
      </c>
      <c r="N625" s="6" t="s">
        <v>265</v>
      </c>
      <c r="O625" s="6" t="s">
        <v>1536</v>
      </c>
      <c r="P625" s="15" t="str">
        <f aca="false">IF(J625="S0","—",IF(K625="","",IF(L625="E0","QM",INDEX(10_ASIL_Matrix!$D$4:$F$15,MATCH(J625&amp;"-"&amp;L625,10_ASIL_Matrix!$C$4:$C$15,0),MATCH(N625,10_ASIL_Matrix!$D$3:$F$3,0)))))</f>
        <v>B</v>
      </c>
      <c r="Q625" s="6" t="s">
        <v>1537</v>
      </c>
    </row>
    <row r="626" customFormat="false" ht="46.25" hidden="false" customHeight="false" outlineLevel="0" collapsed="false">
      <c r="A626" s="5" t="s">
        <v>1630</v>
      </c>
      <c r="B626" s="5" t="s">
        <v>122</v>
      </c>
      <c r="C626" s="5" t="s">
        <v>123</v>
      </c>
      <c r="D626" s="5" t="s">
        <v>156</v>
      </c>
      <c r="E626" s="5" t="s">
        <v>157</v>
      </c>
      <c r="F626" s="5" t="s">
        <v>194</v>
      </c>
      <c r="G626" s="5" t="s">
        <v>396</v>
      </c>
      <c r="H626" s="5" t="s">
        <v>203</v>
      </c>
      <c r="I626" s="5" t="s">
        <v>1631</v>
      </c>
      <c r="J626" s="5" t="s">
        <v>226</v>
      </c>
      <c r="K626" s="5" t="s">
        <v>1534</v>
      </c>
      <c r="L626" s="5" t="s">
        <v>206</v>
      </c>
      <c r="M626" s="5" t="s">
        <v>1535</v>
      </c>
      <c r="N626" s="5" t="s">
        <v>265</v>
      </c>
      <c r="O626" s="5" t="s">
        <v>1536</v>
      </c>
      <c r="P626" s="15" t="str">
        <f aca="false">IF(J626="S0","—",IF(K626="","",IF(L626="E0","QM",INDEX(10_ASIL_Matrix!$D$4:$F$15,MATCH(J626&amp;"-"&amp;L626,10_ASIL_Matrix!$C$4:$C$15,0),MATCH(N626,10_ASIL_Matrix!$D$3:$F$3,0)))))</f>
        <v>B</v>
      </c>
      <c r="Q626" s="5" t="s">
        <v>1537</v>
      </c>
    </row>
    <row r="627" customFormat="false" ht="46.25" hidden="false" customHeight="false" outlineLevel="0" collapsed="false">
      <c r="A627" s="6" t="s">
        <v>1632</v>
      </c>
      <c r="B627" s="6" t="s">
        <v>122</v>
      </c>
      <c r="C627" s="6" t="s">
        <v>123</v>
      </c>
      <c r="D627" s="6" t="s">
        <v>156</v>
      </c>
      <c r="E627" s="6" t="s">
        <v>157</v>
      </c>
      <c r="F627" s="6" t="s">
        <v>194</v>
      </c>
      <c r="G627" s="6" t="s">
        <v>396</v>
      </c>
      <c r="H627" s="6" t="s">
        <v>205</v>
      </c>
      <c r="I627" s="6" t="s">
        <v>1633</v>
      </c>
      <c r="J627" s="6" t="s">
        <v>226</v>
      </c>
      <c r="K627" s="6" t="s">
        <v>1534</v>
      </c>
      <c r="L627" s="6" t="s">
        <v>206</v>
      </c>
      <c r="M627" s="6" t="s">
        <v>1535</v>
      </c>
      <c r="N627" s="6" t="s">
        <v>265</v>
      </c>
      <c r="O627" s="6" t="s">
        <v>1536</v>
      </c>
      <c r="P627" s="15" t="str">
        <f aca="false">IF(J627="S0","—",IF(K627="","",IF(L627="E0","QM",INDEX(10_ASIL_Matrix!$D$4:$F$15,MATCH(J627&amp;"-"&amp;L627,10_ASIL_Matrix!$C$4:$C$15,0),MATCH(N627,10_ASIL_Matrix!$D$3:$F$3,0)))))</f>
        <v>B</v>
      </c>
      <c r="Q627" s="6" t="s">
        <v>1537</v>
      </c>
    </row>
    <row r="628" customFormat="false" ht="46.25" hidden="false" customHeight="false" outlineLevel="0" collapsed="false">
      <c r="A628" s="5" t="s">
        <v>1634</v>
      </c>
      <c r="B628" s="5" t="s">
        <v>122</v>
      </c>
      <c r="C628" s="5" t="s">
        <v>123</v>
      </c>
      <c r="D628" s="5" t="s">
        <v>156</v>
      </c>
      <c r="E628" s="5" t="s">
        <v>157</v>
      </c>
      <c r="F628" s="5" t="s">
        <v>194</v>
      </c>
      <c r="G628" s="5" t="s">
        <v>396</v>
      </c>
      <c r="H628" s="5" t="s">
        <v>208</v>
      </c>
      <c r="I628" s="5" t="s">
        <v>1635</v>
      </c>
      <c r="J628" s="5" t="s">
        <v>226</v>
      </c>
      <c r="K628" s="5" t="s">
        <v>1534</v>
      </c>
      <c r="L628" s="5" t="s">
        <v>206</v>
      </c>
      <c r="M628" s="5" t="s">
        <v>1535</v>
      </c>
      <c r="N628" s="5" t="s">
        <v>265</v>
      </c>
      <c r="O628" s="5" t="s">
        <v>1536</v>
      </c>
      <c r="P628" s="15" t="str">
        <f aca="false">IF(J628="S0","—",IF(K628="","",IF(L628="E0","QM",INDEX(10_ASIL_Matrix!$D$4:$F$15,MATCH(J628&amp;"-"&amp;L628,10_ASIL_Matrix!$C$4:$C$15,0),MATCH(N628,10_ASIL_Matrix!$D$3:$F$3,0)))))</f>
        <v>B</v>
      </c>
      <c r="Q628" s="5" t="s">
        <v>1537</v>
      </c>
    </row>
    <row r="629" customFormat="false" ht="35.05" hidden="false" customHeight="false" outlineLevel="0" collapsed="false">
      <c r="A629" s="6" t="s">
        <v>1636</v>
      </c>
      <c r="B629" s="6" t="s">
        <v>130</v>
      </c>
      <c r="C629" s="6" t="s">
        <v>131</v>
      </c>
      <c r="D629" s="6" t="s">
        <v>135</v>
      </c>
      <c r="E629" s="6" t="s">
        <v>136</v>
      </c>
      <c r="F629" s="6" t="s">
        <v>184</v>
      </c>
      <c r="G629" s="6" t="s">
        <v>323</v>
      </c>
      <c r="H629" s="6" t="s">
        <v>199</v>
      </c>
      <c r="I629" s="6" t="s">
        <v>1637</v>
      </c>
      <c r="J629" s="6" t="s">
        <v>218</v>
      </c>
      <c r="K629" s="6" t="s">
        <v>1638</v>
      </c>
      <c r="L629" s="6" t="s">
        <v>185</v>
      </c>
      <c r="M629" s="6" t="s">
        <v>1639</v>
      </c>
      <c r="N629" s="6" t="s">
        <v>261</v>
      </c>
      <c r="O629" s="6" t="s">
        <v>1640</v>
      </c>
      <c r="P629" s="6" t="str">
        <f aca="false">IF(J629="S0","—",IF(K629="","",IF(L629="E0","QM",INDEX(10_ASIL_Matrix!$D$4:$F$15,MATCH(J629&amp;"-"&amp;L629,10_ASIL_Matrix!$C$4:$C$15,0),MATCH(N629,10_ASIL_Matrix!$D$3:$F$3,0)))))</f>
        <v>QM</v>
      </c>
      <c r="Q629" s="6" t="s">
        <v>1641</v>
      </c>
    </row>
    <row r="630" customFormat="false" ht="35.05" hidden="false" customHeight="false" outlineLevel="0" collapsed="false">
      <c r="A630" s="5" t="s">
        <v>1642</v>
      </c>
      <c r="B630" s="5" t="s">
        <v>130</v>
      </c>
      <c r="C630" s="5" t="s">
        <v>131</v>
      </c>
      <c r="D630" s="5" t="s">
        <v>135</v>
      </c>
      <c r="E630" s="5" t="s">
        <v>136</v>
      </c>
      <c r="F630" s="5" t="s">
        <v>184</v>
      </c>
      <c r="G630" s="5" t="s">
        <v>323</v>
      </c>
      <c r="H630" s="5" t="s">
        <v>201</v>
      </c>
      <c r="I630" s="5" t="s">
        <v>1643</v>
      </c>
      <c r="J630" s="5" t="s">
        <v>218</v>
      </c>
      <c r="K630" s="5" t="s">
        <v>1638</v>
      </c>
      <c r="L630" s="5" t="s">
        <v>185</v>
      </c>
      <c r="M630" s="5" t="s">
        <v>1639</v>
      </c>
      <c r="N630" s="5" t="s">
        <v>261</v>
      </c>
      <c r="O630" s="5" t="s">
        <v>1640</v>
      </c>
      <c r="P630" s="5" t="str">
        <f aca="false">IF(J630="S0","—",IF(K630="","",IF(L630="E0","QM",INDEX(10_ASIL_Matrix!$D$4:$F$15,MATCH(J630&amp;"-"&amp;L630,10_ASIL_Matrix!$C$4:$C$15,0),MATCH(N630,10_ASIL_Matrix!$D$3:$F$3,0)))))</f>
        <v>QM</v>
      </c>
      <c r="Q630" s="5" t="s">
        <v>1641</v>
      </c>
    </row>
    <row r="631" customFormat="false" ht="35.05" hidden="false" customHeight="false" outlineLevel="0" collapsed="false">
      <c r="A631" s="6" t="s">
        <v>1644</v>
      </c>
      <c r="B631" s="6" t="s">
        <v>130</v>
      </c>
      <c r="C631" s="6" t="s">
        <v>131</v>
      </c>
      <c r="D631" s="6" t="s">
        <v>135</v>
      </c>
      <c r="E631" s="6" t="s">
        <v>136</v>
      </c>
      <c r="F631" s="6" t="s">
        <v>184</v>
      </c>
      <c r="G631" s="6" t="s">
        <v>323</v>
      </c>
      <c r="H631" s="6" t="s">
        <v>203</v>
      </c>
      <c r="I631" s="6" t="s">
        <v>1645</v>
      </c>
      <c r="J631" s="6" t="s">
        <v>218</v>
      </c>
      <c r="K631" s="6" t="s">
        <v>1638</v>
      </c>
      <c r="L631" s="6" t="s">
        <v>185</v>
      </c>
      <c r="M631" s="6" t="s">
        <v>1639</v>
      </c>
      <c r="N631" s="6" t="s">
        <v>261</v>
      </c>
      <c r="O631" s="6" t="s">
        <v>1640</v>
      </c>
      <c r="P631" s="6" t="str">
        <f aca="false">IF(J631="S0","—",IF(K631="","",IF(L631="E0","QM",INDEX(10_ASIL_Matrix!$D$4:$F$15,MATCH(J631&amp;"-"&amp;L631,10_ASIL_Matrix!$C$4:$C$15,0),MATCH(N631,10_ASIL_Matrix!$D$3:$F$3,0)))))</f>
        <v>QM</v>
      </c>
      <c r="Q631" s="6" t="s">
        <v>1641</v>
      </c>
    </row>
    <row r="632" customFormat="false" ht="35.05" hidden="false" customHeight="false" outlineLevel="0" collapsed="false">
      <c r="A632" s="5" t="s">
        <v>1646</v>
      </c>
      <c r="B632" s="5" t="s">
        <v>130</v>
      </c>
      <c r="C632" s="5" t="s">
        <v>131</v>
      </c>
      <c r="D632" s="5" t="s">
        <v>135</v>
      </c>
      <c r="E632" s="5" t="s">
        <v>136</v>
      </c>
      <c r="F632" s="5" t="s">
        <v>184</v>
      </c>
      <c r="G632" s="5" t="s">
        <v>323</v>
      </c>
      <c r="H632" s="5" t="s">
        <v>205</v>
      </c>
      <c r="I632" s="5" t="s">
        <v>1647</v>
      </c>
      <c r="J632" s="5" t="s">
        <v>218</v>
      </c>
      <c r="K632" s="5" t="s">
        <v>1638</v>
      </c>
      <c r="L632" s="5" t="s">
        <v>185</v>
      </c>
      <c r="M632" s="5" t="s">
        <v>1639</v>
      </c>
      <c r="N632" s="5" t="s">
        <v>261</v>
      </c>
      <c r="O632" s="5" t="s">
        <v>1640</v>
      </c>
      <c r="P632" s="5" t="str">
        <f aca="false">IF(J632="S0","—",IF(K632="","",IF(L632="E0","QM",INDEX(10_ASIL_Matrix!$D$4:$F$15,MATCH(J632&amp;"-"&amp;L632,10_ASIL_Matrix!$C$4:$C$15,0),MATCH(N632,10_ASIL_Matrix!$D$3:$F$3,0)))))</f>
        <v>QM</v>
      </c>
      <c r="Q632" s="5" t="s">
        <v>1641</v>
      </c>
    </row>
    <row r="633" customFormat="false" ht="35.05" hidden="false" customHeight="false" outlineLevel="0" collapsed="false">
      <c r="A633" s="6" t="s">
        <v>1648</v>
      </c>
      <c r="B633" s="6" t="s">
        <v>130</v>
      </c>
      <c r="C633" s="6" t="s">
        <v>131</v>
      </c>
      <c r="D633" s="6" t="s">
        <v>135</v>
      </c>
      <c r="E633" s="6" t="s">
        <v>136</v>
      </c>
      <c r="F633" s="6" t="s">
        <v>184</v>
      </c>
      <c r="G633" s="6" t="s">
        <v>323</v>
      </c>
      <c r="H633" s="6" t="s">
        <v>208</v>
      </c>
      <c r="I633" s="6" t="s">
        <v>1649</v>
      </c>
      <c r="J633" s="6" t="s">
        <v>218</v>
      </c>
      <c r="K633" s="6" t="s">
        <v>1638</v>
      </c>
      <c r="L633" s="6" t="s">
        <v>185</v>
      </c>
      <c r="M633" s="6" t="s">
        <v>1639</v>
      </c>
      <c r="N633" s="6" t="s">
        <v>261</v>
      </c>
      <c r="O633" s="6" t="s">
        <v>1640</v>
      </c>
      <c r="P633" s="6" t="str">
        <f aca="false">IF(J633="S0","—",IF(K633="","",IF(L633="E0","QM",INDEX(10_ASIL_Matrix!$D$4:$F$15,MATCH(J633&amp;"-"&amp;L633,10_ASIL_Matrix!$C$4:$C$15,0),MATCH(N633,10_ASIL_Matrix!$D$3:$F$3,0)))))</f>
        <v>QM</v>
      </c>
      <c r="Q633" s="6" t="s">
        <v>1641</v>
      </c>
    </row>
    <row r="634" customFormat="false" ht="35.05" hidden="false" customHeight="false" outlineLevel="0" collapsed="false">
      <c r="A634" s="5" t="s">
        <v>1650</v>
      </c>
      <c r="B634" s="5" t="s">
        <v>130</v>
      </c>
      <c r="C634" s="5" t="s">
        <v>131</v>
      </c>
      <c r="D634" s="5" t="s">
        <v>135</v>
      </c>
      <c r="E634" s="5" t="s">
        <v>136</v>
      </c>
      <c r="F634" s="5" t="s">
        <v>187</v>
      </c>
      <c r="G634" s="5" t="s">
        <v>342</v>
      </c>
      <c r="H634" s="5" t="s">
        <v>199</v>
      </c>
      <c r="I634" s="5" t="s">
        <v>1651</v>
      </c>
      <c r="J634" s="5" t="s">
        <v>218</v>
      </c>
      <c r="K634" s="5" t="s">
        <v>1638</v>
      </c>
      <c r="L634" s="5" t="s">
        <v>185</v>
      </c>
      <c r="M634" s="5" t="s">
        <v>1639</v>
      </c>
      <c r="N634" s="5" t="s">
        <v>261</v>
      </c>
      <c r="O634" s="5" t="s">
        <v>1640</v>
      </c>
      <c r="P634" s="5" t="str">
        <f aca="false">IF(J634="S0","—",IF(K634="","",IF(L634="E0","QM",INDEX(10_ASIL_Matrix!$D$4:$F$15,MATCH(J634&amp;"-"&amp;L634,10_ASIL_Matrix!$C$4:$C$15,0),MATCH(N634,10_ASIL_Matrix!$D$3:$F$3,0)))))</f>
        <v>QM</v>
      </c>
      <c r="Q634" s="5" t="s">
        <v>1641</v>
      </c>
    </row>
    <row r="635" customFormat="false" ht="35.05" hidden="false" customHeight="false" outlineLevel="0" collapsed="false">
      <c r="A635" s="6" t="s">
        <v>1652</v>
      </c>
      <c r="B635" s="6" t="s">
        <v>130</v>
      </c>
      <c r="C635" s="6" t="s">
        <v>131</v>
      </c>
      <c r="D635" s="6" t="s">
        <v>135</v>
      </c>
      <c r="E635" s="6" t="s">
        <v>136</v>
      </c>
      <c r="F635" s="6" t="s">
        <v>187</v>
      </c>
      <c r="G635" s="6" t="s">
        <v>342</v>
      </c>
      <c r="H635" s="6" t="s">
        <v>201</v>
      </c>
      <c r="I635" s="6" t="s">
        <v>1653</v>
      </c>
      <c r="J635" s="6" t="s">
        <v>218</v>
      </c>
      <c r="K635" s="6" t="s">
        <v>1638</v>
      </c>
      <c r="L635" s="6" t="s">
        <v>185</v>
      </c>
      <c r="M635" s="6" t="s">
        <v>1639</v>
      </c>
      <c r="N635" s="6" t="s">
        <v>261</v>
      </c>
      <c r="O635" s="6" t="s">
        <v>1640</v>
      </c>
      <c r="P635" s="6" t="str">
        <f aca="false">IF(J635="S0","—",IF(K635="","",IF(L635="E0","QM",INDEX(10_ASIL_Matrix!$D$4:$F$15,MATCH(J635&amp;"-"&amp;L635,10_ASIL_Matrix!$C$4:$C$15,0),MATCH(N635,10_ASIL_Matrix!$D$3:$F$3,0)))))</f>
        <v>QM</v>
      </c>
      <c r="Q635" s="6" t="s">
        <v>1641</v>
      </c>
    </row>
    <row r="636" customFormat="false" ht="35.05" hidden="false" customHeight="false" outlineLevel="0" collapsed="false">
      <c r="A636" s="5" t="s">
        <v>1654</v>
      </c>
      <c r="B636" s="5" t="s">
        <v>130</v>
      </c>
      <c r="C636" s="5" t="s">
        <v>131</v>
      </c>
      <c r="D636" s="5" t="s">
        <v>135</v>
      </c>
      <c r="E636" s="5" t="s">
        <v>136</v>
      </c>
      <c r="F636" s="5" t="s">
        <v>187</v>
      </c>
      <c r="G636" s="5" t="s">
        <v>342</v>
      </c>
      <c r="H636" s="5" t="s">
        <v>203</v>
      </c>
      <c r="I636" s="5" t="s">
        <v>1655</v>
      </c>
      <c r="J636" s="5" t="s">
        <v>218</v>
      </c>
      <c r="K636" s="5" t="s">
        <v>1638</v>
      </c>
      <c r="L636" s="5" t="s">
        <v>185</v>
      </c>
      <c r="M636" s="5" t="s">
        <v>1639</v>
      </c>
      <c r="N636" s="5" t="s">
        <v>261</v>
      </c>
      <c r="O636" s="5" t="s">
        <v>1640</v>
      </c>
      <c r="P636" s="5" t="str">
        <f aca="false">IF(J636="S0","—",IF(K636="","",IF(L636="E0","QM",INDEX(10_ASIL_Matrix!$D$4:$F$15,MATCH(J636&amp;"-"&amp;L636,10_ASIL_Matrix!$C$4:$C$15,0),MATCH(N636,10_ASIL_Matrix!$D$3:$F$3,0)))))</f>
        <v>QM</v>
      </c>
      <c r="Q636" s="5" t="s">
        <v>1641</v>
      </c>
    </row>
    <row r="637" customFormat="false" ht="35.05" hidden="false" customHeight="false" outlineLevel="0" collapsed="false">
      <c r="A637" s="6" t="s">
        <v>1656</v>
      </c>
      <c r="B637" s="6" t="s">
        <v>130</v>
      </c>
      <c r="C637" s="6" t="s">
        <v>131</v>
      </c>
      <c r="D637" s="6" t="s">
        <v>135</v>
      </c>
      <c r="E637" s="6" t="s">
        <v>136</v>
      </c>
      <c r="F637" s="6" t="s">
        <v>187</v>
      </c>
      <c r="G637" s="6" t="s">
        <v>342</v>
      </c>
      <c r="H637" s="6" t="s">
        <v>205</v>
      </c>
      <c r="I637" s="6" t="s">
        <v>1657</v>
      </c>
      <c r="J637" s="6" t="s">
        <v>218</v>
      </c>
      <c r="K637" s="6" t="s">
        <v>1638</v>
      </c>
      <c r="L637" s="6" t="s">
        <v>185</v>
      </c>
      <c r="M637" s="6" t="s">
        <v>1639</v>
      </c>
      <c r="N637" s="6" t="s">
        <v>261</v>
      </c>
      <c r="O637" s="6" t="s">
        <v>1640</v>
      </c>
      <c r="P637" s="6" t="str">
        <f aca="false">IF(J637="S0","—",IF(K637="","",IF(L637="E0","QM",INDEX(10_ASIL_Matrix!$D$4:$F$15,MATCH(J637&amp;"-"&amp;L637,10_ASIL_Matrix!$C$4:$C$15,0),MATCH(N637,10_ASIL_Matrix!$D$3:$F$3,0)))))</f>
        <v>QM</v>
      </c>
      <c r="Q637" s="6" t="s">
        <v>1641</v>
      </c>
    </row>
    <row r="638" customFormat="false" ht="35.05" hidden="false" customHeight="false" outlineLevel="0" collapsed="false">
      <c r="A638" s="5" t="s">
        <v>1658</v>
      </c>
      <c r="B638" s="5" t="s">
        <v>130</v>
      </c>
      <c r="C638" s="5" t="s">
        <v>131</v>
      </c>
      <c r="D638" s="5" t="s">
        <v>135</v>
      </c>
      <c r="E638" s="5" t="s">
        <v>136</v>
      </c>
      <c r="F638" s="5" t="s">
        <v>187</v>
      </c>
      <c r="G638" s="5" t="s">
        <v>342</v>
      </c>
      <c r="H638" s="5" t="s">
        <v>208</v>
      </c>
      <c r="I638" s="5" t="s">
        <v>1659</v>
      </c>
      <c r="J638" s="5" t="s">
        <v>218</v>
      </c>
      <c r="K638" s="5" t="s">
        <v>1638</v>
      </c>
      <c r="L638" s="5" t="s">
        <v>185</v>
      </c>
      <c r="M638" s="5" t="s">
        <v>1639</v>
      </c>
      <c r="N638" s="5" t="s">
        <v>261</v>
      </c>
      <c r="O638" s="5" t="s">
        <v>1640</v>
      </c>
      <c r="P638" s="5" t="str">
        <f aca="false">IF(J638="S0","—",IF(K638="","",IF(L638="E0","QM",INDEX(10_ASIL_Matrix!$D$4:$F$15,MATCH(J638&amp;"-"&amp;L638,10_ASIL_Matrix!$C$4:$C$15,0),MATCH(N638,10_ASIL_Matrix!$D$3:$F$3,0)))))</f>
        <v>QM</v>
      </c>
      <c r="Q638" s="5" t="s">
        <v>1641</v>
      </c>
    </row>
    <row r="639" customFormat="false" ht="35.05" hidden="false" customHeight="false" outlineLevel="0" collapsed="false">
      <c r="A639" s="6" t="s">
        <v>1660</v>
      </c>
      <c r="B639" s="6" t="s">
        <v>130</v>
      </c>
      <c r="C639" s="6" t="s">
        <v>131</v>
      </c>
      <c r="D639" s="6" t="s">
        <v>135</v>
      </c>
      <c r="E639" s="6" t="s">
        <v>136</v>
      </c>
      <c r="F639" s="6" t="s">
        <v>190</v>
      </c>
      <c r="G639" s="6" t="s">
        <v>360</v>
      </c>
      <c r="H639" s="6" t="s">
        <v>199</v>
      </c>
      <c r="I639" s="6" t="s">
        <v>1661</v>
      </c>
      <c r="J639" s="6" t="s">
        <v>222</v>
      </c>
      <c r="K639" s="6" t="s">
        <v>1638</v>
      </c>
      <c r="L639" s="6" t="s">
        <v>185</v>
      </c>
      <c r="M639" s="6" t="s">
        <v>1639</v>
      </c>
      <c r="N639" s="6" t="s">
        <v>261</v>
      </c>
      <c r="O639" s="6" t="s">
        <v>1640</v>
      </c>
      <c r="P639" s="16" t="str">
        <f aca="false">IF(J639="S0","—",IF(K639="","",IF(L639="E0","QM",INDEX(10_ASIL_Matrix!$D$4:$F$15,MATCH(J639&amp;"-"&amp;L639,10_ASIL_Matrix!$C$4:$C$15,0),MATCH(N639,10_ASIL_Matrix!$D$3:$F$3,0)))))</f>
        <v>A</v>
      </c>
      <c r="Q639" s="6" t="s">
        <v>1641</v>
      </c>
    </row>
    <row r="640" customFormat="false" ht="35.05" hidden="false" customHeight="false" outlineLevel="0" collapsed="false">
      <c r="A640" s="5" t="s">
        <v>1662</v>
      </c>
      <c r="B640" s="5" t="s">
        <v>130</v>
      </c>
      <c r="C640" s="5" t="s">
        <v>131</v>
      </c>
      <c r="D640" s="5" t="s">
        <v>135</v>
      </c>
      <c r="E640" s="5" t="s">
        <v>136</v>
      </c>
      <c r="F640" s="5" t="s">
        <v>190</v>
      </c>
      <c r="G640" s="5" t="s">
        <v>360</v>
      </c>
      <c r="H640" s="5" t="s">
        <v>201</v>
      </c>
      <c r="I640" s="5" t="s">
        <v>1663</v>
      </c>
      <c r="J640" s="5" t="s">
        <v>222</v>
      </c>
      <c r="K640" s="5" t="s">
        <v>1638</v>
      </c>
      <c r="L640" s="5" t="s">
        <v>185</v>
      </c>
      <c r="M640" s="5" t="s">
        <v>1639</v>
      </c>
      <c r="N640" s="5" t="s">
        <v>261</v>
      </c>
      <c r="O640" s="5" t="s">
        <v>1640</v>
      </c>
      <c r="P640" s="16" t="str">
        <f aca="false">IF(J640="S0","—",IF(K640="","",IF(L640="E0","QM",INDEX(10_ASIL_Matrix!$D$4:$F$15,MATCH(J640&amp;"-"&amp;L640,10_ASIL_Matrix!$C$4:$C$15,0),MATCH(N640,10_ASIL_Matrix!$D$3:$F$3,0)))))</f>
        <v>A</v>
      </c>
      <c r="Q640" s="5" t="s">
        <v>1641</v>
      </c>
    </row>
    <row r="641" customFormat="false" ht="35.05" hidden="false" customHeight="false" outlineLevel="0" collapsed="false">
      <c r="A641" s="6" t="s">
        <v>1664</v>
      </c>
      <c r="B641" s="6" t="s">
        <v>130</v>
      </c>
      <c r="C641" s="6" t="s">
        <v>131</v>
      </c>
      <c r="D641" s="6" t="s">
        <v>135</v>
      </c>
      <c r="E641" s="6" t="s">
        <v>136</v>
      </c>
      <c r="F641" s="6" t="s">
        <v>190</v>
      </c>
      <c r="G641" s="6" t="s">
        <v>360</v>
      </c>
      <c r="H641" s="6" t="s">
        <v>203</v>
      </c>
      <c r="I641" s="6" t="s">
        <v>1665</v>
      </c>
      <c r="J641" s="6" t="s">
        <v>222</v>
      </c>
      <c r="K641" s="6" t="s">
        <v>1638</v>
      </c>
      <c r="L641" s="6" t="s">
        <v>185</v>
      </c>
      <c r="M641" s="6" t="s">
        <v>1639</v>
      </c>
      <c r="N641" s="6" t="s">
        <v>261</v>
      </c>
      <c r="O641" s="6" t="s">
        <v>1640</v>
      </c>
      <c r="P641" s="16" t="str">
        <f aca="false">IF(J641="S0","—",IF(K641="","",IF(L641="E0","QM",INDEX(10_ASIL_Matrix!$D$4:$F$15,MATCH(J641&amp;"-"&amp;L641,10_ASIL_Matrix!$C$4:$C$15,0),MATCH(N641,10_ASIL_Matrix!$D$3:$F$3,0)))))</f>
        <v>A</v>
      </c>
      <c r="Q641" s="6" t="s">
        <v>1641</v>
      </c>
    </row>
    <row r="642" customFormat="false" ht="35.05" hidden="false" customHeight="false" outlineLevel="0" collapsed="false">
      <c r="A642" s="5" t="s">
        <v>1666</v>
      </c>
      <c r="B642" s="5" t="s">
        <v>130</v>
      </c>
      <c r="C642" s="5" t="s">
        <v>131</v>
      </c>
      <c r="D642" s="5" t="s">
        <v>135</v>
      </c>
      <c r="E642" s="5" t="s">
        <v>136</v>
      </c>
      <c r="F642" s="5" t="s">
        <v>190</v>
      </c>
      <c r="G642" s="5" t="s">
        <v>360</v>
      </c>
      <c r="H642" s="5" t="s">
        <v>205</v>
      </c>
      <c r="I642" s="5" t="s">
        <v>1667</v>
      </c>
      <c r="J642" s="5" t="s">
        <v>222</v>
      </c>
      <c r="K642" s="5" t="s">
        <v>1638</v>
      </c>
      <c r="L642" s="5" t="s">
        <v>185</v>
      </c>
      <c r="M642" s="5" t="s">
        <v>1639</v>
      </c>
      <c r="N642" s="5" t="s">
        <v>261</v>
      </c>
      <c r="O642" s="5" t="s">
        <v>1640</v>
      </c>
      <c r="P642" s="16" t="str">
        <f aca="false">IF(J642="S0","—",IF(K642="","",IF(L642="E0","QM",INDEX(10_ASIL_Matrix!$D$4:$F$15,MATCH(J642&amp;"-"&amp;L642,10_ASIL_Matrix!$C$4:$C$15,0),MATCH(N642,10_ASIL_Matrix!$D$3:$F$3,0)))))</f>
        <v>A</v>
      </c>
      <c r="Q642" s="5" t="s">
        <v>1641</v>
      </c>
    </row>
    <row r="643" customFormat="false" ht="35.05" hidden="false" customHeight="false" outlineLevel="0" collapsed="false">
      <c r="A643" s="6" t="s">
        <v>1668</v>
      </c>
      <c r="B643" s="6" t="s">
        <v>130</v>
      </c>
      <c r="C643" s="6" t="s">
        <v>131</v>
      </c>
      <c r="D643" s="6" t="s">
        <v>135</v>
      </c>
      <c r="E643" s="6" t="s">
        <v>136</v>
      </c>
      <c r="F643" s="6" t="s">
        <v>190</v>
      </c>
      <c r="G643" s="6" t="s">
        <v>360</v>
      </c>
      <c r="H643" s="6" t="s">
        <v>208</v>
      </c>
      <c r="I643" s="6" t="s">
        <v>1669</v>
      </c>
      <c r="J643" s="6" t="s">
        <v>222</v>
      </c>
      <c r="K643" s="6" t="s">
        <v>1638</v>
      </c>
      <c r="L643" s="6" t="s">
        <v>185</v>
      </c>
      <c r="M643" s="6" t="s">
        <v>1639</v>
      </c>
      <c r="N643" s="6" t="s">
        <v>261</v>
      </c>
      <c r="O643" s="6" t="s">
        <v>1640</v>
      </c>
      <c r="P643" s="16" t="str">
        <f aca="false">IF(J643="S0","—",IF(K643="","",IF(L643="E0","QM",INDEX(10_ASIL_Matrix!$D$4:$F$15,MATCH(J643&amp;"-"&amp;L643,10_ASIL_Matrix!$C$4:$C$15,0),MATCH(N643,10_ASIL_Matrix!$D$3:$F$3,0)))))</f>
        <v>A</v>
      </c>
      <c r="Q643" s="6" t="s">
        <v>1641</v>
      </c>
    </row>
    <row r="644" customFormat="false" ht="35.05" hidden="false" customHeight="false" outlineLevel="0" collapsed="false">
      <c r="A644" s="5" t="s">
        <v>1670</v>
      </c>
      <c r="B644" s="5" t="s">
        <v>130</v>
      </c>
      <c r="C644" s="5" t="s">
        <v>131</v>
      </c>
      <c r="D644" s="5" t="s">
        <v>135</v>
      </c>
      <c r="E644" s="5" t="s">
        <v>136</v>
      </c>
      <c r="F644" s="5" t="s">
        <v>192</v>
      </c>
      <c r="G644" s="5" t="s">
        <v>378</v>
      </c>
      <c r="H644" s="5" t="s">
        <v>199</v>
      </c>
      <c r="I644" s="5" t="s">
        <v>1671</v>
      </c>
      <c r="J644" s="5" t="s">
        <v>222</v>
      </c>
      <c r="K644" s="5" t="s">
        <v>1638</v>
      </c>
      <c r="L644" s="5" t="s">
        <v>185</v>
      </c>
      <c r="M644" s="5" t="s">
        <v>1639</v>
      </c>
      <c r="N644" s="5" t="s">
        <v>261</v>
      </c>
      <c r="O644" s="5" t="s">
        <v>1640</v>
      </c>
      <c r="P644" s="16" t="str">
        <f aca="false">IF(J644="S0","—",IF(K644="","",IF(L644="E0","QM",INDEX(10_ASIL_Matrix!$D$4:$F$15,MATCH(J644&amp;"-"&amp;L644,10_ASIL_Matrix!$C$4:$C$15,0),MATCH(N644,10_ASIL_Matrix!$D$3:$F$3,0)))))</f>
        <v>A</v>
      </c>
      <c r="Q644" s="5" t="s">
        <v>1641</v>
      </c>
    </row>
    <row r="645" customFormat="false" ht="35.05" hidden="false" customHeight="false" outlineLevel="0" collapsed="false">
      <c r="A645" s="6" t="s">
        <v>1672</v>
      </c>
      <c r="B645" s="6" t="s">
        <v>130</v>
      </c>
      <c r="C645" s="6" t="s">
        <v>131</v>
      </c>
      <c r="D645" s="6" t="s">
        <v>135</v>
      </c>
      <c r="E645" s="6" t="s">
        <v>136</v>
      </c>
      <c r="F645" s="6" t="s">
        <v>192</v>
      </c>
      <c r="G645" s="6" t="s">
        <v>378</v>
      </c>
      <c r="H645" s="6" t="s">
        <v>201</v>
      </c>
      <c r="I645" s="6" t="s">
        <v>1673</v>
      </c>
      <c r="J645" s="6" t="s">
        <v>222</v>
      </c>
      <c r="K645" s="6" t="s">
        <v>1638</v>
      </c>
      <c r="L645" s="6" t="s">
        <v>185</v>
      </c>
      <c r="M645" s="6" t="s">
        <v>1639</v>
      </c>
      <c r="N645" s="6" t="s">
        <v>261</v>
      </c>
      <c r="O645" s="6" t="s">
        <v>1640</v>
      </c>
      <c r="P645" s="16" t="str">
        <f aca="false">IF(J645="S0","—",IF(K645="","",IF(L645="E0","QM",INDEX(10_ASIL_Matrix!$D$4:$F$15,MATCH(J645&amp;"-"&amp;L645,10_ASIL_Matrix!$C$4:$C$15,0),MATCH(N645,10_ASIL_Matrix!$D$3:$F$3,0)))))</f>
        <v>A</v>
      </c>
      <c r="Q645" s="6" t="s">
        <v>1641</v>
      </c>
    </row>
    <row r="646" customFormat="false" ht="35.05" hidden="false" customHeight="false" outlineLevel="0" collapsed="false">
      <c r="A646" s="5" t="s">
        <v>1674</v>
      </c>
      <c r="B646" s="5" t="s">
        <v>130</v>
      </c>
      <c r="C646" s="5" t="s">
        <v>131</v>
      </c>
      <c r="D646" s="5" t="s">
        <v>135</v>
      </c>
      <c r="E646" s="5" t="s">
        <v>136</v>
      </c>
      <c r="F646" s="5" t="s">
        <v>192</v>
      </c>
      <c r="G646" s="5" t="s">
        <v>378</v>
      </c>
      <c r="H646" s="5" t="s">
        <v>203</v>
      </c>
      <c r="I646" s="5" t="s">
        <v>1675</v>
      </c>
      <c r="J646" s="5" t="s">
        <v>222</v>
      </c>
      <c r="K646" s="5" t="s">
        <v>1638</v>
      </c>
      <c r="L646" s="5" t="s">
        <v>185</v>
      </c>
      <c r="M646" s="5" t="s">
        <v>1639</v>
      </c>
      <c r="N646" s="5" t="s">
        <v>261</v>
      </c>
      <c r="O646" s="5" t="s">
        <v>1640</v>
      </c>
      <c r="P646" s="16" t="str">
        <f aca="false">IF(J646="S0","—",IF(K646="","",IF(L646="E0","QM",INDEX(10_ASIL_Matrix!$D$4:$F$15,MATCH(J646&amp;"-"&amp;L646,10_ASIL_Matrix!$C$4:$C$15,0),MATCH(N646,10_ASIL_Matrix!$D$3:$F$3,0)))))</f>
        <v>A</v>
      </c>
      <c r="Q646" s="5" t="s">
        <v>1641</v>
      </c>
    </row>
    <row r="647" customFormat="false" ht="35.05" hidden="false" customHeight="false" outlineLevel="0" collapsed="false">
      <c r="A647" s="6" t="s">
        <v>1676</v>
      </c>
      <c r="B647" s="6" t="s">
        <v>130</v>
      </c>
      <c r="C647" s="6" t="s">
        <v>131</v>
      </c>
      <c r="D647" s="6" t="s">
        <v>135</v>
      </c>
      <c r="E647" s="6" t="s">
        <v>136</v>
      </c>
      <c r="F647" s="6" t="s">
        <v>192</v>
      </c>
      <c r="G647" s="6" t="s">
        <v>378</v>
      </c>
      <c r="H647" s="6" t="s">
        <v>205</v>
      </c>
      <c r="I647" s="6" t="s">
        <v>1677</v>
      </c>
      <c r="J647" s="6" t="s">
        <v>222</v>
      </c>
      <c r="K647" s="6" t="s">
        <v>1638</v>
      </c>
      <c r="L647" s="6" t="s">
        <v>185</v>
      </c>
      <c r="M647" s="6" t="s">
        <v>1639</v>
      </c>
      <c r="N647" s="6" t="s">
        <v>261</v>
      </c>
      <c r="O647" s="6" t="s">
        <v>1640</v>
      </c>
      <c r="P647" s="16" t="str">
        <f aca="false">IF(J647="S0","—",IF(K647="","",IF(L647="E0","QM",INDEX(10_ASIL_Matrix!$D$4:$F$15,MATCH(J647&amp;"-"&amp;L647,10_ASIL_Matrix!$C$4:$C$15,0),MATCH(N647,10_ASIL_Matrix!$D$3:$F$3,0)))))</f>
        <v>A</v>
      </c>
      <c r="Q647" s="6" t="s">
        <v>1641</v>
      </c>
    </row>
    <row r="648" customFormat="false" ht="35.05" hidden="false" customHeight="false" outlineLevel="0" collapsed="false">
      <c r="A648" s="5" t="s">
        <v>1678</v>
      </c>
      <c r="B648" s="5" t="s">
        <v>130</v>
      </c>
      <c r="C648" s="5" t="s">
        <v>131</v>
      </c>
      <c r="D648" s="5" t="s">
        <v>135</v>
      </c>
      <c r="E648" s="5" t="s">
        <v>136</v>
      </c>
      <c r="F648" s="5" t="s">
        <v>192</v>
      </c>
      <c r="G648" s="5" t="s">
        <v>378</v>
      </c>
      <c r="H648" s="5" t="s">
        <v>208</v>
      </c>
      <c r="I648" s="5" t="s">
        <v>1679</v>
      </c>
      <c r="J648" s="5" t="s">
        <v>222</v>
      </c>
      <c r="K648" s="5" t="s">
        <v>1638</v>
      </c>
      <c r="L648" s="5" t="s">
        <v>185</v>
      </c>
      <c r="M648" s="5" t="s">
        <v>1639</v>
      </c>
      <c r="N648" s="5" t="s">
        <v>261</v>
      </c>
      <c r="O648" s="5" t="s">
        <v>1640</v>
      </c>
      <c r="P648" s="16" t="str">
        <f aca="false">IF(J648="S0","—",IF(K648="","",IF(L648="E0","QM",INDEX(10_ASIL_Matrix!$D$4:$F$15,MATCH(J648&amp;"-"&amp;L648,10_ASIL_Matrix!$C$4:$C$15,0),MATCH(N648,10_ASIL_Matrix!$D$3:$F$3,0)))))</f>
        <v>A</v>
      </c>
      <c r="Q648" s="5" t="s">
        <v>1641</v>
      </c>
    </row>
    <row r="649" customFormat="false" ht="35.05" hidden="false" customHeight="false" outlineLevel="0" collapsed="false">
      <c r="A649" s="6" t="s">
        <v>1680</v>
      </c>
      <c r="B649" s="6" t="s">
        <v>130</v>
      </c>
      <c r="C649" s="6" t="s">
        <v>131</v>
      </c>
      <c r="D649" s="6" t="s">
        <v>135</v>
      </c>
      <c r="E649" s="6" t="s">
        <v>136</v>
      </c>
      <c r="F649" s="6" t="s">
        <v>194</v>
      </c>
      <c r="G649" s="6" t="s">
        <v>396</v>
      </c>
      <c r="H649" s="6" t="s">
        <v>199</v>
      </c>
      <c r="I649" s="6" t="s">
        <v>1681</v>
      </c>
      <c r="J649" s="6" t="s">
        <v>226</v>
      </c>
      <c r="K649" s="6" t="s">
        <v>1638</v>
      </c>
      <c r="L649" s="6" t="s">
        <v>185</v>
      </c>
      <c r="M649" s="6" t="s">
        <v>1639</v>
      </c>
      <c r="N649" s="6" t="s">
        <v>261</v>
      </c>
      <c r="O649" s="6" t="s">
        <v>1640</v>
      </c>
      <c r="P649" s="15" t="str">
        <f aca="false">IF(J649="S0","—",IF(K649="","",IF(L649="E0","QM",INDEX(10_ASIL_Matrix!$D$4:$F$15,MATCH(J649&amp;"-"&amp;L649,10_ASIL_Matrix!$C$4:$C$15,0),MATCH(N649,10_ASIL_Matrix!$D$3:$F$3,0)))))</f>
        <v>B</v>
      </c>
      <c r="Q649" s="6" t="s">
        <v>1641</v>
      </c>
    </row>
    <row r="650" customFormat="false" ht="35.05" hidden="false" customHeight="false" outlineLevel="0" collapsed="false">
      <c r="A650" s="5" t="s">
        <v>1682</v>
      </c>
      <c r="B650" s="5" t="s">
        <v>130</v>
      </c>
      <c r="C650" s="5" t="s">
        <v>131</v>
      </c>
      <c r="D650" s="5" t="s">
        <v>135</v>
      </c>
      <c r="E650" s="5" t="s">
        <v>136</v>
      </c>
      <c r="F650" s="5" t="s">
        <v>194</v>
      </c>
      <c r="G650" s="5" t="s">
        <v>396</v>
      </c>
      <c r="H650" s="5" t="s">
        <v>201</v>
      </c>
      <c r="I650" s="5" t="s">
        <v>1683</v>
      </c>
      <c r="J650" s="5" t="s">
        <v>226</v>
      </c>
      <c r="K650" s="5" t="s">
        <v>1638</v>
      </c>
      <c r="L650" s="5" t="s">
        <v>185</v>
      </c>
      <c r="M650" s="5" t="s">
        <v>1639</v>
      </c>
      <c r="N650" s="5" t="s">
        <v>261</v>
      </c>
      <c r="O650" s="5" t="s">
        <v>1640</v>
      </c>
      <c r="P650" s="15" t="str">
        <f aca="false">IF(J650="S0","—",IF(K650="","",IF(L650="E0","QM",INDEX(10_ASIL_Matrix!$D$4:$F$15,MATCH(J650&amp;"-"&amp;L650,10_ASIL_Matrix!$C$4:$C$15,0),MATCH(N650,10_ASIL_Matrix!$D$3:$F$3,0)))))</f>
        <v>B</v>
      </c>
      <c r="Q650" s="5" t="s">
        <v>1641</v>
      </c>
    </row>
    <row r="651" customFormat="false" ht="35.05" hidden="false" customHeight="false" outlineLevel="0" collapsed="false">
      <c r="A651" s="6" t="s">
        <v>1684</v>
      </c>
      <c r="B651" s="6" t="s">
        <v>130</v>
      </c>
      <c r="C651" s="6" t="s">
        <v>131</v>
      </c>
      <c r="D651" s="6" t="s">
        <v>135</v>
      </c>
      <c r="E651" s="6" t="s">
        <v>136</v>
      </c>
      <c r="F651" s="6" t="s">
        <v>194</v>
      </c>
      <c r="G651" s="6" t="s">
        <v>396</v>
      </c>
      <c r="H651" s="6" t="s">
        <v>203</v>
      </c>
      <c r="I651" s="6" t="s">
        <v>1685</v>
      </c>
      <c r="J651" s="6" t="s">
        <v>226</v>
      </c>
      <c r="K651" s="6" t="s">
        <v>1638</v>
      </c>
      <c r="L651" s="6" t="s">
        <v>185</v>
      </c>
      <c r="M651" s="6" t="s">
        <v>1639</v>
      </c>
      <c r="N651" s="6" t="s">
        <v>261</v>
      </c>
      <c r="O651" s="6" t="s">
        <v>1640</v>
      </c>
      <c r="P651" s="15" t="str">
        <f aca="false">IF(J651="S0","—",IF(K651="","",IF(L651="E0","QM",INDEX(10_ASIL_Matrix!$D$4:$F$15,MATCH(J651&amp;"-"&amp;L651,10_ASIL_Matrix!$C$4:$C$15,0),MATCH(N651,10_ASIL_Matrix!$D$3:$F$3,0)))))</f>
        <v>B</v>
      </c>
      <c r="Q651" s="6" t="s">
        <v>1641</v>
      </c>
    </row>
    <row r="652" customFormat="false" ht="35.05" hidden="false" customHeight="false" outlineLevel="0" collapsed="false">
      <c r="A652" s="5" t="s">
        <v>1686</v>
      </c>
      <c r="B652" s="5" t="s">
        <v>130</v>
      </c>
      <c r="C652" s="5" t="s">
        <v>131</v>
      </c>
      <c r="D652" s="5" t="s">
        <v>135</v>
      </c>
      <c r="E652" s="5" t="s">
        <v>136</v>
      </c>
      <c r="F652" s="5" t="s">
        <v>194</v>
      </c>
      <c r="G652" s="5" t="s">
        <v>396</v>
      </c>
      <c r="H652" s="5" t="s">
        <v>205</v>
      </c>
      <c r="I652" s="5" t="s">
        <v>1687</v>
      </c>
      <c r="J652" s="5" t="s">
        <v>226</v>
      </c>
      <c r="K652" s="5" t="s">
        <v>1638</v>
      </c>
      <c r="L652" s="5" t="s">
        <v>185</v>
      </c>
      <c r="M652" s="5" t="s">
        <v>1639</v>
      </c>
      <c r="N652" s="5" t="s">
        <v>261</v>
      </c>
      <c r="O652" s="5" t="s">
        <v>1640</v>
      </c>
      <c r="P652" s="15" t="str">
        <f aca="false">IF(J652="S0","—",IF(K652="","",IF(L652="E0","QM",INDEX(10_ASIL_Matrix!$D$4:$F$15,MATCH(J652&amp;"-"&amp;L652,10_ASIL_Matrix!$C$4:$C$15,0),MATCH(N652,10_ASIL_Matrix!$D$3:$F$3,0)))))</f>
        <v>B</v>
      </c>
      <c r="Q652" s="5" t="s">
        <v>1641</v>
      </c>
    </row>
    <row r="653" customFormat="false" ht="35.05" hidden="false" customHeight="false" outlineLevel="0" collapsed="false">
      <c r="A653" s="6" t="s">
        <v>1688</v>
      </c>
      <c r="B653" s="6" t="s">
        <v>130</v>
      </c>
      <c r="C653" s="6" t="s">
        <v>131</v>
      </c>
      <c r="D653" s="6" t="s">
        <v>135</v>
      </c>
      <c r="E653" s="6" t="s">
        <v>136</v>
      </c>
      <c r="F653" s="6" t="s">
        <v>194</v>
      </c>
      <c r="G653" s="6" t="s">
        <v>396</v>
      </c>
      <c r="H653" s="6" t="s">
        <v>208</v>
      </c>
      <c r="I653" s="6" t="s">
        <v>1689</v>
      </c>
      <c r="J653" s="6" t="s">
        <v>226</v>
      </c>
      <c r="K653" s="6" t="s">
        <v>1638</v>
      </c>
      <c r="L653" s="6" t="s">
        <v>185</v>
      </c>
      <c r="M653" s="6" t="s">
        <v>1639</v>
      </c>
      <c r="N653" s="6" t="s">
        <v>261</v>
      </c>
      <c r="O653" s="6" t="s">
        <v>1640</v>
      </c>
      <c r="P653" s="15" t="str">
        <f aca="false">IF(J653="S0","—",IF(K653="","",IF(L653="E0","QM",INDEX(10_ASIL_Matrix!$D$4:$F$15,MATCH(J653&amp;"-"&amp;L653,10_ASIL_Matrix!$C$4:$C$15,0),MATCH(N653,10_ASIL_Matrix!$D$3:$F$3,0)))))</f>
        <v>B</v>
      </c>
      <c r="Q653" s="6" t="s">
        <v>1641</v>
      </c>
    </row>
    <row r="654" customFormat="false" ht="35.05" hidden="false" customHeight="false" outlineLevel="0" collapsed="false">
      <c r="A654" s="5" t="s">
        <v>1690</v>
      </c>
      <c r="B654" s="5" t="s">
        <v>130</v>
      </c>
      <c r="C654" s="5" t="s">
        <v>131</v>
      </c>
      <c r="D654" s="5" t="s">
        <v>141</v>
      </c>
      <c r="E654" s="5" t="s">
        <v>142</v>
      </c>
      <c r="F654" s="5" t="s">
        <v>184</v>
      </c>
      <c r="G654" s="5" t="s">
        <v>323</v>
      </c>
      <c r="H654" s="5" t="s">
        <v>199</v>
      </c>
      <c r="I654" s="5" t="s">
        <v>1691</v>
      </c>
      <c r="J654" s="5" t="s">
        <v>218</v>
      </c>
      <c r="K654" s="5" t="s">
        <v>1638</v>
      </c>
      <c r="L654" s="5" t="s">
        <v>185</v>
      </c>
      <c r="M654" s="5" t="s">
        <v>1639</v>
      </c>
      <c r="N654" s="5" t="s">
        <v>261</v>
      </c>
      <c r="O654" s="5" t="s">
        <v>1640</v>
      </c>
      <c r="P654" s="5" t="str">
        <f aca="false">IF(J654="S0","—",IF(K654="","",IF(L654="E0","QM",INDEX(10_ASIL_Matrix!$D$4:$F$15,MATCH(J654&amp;"-"&amp;L654,10_ASIL_Matrix!$C$4:$C$15,0),MATCH(N654,10_ASIL_Matrix!$D$3:$F$3,0)))))</f>
        <v>QM</v>
      </c>
      <c r="Q654" s="5" t="s">
        <v>1641</v>
      </c>
    </row>
    <row r="655" customFormat="false" ht="35.05" hidden="false" customHeight="false" outlineLevel="0" collapsed="false">
      <c r="A655" s="6" t="s">
        <v>1692</v>
      </c>
      <c r="B655" s="6" t="s">
        <v>130</v>
      </c>
      <c r="C655" s="6" t="s">
        <v>131</v>
      </c>
      <c r="D655" s="6" t="s">
        <v>141</v>
      </c>
      <c r="E655" s="6" t="s">
        <v>142</v>
      </c>
      <c r="F655" s="6" t="s">
        <v>184</v>
      </c>
      <c r="G655" s="6" t="s">
        <v>323</v>
      </c>
      <c r="H655" s="6" t="s">
        <v>201</v>
      </c>
      <c r="I655" s="6" t="s">
        <v>1693</v>
      </c>
      <c r="J655" s="6" t="s">
        <v>218</v>
      </c>
      <c r="K655" s="6" t="s">
        <v>1638</v>
      </c>
      <c r="L655" s="6" t="s">
        <v>185</v>
      </c>
      <c r="M655" s="6" t="s">
        <v>1639</v>
      </c>
      <c r="N655" s="6" t="s">
        <v>261</v>
      </c>
      <c r="O655" s="6" t="s">
        <v>1640</v>
      </c>
      <c r="P655" s="6" t="str">
        <f aca="false">IF(J655="S0","—",IF(K655="","",IF(L655="E0","QM",INDEX(10_ASIL_Matrix!$D$4:$F$15,MATCH(J655&amp;"-"&amp;L655,10_ASIL_Matrix!$C$4:$C$15,0),MATCH(N655,10_ASIL_Matrix!$D$3:$F$3,0)))))</f>
        <v>QM</v>
      </c>
      <c r="Q655" s="6" t="s">
        <v>1641</v>
      </c>
    </row>
    <row r="656" customFormat="false" ht="35.05" hidden="false" customHeight="false" outlineLevel="0" collapsed="false">
      <c r="A656" s="5" t="s">
        <v>1694</v>
      </c>
      <c r="B656" s="5" t="s">
        <v>130</v>
      </c>
      <c r="C656" s="5" t="s">
        <v>131</v>
      </c>
      <c r="D656" s="5" t="s">
        <v>141</v>
      </c>
      <c r="E656" s="5" t="s">
        <v>142</v>
      </c>
      <c r="F656" s="5" t="s">
        <v>184</v>
      </c>
      <c r="G656" s="5" t="s">
        <v>323</v>
      </c>
      <c r="H656" s="5" t="s">
        <v>203</v>
      </c>
      <c r="I656" s="5" t="s">
        <v>1695</v>
      </c>
      <c r="J656" s="5" t="s">
        <v>218</v>
      </c>
      <c r="K656" s="5" t="s">
        <v>1638</v>
      </c>
      <c r="L656" s="5" t="s">
        <v>185</v>
      </c>
      <c r="M656" s="5" t="s">
        <v>1639</v>
      </c>
      <c r="N656" s="5" t="s">
        <v>261</v>
      </c>
      <c r="O656" s="5" t="s">
        <v>1640</v>
      </c>
      <c r="P656" s="5" t="str">
        <f aca="false">IF(J656="S0","—",IF(K656="","",IF(L656="E0","QM",INDEX(10_ASIL_Matrix!$D$4:$F$15,MATCH(J656&amp;"-"&amp;L656,10_ASIL_Matrix!$C$4:$C$15,0),MATCH(N656,10_ASIL_Matrix!$D$3:$F$3,0)))))</f>
        <v>QM</v>
      </c>
      <c r="Q656" s="5" t="s">
        <v>1641</v>
      </c>
    </row>
    <row r="657" customFormat="false" ht="35.05" hidden="false" customHeight="false" outlineLevel="0" collapsed="false">
      <c r="A657" s="6" t="s">
        <v>1696</v>
      </c>
      <c r="B657" s="6" t="s">
        <v>130</v>
      </c>
      <c r="C657" s="6" t="s">
        <v>131</v>
      </c>
      <c r="D657" s="6" t="s">
        <v>141</v>
      </c>
      <c r="E657" s="6" t="s">
        <v>142</v>
      </c>
      <c r="F657" s="6" t="s">
        <v>184</v>
      </c>
      <c r="G657" s="6" t="s">
        <v>323</v>
      </c>
      <c r="H657" s="6" t="s">
        <v>205</v>
      </c>
      <c r="I657" s="6" t="s">
        <v>1697</v>
      </c>
      <c r="J657" s="6" t="s">
        <v>218</v>
      </c>
      <c r="K657" s="6" t="s">
        <v>1638</v>
      </c>
      <c r="L657" s="6" t="s">
        <v>185</v>
      </c>
      <c r="M657" s="6" t="s">
        <v>1639</v>
      </c>
      <c r="N657" s="6" t="s">
        <v>261</v>
      </c>
      <c r="O657" s="6" t="s">
        <v>1640</v>
      </c>
      <c r="P657" s="6" t="str">
        <f aca="false">IF(J657="S0","—",IF(K657="","",IF(L657="E0","QM",INDEX(10_ASIL_Matrix!$D$4:$F$15,MATCH(J657&amp;"-"&amp;L657,10_ASIL_Matrix!$C$4:$C$15,0),MATCH(N657,10_ASIL_Matrix!$D$3:$F$3,0)))))</f>
        <v>QM</v>
      </c>
      <c r="Q657" s="6" t="s">
        <v>1641</v>
      </c>
    </row>
    <row r="658" customFormat="false" ht="35.05" hidden="false" customHeight="false" outlineLevel="0" collapsed="false">
      <c r="A658" s="5" t="s">
        <v>1698</v>
      </c>
      <c r="B658" s="5" t="s">
        <v>130</v>
      </c>
      <c r="C658" s="5" t="s">
        <v>131</v>
      </c>
      <c r="D658" s="5" t="s">
        <v>141</v>
      </c>
      <c r="E658" s="5" t="s">
        <v>142</v>
      </c>
      <c r="F658" s="5" t="s">
        <v>184</v>
      </c>
      <c r="G658" s="5" t="s">
        <v>323</v>
      </c>
      <c r="H658" s="5" t="s">
        <v>208</v>
      </c>
      <c r="I658" s="5" t="s">
        <v>1699</v>
      </c>
      <c r="J658" s="5" t="s">
        <v>218</v>
      </c>
      <c r="K658" s="5" t="s">
        <v>1638</v>
      </c>
      <c r="L658" s="5" t="s">
        <v>185</v>
      </c>
      <c r="M658" s="5" t="s">
        <v>1639</v>
      </c>
      <c r="N658" s="5" t="s">
        <v>261</v>
      </c>
      <c r="O658" s="5" t="s">
        <v>1640</v>
      </c>
      <c r="P658" s="5" t="str">
        <f aca="false">IF(J658="S0","—",IF(K658="","",IF(L658="E0","QM",INDEX(10_ASIL_Matrix!$D$4:$F$15,MATCH(J658&amp;"-"&amp;L658,10_ASIL_Matrix!$C$4:$C$15,0),MATCH(N658,10_ASIL_Matrix!$D$3:$F$3,0)))))</f>
        <v>QM</v>
      </c>
      <c r="Q658" s="5" t="s">
        <v>1641</v>
      </c>
    </row>
    <row r="659" customFormat="false" ht="35.05" hidden="false" customHeight="false" outlineLevel="0" collapsed="false">
      <c r="A659" s="6" t="s">
        <v>1700</v>
      </c>
      <c r="B659" s="6" t="s">
        <v>130</v>
      </c>
      <c r="C659" s="6" t="s">
        <v>131</v>
      </c>
      <c r="D659" s="6" t="s">
        <v>141</v>
      </c>
      <c r="E659" s="6" t="s">
        <v>142</v>
      </c>
      <c r="F659" s="6" t="s">
        <v>187</v>
      </c>
      <c r="G659" s="6" t="s">
        <v>342</v>
      </c>
      <c r="H659" s="6" t="s">
        <v>199</v>
      </c>
      <c r="I659" s="6" t="s">
        <v>1701</v>
      </c>
      <c r="J659" s="6" t="s">
        <v>218</v>
      </c>
      <c r="K659" s="6" t="s">
        <v>1638</v>
      </c>
      <c r="L659" s="6" t="s">
        <v>185</v>
      </c>
      <c r="M659" s="6" t="s">
        <v>1639</v>
      </c>
      <c r="N659" s="6" t="s">
        <v>261</v>
      </c>
      <c r="O659" s="6" t="s">
        <v>1640</v>
      </c>
      <c r="P659" s="6" t="str">
        <f aca="false">IF(J659="S0","—",IF(K659="","",IF(L659="E0","QM",INDEX(10_ASIL_Matrix!$D$4:$F$15,MATCH(J659&amp;"-"&amp;L659,10_ASIL_Matrix!$C$4:$C$15,0),MATCH(N659,10_ASIL_Matrix!$D$3:$F$3,0)))))</f>
        <v>QM</v>
      </c>
      <c r="Q659" s="6" t="s">
        <v>1641</v>
      </c>
    </row>
    <row r="660" customFormat="false" ht="35.05" hidden="false" customHeight="false" outlineLevel="0" collapsed="false">
      <c r="A660" s="5" t="s">
        <v>1702</v>
      </c>
      <c r="B660" s="5" t="s">
        <v>130</v>
      </c>
      <c r="C660" s="5" t="s">
        <v>131</v>
      </c>
      <c r="D660" s="5" t="s">
        <v>141</v>
      </c>
      <c r="E660" s="5" t="s">
        <v>142</v>
      </c>
      <c r="F660" s="5" t="s">
        <v>187</v>
      </c>
      <c r="G660" s="5" t="s">
        <v>342</v>
      </c>
      <c r="H660" s="5" t="s">
        <v>201</v>
      </c>
      <c r="I660" s="5" t="s">
        <v>1703</v>
      </c>
      <c r="J660" s="5" t="s">
        <v>218</v>
      </c>
      <c r="K660" s="5" t="s">
        <v>1638</v>
      </c>
      <c r="L660" s="5" t="s">
        <v>185</v>
      </c>
      <c r="M660" s="5" t="s">
        <v>1639</v>
      </c>
      <c r="N660" s="5" t="s">
        <v>261</v>
      </c>
      <c r="O660" s="5" t="s">
        <v>1640</v>
      </c>
      <c r="P660" s="5" t="str">
        <f aca="false">IF(J660="S0","—",IF(K660="","",IF(L660="E0","QM",INDEX(10_ASIL_Matrix!$D$4:$F$15,MATCH(J660&amp;"-"&amp;L660,10_ASIL_Matrix!$C$4:$C$15,0),MATCH(N660,10_ASIL_Matrix!$D$3:$F$3,0)))))</f>
        <v>QM</v>
      </c>
      <c r="Q660" s="5" t="s">
        <v>1641</v>
      </c>
    </row>
    <row r="661" customFormat="false" ht="35.05" hidden="false" customHeight="false" outlineLevel="0" collapsed="false">
      <c r="A661" s="6" t="s">
        <v>1704</v>
      </c>
      <c r="B661" s="6" t="s">
        <v>130</v>
      </c>
      <c r="C661" s="6" t="s">
        <v>131</v>
      </c>
      <c r="D661" s="6" t="s">
        <v>141</v>
      </c>
      <c r="E661" s="6" t="s">
        <v>142</v>
      </c>
      <c r="F661" s="6" t="s">
        <v>187</v>
      </c>
      <c r="G661" s="6" t="s">
        <v>342</v>
      </c>
      <c r="H661" s="6" t="s">
        <v>203</v>
      </c>
      <c r="I661" s="6" t="s">
        <v>1705</v>
      </c>
      <c r="J661" s="6" t="s">
        <v>218</v>
      </c>
      <c r="K661" s="6" t="s">
        <v>1638</v>
      </c>
      <c r="L661" s="6" t="s">
        <v>185</v>
      </c>
      <c r="M661" s="6" t="s">
        <v>1639</v>
      </c>
      <c r="N661" s="6" t="s">
        <v>261</v>
      </c>
      <c r="O661" s="6" t="s">
        <v>1640</v>
      </c>
      <c r="P661" s="6" t="str">
        <f aca="false">IF(J661="S0","—",IF(K661="","",IF(L661="E0","QM",INDEX(10_ASIL_Matrix!$D$4:$F$15,MATCH(J661&amp;"-"&amp;L661,10_ASIL_Matrix!$C$4:$C$15,0),MATCH(N661,10_ASIL_Matrix!$D$3:$F$3,0)))))</f>
        <v>QM</v>
      </c>
      <c r="Q661" s="6" t="s">
        <v>1641</v>
      </c>
    </row>
    <row r="662" customFormat="false" ht="35.05" hidden="false" customHeight="false" outlineLevel="0" collapsed="false">
      <c r="A662" s="5" t="s">
        <v>1706</v>
      </c>
      <c r="B662" s="5" t="s">
        <v>130</v>
      </c>
      <c r="C662" s="5" t="s">
        <v>131</v>
      </c>
      <c r="D662" s="5" t="s">
        <v>141</v>
      </c>
      <c r="E662" s="5" t="s">
        <v>142</v>
      </c>
      <c r="F662" s="5" t="s">
        <v>187</v>
      </c>
      <c r="G662" s="5" t="s">
        <v>342</v>
      </c>
      <c r="H662" s="5" t="s">
        <v>205</v>
      </c>
      <c r="I662" s="5" t="s">
        <v>1707</v>
      </c>
      <c r="J662" s="5" t="s">
        <v>218</v>
      </c>
      <c r="K662" s="5" t="s">
        <v>1638</v>
      </c>
      <c r="L662" s="5" t="s">
        <v>185</v>
      </c>
      <c r="M662" s="5" t="s">
        <v>1639</v>
      </c>
      <c r="N662" s="5" t="s">
        <v>261</v>
      </c>
      <c r="O662" s="5" t="s">
        <v>1640</v>
      </c>
      <c r="P662" s="5" t="str">
        <f aca="false">IF(J662="S0","—",IF(K662="","",IF(L662="E0","QM",INDEX(10_ASIL_Matrix!$D$4:$F$15,MATCH(J662&amp;"-"&amp;L662,10_ASIL_Matrix!$C$4:$C$15,0),MATCH(N662,10_ASIL_Matrix!$D$3:$F$3,0)))))</f>
        <v>QM</v>
      </c>
      <c r="Q662" s="5" t="s">
        <v>1641</v>
      </c>
    </row>
    <row r="663" customFormat="false" ht="35.05" hidden="false" customHeight="false" outlineLevel="0" collapsed="false">
      <c r="A663" s="6" t="s">
        <v>1708</v>
      </c>
      <c r="B663" s="6" t="s">
        <v>130</v>
      </c>
      <c r="C663" s="6" t="s">
        <v>131</v>
      </c>
      <c r="D663" s="6" t="s">
        <v>141</v>
      </c>
      <c r="E663" s="6" t="s">
        <v>142</v>
      </c>
      <c r="F663" s="6" t="s">
        <v>187</v>
      </c>
      <c r="G663" s="6" t="s">
        <v>342</v>
      </c>
      <c r="H663" s="6" t="s">
        <v>208</v>
      </c>
      <c r="I663" s="6" t="s">
        <v>1709</v>
      </c>
      <c r="J663" s="6" t="s">
        <v>218</v>
      </c>
      <c r="K663" s="6" t="s">
        <v>1638</v>
      </c>
      <c r="L663" s="6" t="s">
        <v>185</v>
      </c>
      <c r="M663" s="6" t="s">
        <v>1639</v>
      </c>
      <c r="N663" s="6" t="s">
        <v>261</v>
      </c>
      <c r="O663" s="6" t="s">
        <v>1640</v>
      </c>
      <c r="P663" s="6" t="str">
        <f aca="false">IF(J663="S0","—",IF(K663="","",IF(L663="E0","QM",INDEX(10_ASIL_Matrix!$D$4:$F$15,MATCH(J663&amp;"-"&amp;L663,10_ASIL_Matrix!$C$4:$C$15,0),MATCH(N663,10_ASIL_Matrix!$D$3:$F$3,0)))))</f>
        <v>QM</v>
      </c>
      <c r="Q663" s="6" t="s">
        <v>1641</v>
      </c>
    </row>
    <row r="664" customFormat="false" ht="35.05" hidden="false" customHeight="false" outlineLevel="0" collapsed="false">
      <c r="A664" s="5" t="s">
        <v>1710</v>
      </c>
      <c r="B664" s="5" t="s">
        <v>130</v>
      </c>
      <c r="C664" s="5" t="s">
        <v>131</v>
      </c>
      <c r="D664" s="5" t="s">
        <v>141</v>
      </c>
      <c r="E664" s="5" t="s">
        <v>142</v>
      </c>
      <c r="F664" s="5" t="s">
        <v>190</v>
      </c>
      <c r="G664" s="5" t="s">
        <v>360</v>
      </c>
      <c r="H664" s="5" t="s">
        <v>199</v>
      </c>
      <c r="I664" s="5" t="s">
        <v>1711</v>
      </c>
      <c r="J664" s="5" t="s">
        <v>222</v>
      </c>
      <c r="K664" s="5" t="s">
        <v>1638</v>
      </c>
      <c r="L664" s="5" t="s">
        <v>185</v>
      </c>
      <c r="M664" s="5" t="s">
        <v>1639</v>
      </c>
      <c r="N664" s="5" t="s">
        <v>261</v>
      </c>
      <c r="O664" s="5" t="s">
        <v>1640</v>
      </c>
      <c r="P664" s="16" t="str">
        <f aca="false">IF(J664="S0","—",IF(K664="","",IF(L664="E0","QM",INDEX(10_ASIL_Matrix!$D$4:$F$15,MATCH(J664&amp;"-"&amp;L664,10_ASIL_Matrix!$C$4:$C$15,0),MATCH(N664,10_ASIL_Matrix!$D$3:$F$3,0)))))</f>
        <v>A</v>
      </c>
      <c r="Q664" s="5" t="s">
        <v>1641</v>
      </c>
    </row>
    <row r="665" customFormat="false" ht="35.05" hidden="false" customHeight="false" outlineLevel="0" collapsed="false">
      <c r="A665" s="6" t="s">
        <v>1712</v>
      </c>
      <c r="B665" s="6" t="s">
        <v>130</v>
      </c>
      <c r="C665" s="6" t="s">
        <v>131</v>
      </c>
      <c r="D665" s="6" t="s">
        <v>141</v>
      </c>
      <c r="E665" s="6" t="s">
        <v>142</v>
      </c>
      <c r="F665" s="6" t="s">
        <v>190</v>
      </c>
      <c r="G665" s="6" t="s">
        <v>360</v>
      </c>
      <c r="H665" s="6" t="s">
        <v>201</v>
      </c>
      <c r="I665" s="6" t="s">
        <v>1713</v>
      </c>
      <c r="J665" s="6" t="s">
        <v>222</v>
      </c>
      <c r="K665" s="6" t="s">
        <v>1638</v>
      </c>
      <c r="L665" s="6" t="s">
        <v>185</v>
      </c>
      <c r="M665" s="6" t="s">
        <v>1639</v>
      </c>
      <c r="N665" s="6" t="s">
        <v>261</v>
      </c>
      <c r="O665" s="6" t="s">
        <v>1640</v>
      </c>
      <c r="P665" s="16" t="str">
        <f aca="false">IF(J665="S0","—",IF(K665="","",IF(L665="E0","QM",INDEX(10_ASIL_Matrix!$D$4:$F$15,MATCH(J665&amp;"-"&amp;L665,10_ASIL_Matrix!$C$4:$C$15,0),MATCH(N665,10_ASIL_Matrix!$D$3:$F$3,0)))))</f>
        <v>A</v>
      </c>
      <c r="Q665" s="6" t="s">
        <v>1641</v>
      </c>
    </row>
    <row r="666" customFormat="false" ht="35.05" hidden="false" customHeight="false" outlineLevel="0" collapsed="false">
      <c r="A666" s="5" t="s">
        <v>1714</v>
      </c>
      <c r="B666" s="5" t="s">
        <v>130</v>
      </c>
      <c r="C666" s="5" t="s">
        <v>131</v>
      </c>
      <c r="D666" s="5" t="s">
        <v>141</v>
      </c>
      <c r="E666" s="5" t="s">
        <v>142</v>
      </c>
      <c r="F666" s="5" t="s">
        <v>190</v>
      </c>
      <c r="G666" s="5" t="s">
        <v>360</v>
      </c>
      <c r="H666" s="5" t="s">
        <v>203</v>
      </c>
      <c r="I666" s="5" t="s">
        <v>1715</v>
      </c>
      <c r="J666" s="5" t="s">
        <v>222</v>
      </c>
      <c r="K666" s="5" t="s">
        <v>1638</v>
      </c>
      <c r="L666" s="5" t="s">
        <v>185</v>
      </c>
      <c r="M666" s="5" t="s">
        <v>1639</v>
      </c>
      <c r="N666" s="5" t="s">
        <v>261</v>
      </c>
      <c r="O666" s="5" t="s">
        <v>1640</v>
      </c>
      <c r="P666" s="16" t="str">
        <f aca="false">IF(J666="S0","—",IF(K666="","",IF(L666="E0","QM",INDEX(10_ASIL_Matrix!$D$4:$F$15,MATCH(J666&amp;"-"&amp;L666,10_ASIL_Matrix!$C$4:$C$15,0),MATCH(N666,10_ASIL_Matrix!$D$3:$F$3,0)))))</f>
        <v>A</v>
      </c>
      <c r="Q666" s="5" t="s">
        <v>1641</v>
      </c>
    </row>
    <row r="667" customFormat="false" ht="35.05" hidden="false" customHeight="false" outlineLevel="0" collapsed="false">
      <c r="A667" s="6" t="s">
        <v>1716</v>
      </c>
      <c r="B667" s="6" t="s">
        <v>130</v>
      </c>
      <c r="C667" s="6" t="s">
        <v>131</v>
      </c>
      <c r="D667" s="6" t="s">
        <v>141</v>
      </c>
      <c r="E667" s="6" t="s">
        <v>142</v>
      </c>
      <c r="F667" s="6" t="s">
        <v>190</v>
      </c>
      <c r="G667" s="6" t="s">
        <v>360</v>
      </c>
      <c r="H667" s="6" t="s">
        <v>205</v>
      </c>
      <c r="I667" s="6" t="s">
        <v>1717</v>
      </c>
      <c r="J667" s="6" t="s">
        <v>222</v>
      </c>
      <c r="K667" s="6" t="s">
        <v>1638</v>
      </c>
      <c r="L667" s="6" t="s">
        <v>185</v>
      </c>
      <c r="M667" s="6" t="s">
        <v>1639</v>
      </c>
      <c r="N667" s="6" t="s">
        <v>261</v>
      </c>
      <c r="O667" s="6" t="s">
        <v>1640</v>
      </c>
      <c r="P667" s="16" t="str">
        <f aca="false">IF(J667="S0","—",IF(K667="","",IF(L667="E0","QM",INDEX(10_ASIL_Matrix!$D$4:$F$15,MATCH(J667&amp;"-"&amp;L667,10_ASIL_Matrix!$C$4:$C$15,0),MATCH(N667,10_ASIL_Matrix!$D$3:$F$3,0)))))</f>
        <v>A</v>
      </c>
      <c r="Q667" s="6" t="s">
        <v>1641</v>
      </c>
    </row>
    <row r="668" customFormat="false" ht="35.05" hidden="false" customHeight="false" outlineLevel="0" collapsed="false">
      <c r="A668" s="5" t="s">
        <v>1718</v>
      </c>
      <c r="B668" s="5" t="s">
        <v>130</v>
      </c>
      <c r="C668" s="5" t="s">
        <v>131</v>
      </c>
      <c r="D668" s="5" t="s">
        <v>141</v>
      </c>
      <c r="E668" s="5" t="s">
        <v>142</v>
      </c>
      <c r="F668" s="5" t="s">
        <v>190</v>
      </c>
      <c r="G668" s="5" t="s">
        <v>360</v>
      </c>
      <c r="H668" s="5" t="s">
        <v>208</v>
      </c>
      <c r="I668" s="5" t="s">
        <v>1719</v>
      </c>
      <c r="J668" s="5" t="s">
        <v>222</v>
      </c>
      <c r="K668" s="5" t="s">
        <v>1638</v>
      </c>
      <c r="L668" s="5" t="s">
        <v>185</v>
      </c>
      <c r="M668" s="5" t="s">
        <v>1639</v>
      </c>
      <c r="N668" s="5" t="s">
        <v>261</v>
      </c>
      <c r="O668" s="5" t="s">
        <v>1640</v>
      </c>
      <c r="P668" s="16" t="str">
        <f aca="false">IF(J668="S0","—",IF(K668="","",IF(L668="E0","QM",INDEX(10_ASIL_Matrix!$D$4:$F$15,MATCH(J668&amp;"-"&amp;L668,10_ASIL_Matrix!$C$4:$C$15,0),MATCH(N668,10_ASIL_Matrix!$D$3:$F$3,0)))))</f>
        <v>A</v>
      </c>
      <c r="Q668" s="5" t="s">
        <v>1641</v>
      </c>
    </row>
    <row r="669" customFormat="false" ht="35.05" hidden="false" customHeight="false" outlineLevel="0" collapsed="false">
      <c r="A669" s="6" t="s">
        <v>1720</v>
      </c>
      <c r="B669" s="6" t="s">
        <v>130</v>
      </c>
      <c r="C669" s="6" t="s">
        <v>131</v>
      </c>
      <c r="D669" s="6" t="s">
        <v>141</v>
      </c>
      <c r="E669" s="6" t="s">
        <v>142</v>
      </c>
      <c r="F669" s="6" t="s">
        <v>192</v>
      </c>
      <c r="G669" s="6" t="s">
        <v>378</v>
      </c>
      <c r="H669" s="6" t="s">
        <v>199</v>
      </c>
      <c r="I669" s="6" t="s">
        <v>1721</v>
      </c>
      <c r="J669" s="6" t="s">
        <v>222</v>
      </c>
      <c r="K669" s="6" t="s">
        <v>1638</v>
      </c>
      <c r="L669" s="6" t="s">
        <v>185</v>
      </c>
      <c r="M669" s="6" t="s">
        <v>1639</v>
      </c>
      <c r="N669" s="6" t="s">
        <v>261</v>
      </c>
      <c r="O669" s="6" t="s">
        <v>1640</v>
      </c>
      <c r="P669" s="16" t="str">
        <f aca="false">IF(J669="S0","—",IF(K669="","",IF(L669="E0","QM",INDEX(10_ASIL_Matrix!$D$4:$F$15,MATCH(J669&amp;"-"&amp;L669,10_ASIL_Matrix!$C$4:$C$15,0),MATCH(N669,10_ASIL_Matrix!$D$3:$F$3,0)))))</f>
        <v>A</v>
      </c>
      <c r="Q669" s="6" t="s">
        <v>1641</v>
      </c>
    </row>
    <row r="670" customFormat="false" ht="35.05" hidden="false" customHeight="false" outlineLevel="0" collapsed="false">
      <c r="A670" s="5" t="s">
        <v>1722</v>
      </c>
      <c r="B670" s="5" t="s">
        <v>130</v>
      </c>
      <c r="C670" s="5" t="s">
        <v>131</v>
      </c>
      <c r="D670" s="5" t="s">
        <v>141</v>
      </c>
      <c r="E670" s="5" t="s">
        <v>142</v>
      </c>
      <c r="F670" s="5" t="s">
        <v>192</v>
      </c>
      <c r="G670" s="5" t="s">
        <v>378</v>
      </c>
      <c r="H670" s="5" t="s">
        <v>201</v>
      </c>
      <c r="I670" s="5" t="s">
        <v>1723</v>
      </c>
      <c r="J670" s="5" t="s">
        <v>222</v>
      </c>
      <c r="K670" s="5" t="s">
        <v>1638</v>
      </c>
      <c r="L670" s="5" t="s">
        <v>185</v>
      </c>
      <c r="M670" s="5" t="s">
        <v>1639</v>
      </c>
      <c r="N670" s="5" t="s">
        <v>261</v>
      </c>
      <c r="O670" s="5" t="s">
        <v>1640</v>
      </c>
      <c r="P670" s="16" t="str">
        <f aca="false">IF(J670="S0","—",IF(K670="","",IF(L670="E0","QM",INDEX(10_ASIL_Matrix!$D$4:$F$15,MATCH(J670&amp;"-"&amp;L670,10_ASIL_Matrix!$C$4:$C$15,0),MATCH(N670,10_ASIL_Matrix!$D$3:$F$3,0)))))</f>
        <v>A</v>
      </c>
      <c r="Q670" s="5" t="s">
        <v>1641</v>
      </c>
    </row>
    <row r="671" customFormat="false" ht="35.05" hidden="false" customHeight="false" outlineLevel="0" collapsed="false">
      <c r="A671" s="6" t="s">
        <v>1724</v>
      </c>
      <c r="B671" s="6" t="s">
        <v>130</v>
      </c>
      <c r="C671" s="6" t="s">
        <v>131</v>
      </c>
      <c r="D671" s="6" t="s">
        <v>141</v>
      </c>
      <c r="E671" s="6" t="s">
        <v>142</v>
      </c>
      <c r="F671" s="6" t="s">
        <v>192</v>
      </c>
      <c r="G671" s="6" t="s">
        <v>378</v>
      </c>
      <c r="H671" s="6" t="s">
        <v>203</v>
      </c>
      <c r="I671" s="6" t="s">
        <v>1725</v>
      </c>
      <c r="J671" s="6" t="s">
        <v>222</v>
      </c>
      <c r="K671" s="6" t="s">
        <v>1638</v>
      </c>
      <c r="L671" s="6" t="s">
        <v>185</v>
      </c>
      <c r="M671" s="6" t="s">
        <v>1639</v>
      </c>
      <c r="N671" s="6" t="s">
        <v>261</v>
      </c>
      <c r="O671" s="6" t="s">
        <v>1640</v>
      </c>
      <c r="P671" s="16" t="str">
        <f aca="false">IF(J671="S0","—",IF(K671="","",IF(L671="E0","QM",INDEX(10_ASIL_Matrix!$D$4:$F$15,MATCH(J671&amp;"-"&amp;L671,10_ASIL_Matrix!$C$4:$C$15,0),MATCH(N671,10_ASIL_Matrix!$D$3:$F$3,0)))))</f>
        <v>A</v>
      </c>
      <c r="Q671" s="6" t="s">
        <v>1641</v>
      </c>
    </row>
    <row r="672" customFormat="false" ht="35.05" hidden="false" customHeight="false" outlineLevel="0" collapsed="false">
      <c r="A672" s="5" t="s">
        <v>1726</v>
      </c>
      <c r="B672" s="5" t="s">
        <v>130</v>
      </c>
      <c r="C672" s="5" t="s">
        <v>131</v>
      </c>
      <c r="D672" s="5" t="s">
        <v>141</v>
      </c>
      <c r="E672" s="5" t="s">
        <v>142</v>
      </c>
      <c r="F672" s="5" t="s">
        <v>192</v>
      </c>
      <c r="G672" s="5" t="s">
        <v>378</v>
      </c>
      <c r="H672" s="5" t="s">
        <v>205</v>
      </c>
      <c r="I672" s="5" t="s">
        <v>1727</v>
      </c>
      <c r="J672" s="5" t="s">
        <v>222</v>
      </c>
      <c r="K672" s="5" t="s">
        <v>1638</v>
      </c>
      <c r="L672" s="5" t="s">
        <v>185</v>
      </c>
      <c r="M672" s="5" t="s">
        <v>1639</v>
      </c>
      <c r="N672" s="5" t="s">
        <v>261</v>
      </c>
      <c r="O672" s="5" t="s">
        <v>1640</v>
      </c>
      <c r="P672" s="16" t="str">
        <f aca="false">IF(J672="S0","—",IF(K672="","",IF(L672="E0","QM",INDEX(10_ASIL_Matrix!$D$4:$F$15,MATCH(J672&amp;"-"&amp;L672,10_ASIL_Matrix!$C$4:$C$15,0),MATCH(N672,10_ASIL_Matrix!$D$3:$F$3,0)))))</f>
        <v>A</v>
      </c>
      <c r="Q672" s="5" t="s">
        <v>1641</v>
      </c>
    </row>
    <row r="673" customFormat="false" ht="35.05" hidden="false" customHeight="false" outlineLevel="0" collapsed="false">
      <c r="A673" s="6" t="s">
        <v>1728</v>
      </c>
      <c r="B673" s="6" t="s">
        <v>130</v>
      </c>
      <c r="C673" s="6" t="s">
        <v>131</v>
      </c>
      <c r="D673" s="6" t="s">
        <v>141</v>
      </c>
      <c r="E673" s="6" t="s">
        <v>142</v>
      </c>
      <c r="F673" s="6" t="s">
        <v>192</v>
      </c>
      <c r="G673" s="6" t="s">
        <v>378</v>
      </c>
      <c r="H673" s="6" t="s">
        <v>208</v>
      </c>
      <c r="I673" s="6" t="s">
        <v>1729</v>
      </c>
      <c r="J673" s="6" t="s">
        <v>222</v>
      </c>
      <c r="K673" s="6" t="s">
        <v>1638</v>
      </c>
      <c r="L673" s="6" t="s">
        <v>185</v>
      </c>
      <c r="M673" s="6" t="s">
        <v>1639</v>
      </c>
      <c r="N673" s="6" t="s">
        <v>261</v>
      </c>
      <c r="O673" s="6" t="s">
        <v>1640</v>
      </c>
      <c r="P673" s="16" t="str">
        <f aca="false">IF(J673="S0","—",IF(K673="","",IF(L673="E0","QM",INDEX(10_ASIL_Matrix!$D$4:$F$15,MATCH(J673&amp;"-"&amp;L673,10_ASIL_Matrix!$C$4:$C$15,0),MATCH(N673,10_ASIL_Matrix!$D$3:$F$3,0)))))</f>
        <v>A</v>
      </c>
      <c r="Q673" s="6" t="s">
        <v>1641</v>
      </c>
    </row>
    <row r="674" customFormat="false" ht="35.05" hidden="false" customHeight="false" outlineLevel="0" collapsed="false">
      <c r="A674" s="5" t="s">
        <v>1730</v>
      </c>
      <c r="B674" s="5" t="s">
        <v>130</v>
      </c>
      <c r="C674" s="5" t="s">
        <v>131</v>
      </c>
      <c r="D674" s="5" t="s">
        <v>141</v>
      </c>
      <c r="E674" s="5" t="s">
        <v>142</v>
      </c>
      <c r="F674" s="5" t="s">
        <v>194</v>
      </c>
      <c r="G674" s="5" t="s">
        <v>396</v>
      </c>
      <c r="H674" s="5" t="s">
        <v>199</v>
      </c>
      <c r="I674" s="5" t="s">
        <v>1731</v>
      </c>
      <c r="J674" s="5" t="s">
        <v>226</v>
      </c>
      <c r="K674" s="5" t="s">
        <v>1638</v>
      </c>
      <c r="L674" s="5" t="s">
        <v>185</v>
      </c>
      <c r="M674" s="5" t="s">
        <v>1639</v>
      </c>
      <c r="N674" s="5" t="s">
        <v>261</v>
      </c>
      <c r="O674" s="5" t="s">
        <v>1640</v>
      </c>
      <c r="P674" s="15" t="str">
        <f aca="false">IF(J674="S0","—",IF(K674="","",IF(L674="E0","QM",INDEX(10_ASIL_Matrix!$D$4:$F$15,MATCH(J674&amp;"-"&amp;L674,10_ASIL_Matrix!$C$4:$C$15,0),MATCH(N674,10_ASIL_Matrix!$D$3:$F$3,0)))))</f>
        <v>B</v>
      </c>
      <c r="Q674" s="5" t="s">
        <v>1641</v>
      </c>
    </row>
    <row r="675" customFormat="false" ht="35.05" hidden="false" customHeight="false" outlineLevel="0" collapsed="false">
      <c r="A675" s="6" t="s">
        <v>1732</v>
      </c>
      <c r="B675" s="6" t="s">
        <v>130</v>
      </c>
      <c r="C675" s="6" t="s">
        <v>131</v>
      </c>
      <c r="D675" s="6" t="s">
        <v>141</v>
      </c>
      <c r="E675" s="6" t="s">
        <v>142</v>
      </c>
      <c r="F675" s="6" t="s">
        <v>194</v>
      </c>
      <c r="G675" s="6" t="s">
        <v>396</v>
      </c>
      <c r="H675" s="6" t="s">
        <v>201</v>
      </c>
      <c r="I675" s="6" t="s">
        <v>1733</v>
      </c>
      <c r="J675" s="6" t="s">
        <v>226</v>
      </c>
      <c r="K675" s="6" t="s">
        <v>1638</v>
      </c>
      <c r="L675" s="6" t="s">
        <v>185</v>
      </c>
      <c r="M675" s="6" t="s">
        <v>1639</v>
      </c>
      <c r="N675" s="6" t="s">
        <v>261</v>
      </c>
      <c r="O675" s="6" t="s">
        <v>1640</v>
      </c>
      <c r="P675" s="15" t="str">
        <f aca="false">IF(J675="S0","—",IF(K675="","",IF(L675="E0","QM",INDEX(10_ASIL_Matrix!$D$4:$F$15,MATCH(J675&amp;"-"&amp;L675,10_ASIL_Matrix!$C$4:$C$15,0),MATCH(N675,10_ASIL_Matrix!$D$3:$F$3,0)))))</f>
        <v>B</v>
      </c>
      <c r="Q675" s="6" t="s">
        <v>1641</v>
      </c>
    </row>
    <row r="676" customFormat="false" ht="35.05" hidden="false" customHeight="false" outlineLevel="0" collapsed="false">
      <c r="A676" s="5" t="s">
        <v>1734</v>
      </c>
      <c r="B676" s="5" t="s">
        <v>130</v>
      </c>
      <c r="C676" s="5" t="s">
        <v>131</v>
      </c>
      <c r="D676" s="5" t="s">
        <v>141</v>
      </c>
      <c r="E676" s="5" t="s">
        <v>142</v>
      </c>
      <c r="F676" s="5" t="s">
        <v>194</v>
      </c>
      <c r="G676" s="5" t="s">
        <v>396</v>
      </c>
      <c r="H676" s="5" t="s">
        <v>203</v>
      </c>
      <c r="I676" s="5" t="s">
        <v>1735</v>
      </c>
      <c r="J676" s="5" t="s">
        <v>226</v>
      </c>
      <c r="K676" s="5" t="s">
        <v>1638</v>
      </c>
      <c r="L676" s="5" t="s">
        <v>185</v>
      </c>
      <c r="M676" s="5" t="s">
        <v>1639</v>
      </c>
      <c r="N676" s="5" t="s">
        <v>261</v>
      </c>
      <c r="O676" s="5" t="s">
        <v>1640</v>
      </c>
      <c r="P676" s="15" t="str">
        <f aca="false">IF(J676="S0","—",IF(K676="","",IF(L676="E0","QM",INDEX(10_ASIL_Matrix!$D$4:$F$15,MATCH(J676&amp;"-"&amp;L676,10_ASIL_Matrix!$C$4:$C$15,0),MATCH(N676,10_ASIL_Matrix!$D$3:$F$3,0)))))</f>
        <v>B</v>
      </c>
      <c r="Q676" s="5" t="s">
        <v>1641</v>
      </c>
    </row>
    <row r="677" customFormat="false" ht="35.05" hidden="false" customHeight="false" outlineLevel="0" collapsed="false">
      <c r="A677" s="6" t="s">
        <v>1736</v>
      </c>
      <c r="B677" s="6" t="s">
        <v>130</v>
      </c>
      <c r="C677" s="6" t="s">
        <v>131</v>
      </c>
      <c r="D677" s="6" t="s">
        <v>141</v>
      </c>
      <c r="E677" s="6" t="s">
        <v>142</v>
      </c>
      <c r="F677" s="6" t="s">
        <v>194</v>
      </c>
      <c r="G677" s="6" t="s">
        <v>396</v>
      </c>
      <c r="H677" s="6" t="s">
        <v>205</v>
      </c>
      <c r="I677" s="6" t="s">
        <v>1737</v>
      </c>
      <c r="J677" s="6" t="s">
        <v>226</v>
      </c>
      <c r="K677" s="6" t="s">
        <v>1638</v>
      </c>
      <c r="L677" s="6" t="s">
        <v>185</v>
      </c>
      <c r="M677" s="6" t="s">
        <v>1639</v>
      </c>
      <c r="N677" s="6" t="s">
        <v>261</v>
      </c>
      <c r="O677" s="6" t="s">
        <v>1640</v>
      </c>
      <c r="P677" s="15" t="str">
        <f aca="false">IF(J677="S0","—",IF(K677="","",IF(L677="E0","QM",INDEX(10_ASIL_Matrix!$D$4:$F$15,MATCH(J677&amp;"-"&amp;L677,10_ASIL_Matrix!$C$4:$C$15,0),MATCH(N677,10_ASIL_Matrix!$D$3:$F$3,0)))))</f>
        <v>B</v>
      </c>
      <c r="Q677" s="6" t="s">
        <v>1641</v>
      </c>
    </row>
    <row r="678" customFormat="false" ht="35.05" hidden="false" customHeight="false" outlineLevel="0" collapsed="false">
      <c r="A678" s="5" t="s">
        <v>1738</v>
      </c>
      <c r="B678" s="5" t="s">
        <v>130</v>
      </c>
      <c r="C678" s="5" t="s">
        <v>131</v>
      </c>
      <c r="D678" s="5" t="s">
        <v>141</v>
      </c>
      <c r="E678" s="5" t="s">
        <v>142</v>
      </c>
      <c r="F678" s="5" t="s">
        <v>194</v>
      </c>
      <c r="G678" s="5" t="s">
        <v>396</v>
      </c>
      <c r="H678" s="5" t="s">
        <v>208</v>
      </c>
      <c r="I678" s="5" t="s">
        <v>1739</v>
      </c>
      <c r="J678" s="5" t="s">
        <v>226</v>
      </c>
      <c r="K678" s="5" t="s">
        <v>1638</v>
      </c>
      <c r="L678" s="5" t="s">
        <v>185</v>
      </c>
      <c r="M678" s="5" t="s">
        <v>1639</v>
      </c>
      <c r="N678" s="5" t="s">
        <v>261</v>
      </c>
      <c r="O678" s="5" t="s">
        <v>1640</v>
      </c>
      <c r="P678" s="15" t="str">
        <f aca="false">IF(J678="S0","—",IF(K678="","",IF(L678="E0","QM",INDEX(10_ASIL_Matrix!$D$4:$F$15,MATCH(J678&amp;"-"&amp;L678,10_ASIL_Matrix!$C$4:$C$15,0),MATCH(N678,10_ASIL_Matrix!$D$3:$F$3,0)))))</f>
        <v>B</v>
      </c>
      <c r="Q678" s="5" t="s">
        <v>1641</v>
      </c>
    </row>
    <row r="679" customFormat="false" ht="35.05" hidden="false" customHeight="false" outlineLevel="0" collapsed="false">
      <c r="A679" s="6" t="s">
        <v>1740</v>
      </c>
      <c r="B679" s="6" t="s">
        <v>130</v>
      </c>
      <c r="C679" s="6" t="s">
        <v>131</v>
      </c>
      <c r="D679" s="6" t="s">
        <v>156</v>
      </c>
      <c r="E679" s="6" t="s">
        <v>157</v>
      </c>
      <c r="F679" s="6" t="s">
        <v>184</v>
      </c>
      <c r="G679" s="6" t="s">
        <v>323</v>
      </c>
      <c r="H679" s="6" t="s">
        <v>199</v>
      </c>
      <c r="I679" s="6" t="s">
        <v>1741</v>
      </c>
      <c r="J679" s="6" t="s">
        <v>218</v>
      </c>
      <c r="K679" s="6" t="s">
        <v>1638</v>
      </c>
      <c r="L679" s="6" t="s">
        <v>185</v>
      </c>
      <c r="M679" s="6" t="s">
        <v>1639</v>
      </c>
      <c r="N679" s="6" t="s">
        <v>261</v>
      </c>
      <c r="O679" s="6" t="s">
        <v>1640</v>
      </c>
      <c r="P679" s="6" t="str">
        <f aca="false">IF(J679="S0","—",IF(K679="","",IF(L679="E0","QM",INDEX(10_ASIL_Matrix!$D$4:$F$15,MATCH(J679&amp;"-"&amp;L679,10_ASIL_Matrix!$C$4:$C$15,0),MATCH(N679,10_ASIL_Matrix!$D$3:$F$3,0)))))</f>
        <v>QM</v>
      </c>
      <c r="Q679" s="6" t="s">
        <v>1641</v>
      </c>
    </row>
    <row r="680" customFormat="false" ht="35.05" hidden="false" customHeight="false" outlineLevel="0" collapsed="false">
      <c r="A680" s="5" t="s">
        <v>1742</v>
      </c>
      <c r="B680" s="5" t="s">
        <v>130</v>
      </c>
      <c r="C680" s="5" t="s">
        <v>131</v>
      </c>
      <c r="D680" s="5" t="s">
        <v>156</v>
      </c>
      <c r="E680" s="5" t="s">
        <v>157</v>
      </c>
      <c r="F680" s="5" t="s">
        <v>184</v>
      </c>
      <c r="G680" s="5" t="s">
        <v>323</v>
      </c>
      <c r="H680" s="5" t="s">
        <v>201</v>
      </c>
      <c r="I680" s="5" t="s">
        <v>1743</v>
      </c>
      <c r="J680" s="5" t="s">
        <v>218</v>
      </c>
      <c r="K680" s="5" t="s">
        <v>1638</v>
      </c>
      <c r="L680" s="5" t="s">
        <v>185</v>
      </c>
      <c r="M680" s="5" t="s">
        <v>1639</v>
      </c>
      <c r="N680" s="5" t="s">
        <v>261</v>
      </c>
      <c r="O680" s="5" t="s">
        <v>1640</v>
      </c>
      <c r="P680" s="5" t="str">
        <f aca="false">IF(J680="S0","—",IF(K680="","",IF(L680="E0","QM",INDEX(10_ASIL_Matrix!$D$4:$F$15,MATCH(J680&amp;"-"&amp;L680,10_ASIL_Matrix!$C$4:$C$15,0),MATCH(N680,10_ASIL_Matrix!$D$3:$F$3,0)))))</f>
        <v>QM</v>
      </c>
      <c r="Q680" s="5" t="s">
        <v>1641</v>
      </c>
    </row>
    <row r="681" customFormat="false" ht="35.05" hidden="false" customHeight="false" outlineLevel="0" collapsed="false">
      <c r="A681" s="6" t="s">
        <v>1744</v>
      </c>
      <c r="B681" s="6" t="s">
        <v>130</v>
      </c>
      <c r="C681" s="6" t="s">
        <v>131</v>
      </c>
      <c r="D681" s="6" t="s">
        <v>156</v>
      </c>
      <c r="E681" s="6" t="s">
        <v>157</v>
      </c>
      <c r="F681" s="6" t="s">
        <v>184</v>
      </c>
      <c r="G681" s="6" t="s">
        <v>323</v>
      </c>
      <c r="H681" s="6" t="s">
        <v>203</v>
      </c>
      <c r="I681" s="6" t="s">
        <v>1745</v>
      </c>
      <c r="J681" s="6" t="s">
        <v>218</v>
      </c>
      <c r="K681" s="6" t="s">
        <v>1638</v>
      </c>
      <c r="L681" s="6" t="s">
        <v>185</v>
      </c>
      <c r="M681" s="6" t="s">
        <v>1639</v>
      </c>
      <c r="N681" s="6" t="s">
        <v>261</v>
      </c>
      <c r="O681" s="6" t="s">
        <v>1640</v>
      </c>
      <c r="P681" s="6" t="str">
        <f aca="false">IF(J681="S0","—",IF(K681="","",IF(L681="E0","QM",INDEX(10_ASIL_Matrix!$D$4:$F$15,MATCH(J681&amp;"-"&amp;L681,10_ASIL_Matrix!$C$4:$C$15,0),MATCH(N681,10_ASIL_Matrix!$D$3:$F$3,0)))))</f>
        <v>QM</v>
      </c>
      <c r="Q681" s="6" t="s">
        <v>1641</v>
      </c>
    </row>
    <row r="682" customFormat="false" ht="35.05" hidden="false" customHeight="false" outlineLevel="0" collapsed="false">
      <c r="A682" s="5" t="s">
        <v>1746</v>
      </c>
      <c r="B682" s="5" t="s">
        <v>130</v>
      </c>
      <c r="C682" s="5" t="s">
        <v>131</v>
      </c>
      <c r="D682" s="5" t="s">
        <v>156</v>
      </c>
      <c r="E682" s="5" t="s">
        <v>157</v>
      </c>
      <c r="F682" s="5" t="s">
        <v>184</v>
      </c>
      <c r="G682" s="5" t="s">
        <v>323</v>
      </c>
      <c r="H682" s="5" t="s">
        <v>205</v>
      </c>
      <c r="I682" s="5" t="s">
        <v>1747</v>
      </c>
      <c r="J682" s="5" t="s">
        <v>218</v>
      </c>
      <c r="K682" s="5" t="s">
        <v>1638</v>
      </c>
      <c r="L682" s="5" t="s">
        <v>185</v>
      </c>
      <c r="M682" s="5" t="s">
        <v>1639</v>
      </c>
      <c r="N682" s="5" t="s">
        <v>261</v>
      </c>
      <c r="O682" s="5" t="s">
        <v>1640</v>
      </c>
      <c r="P682" s="5" t="str">
        <f aca="false">IF(J682="S0","—",IF(K682="","",IF(L682="E0","QM",INDEX(10_ASIL_Matrix!$D$4:$F$15,MATCH(J682&amp;"-"&amp;L682,10_ASIL_Matrix!$C$4:$C$15,0),MATCH(N682,10_ASIL_Matrix!$D$3:$F$3,0)))))</f>
        <v>QM</v>
      </c>
      <c r="Q682" s="5" t="s">
        <v>1641</v>
      </c>
    </row>
    <row r="683" customFormat="false" ht="35.05" hidden="false" customHeight="false" outlineLevel="0" collapsed="false">
      <c r="A683" s="6" t="s">
        <v>1748</v>
      </c>
      <c r="B683" s="6" t="s">
        <v>130</v>
      </c>
      <c r="C683" s="6" t="s">
        <v>131</v>
      </c>
      <c r="D683" s="6" t="s">
        <v>156</v>
      </c>
      <c r="E683" s="6" t="s">
        <v>157</v>
      </c>
      <c r="F683" s="6" t="s">
        <v>184</v>
      </c>
      <c r="G683" s="6" t="s">
        <v>323</v>
      </c>
      <c r="H683" s="6" t="s">
        <v>208</v>
      </c>
      <c r="I683" s="6" t="s">
        <v>1749</v>
      </c>
      <c r="J683" s="6" t="s">
        <v>218</v>
      </c>
      <c r="K683" s="6" t="s">
        <v>1638</v>
      </c>
      <c r="L683" s="6" t="s">
        <v>185</v>
      </c>
      <c r="M683" s="6" t="s">
        <v>1639</v>
      </c>
      <c r="N683" s="6" t="s">
        <v>261</v>
      </c>
      <c r="O683" s="6" t="s">
        <v>1640</v>
      </c>
      <c r="P683" s="6" t="str">
        <f aca="false">IF(J683="S0","—",IF(K683="","",IF(L683="E0","QM",INDEX(10_ASIL_Matrix!$D$4:$F$15,MATCH(J683&amp;"-"&amp;L683,10_ASIL_Matrix!$C$4:$C$15,0),MATCH(N683,10_ASIL_Matrix!$D$3:$F$3,0)))))</f>
        <v>QM</v>
      </c>
      <c r="Q683" s="6" t="s">
        <v>1641</v>
      </c>
    </row>
    <row r="684" customFormat="false" ht="35.05" hidden="false" customHeight="false" outlineLevel="0" collapsed="false">
      <c r="A684" s="5" t="s">
        <v>1750</v>
      </c>
      <c r="B684" s="5" t="s">
        <v>130</v>
      </c>
      <c r="C684" s="5" t="s">
        <v>131</v>
      </c>
      <c r="D684" s="5" t="s">
        <v>156</v>
      </c>
      <c r="E684" s="5" t="s">
        <v>157</v>
      </c>
      <c r="F684" s="5" t="s">
        <v>187</v>
      </c>
      <c r="G684" s="5" t="s">
        <v>342</v>
      </c>
      <c r="H684" s="5" t="s">
        <v>199</v>
      </c>
      <c r="I684" s="5" t="s">
        <v>1751</v>
      </c>
      <c r="J684" s="5" t="s">
        <v>218</v>
      </c>
      <c r="K684" s="5" t="s">
        <v>1638</v>
      </c>
      <c r="L684" s="5" t="s">
        <v>185</v>
      </c>
      <c r="M684" s="5" t="s">
        <v>1639</v>
      </c>
      <c r="N684" s="5" t="s">
        <v>261</v>
      </c>
      <c r="O684" s="5" t="s">
        <v>1640</v>
      </c>
      <c r="P684" s="5" t="str">
        <f aca="false">IF(J684="S0","—",IF(K684="","",IF(L684="E0","QM",INDEX(10_ASIL_Matrix!$D$4:$F$15,MATCH(J684&amp;"-"&amp;L684,10_ASIL_Matrix!$C$4:$C$15,0),MATCH(N684,10_ASIL_Matrix!$D$3:$F$3,0)))))</f>
        <v>QM</v>
      </c>
      <c r="Q684" s="5" t="s">
        <v>1641</v>
      </c>
    </row>
    <row r="685" customFormat="false" ht="35.05" hidden="false" customHeight="false" outlineLevel="0" collapsed="false">
      <c r="A685" s="6" t="s">
        <v>1752</v>
      </c>
      <c r="B685" s="6" t="s">
        <v>130</v>
      </c>
      <c r="C685" s="6" t="s">
        <v>131</v>
      </c>
      <c r="D685" s="6" t="s">
        <v>156</v>
      </c>
      <c r="E685" s="6" t="s">
        <v>157</v>
      </c>
      <c r="F685" s="6" t="s">
        <v>187</v>
      </c>
      <c r="G685" s="6" t="s">
        <v>342</v>
      </c>
      <c r="H685" s="6" t="s">
        <v>201</v>
      </c>
      <c r="I685" s="6" t="s">
        <v>1753</v>
      </c>
      <c r="J685" s="6" t="s">
        <v>218</v>
      </c>
      <c r="K685" s="6" t="s">
        <v>1638</v>
      </c>
      <c r="L685" s="6" t="s">
        <v>185</v>
      </c>
      <c r="M685" s="6" t="s">
        <v>1639</v>
      </c>
      <c r="N685" s="6" t="s">
        <v>261</v>
      </c>
      <c r="O685" s="6" t="s">
        <v>1640</v>
      </c>
      <c r="P685" s="6" t="str">
        <f aca="false">IF(J685="S0","—",IF(K685="","",IF(L685="E0","QM",INDEX(10_ASIL_Matrix!$D$4:$F$15,MATCH(J685&amp;"-"&amp;L685,10_ASIL_Matrix!$C$4:$C$15,0),MATCH(N685,10_ASIL_Matrix!$D$3:$F$3,0)))))</f>
        <v>QM</v>
      </c>
      <c r="Q685" s="6" t="s">
        <v>1641</v>
      </c>
    </row>
    <row r="686" customFormat="false" ht="35.05" hidden="false" customHeight="false" outlineLevel="0" collapsed="false">
      <c r="A686" s="5" t="s">
        <v>1754</v>
      </c>
      <c r="B686" s="5" t="s">
        <v>130</v>
      </c>
      <c r="C686" s="5" t="s">
        <v>131</v>
      </c>
      <c r="D686" s="5" t="s">
        <v>156</v>
      </c>
      <c r="E686" s="5" t="s">
        <v>157</v>
      </c>
      <c r="F686" s="5" t="s">
        <v>187</v>
      </c>
      <c r="G686" s="5" t="s">
        <v>342</v>
      </c>
      <c r="H686" s="5" t="s">
        <v>203</v>
      </c>
      <c r="I686" s="5" t="s">
        <v>1755</v>
      </c>
      <c r="J686" s="5" t="s">
        <v>218</v>
      </c>
      <c r="K686" s="5" t="s">
        <v>1638</v>
      </c>
      <c r="L686" s="5" t="s">
        <v>185</v>
      </c>
      <c r="M686" s="5" t="s">
        <v>1639</v>
      </c>
      <c r="N686" s="5" t="s">
        <v>261</v>
      </c>
      <c r="O686" s="5" t="s">
        <v>1640</v>
      </c>
      <c r="P686" s="5" t="str">
        <f aca="false">IF(J686="S0","—",IF(K686="","",IF(L686="E0","QM",INDEX(10_ASIL_Matrix!$D$4:$F$15,MATCH(J686&amp;"-"&amp;L686,10_ASIL_Matrix!$C$4:$C$15,0),MATCH(N686,10_ASIL_Matrix!$D$3:$F$3,0)))))</f>
        <v>QM</v>
      </c>
      <c r="Q686" s="5" t="s">
        <v>1641</v>
      </c>
    </row>
    <row r="687" customFormat="false" ht="35.05" hidden="false" customHeight="false" outlineLevel="0" collapsed="false">
      <c r="A687" s="6" t="s">
        <v>1756</v>
      </c>
      <c r="B687" s="6" t="s">
        <v>130</v>
      </c>
      <c r="C687" s="6" t="s">
        <v>131</v>
      </c>
      <c r="D687" s="6" t="s">
        <v>156</v>
      </c>
      <c r="E687" s="6" t="s">
        <v>157</v>
      </c>
      <c r="F687" s="6" t="s">
        <v>187</v>
      </c>
      <c r="G687" s="6" t="s">
        <v>342</v>
      </c>
      <c r="H687" s="6" t="s">
        <v>205</v>
      </c>
      <c r="I687" s="6" t="s">
        <v>1757</v>
      </c>
      <c r="J687" s="6" t="s">
        <v>218</v>
      </c>
      <c r="K687" s="6" t="s">
        <v>1638</v>
      </c>
      <c r="L687" s="6" t="s">
        <v>185</v>
      </c>
      <c r="M687" s="6" t="s">
        <v>1639</v>
      </c>
      <c r="N687" s="6" t="s">
        <v>261</v>
      </c>
      <c r="O687" s="6" t="s">
        <v>1640</v>
      </c>
      <c r="P687" s="6" t="str">
        <f aca="false">IF(J687="S0","—",IF(K687="","",IF(L687="E0","QM",INDEX(10_ASIL_Matrix!$D$4:$F$15,MATCH(J687&amp;"-"&amp;L687,10_ASIL_Matrix!$C$4:$C$15,0),MATCH(N687,10_ASIL_Matrix!$D$3:$F$3,0)))))</f>
        <v>QM</v>
      </c>
      <c r="Q687" s="6" t="s">
        <v>1641</v>
      </c>
    </row>
    <row r="688" customFormat="false" ht="35.05" hidden="false" customHeight="false" outlineLevel="0" collapsed="false">
      <c r="A688" s="5" t="s">
        <v>1758</v>
      </c>
      <c r="B688" s="5" t="s">
        <v>130</v>
      </c>
      <c r="C688" s="5" t="s">
        <v>131</v>
      </c>
      <c r="D688" s="5" t="s">
        <v>156</v>
      </c>
      <c r="E688" s="5" t="s">
        <v>157</v>
      </c>
      <c r="F688" s="5" t="s">
        <v>187</v>
      </c>
      <c r="G688" s="5" t="s">
        <v>342</v>
      </c>
      <c r="H688" s="5" t="s">
        <v>208</v>
      </c>
      <c r="I688" s="5" t="s">
        <v>1759</v>
      </c>
      <c r="J688" s="5" t="s">
        <v>218</v>
      </c>
      <c r="K688" s="5" t="s">
        <v>1638</v>
      </c>
      <c r="L688" s="5" t="s">
        <v>185</v>
      </c>
      <c r="M688" s="5" t="s">
        <v>1639</v>
      </c>
      <c r="N688" s="5" t="s">
        <v>261</v>
      </c>
      <c r="O688" s="5" t="s">
        <v>1640</v>
      </c>
      <c r="P688" s="5" t="str">
        <f aca="false">IF(J688="S0","—",IF(K688="","",IF(L688="E0","QM",INDEX(10_ASIL_Matrix!$D$4:$F$15,MATCH(J688&amp;"-"&amp;L688,10_ASIL_Matrix!$C$4:$C$15,0),MATCH(N688,10_ASIL_Matrix!$D$3:$F$3,0)))))</f>
        <v>QM</v>
      </c>
      <c r="Q688" s="5" t="s">
        <v>1641</v>
      </c>
    </row>
    <row r="689" customFormat="false" ht="35.05" hidden="false" customHeight="false" outlineLevel="0" collapsed="false">
      <c r="A689" s="6" t="s">
        <v>1760</v>
      </c>
      <c r="B689" s="6" t="s">
        <v>130</v>
      </c>
      <c r="C689" s="6" t="s">
        <v>131</v>
      </c>
      <c r="D689" s="6" t="s">
        <v>156</v>
      </c>
      <c r="E689" s="6" t="s">
        <v>157</v>
      </c>
      <c r="F689" s="6" t="s">
        <v>190</v>
      </c>
      <c r="G689" s="6" t="s">
        <v>360</v>
      </c>
      <c r="H689" s="6" t="s">
        <v>199</v>
      </c>
      <c r="I689" s="6" t="s">
        <v>1761</v>
      </c>
      <c r="J689" s="6" t="s">
        <v>222</v>
      </c>
      <c r="K689" s="6" t="s">
        <v>1638</v>
      </c>
      <c r="L689" s="6" t="s">
        <v>185</v>
      </c>
      <c r="M689" s="6" t="s">
        <v>1639</v>
      </c>
      <c r="N689" s="6" t="s">
        <v>261</v>
      </c>
      <c r="O689" s="6" t="s">
        <v>1640</v>
      </c>
      <c r="P689" s="16" t="str">
        <f aca="false">IF(J689="S0","—",IF(K689="","",IF(L689="E0","QM",INDEX(10_ASIL_Matrix!$D$4:$F$15,MATCH(J689&amp;"-"&amp;L689,10_ASIL_Matrix!$C$4:$C$15,0),MATCH(N689,10_ASIL_Matrix!$D$3:$F$3,0)))))</f>
        <v>A</v>
      </c>
      <c r="Q689" s="6" t="s">
        <v>1641</v>
      </c>
    </row>
    <row r="690" customFormat="false" ht="35.05" hidden="false" customHeight="false" outlineLevel="0" collapsed="false">
      <c r="A690" s="5" t="s">
        <v>1762</v>
      </c>
      <c r="B690" s="5" t="s">
        <v>130</v>
      </c>
      <c r="C690" s="5" t="s">
        <v>131</v>
      </c>
      <c r="D690" s="5" t="s">
        <v>156</v>
      </c>
      <c r="E690" s="5" t="s">
        <v>157</v>
      </c>
      <c r="F690" s="5" t="s">
        <v>190</v>
      </c>
      <c r="G690" s="5" t="s">
        <v>360</v>
      </c>
      <c r="H690" s="5" t="s">
        <v>201</v>
      </c>
      <c r="I690" s="5" t="s">
        <v>1763</v>
      </c>
      <c r="J690" s="5" t="s">
        <v>222</v>
      </c>
      <c r="K690" s="5" t="s">
        <v>1638</v>
      </c>
      <c r="L690" s="5" t="s">
        <v>185</v>
      </c>
      <c r="M690" s="5" t="s">
        <v>1639</v>
      </c>
      <c r="N690" s="5" t="s">
        <v>261</v>
      </c>
      <c r="O690" s="5" t="s">
        <v>1640</v>
      </c>
      <c r="P690" s="16" t="str">
        <f aca="false">IF(J690="S0","—",IF(K690="","",IF(L690="E0","QM",INDEX(10_ASIL_Matrix!$D$4:$F$15,MATCH(J690&amp;"-"&amp;L690,10_ASIL_Matrix!$C$4:$C$15,0),MATCH(N690,10_ASIL_Matrix!$D$3:$F$3,0)))))</f>
        <v>A</v>
      </c>
      <c r="Q690" s="5" t="s">
        <v>1641</v>
      </c>
    </row>
    <row r="691" customFormat="false" ht="35.05" hidden="false" customHeight="false" outlineLevel="0" collapsed="false">
      <c r="A691" s="6" t="s">
        <v>1764</v>
      </c>
      <c r="B691" s="6" t="s">
        <v>130</v>
      </c>
      <c r="C691" s="6" t="s">
        <v>131</v>
      </c>
      <c r="D691" s="6" t="s">
        <v>156</v>
      </c>
      <c r="E691" s="6" t="s">
        <v>157</v>
      </c>
      <c r="F691" s="6" t="s">
        <v>190</v>
      </c>
      <c r="G691" s="6" t="s">
        <v>360</v>
      </c>
      <c r="H691" s="6" t="s">
        <v>203</v>
      </c>
      <c r="I691" s="6" t="s">
        <v>1765</v>
      </c>
      <c r="J691" s="6" t="s">
        <v>222</v>
      </c>
      <c r="K691" s="6" t="s">
        <v>1638</v>
      </c>
      <c r="L691" s="6" t="s">
        <v>185</v>
      </c>
      <c r="M691" s="6" t="s">
        <v>1639</v>
      </c>
      <c r="N691" s="6" t="s">
        <v>261</v>
      </c>
      <c r="O691" s="6" t="s">
        <v>1640</v>
      </c>
      <c r="P691" s="16" t="str">
        <f aca="false">IF(J691="S0","—",IF(K691="","",IF(L691="E0","QM",INDEX(10_ASIL_Matrix!$D$4:$F$15,MATCH(J691&amp;"-"&amp;L691,10_ASIL_Matrix!$C$4:$C$15,0),MATCH(N691,10_ASIL_Matrix!$D$3:$F$3,0)))))</f>
        <v>A</v>
      </c>
      <c r="Q691" s="6" t="s">
        <v>1641</v>
      </c>
    </row>
    <row r="692" customFormat="false" ht="35.05" hidden="false" customHeight="false" outlineLevel="0" collapsed="false">
      <c r="A692" s="5" t="s">
        <v>1766</v>
      </c>
      <c r="B692" s="5" t="s">
        <v>130</v>
      </c>
      <c r="C692" s="5" t="s">
        <v>131</v>
      </c>
      <c r="D692" s="5" t="s">
        <v>156</v>
      </c>
      <c r="E692" s="5" t="s">
        <v>157</v>
      </c>
      <c r="F692" s="5" t="s">
        <v>190</v>
      </c>
      <c r="G692" s="5" t="s">
        <v>360</v>
      </c>
      <c r="H692" s="5" t="s">
        <v>205</v>
      </c>
      <c r="I692" s="5" t="s">
        <v>1767</v>
      </c>
      <c r="J692" s="5" t="s">
        <v>222</v>
      </c>
      <c r="K692" s="5" t="s">
        <v>1638</v>
      </c>
      <c r="L692" s="5" t="s">
        <v>185</v>
      </c>
      <c r="M692" s="5" t="s">
        <v>1639</v>
      </c>
      <c r="N692" s="5" t="s">
        <v>261</v>
      </c>
      <c r="O692" s="5" t="s">
        <v>1640</v>
      </c>
      <c r="P692" s="16" t="str">
        <f aca="false">IF(J692="S0","—",IF(K692="","",IF(L692="E0","QM",INDEX(10_ASIL_Matrix!$D$4:$F$15,MATCH(J692&amp;"-"&amp;L692,10_ASIL_Matrix!$C$4:$C$15,0),MATCH(N692,10_ASIL_Matrix!$D$3:$F$3,0)))))</f>
        <v>A</v>
      </c>
      <c r="Q692" s="5" t="s">
        <v>1641</v>
      </c>
    </row>
    <row r="693" customFormat="false" ht="35.05" hidden="false" customHeight="false" outlineLevel="0" collapsed="false">
      <c r="A693" s="6" t="s">
        <v>1768</v>
      </c>
      <c r="B693" s="6" t="s">
        <v>130</v>
      </c>
      <c r="C693" s="6" t="s">
        <v>131</v>
      </c>
      <c r="D693" s="6" t="s">
        <v>156</v>
      </c>
      <c r="E693" s="6" t="s">
        <v>157</v>
      </c>
      <c r="F693" s="6" t="s">
        <v>190</v>
      </c>
      <c r="G693" s="6" t="s">
        <v>360</v>
      </c>
      <c r="H693" s="6" t="s">
        <v>208</v>
      </c>
      <c r="I693" s="6" t="s">
        <v>1769</v>
      </c>
      <c r="J693" s="6" t="s">
        <v>222</v>
      </c>
      <c r="K693" s="6" t="s">
        <v>1638</v>
      </c>
      <c r="L693" s="6" t="s">
        <v>185</v>
      </c>
      <c r="M693" s="6" t="s">
        <v>1639</v>
      </c>
      <c r="N693" s="6" t="s">
        <v>261</v>
      </c>
      <c r="O693" s="6" t="s">
        <v>1640</v>
      </c>
      <c r="P693" s="16" t="str">
        <f aca="false">IF(J693="S0","—",IF(K693="","",IF(L693="E0","QM",INDEX(10_ASIL_Matrix!$D$4:$F$15,MATCH(J693&amp;"-"&amp;L693,10_ASIL_Matrix!$C$4:$C$15,0),MATCH(N693,10_ASIL_Matrix!$D$3:$F$3,0)))))</f>
        <v>A</v>
      </c>
      <c r="Q693" s="6" t="s">
        <v>1641</v>
      </c>
    </row>
    <row r="694" customFormat="false" ht="35.05" hidden="false" customHeight="false" outlineLevel="0" collapsed="false">
      <c r="A694" s="5" t="s">
        <v>1770</v>
      </c>
      <c r="B694" s="5" t="s">
        <v>130</v>
      </c>
      <c r="C694" s="5" t="s">
        <v>131</v>
      </c>
      <c r="D694" s="5" t="s">
        <v>156</v>
      </c>
      <c r="E694" s="5" t="s">
        <v>157</v>
      </c>
      <c r="F694" s="5" t="s">
        <v>192</v>
      </c>
      <c r="G694" s="5" t="s">
        <v>378</v>
      </c>
      <c r="H694" s="5" t="s">
        <v>199</v>
      </c>
      <c r="I694" s="5" t="s">
        <v>1771</v>
      </c>
      <c r="J694" s="5" t="s">
        <v>222</v>
      </c>
      <c r="K694" s="5" t="s">
        <v>1638</v>
      </c>
      <c r="L694" s="5" t="s">
        <v>185</v>
      </c>
      <c r="M694" s="5" t="s">
        <v>1639</v>
      </c>
      <c r="N694" s="5" t="s">
        <v>261</v>
      </c>
      <c r="O694" s="5" t="s">
        <v>1640</v>
      </c>
      <c r="P694" s="16" t="str">
        <f aca="false">IF(J694="S0","—",IF(K694="","",IF(L694="E0","QM",INDEX(10_ASIL_Matrix!$D$4:$F$15,MATCH(J694&amp;"-"&amp;L694,10_ASIL_Matrix!$C$4:$C$15,0),MATCH(N694,10_ASIL_Matrix!$D$3:$F$3,0)))))</f>
        <v>A</v>
      </c>
      <c r="Q694" s="5" t="s">
        <v>1641</v>
      </c>
    </row>
    <row r="695" customFormat="false" ht="35.05" hidden="false" customHeight="false" outlineLevel="0" collapsed="false">
      <c r="A695" s="6" t="s">
        <v>1772</v>
      </c>
      <c r="B695" s="6" t="s">
        <v>130</v>
      </c>
      <c r="C695" s="6" t="s">
        <v>131</v>
      </c>
      <c r="D695" s="6" t="s">
        <v>156</v>
      </c>
      <c r="E695" s="6" t="s">
        <v>157</v>
      </c>
      <c r="F695" s="6" t="s">
        <v>192</v>
      </c>
      <c r="G695" s="6" t="s">
        <v>378</v>
      </c>
      <c r="H695" s="6" t="s">
        <v>201</v>
      </c>
      <c r="I695" s="6" t="s">
        <v>1773</v>
      </c>
      <c r="J695" s="6" t="s">
        <v>222</v>
      </c>
      <c r="K695" s="6" t="s">
        <v>1638</v>
      </c>
      <c r="L695" s="6" t="s">
        <v>185</v>
      </c>
      <c r="M695" s="6" t="s">
        <v>1639</v>
      </c>
      <c r="N695" s="6" t="s">
        <v>261</v>
      </c>
      <c r="O695" s="6" t="s">
        <v>1640</v>
      </c>
      <c r="P695" s="16" t="str">
        <f aca="false">IF(J695="S0","—",IF(K695="","",IF(L695="E0","QM",INDEX(10_ASIL_Matrix!$D$4:$F$15,MATCH(J695&amp;"-"&amp;L695,10_ASIL_Matrix!$C$4:$C$15,0),MATCH(N695,10_ASIL_Matrix!$D$3:$F$3,0)))))</f>
        <v>A</v>
      </c>
      <c r="Q695" s="6" t="s">
        <v>1641</v>
      </c>
    </row>
    <row r="696" customFormat="false" ht="35.05" hidden="false" customHeight="false" outlineLevel="0" collapsed="false">
      <c r="A696" s="5" t="s">
        <v>1774</v>
      </c>
      <c r="B696" s="5" t="s">
        <v>130</v>
      </c>
      <c r="C696" s="5" t="s">
        <v>131</v>
      </c>
      <c r="D696" s="5" t="s">
        <v>156</v>
      </c>
      <c r="E696" s="5" t="s">
        <v>157</v>
      </c>
      <c r="F696" s="5" t="s">
        <v>192</v>
      </c>
      <c r="G696" s="5" t="s">
        <v>378</v>
      </c>
      <c r="H696" s="5" t="s">
        <v>203</v>
      </c>
      <c r="I696" s="5" t="s">
        <v>1775</v>
      </c>
      <c r="J696" s="5" t="s">
        <v>222</v>
      </c>
      <c r="K696" s="5" t="s">
        <v>1638</v>
      </c>
      <c r="L696" s="5" t="s">
        <v>185</v>
      </c>
      <c r="M696" s="5" t="s">
        <v>1639</v>
      </c>
      <c r="N696" s="5" t="s">
        <v>261</v>
      </c>
      <c r="O696" s="5" t="s">
        <v>1640</v>
      </c>
      <c r="P696" s="16" t="str">
        <f aca="false">IF(J696="S0","—",IF(K696="","",IF(L696="E0","QM",INDEX(10_ASIL_Matrix!$D$4:$F$15,MATCH(J696&amp;"-"&amp;L696,10_ASIL_Matrix!$C$4:$C$15,0),MATCH(N696,10_ASIL_Matrix!$D$3:$F$3,0)))))</f>
        <v>A</v>
      </c>
      <c r="Q696" s="5" t="s">
        <v>1641</v>
      </c>
    </row>
    <row r="697" customFormat="false" ht="35.05" hidden="false" customHeight="false" outlineLevel="0" collapsed="false">
      <c r="A697" s="6" t="s">
        <v>1776</v>
      </c>
      <c r="B697" s="6" t="s">
        <v>130</v>
      </c>
      <c r="C697" s="6" t="s">
        <v>131</v>
      </c>
      <c r="D697" s="6" t="s">
        <v>156</v>
      </c>
      <c r="E697" s="6" t="s">
        <v>157</v>
      </c>
      <c r="F697" s="6" t="s">
        <v>192</v>
      </c>
      <c r="G697" s="6" t="s">
        <v>378</v>
      </c>
      <c r="H697" s="6" t="s">
        <v>205</v>
      </c>
      <c r="I697" s="6" t="s">
        <v>1777</v>
      </c>
      <c r="J697" s="6" t="s">
        <v>222</v>
      </c>
      <c r="K697" s="6" t="s">
        <v>1638</v>
      </c>
      <c r="L697" s="6" t="s">
        <v>185</v>
      </c>
      <c r="M697" s="6" t="s">
        <v>1639</v>
      </c>
      <c r="N697" s="6" t="s">
        <v>261</v>
      </c>
      <c r="O697" s="6" t="s">
        <v>1640</v>
      </c>
      <c r="P697" s="16" t="str">
        <f aca="false">IF(J697="S0","—",IF(K697="","",IF(L697="E0","QM",INDEX(10_ASIL_Matrix!$D$4:$F$15,MATCH(J697&amp;"-"&amp;L697,10_ASIL_Matrix!$C$4:$C$15,0),MATCH(N697,10_ASIL_Matrix!$D$3:$F$3,0)))))</f>
        <v>A</v>
      </c>
      <c r="Q697" s="6" t="s">
        <v>1641</v>
      </c>
    </row>
    <row r="698" customFormat="false" ht="35.05" hidden="false" customHeight="false" outlineLevel="0" collapsed="false">
      <c r="A698" s="5" t="s">
        <v>1778</v>
      </c>
      <c r="B698" s="5" t="s">
        <v>130</v>
      </c>
      <c r="C698" s="5" t="s">
        <v>131</v>
      </c>
      <c r="D698" s="5" t="s">
        <v>156</v>
      </c>
      <c r="E698" s="5" t="s">
        <v>157</v>
      </c>
      <c r="F698" s="5" t="s">
        <v>192</v>
      </c>
      <c r="G698" s="5" t="s">
        <v>378</v>
      </c>
      <c r="H698" s="5" t="s">
        <v>208</v>
      </c>
      <c r="I698" s="5" t="s">
        <v>1779</v>
      </c>
      <c r="J698" s="5" t="s">
        <v>222</v>
      </c>
      <c r="K698" s="5" t="s">
        <v>1638</v>
      </c>
      <c r="L698" s="5" t="s">
        <v>185</v>
      </c>
      <c r="M698" s="5" t="s">
        <v>1639</v>
      </c>
      <c r="N698" s="5" t="s">
        <v>261</v>
      </c>
      <c r="O698" s="5" t="s">
        <v>1640</v>
      </c>
      <c r="P698" s="16" t="str">
        <f aca="false">IF(J698="S0","—",IF(K698="","",IF(L698="E0","QM",INDEX(10_ASIL_Matrix!$D$4:$F$15,MATCH(J698&amp;"-"&amp;L698,10_ASIL_Matrix!$C$4:$C$15,0),MATCH(N698,10_ASIL_Matrix!$D$3:$F$3,0)))))</f>
        <v>A</v>
      </c>
      <c r="Q698" s="5" t="s">
        <v>1641</v>
      </c>
    </row>
    <row r="699" customFormat="false" ht="35.05" hidden="false" customHeight="false" outlineLevel="0" collapsed="false">
      <c r="A699" s="6" t="s">
        <v>1780</v>
      </c>
      <c r="B699" s="6" t="s">
        <v>130</v>
      </c>
      <c r="C699" s="6" t="s">
        <v>131</v>
      </c>
      <c r="D699" s="6" t="s">
        <v>156</v>
      </c>
      <c r="E699" s="6" t="s">
        <v>157</v>
      </c>
      <c r="F699" s="6" t="s">
        <v>194</v>
      </c>
      <c r="G699" s="6" t="s">
        <v>396</v>
      </c>
      <c r="H699" s="6" t="s">
        <v>199</v>
      </c>
      <c r="I699" s="6" t="s">
        <v>1781</v>
      </c>
      <c r="J699" s="6" t="s">
        <v>226</v>
      </c>
      <c r="K699" s="6" t="s">
        <v>1638</v>
      </c>
      <c r="L699" s="6" t="s">
        <v>185</v>
      </c>
      <c r="M699" s="6" t="s">
        <v>1639</v>
      </c>
      <c r="N699" s="6" t="s">
        <v>261</v>
      </c>
      <c r="O699" s="6" t="s">
        <v>1640</v>
      </c>
      <c r="P699" s="15" t="str">
        <f aca="false">IF(J699="S0","—",IF(K699="","",IF(L699="E0","QM",INDEX(10_ASIL_Matrix!$D$4:$F$15,MATCH(J699&amp;"-"&amp;L699,10_ASIL_Matrix!$C$4:$C$15,0),MATCH(N699,10_ASIL_Matrix!$D$3:$F$3,0)))))</f>
        <v>B</v>
      </c>
      <c r="Q699" s="6" t="s">
        <v>1641</v>
      </c>
    </row>
    <row r="700" customFormat="false" ht="35.05" hidden="false" customHeight="false" outlineLevel="0" collapsed="false">
      <c r="A700" s="5" t="s">
        <v>1782</v>
      </c>
      <c r="B700" s="5" t="s">
        <v>130</v>
      </c>
      <c r="C700" s="5" t="s">
        <v>131</v>
      </c>
      <c r="D700" s="5" t="s">
        <v>156</v>
      </c>
      <c r="E700" s="5" t="s">
        <v>157</v>
      </c>
      <c r="F700" s="5" t="s">
        <v>194</v>
      </c>
      <c r="G700" s="5" t="s">
        <v>396</v>
      </c>
      <c r="H700" s="5" t="s">
        <v>201</v>
      </c>
      <c r="I700" s="5" t="s">
        <v>1783</v>
      </c>
      <c r="J700" s="5" t="s">
        <v>226</v>
      </c>
      <c r="K700" s="5" t="s">
        <v>1638</v>
      </c>
      <c r="L700" s="5" t="s">
        <v>185</v>
      </c>
      <c r="M700" s="5" t="s">
        <v>1639</v>
      </c>
      <c r="N700" s="5" t="s">
        <v>261</v>
      </c>
      <c r="O700" s="5" t="s">
        <v>1640</v>
      </c>
      <c r="P700" s="15" t="str">
        <f aca="false">IF(J700="S0","—",IF(K700="","",IF(L700="E0","QM",INDEX(10_ASIL_Matrix!$D$4:$F$15,MATCH(J700&amp;"-"&amp;L700,10_ASIL_Matrix!$C$4:$C$15,0),MATCH(N700,10_ASIL_Matrix!$D$3:$F$3,0)))))</f>
        <v>B</v>
      </c>
      <c r="Q700" s="5" t="s">
        <v>1641</v>
      </c>
    </row>
    <row r="701" customFormat="false" ht="35.05" hidden="false" customHeight="false" outlineLevel="0" collapsed="false">
      <c r="A701" s="6" t="s">
        <v>1784</v>
      </c>
      <c r="B701" s="6" t="s">
        <v>130</v>
      </c>
      <c r="C701" s="6" t="s">
        <v>131</v>
      </c>
      <c r="D701" s="6" t="s">
        <v>156</v>
      </c>
      <c r="E701" s="6" t="s">
        <v>157</v>
      </c>
      <c r="F701" s="6" t="s">
        <v>194</v>
      </c>
      <c r="G701" s="6" t="s">
        <v>396</v>
      </c>
      <c r="H701" s="6" t="s">
        <v>203</v>
      </c>
      <c r="I701" s="6" t="s">
        <v>1785</v>
      </c>
      <c r="J701" s="6" t="s">
        <v>226</v>
      </c>
      <c r="K701" s="6" t="s">
        <v>1638</v>
      </c>
      <c r="L701" s="6" t="s">
        <v>185</v>
      </c>
      <c r="M701" s="6" t="s">
        <v>1639</v>
      </c>
      <c r="N701" s="6" t="s">
        <v>261</v>
      </c>
      <c r="O701" s="6" t="s">
        <v>1640</v>
      </c>
      <c r="P701" s="15" t="str">
        <f aca="false">IF(J701="S0","—",IF(K701="","",IF(L701="E0","QM",INDEX(10_ASIL_Matrix!$D$4:$F$15,MATCH(J701&amp;"-"&amp;L701,10_ASIL_Matrix!$C$4:$C$15,0),MATCH(N701,10_ASIL_Matrix!$D$3:$F$3,0)))))</f>
        <v>B</v>
      </c>
      <c r="Q701" s="6" t="s">
        <v>1641</v>
      </c>
    </row>
    <row r="702" customFormat="false" ht="35.05" hidden="false" customHeight="false" outlineLevel="0" collapsed="false">
      <c r="A702" s="5" t="s">
        <v>1786</v>
      </c>
      <c r="B702" s="5" t="s">
        <v>130</v>
      </c>
      <c r="C702" s="5" t="s">
        <v>131</v>
      </c>
      <c r="D702" s="5" t="s">
        <v>156</v>
      </c>
      <c r="E702" s="5" t="s">
        <v>157</v>
      </c>
      <c r="F702" s="5" t="s">
        <v>194</v>
      </c>
      <c r="G702" s="5" t="s">
        <v>396</v>
      </c>
      <c r="H702" s="5" t="s">
        <v>205</v>
      </c>
      <c r="I702" s="5" t="s">
        <v>1787</v>
      </c>
      <c r="J702" s="5" t="s">
        <v>226</v>
      </c>
      <c r="K702" s="5" t="s">
        <v>1638</v>
      </c>
      <c r="L702" s="5" t="s">
        <v>185</v>
      </c>
      <c r="M702" s="5" t="s">
        <v>1639</v>
      </c>
      <c r="N702" s="5" t="s">
        <v>261</v>
      </c>
      <c r="O702" s="5" t="s">
        <v>1640</v>
      </c>
      <c r="P702" s="15" t="str">
        <f aca="false">IF(J702="S0","—",IF(K702="","",IF(L702="E0","QM",INDEX(10_ASIL_Matrix!$D$4:$F$15,MATCH(J702&amp;"-"&amp;L702,10_ASIL_Matrix!$C$4:$C$15,0),MATCH(N702,10_ASIL_Matrix!$D$3:$F$3,0)))))</f>
        <v>B</v>
      </c>
      <c r="Q702" s="5" t="s">
        <v>1641</v>
      </c>
    </row>
    <row r="703" customFormat="false" ht="35.05" hidden="false" customHeight="false" outlineLevel="0" collapsed="false">
      <c r="A703" s="6" t="s">
        <v>1788</v>
      </c>
      <c r="B703" s="6" t="s">
        <v>130</v>
      </c>
      <c r="C703" s="6" t="s">
        <v>131</v>
      </c>
      <c r="D703" s="6" t="s">
        <v>156</v>
      </c>
      <c r="E703" s="6" t="s">
        <v>157</v>
      </c>
      <c r="F703" s="6" t="s">
        <v>194</v>
      </c>
      <c r="G703" s="6" t="s">
        <v>396</v>
      </c>
      <c r="H703" s="6" t="s">
        <v>208</v>
      </c>
      <c r="I703" s="6" t="s">
        <v>1789</v>
      </c>
      <c r="J703" s="6" t="s">
        <v>226</v>
      </c>
      <c r="K703" s="6" t="s">
        <v>1638</v>
      </c>
      <c r="L703" s="6" t="s">
        <v>185</v>
      </c>
      <c r="M703" s="6" t="s">
        <v>1639</v>
      </c>
      <c r="N703" s="6" t="s">
        <v>261</v>
      </c>
      <c r="O703" s="6" t="s">
        <v>1640</v>
      </c>
      <c r="P703" s="15" t="str">
        <f aca="false">IF(J703="S0","—",IF(K703="","",IF(L703="E0","QM",INDEX(10_ASIL_Matrix!$D$4:$F$15,MATCH(J703&amp;"-"&amp;L703,10_ASIL_Matrix!$C$4:$C$15,0),MATCH(N703,10_ASIL_Matrix!$D$3:$F$3,0)))))</f>
        <v>B</v>
      </c>
      <c r="Q703" s="6" t="s">
        <v>1641</v>
      </c>
    </row>
  </sheetData>
  <autoFilter ref="A3:Q703"/>
  <mergeCells count="1">
    <mergeCell ref="A1:Q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4"/>
    <col collapsed="false" customWidth="true" hidden="false" outlineLevel="0" max="3" min="3" style="0" width="50"/>
    <col collapsed="false" customWidth="true" hidden="false" outlineLevel="0" max="4" min="4" style="0" width="14"/>
    <col collapsed="false" customWidth="true" hidden="false" outlineLevel="0" max="5" min="5" style="0" width="28"/>
    <col collapsed="false" customWidth="true" hidden="false" outlineLevel="0" max="6" min="6" style="0" width="60"/>
    <col collapsed="false" customWidth="true" hidden="false" outlineLevel="0" max="7" min="7" style="0" width="40"/>
  </cols>
  <sheetData>
    <row r="1" customFormat="false" ht="27.75" hidden="false" customHeight="true" outlineLevel="0" collapsed="false">
      <c r="A1" s="1" t="s">
        <v>1790</v>
      </c>
      <c r="B1" s="1"/>
      <c r="C1" s="1"/>
      <c r="D1" s="1"/>
      <c r="E1" s="1"/>
      <c r="F1" s="1"/>
      <c r="G1" s="1"/>
    </row>
    <row r="2" customFormat="false" ht="36" hidden="false" customHeight="true" outlineLevel="0" collapsed="false">
      <c r="A2" s="19" t="s">
        <v>1791</v>
      </c>
      <c r="B2" s="19"/>
      <c r="C2" s="19"/>
      <c r="D2" s="19"/>
      <c r="E2" s="19"/>
      <c r="F2" s="19"/>
      <c r="G2" s="19"/>
    </row>
    <row r="4" customFormat="false" ht="31.5" hidden="false" customHeight="true" outlineLevel="0" collapsed="false">
      <c r="A4" s="4" t="s">
        <v>1792</v>
      </c>
      <c r="B4" s="4" t="s">
        <v>278</v>
      </c>
      <c r="C4" s="4" t="s">
        <v>1793</v>
      </c>
      <c r="D4" s="4" t="s">
        <v>1794</v>
      </c>
      <c r="E4" s="4" t="s">
        <v>1795</v>
      </c>
      <c r="F4" s="4" t="s">
        <v>1796</v>
      </c>
      <c r="G4" s="4" t="s">
        <v>321</v>
      </c>
    </row>
    <row r="5" customFormat="false" ht="35.05" hidden="false" customHeight="false" outlineLevel="0" collapsed="false">
      <c r="A5" s="5" t="s">
        <v>1797</v>
      </c>
      <c r="B5" s="5" t="s">
        <v>113</v>
      </c>
      <c r="C5" s="5" t="s">
        <v>286</v>
      </c>
      <c r="D5" s="18" t="s">
        <v>274</v>
      </c>
      <c r="E5" s="5" t="s">
        <v>1798</v>
      </c>
      <c r="F5" s="5" t="s">
        <v>1799</v>
      </c>
      <c r="G5" s="5" t="s">
        <v>328</v>
      </c>
    </row>
    <row r="6" customFormat="false" ht="35.05" hidden="false" customHeight="false" outlineLevel="0" collapsed="false">
      <c r="A6" s="6" t="s">
        <v>1800</v>
      </c>
      <c r="B6" s="6" t="s">
        <v>117</v>
      </c>
      <c r="C6" s="6" t="s">
        <v>288</v>
      </c>
      <c r="D6" s="18" t="s">
        <v>274</v>
      </c>
      <c r="E6" s="6" t="s">
        <v>1801</v>
      </c>
      <c r="F6" s="6" t="s">
        <v>1802</v>
      </c>
      <c r="G6" s="6" t="s">
        <v>779</v>
      </c>
    </row>
    <row r="7" customFormat="false" ht="35.05" hidden="false" customHeight="false" outlineLevel="0" collapsed="false">
      <c r="A7" s="5" t="s">
        <v>1803</v>
      </c>
      <c r="B7" s="5" t="s">
        <v>117</v>
      </c>
      <c r="C7" s="5" t="s">
        <v>289</v>
      </c>
      <c r="D7" s="18" t="s">
        <v>274</v>
      </c>
      <c r="E7" s="5" t="s">
        <v>1804</v>
      </c>
      <c r="F7" s="5" t="s">
        <v>1805</v>
      </c>
      <c r="G7" s="5" t="s">
        <v>779</v>
      </c>
    </row>
    <row r="8" customFormat="false" ht="23.85" hidden="false" customHeight="false" outlineLevel="0" collapsed="false">
      <c r="A8" s="6" t="s">
        <v>1806</v>
      </c>
      <c r="B8" s="6" t="s">
        <v>120</v>
      </c>
      <c r="C8" s="6" t="s">
        <v>292</v>
      </c>
      <c r="D8" s="18" t="s">
        <v>274</v>
      </c>
      <c r="E8" s="6" t="s">
        <v>1807</v>
      </c>
      <c r="F8" s="6" t="s">
        <v>1808</v>
      </c>
      <c r="G8" s="6" t="s">
        <v>1283</v>
      </c>
    </row>
    <row r="9" customFormat="false" ht="23.85" hidden="false" customHeight="false" outlineLevel="0" collapsed="false">
      <c r="A9" s="5" t="s">
        <v>1809</v>
      </c>
      <c r="B9" s="5" t="s">
        <v>120</v>
      </c>
      <c r="C9" s="5" t="s">
        <v>293</v>
      </c>
      <c r="D9" s="18" t="s">
        <v>274</v>
      </c>
      <c r="E9" s="5" t="s">
        <v>1810</v>
      </c>
      <c r="F9" s="5" t="s">
        <v>1811</v>
      </c>
      <c r="G9" s="5" t="s">
        <v>1283</v>
      </c>
    </row>
    <row r="10" customFormat="false" ht="35.05" hidden="false" customHeight="false" outlineLevel="0" collapsed="false">
      <c r="A10" s="6" t="s">
        <v>1812</v>
      </c>
      <c r="B10" s="6" t="s">
        <v>113</v>
      </c>
      <c r="C10" s="6" t="s">
        <v>285</v>
      </c>
      <c r="D10" s="17" t="s">
        <v>252</v>
      </c>
      <c r="E10" s="6" t="s">
        <v>1813</v>
      </c>
      <c r="F10" s="6" t="s">
        <v>1814</v>
      </c>
      <c r="G10" s="6" t="s">
        <v>328</v>
      </c>
    </row>
    <row r="11" customFormat="false" ht="35.05" hidden="false" customHeight="false" outlineLevel="0" collapsed="false">
      <c r="A11" s="5" t="s">
        <v>1815</v>
      </c>
      <c r="B11" s="5" t="s">
        <v>117</v>
      </c>
      <c r="C11" s="5" t="s">
        <v>287</v>
      </c>
      <c r="D11" s="17" t="s">
        <v>252</v>
      </c>
      <c r="E11" s="5" t="s">
        <v>1816</v>
      </c>
      <c r="F11" s="5" t="s">
        <v>1817</v>
      </c>
      <c r="G11" s="5" t="s">
        <v>779</v>
      </c>
    </row>
    <row r="12" customFormat="false" ht="23.85" hidden="false" customHeight="false" outlineLevel="0" collapsed="false">
      <c r="A12" s="6" t="s">
        <v>1818</v>
      </c>
      <c r="B12" s="6" t="s">
        <v>123</v>
      </c>
      <c r="C12" s="6" t="s">
        <v>298</v>
      </c>
      <c r="D12" s="15" t="s">
        <v>273</v>
      </c>
      <c r="E12" s="6" t="s">
        <v>1819</v>
      </c>
      <c r="F12" s="6" t="s">
        <v>1820</v>
      </c>
      <c r="G12" s="6" t="s">
        <v>1537</v>
      </c>
    </row>
    <row r="13" customFormat="false" ht="23.85" hidden="false" customHeight="false" outlineLevel="0" collapsed="false">
      <c r="A13" s="5" t="s">
        <v>1821</v>
      </c>
      <c r="B13" s="5" t="s">
        <v>131</v>
      </c>
      <c r="C13" s="5" t="s">
        <v>307</v>
      </c>
      <c r="D13" s="15" t="s">
        <v>273</v>
      </c>
      <c r="E13" s="5" t="s">
        <v>1822</v>
      </c>
      <c r="F13" s="5" t="s">
        <v>1823</v>
      </c>
      <c r="G13" s="5" t="s">
        <v>1641</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50"/>
    <col collapsed="false" customWidth="true" hidden="false" outlineLevel="0" max="3" min="3" style="0" width="8"/>
    <col collapsed="false" customWidth="true" hidden="false" outlineLevel="0" max="4" min="4" style="0" width="32"/>
    <col collapsed="false" customWidth="true" hidden="false" outlineLevel="0" max="5" min="5" style="0" width="12"/>
    <col collapsed="false" customWidth="true" hidden="false" outlineLevel="0" max="6" min="6" style="0" width="22"/>
    <col collapsed="false" customWidth="true" hidden="false" outlineLevel="0" max="7" min="7" style="0" width="36"/>
    <col collapsed="false" customWidth="true" hidden="false" outlineLevel="0" max="8" min="8" style="0" width="14"/>
    <col collapsed="false" customWidth="true" hidden="false" outlineLevel="0" max="9" min="9" style="0" width="50"/>
    <col collapsed="false" customWidth="true" hidden="false" outlineLevel="0" max="10" min="10" style="0" width="16"/>
    <col collapsed="false" customWidth="true" hidden="false" outlineLevel="0" max="11" min="11" style="0" width="22"/>
  </cols>
  <sheetData>
    <row r="1" customFormat="false" ht="27.75" hidden="false" customHeight="true" outlineLevel="0" collapsed="false">
      <c r="A1" s="1" t="s">
        <v>1824</v>
      </c>
      <c r="B1" s="1"/>
      <c r="C1" s="1"/>
      <c r="D1" s="1"/>
      <c r="E1" s="1"/>
      <c r="F1" s="1"/>
      <c r="G1" s="1"/>
      <c r="H1" s="1"/>
      <c r="I1" s="1"/>
      <c r="J1" s="1"/>
      <c r="K1" s="1"/>
    </row>
    <row r="2" customFormat="false" ht="36" hidden="false" customHeight="true" outlineLevel="0" collapsed="false">
      <c r="A2" s="19" t="s">
        <v>1825</v>
      </c>
      <c r="B2" s="19"/>
      <c r="C2" s="19"/>
      <c r="D2" s="19"/>
      <c r="E2" s="19"/>
      <c r="F2" s="19"/>
      <c r="G2" s="19"/>
      <c r="H2" s="19"/>
      <c r="I2" s="19"/>
      <c r="J2" s="19"/>
      <c r="K2" s="19"/>
    </row>
    <row r="4" customFormat="false" ht="31.5" hidden="false" customHeight="true" outlineLevel="0" collapsed="false">
      <c r="A4" s="4" t="s">
        <v>1792</v>
      </c>
      <c r="B4" s="4" t="s">
        <v>1796</v>
      </c>
      <c r="C4" s="4" t="s">
        <v>320</v>
      </c>
      <c r="D4" s="4" t="s">
        <v>321</v>
      </c>
      <c r="E4" s="4" t="s">
        <v>1826</v>
      </c>
      <c r="F4" s="4" t="s">
        <v>1827</v>
      </c>
      <c r="G4" s="4" t="s">
        <v>1828</v>
      </c>
      <c r="H4" s="4" t="s">
        <v>1829</v>
      </c>
      <c r="I4" s="4" t="s">
        <v>1830</v>
      </c>
      <c r="J4" s="4" t="s">
        <v>1831</v>
      </c>
      <c r="K4" s="4" t="s">
        <v>1832</v>
      </c>
    </row>
    <row r="5" customFormat="false" ht="46.25" hidden="false" customHeight="false" outlineLevel="0" collapsed="false">
      <c r="A5" s="5" t="s">
        <v>1797</v>
      </c>
      <c r="B5" s="5" t="s">
        <v>1799</v>
      </c>
      <c r="C5" s="5" t="s">
        <v>274</v>
      </c>
      <c r="D5" s="5" t="s">
        <v>328</v>
      </c>
      <c r="E5" s="5"/>
      <c r="F5" s="5"/>
      <c r="G5" s="5"/>
      <c r="H5" s="5" t="s">
        <v>1833</v>
      </c>
      <c r="I5" s="5" t="s">
        <v>1834</v>
      </c>
      <c r="J5" s="5" t="s">
        <v>1835</v>
      </c>
      <c r="K5" s="5" t="s">
        <v>1836</v>
      </c>
    </row>
    <row r="6" customFormat="false" ht="15" hidden="false" customHeight="false" outlineLevel="0" collapsed="false">
      <c r="A6" s="6"/>
      <c r="B6" s="6"/>
      <c r="C6" s="6"/>
      <c r="D6" s="6"/>
      <c r="E6" s="6"/>
      <c r="F6" s="6"/>
      <c r="G6" s="6"/>
      <c r="H6" s="6" t="s">
        <v>1837</v>
      </c>
      <c r="I6" s="6" t="s">
        <v>1834</v>
      </c>
      <c r="J6" s="6" t="s">
        <v>1835</v>
      </c>
      <c r="K6" s="6" t="s">
        <v>1836</v>
      </c>
    </row>
    <row r="7" customFormat="false" ht="15" hidden="false" customHeight="false" outlineLevel="0" collapsed="false">
      <c r="A7" s="5"/>
      <c r="B7" s="5"/>
      <c r="C7" s="5"/>
      <c r="D7" s="5"/>
      <c r="E7" s="5"/>
      <c r="F7" s="5"/>
      <c r="G7" s="5"/>
      <c r="H7" s="5" t="s">
        <v>1838</v>
      </c>
      <c r="I7" s="5" t="s">
        <v>1834</v>
      </c>
      <c r="J7" s="5" t="s">
        <v>1835</v>
      </c>
      <c r="K7" s="5" t="s">
        <v>1836</v>
      </c>
    </row>
    <row r="8" customFormat="false" ht="46.25" hidden="false" customHeight="false" outlineLevel="0" collapsed="false">
      <c r="A8" s="6" t="s">
        <v>1800</v>
      </c>
      <c r="B8" s="6" t="s">
        <v>1802</v>
      </c>
      <c r="C8" s="6" t="s">
        <v>274</v>
      </c>
      <c r="D8" s="6" t="s">
        <v>779</v>
      </c>
      <c r="E8" s="6"/>
      <c r="F8" s="6"/>
      <c r="G8" s="6"/>
      <c r="H8" s="6" t="s">
        <v>1839</v>
      </c>
      <c r="I8" s="6" t="s">
        <v>1834</v>
      </c>
      <c r="J8" s="6" t="s">
        <v>1835</v>
      </c>
      <c r="K8" s="6" t="s">
        <v>1836</v>
      </c>
    </row>
    <row r="9" customFormat="false" ht="15" hidden="false" customHeight="false" outlineLevel="0" collapsed="false">
      <c r="A9" s="5"/>
      <c r="B9" s="5"/>
      <c r="C9" s="5"/>
      <c r="D9" s="5"/>
      <c r="E9" s="5"/>
      <c r="F9" s="5"/>
      <c r="G9" s="5"/>
      <c r="H9" s="5" t="s">
        <v>1840</v>
      </c>
      <c r="I9" s="5" t="s">
        <v>1834</v>
      </c>
      <c r="J9" s="5" t="s">
        <v>1835</v>
      </c>
      <c r="K9" s="5" t="s">
        <v>1836</v>
      </c>
    </row>
    <row r="10" customFormat="false" ht="15" hidden="false" customHeight="false" outlineLevel="0" collapsed="false">
      <c r="A10" s="6"/>
      <c r="B10" s="6"/>
      <c r="C10" s="6"/>
      <c r="D10" s="6"/>
      <c r="E10" s="6"/>
      <c r="F10" s="6"/>
      <c r="G10" s="6"/>
      <c r="H10" s="6" t="s">
        <v>1841</v>
      </c>
      <c r="I10" s="6" t="s">
        <v>1834</v>
      </c>
      <c r="J10" s="6" t="s">
        <v>1835</v>
      </c>
      <c r="K10" s="6" t="s">
        <v>1836</v>
      </c>
    </row>
    <row r="11" customFormat="false" ht="46.25" hidden="false" customHeight="false" outlineLevel="0" collapsed="false">
      <c r="A11" s="5" t="s">
        <v>1803</v>
      </c>
      <c r="B11" s="5" t="s">
        <v>1805</v>
      </c>
      <c r="C11" s="5" t="s">
        <v>274</v>
      </c>
      <c r="D11" s="5" t="s">
        <v>779</v>
      </c>
      <c r="E11" s="5"/>
      <c r="F11" s="5"/>
      <c r="G11" s="5"/>
      <c r="H11" s="5" t="s">
        <v>1842</v>
      </c>
      <c r="I11" s="5" t="s">
        <v>1834</v>
      </c>
      <c r="J11" s="5" t="s">
        <v>1835</v>
      </c>
      <c r="K11" s="5" t="s">
        <v>1836</v>
      </c>
    </row>
    <row r="12" customFormat="false" ht="15" hidden="false" customHeight="false" outlineLevel="0" collapsed="false">
      <c r="A12" s="6"/>
      <c r="B12" s="6"/>
      <c r="C12" s="6"/>
      <c r="D12" s="6"/>
      <c r="E12" s="6"/>
      <c r="F12" s="6"/>
      <c r="G12" s="6"/>
      <c r="H12" s="6" t="s">
        <v>1843</v>
      </c>
      <c r="I12" s="6" t="s">
        <v>1834</v>
      </c>
      <c r="J12" s="6" t="s">
        <v>1835</v>
      </c>
      <c r="K12" s="6" t="s">
        <v>1836</v>
      </c>
    </row>
    <row r="13" customFormat="false" ht="15" hidden="false" customHeight="false" outlineLevel="0" collapsed="false">
      <c r="A13" s="5"/>
      <c r="B13" s="5"/>
      <c r="C13" s="5"/>
      <c r="D13" s="5"/>
      <c r="E13" s="5"/>
      <c r="F13" s="5"/>
      <c r="G13" s="5"/>
      <c r="H13" s="5" t="s">
        <v>1844</v>
      </c>
      <c r="I13" s="5" t="s">
        <v>1834</v>
      </c>
      <c r="J13" s="5" t="s">
        <v>1835</v>
      </c>
      <c r="K13" s="5" t="s">
        <v>1836</v>
      </c>
    </row>
    <row r="14" customFormat="false" ht="35.05" hidden="false" customHeight="false" outlineLevel="0" collapsed="false">
      <c r="A14" s="6" t="s">
        <v>1806</v>
      </c>
      <c r="B14" s="6" t="s">
        <v>1808</v>
      </c>
      <c r="C14" s="6" t="s">
        <v>274</v>
      </c>
      <c r="D14" s="6" t="s">
        <v>1283</v>
      </c>
      <c r="E14" s="6"/>
      <c r="F14" s="6"/>
      <c r="G14" s="6"/>
      <c r="H14" s="6" t="s">
        <v>1845</v>
      </c>
      <c r="I14" s="6" t="s">
        <v>1834</v>
      </c>
      <c r="J14" s="6" t="s">
        <v>1835</v>
      </c>
      <c r="K14" s="6" t="s">
        <v>1836</v>
      </c>
    </row>
    <row r="15" customFormat="false" ht="15" hidden="false" customHeight="false" outlineLevel="0" collapsed="false">
      <c r="A15" s="5"/>
      <c r="B15" s="5"/>
      <c r="C15" s="5"/>
      <c r="D15" s="5"/>
      <c r="E15" s="5"/>
      <c r="F15" s="5"/>
      <c r="G15" s="5"/>
      <c r="H15" s="5" t="s">
        <v>1846</v>
      </c>
      <c r="I15" s="5" t="s">
        <v>1834</v>
      </c>
      <c r="J15" s="5" t="s">
        <v>1835</v>
      </c>
      <c r="K15" s="5" t="s">
        <v>1836</v>
      </c>
    </row>
    <row r="16" customFormat="false" ht="15" hidden="false" customHeight="false" outlineLevel="0" collapsed="false">
      <c r="A16" s="6"/>
      <c r="B16" s="6"/>
      <c r="C16" s="6"/>
      <c r="D16" s="6"/>
      <c r="E16" s="6"/>
      <c r="F16" s="6"/>
      <c r="G16" s="6"/>
      <c r="H16" s="6" t="s">
        <v>1847</v>
      </c>
      <c r="I16" s="6" t="s">
        <v>1834</v>
      </c>
      <c r="J16" s="6" t="s">
        <v>1835</v>
      </c>
      <c r="K16" s="6" t="s">
        <v>1836</v>
      </c>
    </row>
    <row r="17" customFormat="false" ht="35.05" hidden="false" customHeight="false" outlineLevel="0" collapsed="false">
      <c r="A17" s="5" t="s">
        <v>1809</v>
      </c>
      <c r="B17" s="5" t="s">
        <v>1811</v>
      </c>
      <c r="C17" s="5" t="s">
        <v>274</v>
      </c>
      <c r="D17" s="5" t="s">
        <v>1283</v>
      </c>
      <c r="E17" s="5"/>
      <c r="F17" s="5"/>
      <c r="G17" s="5"/>
      <c r="H17" s="5" t="s">
        <v>1848</v>
      </c>
      <c r="I17" s="5" t="s">
        <v>1834</v>
      </c>
      <c r="J17" s="5" t="s">
        <v>1835</v>
      </c>
      <c r="K17" s="5" t="s">
        <v>1836</v>
      </c>
    </row>
    <row r="18" customFormat="false" ht="15" hidden="false" customHeight="false" outlineLevel="0" collapsed="false">
      <c r="A18" s="6"/>
      <c r="B18" s="6"/>
      <c r="C18" s="6"/>
      <c r="D18" s="6"/>
      <c r="E18" s="6"/>
      <c r="F18" s="6"/>
      <c r="G18" s="6"/>
      <c r="H18" s="6" t="s">
        <v>1849</v>
      </c>
      <c r="I18" s="6" t="s">
        <v>1834</v>
      </c>
      <c r="J18" s="6" t="s">
        <v>1835</v>
      </c>
      <c r="K18" s="6" t="s">
        <v>1836</v>
      </c>
    </row>
    <row r="19" customFormat="false" ht="15" hidden="false" customHeight="false" outlineLevel="0" collapsed="false">
      <c r="A19" s="5"/>
      <c r="B19" s="5"/>
      <c r="C19" s="5"/>
      <c r="D19" s="5"/>
      <c r="E19" s="5"/>
      <c r="F19" s="5"/>
      <c r="G19" s="5"/>
      <c r="H19" s="5" t="s">
        <v>1850</v>
      </c>
      <c r="I19" s="5" t="s">
        <v>1834</v>
      </c>
      <c r="J19" s="5" t="s">
        <v>1835</v>
      </c>
      <c r="K19" s="5" t="s">
        <v>1836</v>
      </c>
    </row>
    <row r="20" customFormat="false" ht="46.25" hidden="false" customHeight="false" outlineLevel="0" collapsed="false">
      <c r="A20" s="6" t="s">
        <v>1812</v>
      </c>
      <c r="B20" s="6" t="s">
        <v>1814</v>
      </c>
      <c r="C20" s="6" t="s">
        <v>252</v>
      </c>
      <c r="D20" s="6" t="s">
        <v>328</v>
      </c>
      <c r="E20" s="6"/>
      <c r="F20" s="6"/>
      <c r="G20" s="6"/>
      <c r="H20" s="6" t="s">
        <v>1851</v>
      </c>
      <c r="I20" s="6" t="s">
        <v>1834</v>
      </c>
      <c r="J20" s="6" t="s">
        <v>1835</v>
      </c>
      <c r="K20" s="6" t="s">
        <v>1836</v>
      </c>
    </row>
    <row r="21" customFormat="false" ht="15" hidden="false" customHeight="false" outlineLevel="0" collapsed="false">
      <c r="A21" s="5"/>
      <c r="B21" s="5"/>
      <c r="C21" s="5"/>
      <c r="D21" s="5"/>
      <c r="E21" s="5"/>
      <c r="F21" s="5"/>
      <c r="G21" s="5"/>
      <c r="H21" s="5" t="s">
        <v>1852</v>
      </c>
      <c r="I21" s="5" t="s">
        <v>1834</v>
      </c>
      <c r="J21" s="5" t="s">
        <v>1835</v>
      </c>
      <c r="K21" s="5" t="s">
        <v>1836</v>
      </c>
    </row>
    <row r="22" customFormat="false" ht="15" hidden="false" customHeight="false" outlineLevel="0" collapsed="false">
      <c r="A22" s="6"/>
      <c r="B22" s="6"/>
      <c r="C22" s="6"/>
      <c r="D22" s="6"/>
      <c r="E22" s="6"/>
      <c r="F22" s="6"/>
      <c r="G22" s="6"/>
      <c r="H22" s="6" t="s">
        <v>1853</v>
      </c>
      <c r="I22" s="6" t="s">
        <v>1834</v>
      </c>
      <c r="J22" s="6" t="s">
        <v>1835</v>
      </c>
      <c r="K22" s="6" t="s">
        <v>1836</v>
      </c>
    </row>
    <row r="23" customFormat="false" ht="46.25" hidden="false" customHeight="false" outlineLevel="0" collapsed="false">
      <c r="A23" s="5" t="s">
        <v>1815</v>
      </c>
      <c r="B23" s="5" t="s">
        <v>1817</v>
      </c>
      <c r="C23" s="5" t="s">
        <v>252</v>
      </c>
      <c r="D23" s="5" t="s">
        <v>779</v>
      </c>
      <c r="E23" s="5"/>
      <c r="F23" s="5"/>
      <c r="G23" s="5"/>
      <c r="H23" s="5" t="s">
        <v>1854</v>
      </c>
      <c r="I23" s="5" t="s">
        <v>1834</v>
      </c>
      <c r="J23" s="5" t="s">
        <v>1835</v>
      </c>
      <c r="K23" s="5" t="s">
        <v>1836</v>
      </c>
    </row>
    <row r="24" customFormat="false" ht="15" hidden="false" customHeight="false" outlineLevel="0" collapsed="false">
      <c r="A24" s="6"/>
      <c r="B24" s="6"/>
      <c r="C24" s="6"/>
      <c r="D24" s="6"/>
      <c r="E24" s="6"/>
      <c r="F24" s="6"/>
      <c r="G24" s="6"/>
      <c r="H24" s="6" t="s">
        <v>1855</v>
      </c>
      <c r="I24" s="6" t="s">
        <v>1834</v>
      </c>
      <c r="J24" s="6" t="s">
        <v>1835</v>
      </c>
      <c r="K24" s="6" t="s">
        <v>1836</v>
      </c>
    </row>
    <row r="25" customFormat="false" ht="15" hidden="false" customHeight="false" outlineLevel="0" collapsed="false">
      <c r="A25" s="5"/>
      <c r="B25" s="5"/>
      <c r="C25" s="5"/>
      <c r="D25" s="5"/>
      <c r="E25" s="5"/>
      <c r="F25" s="5"/>
      <c r="G25" s="5"/>
      <c r="H25" s="5" t="s">
        <v>1856</v>
      </c>
      <c r="I25" s="5" t="s">
        <v>1834</v>
      </c>
      <c r="J25" s="5" t="s">
        <v>1835</v>
      </c>
      <c r="K25" s="5" t="s">
        <v>1836</v>
      </c>
    </row>
    <row r="26" customFormat="false" ht="35.05" hidden="false" customHeight="false" outlineLevel="0" collapsed="false">
      <c r="A26" s="6" t="s">
        <v>1818</v>
      </c>
      <c r="B26" s="6" t="s">
        <v>1820</v>
      </c>
      <c r="C26" s="6" t="s">
        <v>273</v>
      </c>
      <c r="D26" s="6" t="s">
        <v>1537</v>
      </c>
      <c r="E26" s="6"/>
      <c r="F26" s="6"/>
      <c r="G26" s="6"/>
      <c r="H26" s="6" t="s">
        <v>1857</v>
      </c>
      <c r="I26" s="6" t="s">
        <v>1834</v>
      </c>
      <c r="J26" s="6" t="s">
        <v>1835</v>
      </c>
      <c r="K26" s="6" t="s">
        <v>1836</v>
      </c>
    </row>
    <row r="27" customFormat="false" ht="15" hidden="false" customHeight="false" outlineLevel="0" collapsed="false">
      <c r="A27" s="5"/>
      <c r="B27" s="5"/>
      <c r="C27" s="5"/>
      <c r="D27" s="5"/>
      <c r="E27" s="5"/>
      <c r="F27" s="5"/>
      <c r="G27" s="5"/>
      <c r="H27" s="5" t="s">
        <v>1858</v>
      </c>
      <c r="I27" s="5" t="s">
        <v>1834</v>
      </c>
      <c r="J27" s="5" t="s">
        <v>1835</v>
      </c>
      <c r="K27" s="5" t="s">
        <v>1836</v>
      </c>
    </row>
    <row r="28" customFormat="false" ht="15" hidden="false" customHeight="false" outlineLevel="0" collapsed="false">
      <c r="A28" s="6"/>
      <c r="B28" s="6"/>
      <c r="C28" s="6"/>
      <c r="D28" s="6"/>
      <c r="E28" s="6"/>
      <c r="F28" s="6"/>
      <c r="G28" s="6"/>
      <c r="H28" s="6" t="s">
        <v>1859</v>
      </c>
      <c r="I28" s="6" t="s">
        <v>1834</v>
      </c>
      <c r="J28" s="6" t="s">
        <v>1835</v>
      </c>
      <c r="K28" s="6" t="s">
        <v>1836</v>
      </c>
    </row>
    <row r="29" customFormat="false" ht="23.85" hidden="false" customHeight="false" outlineLevel="0" collapsed="false">
      <c r="A29" s="5" t="s">
        <v>1821</v>
      </c>
      <c r="B29" s="5" t="s">
        <v>1823</v>
      </c>
      <c r="C29" s="5" t="s">
        <v>273</v>
      </c>
      <c r="D29" s="5" t="s">
        <v>1641</v>
      </c>
      <c r="E29" s="5"/>
      <c r="F29" s="5"/>
      <c r="G29" s="5"/>
      <c r="H29" s="5" t="s">
        <v>1860</v>
      </c>
      <c r="I29" s="5" t="s">
        <v>1834</v>
      </c>
      <c r="J29" s="5" t="s">
        <v>1835</v>
      </c>
      <c r="K29" s="5" t="s">
        <v>1836</v>
      </c>
    </row>
    <row r="30" customFormat="false" ht="15" hidden="false" customHeight="false" outlineLevel="0" collapsed="false">
      <c r="A30" s="6"/>
      <c r="B30" s="6"/>
      <c r="C30" s="6"/>
      <c r="D30" s="6"/>
      <c r="E30" s="6"/>
      <c r="F30" s="6"/>
      <c r="G30" s="6"/>
      <c r="H30" s="6" t="s">
        <v>1861</v>
      </c>
      <c r="I30" s="6" t="s">
        <v>1834</v>
      </c>
      <c r="J30" s="6" t="s">
        <v>1835</v>
      </c>
      <c r="K30" s="6" t="s">
        <v>1836</v>
      </c>
    </row>
    <row r="31" customFormat="false" ht="15" hidden="false" customHeight="false" outlineLevel="0" collapsed="false">
      <c r="A31" s="5"/>
      <c r="B31" s="5"/>
      <c r="C31" s="5"/>
      <c r="D31" s="5"/>
      <c r="E31" s="5"/>
      <c r="F31" s="5"/>
      <c r="G31" s="5"/>
      <c r="H31" s="5" t="s">
        <v>1862</v>
      </c>
      <c r="I31" s="5" t="s">
        <v>1834</v>
      </c>
      <c r="J31" s="5" t="s">
        <v>1835</v>
      </c>
      <c r="K31" s="5" t="s">
        <v>1836</v>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2026-10-09T20:37:34Z</dcterms:created>
  <dc:creator>openpyxl</dc:creator>
  <dc:description/>
  <dc:language>en-US</dc:language>
  <cp:lastModifiedBy/>
  <dcterms:modified xsi:type="dcterms:W3CDTF">2026-10-09T20:37:35Z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